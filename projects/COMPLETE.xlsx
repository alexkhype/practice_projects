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Julieta\Desktop\ANGLO\ANGLO\"/>
    </mc:Choice>
  </mc:AlternateContent>
  <xr:revisionPtr revIDLastSave="0" documentId="13_ncr:9_{8E4208F4-6A61-4B89-932A-2BD0D77CC8E0}" xr6:coauthVersionLast="47" xr6:coauthVersionMax="47" xr10:uidLastSave="{00000000-0000-0000-0000-000000000000}"/>
  <bookViews>
    <workbookView xWindow="-120" yWindow="-120" windowWidth="20730" windowHeight="11760" tabRatio="885" activeTab="1" xr2:uid="{ED4DA4FE-B0E8-4093-A012-B00644C54E06}"/>
  </bookViews>
  <sheets>
    <sheet name="DATOS_ADJ" sheetId="4" r:id="rId1"/>
    <sheet name="COMPLETE" sheetId="1" r:id="rId2"/>
    <sheet name="ADJ_SCORES" sheetId="11" r:id="rId3"/>
    <sheet name="IMPR_SCORES" sheetId="5" r:id="rId4"/>
    <sheet name="PREP_SCORES" sheetId="6" r:id="rId5"/>
    <sheet name="PIVOTS" sheetId="8" r:id="rId6"/>
  </sheets>
  <definedNames>
    <definedName name="_xlnm._FilterDatabase" localSheetId="1" hidden="1">COMPLETE!$A$1:$AI$1579</definedName>
    <definedName name="AVG_SUBTOTALES">ADJ_SCORES!$B$2:$B$1048576</definedName>
  </definedNames>
  <calcPr calcId="0"/>
  <pivotCaches>
    <pivotCache cacheId="53" r:id="rId7"/>
    <pivotCache cacheId="57" r:id="rId8"/>
  </pivotCaches>
</workbook>
</file>

<file path=xl/calcChain.xml><?xml version="1.0" encoding="utf-8"?>
<calcChain xmlns="http://schemas.openxmlformats.org/spreadsheetml/2006/main">
  <c r="AA927" i="1" l="1"/>
  <c r="AA526" i="1"/>
  <c r="AA419" i="1"/>
  <c r="AA175" i="1"/>
  <c r="AA167" i="1"/>
  <c r="AA118" i="1"/>
  <c r="AA98" i="1"/>
  <c r="AA74" i="1"/>
  <c r="AA66" i="1"/>
  <c r="AA31" i="1"/>
  <c r="AA13" i="1"/>
  <c r="AA5" i="1"/>
  <c r="V1436" i="1"/>
  <c r="V1422" i="1"/>
  <c r="V1190" i="1"/>
  <c r="V1176" i="1"/>
  <c r="V922" i="1"/>
  <c r="V878" i="1"/>
  <c r="V668" i="1"/>
  <c r="V414" i="1"/>
  <c r="V371" i="1"/>
  <c r="V353" i="1"/>
  <c r="V325" i="1"/>
  <c r="V238" i="1"/>
  <c r="V197" i="1"/>
  <c r="V183" i="1"/>
  <c r="V165" i="1"/>
  <c r="V126" i="1"/>
  <c r="V21" i="1"/>
  <c r="R1458" i="1"/>
  <c r="R1444" i="1"/>
  <c r="R1242" i="1"/>
  <c r="R944" i="1"/>
  <c r="R930" i="1"/>
  <c r="R770" i="1"/>
  <c r="R689" i="1"/>
  <c r="R636" i="1"/>
  <c r="R633" i="1"/>
  <c r="R587" i="1"/>
  <c r="R523" i="1"/>
  <c r="R480" i="1"/>
  <c r="R477" i="1"/>
  <c r="R371" i="1"/>
  <c r="R325" i="1"/>
  <c r="R241" i="1"/>
  <c r="R186" i="1"/>
  <c r="R183" i="1"/>
  <c r="R129" i="1"/>
  <c r="R82" i="1"/>
  <c r="R24" i="1"/>
  <c r="R5" i="1"/>
  <c r="V611" i="1"/>
  <c r="V459" i="1"/>
  <c r="V257" i="1"/>
  <c r="V212" i="1"/>
  <c r="V151" i="1"/>
  <c r="V111" i="1"/>
  <c r="V52" i="1"/>
  <c r="R1551" i="1"/>
  <c r="R1416" i="1"/>
  <c r="R1100" i="1"/>
  <c r="R848" i="1"/>
  <c r="R741" i="1"/>
  <c r="R648" i="1"/>
  <c r="R376" i="1"/>
  <c r="R333" i="1"/>
  <c r="R225" i="1"/>
  <c r="R55" i="1"/>
  <c r="L731" i="1"/>
  <c r="Z3" i="1"/>
  <c r="AA3" i="1" s="1"/>
  <c r="Z4" i="1"/>
  <c r="AA4" i="1" s="1"/>
  <c r="Z5" i="1"/>
  <c r="Z6" i="1"/>
  <c r="AA6" i="1" s="1"/>
  <c r="Z7" i="1"/>
  <c r="AA7" i="1" s="1"/>
  <c r="Z8" i="1"/>
  <c r="AA8" i="1" s="1"/>
  <c r="Z9" i="1"/>
  <c r="AA9" i="1" s="1"/>
  <c r="Z10" i="1"/>
  <c r="AA10" i="1" s="1"/>
  <c r="Z11" i="1"/>
  <c r="AA11" i="1" s="1"/>
  <c r="Z12" i="1"/>
  <c r="AA12" i="1" s="1"/>
  <c r="Z13" i="1"/>
  <c r="Z14" i="1"/>
  <c r="AA14" i="1" s="1"/>
  <c r="Z15" i="1"/>
  <c r="AA15" i="1" s="1"/>
  <c r="Z16" i="1"/>
  <c r="AA16" i="1" s="1"/>
  <c r="Z17" i="1"/>
  <c r="AA17" i="1" s="1"/>
  <c r="Z18" i="1"/>
  <c r="AA18" i="1" s="1"/>
  <c r="Z19" i="1"/>
  <c r="AA19" i="1" s="1"/>
  <c r="Z20" i="1"/>
  <c r="AA20" i="1" s="1"/>
  <c r="Z21" i="1"/>
  <c r="AA21" i="1" s="1"/>
  <c r="Z22" i="1"/>
  <c r="AA22" i="1" s="1"/>
  <c r="Z23" i="1"/>
  <c r="AA23" i="1" s="1"/>
  <c r="Z24" i="1"/>
  <c r="AA24" i="1" s="1"/>
  <c r="Z25" i="1"/>
  <c r="AA25" i="1" s="1"/>
  <c r="Z26" i="1"/>
  <c r="AA26" i="1" s="1"/>
  <c r="Z27" i="1"/>
  <c r="AA27" i="1" s="1"/>
  <c r="Z28" i="1"/>
  <c r="AA28" i="1" s="1"/>
  <c r="Z29" i="1"/>
  <c r="AA29" i="1" s="1"/>
  <c r="Z30" i="1"/>
  <c r="AA30" i="1" s="1"/>
  <c r="Z31" i="1"/>
  <c r="Z32" i="1"/>
  <c r="AA32" i="1" s="1"/>
  <c r="Z33" i="1"/>
  <c r="AA33" i="1" s="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AA63" i="1" s="1"/>
  <c r="Z64" i="1"/>
  <c r="AA64" i="1" s="1"/>
  <c r="Z65" i="1"/>
  <c r="AA65" i="1" s="1"/>
  <c r="Z66" i="1"/>
  <c r="Z67" i="1"/>
  <c r="AA67" i="1" s="1"/>
  <c r="Z68" i="1"/>
  <c r="AA68" i="1" s="1"/>
  <c r="Z69" i="1"/>
  <c r="AA69" i="1" s="1"/>
  <c r="Z70" i="1"/>
  <c r="AA70" i="1" s="1"/>
  <c r="Z71" i="1"/>
  <c r="AA71" i="1" s="1"/>
  <c r="Z72" i="1"/>
  <c r="AA72" i="1" s="1"/>
  <c r="Z73" i="1"/>
  <c r="AA73" i="1" s="1"/>
  <c r="Z74" i="1"/>
  <c r="Z75" i="1"/>
  <c r="AA75" i="1" s="1"/>
  <c r="Z76" i="1"/>
  <c r="AA76" i="1" s="1"/>
  <c r="Z77" i="1"/>
  <c r="AA77" i="1" s="1"/>
  <c r="Z78" i="1"/>
  <c r="AA78" i="1" s="1"/>
  <c r="Z79" i="1"/>
  <c r="AA79" i="1" s="1"/>
  <c r="Z80" i="1"/>
  <c r="AA80" i="1" s="1"/>
  <c r="Z81" i="1"/>
  <c r="AA81" i="1" s="1"/>
  <c r="Z82" i="1"/>
  <c r="AA82" i="1" s="1"/>
  <c r="Z83" i="1"/>
  <c r="AA83" i="1" s="1"/>
  <c r="Z84" i="1"/>
  <c r="AA84" i="1" s="1"/>
  <c r="Z85" i="1"/>
  <c r="AA85" i="1" s="1"/>
  <c r="Z86" i="1"/>
  <c r="AA86" i="1" s="1"/>
  <c r="Z87" i="1"/>
  <c r="AA87" i="1" s="1"/>
  <c r="Z88" i="1"/>
  <c r="AA88" i="1" s="1"/>
  <c r="Z89" i="1"/>
  <c r="AA89" i="1" s="1"/>
  <c r="Z90" i="1"/>
  <c r="AA90" i="1" s="1"/>
  <c r="Z91" i="1"/>
  <c r="AA91" i="1" s="1"/>
  <c r="Z92" i="1"/>
  <c r="AA92" i="1" s="1"/>
  <c r="Z93" i="1"/>
  <c r="AA93" i="1" s="1"/>
  <c r="Z94" i="1"/>
  <c r="AA94" i="1" s="1"/>
  <c r="Z95" i="1"/>
  <c r="AA95" i="1" s="1"/>
  <c r="Z96" i="1"/>
  <c r="AA96" i="1" s="1"/>
  <c r="Z97" i="1"/>
  <c r="AA97" i="1" s="1"/>
  <c r="Z98" i="1"/>
  <c r="Z99" i="1"/>
  <c r="AA99" i="1" s="1"/>
  <c r="Z100" i="1"/>
  <c r="AA100" i="1" s="1"/>
  <c r="Z101" i="1"/>
  <c r="AA101" i="1" s="1"/>
  <c r="Z102" i="1"/>
  <c r="AA102" i="1" s="1"/>
  <c r="Z103" i="1"/>
  <c r="AA103" i="1" s="1"/>
  <c r="Z104" i="1"/>
  <c r="AA104" i="1" s="1"/>
  <c r="Z105" i="1"/>
  <c r="AA105" i="1" s="1"/>
  <c r="Z106" i="1"/>
  <c r="Z107" i="1"/>
  <c r="Z108" i="1"/>
  <c r="Z109" i="1"/>
  <c r="Z110" i="1"/>
  <c r="Z111" i="1"/>
  <c r="Z112" i="1"/>
  <c r="Z113" i="1"/>
  <c r="Z114" i="1"/>
  <c r="Z115" i="1"/>
  <c r="Z116" i="1"/>
  <c r="Z117" i="1"/>
  <c r="Z118" i="1"/>
  <c r="Z119" i="1"/>
  <c r="AA119" i="1" s="1"/>
  <c r="Z120" i="1"/>
  <c r="AA120" i="1" s="1"/>
  <c r="Z121" i="1"/>
  <c r="AA121" i="1" s="1"/>
  <c r="Z122" i="1"/>
  <c r="AA122" i="1" s="1"/>
  <c r="Z123" i="1"/>
  <c r="AA123" i="1" s="1"/>
  <c r="Z124" i="1"/>
  <c r="AA124" i="1" s="1"/>
  <c r="Z125" i="1"/>
  <c r="AA125" i="1" s="1"/>
  <c r="Z126" i="1"/>
  <c r="AA126" i="1" s="1"/>
  <c r="Z127" i="1"/>
  <c r="AA127" i="1" s="1"/>
  <c r="Z128" i="1"/>
  <c r="AA128" i="1" s="1"/>
  <c r="Z129" i="1"/>
  <c r="AA129" i="1" s="1"/>
  <c r="Z130" i="1"/>
  <c r="AA130" i="1" s="1"/>
  <c r="Z131" i="1"/>
  <c r="AA131" i="1" s="1"/>
  <c r="Z132" i="1"/>
  <c r="AA132" i="1" s="1"/>
  <c r="Z133" i="1"/>
  <c r="AA133" i="1" s="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AA159" i="1" s="1"/>
  <c r="Z160" i="1"/>
  <c r="AA160" i="1" s="1"/>
  <c r="Z161" i="1"/>
  <c r="AA161" i="1" s="1"/>
  <c r="Z162" i="1"/>
  <c r="AA162" i="1" s="1"/>
  <c r="Z163" i="1"/>
  <c r="AA163" i="1" s="1"/>
  <c r="Z164" i="1"/>
  <c r="AA164" i="1" s="1"/>
  <c r="Z165" i="1"/>
  <c r="AA165" i="1" s="1"/>
  <c r="Z166" i="1"/>
  <c r="AA166" i="1" s="1"/>
  <c r="Z167" i="1"/>
  <c r="Z168" i="1"/>
  <c r="AA168" i="1" s="1"/>
  <c r="Z169" i="1"/>
  <c r="AA169" i="1" s="1"/>
  <c r="Z170" i="1"/>
  <c r="AA170" i="1" s="1"/>
  <c r="Z171" i="1"/>
  <c r="AA171" i="1" s="1"/>
  <c r="Z172" i="1"/>
  <c r="AA172" i="1" s="1"/>
  <c r="Z173" i="1"/>
  <c r="AA173" i="1" s="1"/>
  <c r="Z174" i="1"/>
  <c r="AA174" i="1" s="1"/>
  <c r="Z175" i="1"/>
  <c r="Z176" i="1"/>
  <c r="AA176" i="1" s="1"/>
  <c r="Z177" i="1"/>
  <c r="AA177" i="1" s="1"/>
  <c r="Z178" i="1"/>
  <c r="AA178" i="1" s="1"/>
  <c r="Z179" i="1"/>
  <c r="AA179" i="1" s="1"/>
  <c r="Z180" i="1"/>
  <c r="AA180" i="1" s="1"/>
  <c r="Z181" i="1"/>
  <c r="AA181" i="1" s="1"/>
  <c r="Z182" i="1"/>
  <c r="AA182" i="1" s="1"/>
  <c r="Z183" i="1"/>
  <c r="AA183" i="1" s="1"/>
  <c r="Z184" i="1"/>
  <c r="AA184" i="1" s="1"/>
  <c r="Z185" i="1"/>
  <c r="AA185" i="1" s="1"/>
  <c r="Z186" i="1"/>
  <c r="AA186" i="1" s="1"/>
  <c r="Z187" i="1"/>
  <c r="AA187" i="1" s="1"/>
  <c r="Z188" i="1"/>
  <c r="AA188" i="1" s="1"/>
  <c r="Z189" i="1"/>
  <c r="AA189" i="1" s="1"/>
  <c r="Z190" i="1"/>
  <c r="AA190" i="1" s="1"/>
  <c r="Z191" i="1"/>
  <c r="AA191" i="1" s="1"/>
  <c r="Z192" i="1"/>
  <c r="AA192" i="1" s="1"/>
  <c r="Z193" i="1"/>
  <c r="AA193" i="1" s="1"/>
  <c r="Z194" i="1"/>
  <c r="AA194" i="1" s="1"/>
  <c r="Z195" i="1"/>
  <c r="AA195" i="1" s="1"/>
  <c r="Z196" i="1"/>
  <c r="AA196" i="1" s="1"/>
  <c r="Z197" i="1"/>
  <c r="AA197" i="1" s="1"/>
  <c r="Z198" i="1"/>
  <c r="AA198" i="1" s="1"/>
  <c r="Z199" i="1"/>
  <c r="AA199" i="1" s="1"/>
  <c r="Z200" i="1"/>
  <c r="AA200" i="1" s="1"/>
  <c r="Z201" i="1"/>
  <c r="AA201" i="1" s="1"/>
  <c r="Z202" i="1"/>
  <c r="AA202" i="1" s="1"/>
  <c r="Z203" i="1"/>
  <c r="AA203" i="1" s="1"/>
  <c r="Z204" i="1"/>
  <c r="AA204" i="1" s="1"/>
  <c r="Z205" i="1"/>
  <c r="Z206" i="1"/>
  <c r="Z207" i="1"/>
  <c r="Z208" i="1"/>
  <c r="Z209" i="1"/>
  <c r="Z210" i="1"/>
  <c r="Z211" i="1"/>
  <c r="Z212" i="1"/>
  <c r="Z213" i="1"/>
  <c r="Z214" i="1"/>
  <c r="Z215" i="1"/>
  <c r="Z216" i="1"/>
  <c r="Z217" i="1"/>
  <c r="Z218" i="1"/>
  <c r="Z219" i="1"/>
  <c r="Z220" i="1"/>
  <c r="Z221" i="1"/>
  <c r="Z222" i="1"/>
  <c r="Z223" i="1"/>
  <c r="Z224" i="1"/>
  <c r="Z225" i="1"/>
  <c r="Z226" i="1"/>
  <c r="Z227" i="1"/>
  <c r="Z228" i="1"/>
  <c r="AA228" i="1" s="1"/>
  <c r="Z229" i="1"/>
  <c r="AA229" i="1" s="1"/>
  <c r="Z230" i="1"/>
  <c r="AA230" i="1" s="1"/>
  <c r="Z231" i="1"/>
  <c r="AA231" i="1" s="1"/>
  <c r="Z232" i="1"/>
  <c r="AA232" i="1" s="1"/>
  <c r="Z233" i="1"/>
  <c r="AA233" i="1" s="1"/>
  <c r="Z234" i="1"/>
  <c r="AA234" i="1" s="1"/>
  <c r="Z235" i="1"/>
  <c r="AA235" i="1" s="1"/>
  <c r="Z236" i="1"/>
  <c r="AA236" i="1" s="1"/>
  <c r="Z237" i="1"/>
  <c r="AA237" i="1" s="1"/>
  <c r="Z238" i="1"/>
  <c r="AA238" i="1" s="1"/>
  <c r="Z239" i="1"/>
  <c r="AA239" i="1" s="1"/>
  <c r="Z240" i="1"/>
  <c r="AA240" i="1" s="1"/>
  <c r="Z241" i="1"/>
  <c r="AA241" i="1" s="1"/>
  <c r="Z242" i="1"/>
  <c r="AA242" i="1" s="1"/>
  <c r="Z243" i="1"/>
  <c r="AA243" i="1" s="1"/>
  <c r="Z244" i="1"/>
  <c r="AA244" i="1" s="1"/>
  <c r="Z245" i="1"/>
  <c r="AA245" i="1" s="1"/>
  <c r="Z246" i="1"/>
  <c r="AA246" i="1" s="1"/>
  <c r="Z247" i="1"/>
  <c r="AA247" i="1" s="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AA278" i="1" s="1"/>
  <c r="Z279" i="1"/>
  <c r="AA279" i="1" s="1"/>
  <c r="Z280" i="1"/>
  <c r="AA280" i="1" s="1"/>
  <c r="Z281" i="1"/>
  <c r="AA281" i="1" s="1"/>
  <c r="Z282" i="1"/>
  <c r="AA282" i="1" s="1"/>
  <c r="Z283" i="1"/>
  <c r="AA283" i="1" s="1"/>
  <c r="Z284" i="1"/>
  <c r="AA284" i="1" s="1"/>
  <c r="Z285" i="1"/>
  <c r="AA285" i="1" s="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AA311" i="1" s="1"/>
  <c r="Z312" i="1"/>
  <c r="AA312" i="1" s="1"/>
  <c r="Z313" i="1"/>
  <c r="AA313" i="1" s="1"/>
  <c r="Z314" i="1"/>
  <c r="AA314" i="1" s="1"/>
  <c r="Z315" i="1"/>
  <c r="AA315" i="1" s="1"/>
  <c r="Z316" i="1"/>
  <c r="AA316" i="1" s="1"/>
  <c r="Z317" i="1"/>
  <c r="AA317" i="1" s="1"/>
  <c r="Z318" i="1"/>
  <c r="AA318" i="1" s="1"/>
  <c r="Z319" i="1"/>
  <c r="AA319" i="1" s="1"/>
  <c r="Z320" i="1"/>
  <c r="AA320" i="1" s="1"/>
  <c r="Z321" i="1"/>
  <c r="AA321" i="1" s="1"/>
  <c r="Z322" i="1"/>
  <c r="AA322" i="1" s="1"/>
  <c r="Z323" i="1"/>
  <c r="AA323" i="1" s="1"/>
  <c r="Z324" i="1"/>
  <c r="AA324" i="1" s="1"/>
  <c r="Z325" i="1"/>
  <c r="AA325" i="1" s="1"/>
  <c r="Z326" i="1"/>
  <c r="Z327" i="1"/>
  <c r="Z328" i="1"/>
  <c r="Z329" i="1"/>
  <c r="Z330" i="1"/>
  <c r="Z331" i="1"/>
  <c r="Z332" i="1"/>
  <c r="Z333" i="1"/>
  <c r="Z334" i="1"/>
  <c r="Z335" i="1"/>
  <c r="Z336" i="1"/>
  <c r="Z337" i="1"/>
  <c r="Z338" i="1"/>
  <c r="Z339" i="1"/>
  <c r="Z340" i="1"/>
  <c r="AA340" i="1" s="1"/>
  <c r="Z341" i="1"/>
  <c r="AA341" i="1" s="1"/>
  <c r="Z342" i="1"/>
  <c r="AA342" i="1" s="1"/>
  <c r="Z343" i="1"/>
  <c r="AA343" i="1" s="1"/>
  <c r="Z344" i="1"/>
  <c r="AA344" i="1" s="1"/>
  <c r="Z345" i="1"/>
  <c r="AA345" i="1" s="1"/>
  <c r="Z346" i="1"/>
  <c r="AA346" i="1" s="1"/>
  <c r="Z347" i="1"/>
  <c r="AA347" i="1" s="1"/>
  <c r="Z348" i="1"/>
  <c r="AA348" i="1" s="1"/>
  <c r="Z349" i="1"/>
  <c r="AA349" i="1" s="1"/>
  <c r="Z350" i="1"/>
  <c r="AA350" i="1" s="1"/>
  <c r="Z351" i="1"/>
  <c r="AA351" i="1" s="1"/>
  <c r="Z352" i="1"/>
  <c r="AA352" i="1" s="1"/>
  <c r="Z353" i="1"/>
  <c r="AA353" i="1" s="1"/>
  <c r="Z354" i="1"/>
  <c r="AA354" i="1" s="1"/>
  <c r="Z355" i="1"/>
  <c r="AA355" i="1" s="1"/>
  <c r="Z356" i="1"/>
  <c r="AA356" i="1" s="1"/>
  <c r="Z357" i="1"/>
  <c r="AA357" i="1" s="1"/>
  <c r="Z358" i="1"/>
  <c r="AA358" i="1" s="1"/>
  <c r="Z359" i="1"/>
  <c r="AA359" i="1" s="1"/>
  <c r="Z360" i="1"/>
  <c r="AA360" i="1" s="1"/>
  <c r="Z361" i="1"/>
  <c r="AA361" i="1" s="1"/>
  <c r="Z362" i="1"/>
  <c r="AA362" i="1" s="1"/>
  <c r="Z363" i="1"/>
  <c r="AA363" i="1" s="1"/>
  <c r="Z364" i="1"/>
  <c r="AA364" i="1" s="1"/>
  <c r="Z365" i="1"/>
  <c r="AA365" i="1" s="1"/>
  <c r="Z366" i="1"/>
  <c r="AA366" i="1" s="1"/>
  <c r="Z367" i="1"/>
  <c r="AA367" i="1" s="1"/>
  <c r="Z368" i="1"/>
  <c r="AA368" i="1" s="1"/>
  <c r="Z369" i="1"/>
  <c r="AA369" i="1" s="1"/>
  <c r="Z370" i="1"/>
  <c r="AA370" i="1" s="1"/>
  <c r="Z371" i="1"/>
  <c r="AA371" i="1" s="1"/>
  <c r="Z372" i="1"/>
  <c r="AA372" i="1" s="1"/>
  <c r="Z373" i="1"/>
  <c r="AA373" i="1" s="1"/>
  <c r="Z374" i="1"/>
  <c r="AA374" i="1" s="1"/>
  <c r="Z375" i="1"/>
  <c r="AA375" i="1" s="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AA405" i="1" s="1"/>
  <c r="Z406" i="1"/>
  <c r="AA406" i="1" s="1"/>
  <c r="Z407" i="1"/>
  <c r="AA407" i="1" s="1"/>
  <c r="Z408" i="1"/>
  <c r="AA408" i="1" s="1"/>
  <c r="Z409" i="1"/>
  <c r="AA409" i="1" s="1"/>
  <c r="Z410" i="1"/>
  <c r="AA410" i="1" s="1"/>
  <c r="Z411" i="1"/>
  <c r="AA411" i="1" s="1"/>
  <c r="Z412" i="1"/>
  <c r="AA412" i="1" s="1"/>
  <c r="Z413" i="1"/>
  <c r="AA413" i="1" s="1"/>
  <c r="Z414" i="1"/>
  <c r="AA414" i="1" s="1"/>
  <c r="Z415" i="1"/>
  <c r="AA415" i="1" s="1"/>
  <c r="Z416" i="1"/>
  <c r="AA416" i="1" s="1"/>
  <c r="Z417" i="1"/>
  <c r="AA417" i="1" s="1"/>
  <c r="Z418" i="1"/>
  <c r="AA418" i="1" s="1"/>
  <c r="Z419" i="1"/>
  <c r="Z420" i="1"/>
  <c r="AA420" i="1" s="1"/>
  <c r="Z421" i="1"/>
  <c r="AA421" i="1" s="1"/>
  <c r="Z422" i="1"/>
  <c r="AA422" i="1" s="1"/>
  <c r="Z423" i="1"/>
  <c r="AA423" i="1" s="1"/>
  <c r="Z424" i="1"/>
  <c r="AA424" i="1" s="1"/>
  <c r="Z425" i="1"/>
  <c r="AA425" i="1" s="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AA471" i="1" s="1"/>
  <c r="Z472" i="1"/>
  <c r="AA472" i="1" s="1"/>
  <c r="Z473" i="1"/>
  <c r="AA473" i="1" s="1"/>
  <c r="Z474" i="1"/>
  <c r="AA474" i="1" s="1"/>
  <c r="Z475" i="1"/>
  <c r="AA475" i="1" s="1"/>
  <c r="Z476" i="1"/>
  <c r="AA476" i="1" s="1"/>
  <c r="Z477" i="1"/>
  <c r="AA477" i="1" s="1"/>
  <c r="Z478" i="1"/>
  <c r="AA478" i="1" s="1"/>
  <c r="Z479" i="1"/>
  <c r="AA479" i="1" s="1"/>
  <c r="Z480" i="1"/>
  <c r="AA480" i="1" s="1"/>
  <c r="Z481" i="1"/>
  <c r="AA481" i="1" s="1"/>
  <c r="Z482" i="1"/>
  <c r="AA482" i="1" s="1"/>
  <c r="Z483" i="1"/>
  <c r="AA483" i="1" s="1"/>
  <c r="Z484" i="1"/>
  <c r="AA484" i="1" s="1"/>
  <c r="Z485" i="1"/>
  <c r="AA485" i="1" s="1"/>
  <c r="Z486" i="1"/>
  <c r="AA486" i="1" s="1"/>
  <c r="Z487" i="1"/>
  <c r="AA487" i="1" s="1"/>
  <c r="Z488" i="1"/>
  <c r="AA488" i="1" s="1"/>
  <c r="Z489" i="1"/>
  <c r="AA489" i="1" s="1"/>
  <c r="Z490" i="1"/>
  <c r="AA490" i="1" s="1"/>
  <c r="Z491" i="1"/>
  <c r="AA491" i="1" s="1"/>
  <c r="Z492" i="1"/>
  <c r="AA492" i="1" s="1"/>
  <c r="Z493" i="1"/>
  <c r="Z494" i="1"/>
  <c r="Z495" i="1"/>
  <c r="Z496" i="1"/>
  <c r="Z497" i="1"/>
  <c r="Z498" i="1"/>
  <c r="Z499" i="1"/>
  <c r="Z500" i="1"/>
  <c r="Z501" i="1"/>
  <c r="Z502" i="1"/>
  <c r="Z503" i="1"/>
  <c r="Z504" i="1"/>
  <c r="Z505" i="1"/>
  <c r="Z506" i="1"/>
  <c r="Z507" i="1"/>
  <c r="AA507" i="1" s="1"/>
  <c r="Z508" i="1"/>
  <c r="AA508" i="1" s="1"/>
  <c r="Z509" i="1"/>
  <c r="AA509" i="1" s="1"/>
  <c r="Z510" i="1"/>
  <c r="AA510" i="1" s="1"/>
  <c r="Z511" i="1"/>
  <c r="AA511" i="1" s="1"/>
  <c r="Z512" i="1"/>
  <c r="AA512" i="1" s="1"/>
  <c r="Z513" i="1"/>
  <c r="AA513" i="1" s="1"/>
  <c r="Z514" i="1"/>
  <c r="AA514" i="1" s="1"/>
  <c r="Z515" i="1"/>
  <c r="AA515" i="1" s="1"/>
  <c r="Z516" i="1"/>
  <c r="AA516" i="1" s="1"/>
  <c r="Z517" i="1"/>
  <c r="AA517" i="1" s="1"/>
  <c r="Z518" i="1"/>
  <c r="AA518" i="1" s="1"/>
  <c r="Z519" i="1"/>
  <c r="AA519" i="1" s="1"/>
  <c r="Z520" i="1"/>
  <c r="AA520" i="1" s="1"/>
  <c r="Z521" i="1"/>
  <c r="AA521" i="1" s="1"/>
  <c r="Z522" i="1"/>
  <c r="AA522" i="1" s="1"/>
  <c r="Z523" i="1"/>
  <c r="AA523" i="1" s="1"/>
  <c r="Z524" i="1"/>
  <c r="AA524" i="1" s="1"/>
  <c r="Z525" i="1"/>
  <c r="AA525" i="1" s="1"/>
  <c r="Z526" i="1"/>
  <c r="Z527" i="1"/>
  <c r="AA527" i="1" s="1"/>
  <c r="Z528" i="1"/>
  <c r="AA528" i="1" s="1"/>
  <c r="Z529" i="1"/>
  <c r="AA529" i="1" s="1"/>
  <c r="Z530" i="1"/>
  <c r="AA530" i="1" s="1"/>
  <c r="Z531" i="1"/>
  <c r="AA531" i="1" s="1"/>
  <c r="Z532" i="1"/>
  <c r="AA532" i="1" s="1"/>
  <c r="Z533" i="1"/>
  <c r="AA533" i="1" s="1"/>
  <c r="Z534" i="1"/>
  <c r="AA534" i="1" s="1"/>
  <c r="Z535" i="1"/>
  <c r="AA535" i="1" s="1"/>
  <c r="Z536" i="1"/>
  <c r="AA536" i="1" s="1"/>
  <c r="Z537" i="1"/>
  <c r="AA537" i="1" s="1"/>
  <c r="Z538" i="1"/>
  <c r="AA538" i="1" s="1"/>
  <c r="Z539" i="1"/>
  <c r="AA539" i="1" s="1"/>
  <c r="Z540" i="1"/>
  <c r="AA540" i="1" s="1"/>
  <c r="Z541" i="1"/>
  <c r="AA541" i="1" s="1"/>
  <c r="Z542" i="1"/>
  <c r="AA542" i="1" s="1"/>
  <c r="Z543" i="1"/>
  <c r="AA543" i="1" s="1"/>
  <c r="Z544" i="1"/>
  <c r="AA544" i="1" s="1"/>
  <c r="Z545" i="1"/>
  <c r="AA545" i="1" s="1"/>
  <c r="Z546" i="1"/>
  <c r="AA546" i="1" s="1"/>
  <c r="Z547" i="1"/>
  <c r="AA547" i="1" s="1"/>
  <c r="Z548" i="1"/>
  <c r="AA548" i="1" s="1"/>
  <c r="Z549" i="1"/>
  <c r="AA549" i="1" s="1"/>
  <c r="Z550" i="1"/>
  <c r="AA550" i="1" s="1"/>
  <c r="Z551" i="1"/>
  <c r="AA551" i="1" s="1"/>
  <c r="Z552" i="1"/>
  <c r="Z553" i="1"/>
  <c r="Z554" i="1"/>
  <c r="Z555" i="1"/>
  <c r="Z556" i="1"/>
  <c r="Z557" i="1"/>
  <c r="Z558" i="1"/>
  <c r="Z559" i="1"/>
  <c r="Z560" i="1"/>
  <c r="Z561" i="1"/>
  <c r="Z562" i="1"/>
  <c r="Z563" i="1"/>
  <c r="Z564" i="1"/>
  <c r="Z565" i="1"/>
  <c r="Z566" i="1"/>
  <c r="Z567" i="1"/>
  <c r="Z568" i="1"/>
  <c r="Z569" i="1"/>
  <c r="Z570" i="1"/>
  <c r="Z571" i="1"/>
  <c r="Z572" i="1"/>
  <c r="Z573" i="1"/>
  <c r="Z574" i="1"/>
  <c r="Z575" i="1"/>
  <c r="Z576" i="1"/>
  <c r="Z577" i="1"/>
  <c r="Z578" i="1"/>
  <c r="Z579" i="1"/>
  <c r="Z580" i="1"/>
  <c r="Z581" i="1"/>
  <c r="Z582" i="1"/>
  <c r="Z583" i="1"/>
  <c r="Z584" i="1"/>
  <c r="AA584" i="1" s="1"/>
  <c r="Z585" i="1"/>
  <c r="AA585" i="1" s="1"/>
  <c r="Z586" i="1"/>
  <c r="AA586" i="1" s="1"/>
  <c r="Z587" i="1"/>
  <c r="AA587" i="1" s="1"/>
  <c r="Z588" i="1"/>
  <c r="AA588" i="1" s="1"/>
  <c r="Z589" i="1"/>
  <c r="AA589" i="1" s="1"/>
  <c r="Z590" i="1"/>
  <c r="AA590" i="1" s="1"/>
  <c r="Z591" i="1"/>
  <c r="AA591" i="1" s="1"/>
  <c r="Z592" i="1"/>
  <c r="AA592" i="1" s="1"/>
  <c r="Z593" i="1"/>
  <c r="AA593" i="1" s="1"/>
  <c r="Z594" i="1"/>
  <c r="AA594" i="1" s="1"/>
  <c r="Z595" i="1"/>
  <c r="AA595" i="1" s="1"/>
  <c r="Z596" i="1"/>
  <c r="AA596" i="1" s="1"/>
  <c r="Z597" i="1"/>
  <c r="AA597" i="1" s="1"/>
  <c r="Z598" i="1"/>
  <c r="AA598" i="1" s="1"/>
  <c r="Z599" i="1"/>
  <c r="AA599" i="1" s="1"/>
  <c r="Z600" i="1"/>
  <c r="AA600" i="1" s="1"/>
  <c r="Z601" i="1"/>
  <c r="AA601" i="1" s="1"/>
  <c r="Z602" i="1"/>
  <c r="AA602" i="1" s="1"/>
  <c r="Z603" i="1"/>
  <c r="AA603" i="1" s="1"/>
  <c r="Z604" i="1"/>
  <c r="AA604" i="1" s="1"/>
  <c r="Z605" i="1"/>
  <c r="Z606" i="1"/>
  <c r="Z607" i="1"/>
  <c r="Z608" i="1"/>
  <c r="Z609" i="1"/>
  <c r="Z610" i="1"/>
  <c r="Z611" i="1"/>
  <c r="Z612" i="1"/>
  <c r="Z613" i="1"/>
  <c r="Z614" i="1"/>
  <c r="Z615" i="1"/>
  <c r="Z616" i="1"/>
  <c r="Z617" i="1"/>
  <c r="Z618" i="1"/>
  <c r="Z619" i="1"/>
  <c r="AA619" i="1" s="1"/>
  <c r="Z620" i="1"/>
  <c r="AA620" i="1" s="1"/>
  <c r="Z621" i="1"/>
  <c r="AA621" i="1" s="1"/>
  <c r="Z622" i="1"/>
  <c r="AA622" i="1" s="1"/>
  <c r="Z623" i="1"/>
  <c r="AA623" i="1" s="1"/>
  <c r="Z624" i="1"/>
  <c r="AA624" i="1" s="1"/>
  <c r="Z625" i="1"/>
  <c r="AA625" i="1" s="1"/>
  <c r="Z626" i="1"/>
  <c r="AA626" i="1" s="1"/>
  <c r="Z627" i="1"/>
  <c r="AA627" i="1" s="1"/>
  <c r="Z628" i="1"/>
  <c r="AA628" i="1" s="1"/>
  <c r="Z629" i="1"/>
  <c r="AA629" i="1" s="1"/>
  <c r="Z630" i="1"/>
  <c r="AA630" i="1" s="1"/>
  <c r="Z631" i="1"/>
  <c r="AA631" i="1" s="1"/>
  <c r="Z632" i="1"/>
  <c r="AA632" i="1" s="1"/>
  <c r="Z633" i="1"/>
  <c r="AA633" i="1" s="1"/>
  <c r="Z634" i="1"/>
  <c r="AA634" i="1" s="1"/>
  <c r="Z635" i="1"/>
  <c r="AA635" i="1" s="1"/>
  <c r="Z636" i="1"/>
  <c r="AA636" i="1" s="1"/>
  <c r="Z637" i="1"/>
  <c r="AA637" i="1" s="1"/>
  <c r="Z638" i="1"/>
  <c r="AA638" i="1" s="1"/>
  <c r="Z639" i="1"/>
  <c r="AA639" i="1" s="1"/>
  <c r="Z640" i="1"/>
  <c r="AA640" i="1" s="1"/>
  <c r="Z641" i="1"/>
  <c r="AA641" i="1" s="1"/>
  <c r="Z642" i="1"/>
  <c r="AA642" i="1" s="1"/>
  <c r="Z643" i="1"/>
  <c r="AA643" i="1" s="1"/>
  <c r="Z644" i="1"/>
  <c r="AA644" i="1" s="1"/>
  <c r="Z645" i="1"/>
  <c r="AA645" i="1" s="1"/>
  <c r="Z646" i="1"/>
  <c r="Z647" i="1"/>
  <c r="Z648" i="1"/>
  <c r="Z649" i="1"/>
  <c r="Z650" i="1"/>
  <c r="Z651" i="1"/>
  <c r="Z652" i="1"/>
  <c r="Z653" i="1"/>
  <c r="Z654" i="1"/>
  <c r="Z655" i="1"/>
  <c r="Z656" i="1"/>
  <c r="Z657" i="1"/>
  <c r="Z658" i="1"/>
  <c r="Z659" i="1"/>
  <c r="Z660" i="1"/>
  <c r="Z661" i="1"/>
  <c r="Z662" i="1"/>
  <c r="Z663" i="1"/>
  <c r="Z664" i="1"/>
  <c r="Z665" i="1"/>
  <c r="Z666" i="1"/>
  <c r="Z667" i="1"/>
  <c r="AA667" i="1" s="1"/>
  <c r="Z668" i="1"/>
  <c r="AA668" i="1" s="1"/>
  <c r="Z669" i="1"/>
  <c r="AA669" i="1" s="1"/>
  <c r="Z670" i="1"/>
  <c r="AA670" i="1" s="1"/>
  <c r="Z671" i="1"/>
  <c r="AA671" i="1" s="1"/>
  <c r="Z672" i="1"/>
  <c r="AA672" i="1" s="1"/>
  <c r="Z673" i="1"/>
  <c r="AA673" i="1" s="1"/>
  <c r="Z674" i="1"/>
  <c r="AA674" i="1" s="1"/>
  <c r="Z675" i="1"/>
  <c r="AA675" i="1" s="1"/>
  <c r="Z676" i="1"/>
  <c r="AA676" i="1" s="1"/>
  <c r="Z677" i="1"/>
  <c r="AA677" i="1" s="1"/>
  <c r="Z678" i="1"/>
  <c r="AA678" i="1" s="1"/>
  <c r="Z679" i="1"/>
  <c r="AA679" i="1" s="1"/>
  <c r="Z680" i="1"/>
  <c r="AA680" i="1" s="1"/>
  <c r="Z681" i="1"/>
  <c r="AA681" i="1" s="1"/>
  <c r="Z682" i="1"/>
  <c r="AA682" i="1" s="1"/>
  <c r="Z683" i="1"/>
  <c r="AA683" i="1" s="1"/>
  <c r="Z684" i="1"/>
  <c r="AA684" i="1" s="1"/>
  <c r="Z685" i="1"/>
  <c r="AA685" i="1" s="1"/>
  <c r="Z686" i="1"/>
  <c r="AA686" i="1" s="1"/>
  <c r="Z687" i="1"/>
  <c r="AA687" i="1" s="1"/>
  <c r="Z688" i="1"/>
  <c r="AA688" i="1" s="1"/>
  <c r="Z689" i="1"/>
  <c r="AA689" i="1" s="1"/>
  <c r="Z690" i="1"/>
  <c r="AA690" i="1" s="1"/>
  <c r="Z691" i="1"/>
  <c r="AA691" i="1" s="1"/>
  <c r="Z692" i="1"/>
  <c r="AA692" i="1" s="1"/>
  <c r="Z693" i="1"/>
  <c r="AA693" i="1" s="1"/>
  <c r="Z694" i="1"/>
  <c r="AA694" i="1" s="1"/>
  <c r="Z695" i="1"/>
  <c r="AA695" i="1" s="1"/>
  <c r="Z696" i="1"/>
  <c r="Z697" i="1"/>
  <c r="Z698" i="1"/>
  <c r="Z699" i="1"/>
  <c r="Z700" i="1"/>
  <c r="Z701" i="1"/>
  <c r="Z702" i="1"/>
  <c r="Z703" i="1"/>
  <c r="Z704" i="1"/>
  <c r="Z705" i="1"/>
  <c r="Z706" i="1"/>
  <c r="Z707" i="1"/>
  <c r="Z708" i="1"/>
  <c r="Z709" i="1"/>
  <c r="Z710" i="1"/>
  <c r="Z711" i="1"/>
  <c r="Z712" i="1"/>
  <c r="Z713" i="1"/>
  <c r="Z714" i="1"/>
  <c r="Z715" i="1"/>
  <c r="Z716" i="1"/>
  <c r="Z717" i="1"/>
  <c r="Z718" i="1"/>
  <c r="Z719" i="1"/>
  <c r="Z720" i="1"/>
  <c r="Z721" i="1"/>
  <c r="Z722" i="1"/>
  <c r="Z723" i="1"/>
  <c r="Z724" i="1"/>
  <c r="Z725" i="1"/>
  <c r="Z726" i="1"/>
  <c r="Z727" i="1"/>
  <c r="Z728" i="1"/>
  <c r="Z729" i="1"/>
  <c r="Z730" i="1"/>
  <c r="Z731" i="1"/>
  <c r="Z732" i="1"/>
  <c r="Z733" i="1"/>
  <c r="Z734" i="1"/>
  <c r="Z735" i="1"/>
  <c r="Z736" i="1"/>
  <c r="Z737" i="1"/>
  <c r="Z738" i="1"/>
  <c r="Z739" i="1"/>
  <c r="Z740" i="1"/>
  <c r="Z741" i="1"/>
  <c r="Z742" i="1"/>
  <c r="Z743" i="1"/>
  <c r="Z744" i="1"/>
  <c r="Z745" i="1"/>
  <c r="Z746" i="1"/>
  <c r="Z747" i="1"/>
  <c r="Z748" i="1"/>
  <c r="AA748" i="1" s="1"/>
  <c r="Z749" i="1"/>
  <c r="AA749" i="1" s="1"/>
  <c r="Z750" i="1"/>
  <c r="AA750" i="1" s="1"/>
  <c r="Z751" i="1"/>
  <c r="AA751" i="1" s="1"/>
  <c r="Z752" i="1"/>
  <c r="AA752" i="1" s="1"/>
  <c r="Z753" i="1"/>
  <c r="AA753" i="1" s="1"/>
  <c r="Z754" i="1"/>
  <c r="AA754" i="1" s="1"/>
  <c r="Z755" i="1"/>
  <c r="AA755" i="1" s="1"/>
  <c r="Z756" i="1"/>
  <c r="AA756" i="1" s="1"/>
  <c r="Z757" i="1"/>
  <c r="AA757" i="1" s="1"/>
  <c r="Z758" i="1"/>
  <c r="AA758" i="1" s="1"/>
  <c r="Z759" i="1"/>
  <c r="AA759" i="1" s="1"/>
  <c r="Z760" i="1"/>
  <c r="AA760" i="1" s="1"/>
  <c r="Z761" i="1"/>
  <c r="AA761" i="1" s="1"/>
  <c r="Z762" i="1"/>
  <c r="AA762" i="1" s="1"/>
  <c r="Z763" i="1"/>
  <c r="AA763" i="1" s="1"/>
  <c r="Z764" i="1"/>
  <c r="AA764" i="1" s="1"/>
  <c r="Z765" i="1"/>
  <c r="AA765" i="1" s="1"/>
  <c r="Z766" i="1"/>
  <c r="AA766" i="1" s="1"/>
  <c r="Z767" i="1"/>
  <c r="AA767" i="1" s="1"/>
  <c r="Z768" i="1"/>
  <c r="AA768" i="1" s="1"/>
  <c r="Z769" i="1"/>
  <c r="AA769" i="1" s="1"/>
  <c r="Z770" i="1"/>
  <c r="AA770" i="1" s="1"/>
  <c r="Z771" i="1"/>
  <c r="AA771" i="1" s="1"/>
  <c r="Z772" i="1"/>
  <c r="AA772" i="1" s="1"/>
  <c r="Z773" i="1"/>
  <c r="AA773" i="1" s="1"/>
  <c r="Z774" i="1"/>
  <c r="Z775" i="1"/>
  <c r="Z776" i="1"/>
  <c r="Z777" i="1"/>
  <c r="Z778" i="1"/>
  <c r="Z779" i="1"/>
  <c r="Z780" i="1"/>
  <c r="Z781" i="1"/>
  <c r="Z782" i="1"/>
  <c r="Z783" i="1"/>
  <c r="Z784" i="1"/>
  <c r="Z785" i="1"/>
  <c r="Z786" i="1"/>
  <c r="Z787" i="1"/>
  <c r="Z788" i="1"/>
  <c r="Z789" i="1"/>
  <c r="Z790" i="1"/>
  <c r="Z791" i="1"/>
  <c r="Z792" i="1"/>
  <c r="Z793" i="1"/>
  <c r="Z794" i="1"/>
  <c r="Z795" i="1"/>
  <c r="Z796" i="1"/>
  <c r="AA796" i="1" s="1"/>
  <c r="Z797" i="1"/>
  <c r="AA797" i="1" s="1"/>
  <c r="Z798" i="1"/>
  <c r="AA798" i="1" s="1"/>
  <c r="Z799" i="1"/>
  <c r="AA799" i="1" s="1"/>
  <c r="Z800" i="1"/>
  <c r="AA800" i="1" s="1"/>
  <c r="Z801" i="1"/>
  <c r="AA801" i="1" s="1"/>
  <c r="Z802" i="1"/>
  <c r="AA802" i="1" s="1"/>
  <c r="Z803" i="1"/>
  <c r="AA803" i="1" s="1"/>
  <c r="Z804" i="1"/>
  <c r="AA804" i="1" s="1"/>
  <c r="Z805" i="1"/>
  <c r="AA805" i="1" s="1"/>
  <c r="Z806" i="1"/>
  <c r="AA806" i="1" s="1"/>
  <c r="Z807" i="1"/>
  <c r="AA807" i="1" s="1"/>
  <c r="Z808" i="1"/>
  <c r="AA808" i="1" s="1"/>
  <c r="Z809" i="1"/>
  <c r="AA809" i="1" s="1"/>
  <c r="Z810" i="1"/>
  <c r="AA810" i="1" s="1"/>
  <c r="Z811" i="1"/>
  <c r="AA811" i="1" s="1"/>
  <c r="Z812" i="1"/>
  <c r="AA812" i="1" s="1"/>
  <c r="Z813" i="1"/>
  <c r="AA813" i="1" s="1"/>
  <c r="Z814" i="1"/>
  <c r="AA814" i="1" s="1"/>
  <c r="Z815" i="1"/>
  <c r="AA815" i="1" s="1"/>
  <c r="Z816" i="1"/>
  <c r="AA816" i="1" s="1"/>
  <c r="Z817" i="1"/>
  <c r="AA817" i="1" s="1"/>
  <c r="Z818" i="1"/>
  <c r="AA818" i="1" s="1"/>
  <c r="Z819" i="1"/>
  <c r="AA819" i="1" s="1"/>
  <c r="Z820" i="1"/>
  <c r="AA820" i="1" s="1"/>
  <c r="Z821" i="1"/>
  <c r="AA821" i="1" s="1"/>
  <c r="Z822" i="1"/>
  <c r="AA822" i="1" s="1"/>
  <c r="Z823" i="1"/>
  <c r="AA823" i="1" s="1"/>
  <c r="Z824" i="1"/>
  <c r="AA824" i="1" s="1"/>
  <c r="Z825" i="1"/>
  <c r="AA825" i="1" s="1"/>
  <c r="Z826" i="1"/>
  <c r="AA826" i="1" s="1"/>
  <c r="Z827" i="1"/>
  <c r="AA827" i="1" s="1"/>
  <c r="Z828" i="1"/>
  <c r="Z829" i="1"/>
  <c r="Z830" i="1"/>
  <c r="Z831" i="1"/>
  <c r="Z832" i="1"/>
  <c r="Z833" i="1"/>
  <c r="Z834" i="1"/>
  <c r="Z835" i="1"/>
  <c r="Z836" i="1"/>
  <c r="Z837" i="1"/>
  <c r="Z838" i="1"/>
  <c r="Z839" i="1"/>
  <c r="Z840" i="1"/>
  <c r="Z841" i="1"/>
  <c r="Z842" i="1"/>
  <c r="Z843" i="1"/>
  <c r="Z844" i="1"/>
  <c r="Z845" i="1"/>
  <c r="Z846" i="1"/>
  <c r="Z847" i="1"/>
  <c r="Z848" i="1"/>
  <c r="Z849" i="1"/>
  <c r="Z850" i="1"/>
  <c r="AA850" i="1" s="1"/>
  <c r="Z851" i="1"/>
  <c r="AA851" i="1" s="1"/>
  <c r="Z852" i="1"/>
  <c r="AA852" i="1" s="1"/>
  <c r="Z853" i="1"/>
  <c r="AA853" i="1" s="1"/>
  <c r="Z854" i="1"/>
  <c r="AA854" i="1" s="1"/>
  <c r="Z855" i="1"/>
  <c r="AA855" i="1" s="1"/>
  <c r="Z856" i="1"/>
  <c r="AA856" i="1" s="1"/>
  <c r="Z857" i="1"/>
  <c r="AA857" i="1" s="1"/>
  <c r="Z858" i="1"/>
  <c r="AA858" i="1" s="1"/>
  <c r="Z859" i="1"/>
  <c r="AA859" i="1" s="1"/>
  <c r="Z860" i="1"/>
  <c r="AA860" i="1" s="1"/>
  <c r="Z861" i="1"/>
  <c r="AA861" i="1" s="1"/>
  <c r="Z862" i="1"/>
  <c r="AA862" i="1" s="1"/>
  <c r="Z863" i="1"/>
  <c r="AA863" i="1" s="1"/>
  <c r="Z864" i="1"/>
  <c r="AA864" i="1" s="1"/>
  <c r="Z865" i="1"/>
  <c r="AA865" i="1" s="1"/>
  <c r="Z866" i="1"/>
  <c r="AA866" i="1" s="1"/>
  <c r="Z867" i="1"/>
  <c r="AA867" i="1" s="1"/>
  <c r="Z868" i="1"/>
  <c r="AA868" i="1" s="1"/>
  <c r="Z869" i="1"/>
  <c r="AA869" i="1" s="1"/>
  <c r="Z870" i="1"/>
  <c r="AA870" i="1" s="1"/>
  <c r="Z871" i="1"/>
  <c r="AA871" i="1" s="1"/>
  <c r="Z872" i="1"/>
  <c r="AA872" i="1" s="1"/>
  <c r="Z873" i="1"/>
  <c r="AA873" i="1" s="1"/>
  <c r="Z874" i="1"/>
  <c r="AA874" i="1" s="1"/>
  <c r="Z875" i="1"/>
  <c r="AA875" i="1" s="1"/>
  <c r="Z876" i="1"/>
  <c r="AA876" i="1" s="1"/>
  <c r="Z877" i="1"/>
  <c r="AA877" i="1" s="1"/>
  <c r="Z878" i="1"/>
  <c r="AA878" i="1" s="1"/>
  <c r="Z879" i="1"/>
  <c r="AA879" i="1" s="1"/>
  <c r="Z880" i="1"/>
  <c r="Z881" i="1"/>
  <c r="Z882" i="1"/>
  <c r="Z883" i="1"/>
  <c r="Z884" i="1"/>
  <c r="Z885" i="1"/>
  <c r="Z886" i="1"/>
  <c r="Z887" i="1"/>
  <c r="Z888" i="1"/>
  <c r="Z889" i="1"/>
  <c r="Z890" i="1"/>
  <c r="Z891" i="1"/>
  <c r="Z892" i="1"/>
  <c r="Z893" i="1"/>
  <c r="Z894" i="1"/>
  <c r="Z895" i="1"/>
  <c r="Z896" i="1"/>
  <c r="Z897" i="1"/>
  <c r="Z898" i="1"/>
  <c r="Z899" i="1"/>
  <c r="Z900" i="1"/>
  <c r="Z901" i="1"/>
  <c r="Z902" i="1"/>
  <c r="AA902" i="1" s="1"/>
  <c r="Z903" i="1"/>
  <c r="AA903" i="1" s="1"/>
  <c r="Z904" i="1"/>
  <c r="AA904" i="1" s="1"/>
  <c r="Z905" i="1"/>
  <c r="AA905" i="1" s="1"/>
  <c r="Z906" i="1"/>
  <c r="AA906" i="1" s="1"/>
  <c r="Z907" i="1"/>
  <c r="AA907" i="1" s="1"/>
  <c r="Z908" i="1"/>
  <c r="AA908" i="1" s="1"/>
  <c r="Z909" i="1"/>
  <c r="AA909" i="1" s="1"/>
  <c r="Z910" i="1"/>
  <c r="Z911" i="1"/>
  <c r="Z912" i="1"/>
  <c r="Z913" i="1"/>
  <c r="Z914" i="1"/>
  <c r="Z915" i="1"/>
  <c r="Z916" i="1"/>
  <c r="Z917" i="1"/>
  <c r="Z918" i="1"/>
  <c r="AA918" i="1" s="1"/>
  <c r="Z919" i="1"/>
  <c r="AA919" i="1" s="1"/>
  <c r="Z920" i="1"/>
  <c r="AA920" i="1" s="1"/>
  <c r="Z921" i="1"/>
  <c r="AA921" i="1" s="1"/>
  <c r="Z922" i="1"/>
  <c r="AA922" i="1" s="1"/>
  <c r="Z923" i="1"/>
  <c r="AA923" i="1" s="1"/>
  <c r="Z924" i="1"/>
  <c r="AA924" i="1" s="1"/>
  <c r="Z925" i="1"/>
  <c r="AA925" i="1" s="1"/>
  <c r="Z926" i="1"/>
  <c r="AA926" i="1" s="1"/>
  <c r="Z927" i="1"/>
  <c r="Z928" i="1"/>
  <c r="AA928" i="1" s="1"/>
  <c r="Z929" i="1"/>
  <c r="AA929" i="1" s="1"/>
  <c r="Z930" i="1"/>
  <c r="AA930" i="1" s="1"/>
  <c r="Z931" i="1"/>
  <c r="AA931" i="1" s="1"/>
  <c r="Z932" i="1"/>
  <c r="AA932" i="1" s="1"/>
  <c r="Z933" i="1"/>
  <c r="AA933" i="1" s="1"/>
  <c r="Z934" i="1"/>
  <c r="AA934" i="1" s="1"/>
  <c r="Z935" i="1"/>
  <c r="AA935" i="1" s="1"/>
  <c r="Z936" i="1"/>
  <c r="AA936" i="1" s="1"/>
  <c r="Z937" i="1"/>
  <c r="AA937" i="1" s="1"/>
  <c r="Z938" i="1"/>
  <c r="AA938" i="1" s="1"/>
  <c r="Z939" i="1"/>
  <c r="AA939" i="1" s="1"/>
  <c r="Z940" i="1"/>
  <c r="AA940" i="1" s="1"/>
  <c r="Z941" i="1"/>
  <c r="AA941" i="1" s="1"/>
  <c r="Z942" i="1"/>
  <c r="AA942" i="1" s="1"/>
  <c r="Z943" i="1"/>
  <c r="AA943" i="1" s="1"/>
  <c r="Z944" i="1"/>
  <c r="AA944" i="1" s="1"/>
  <c r="Z945" i="1"/>
  <c r="AA945" i="1" s="1"/>
  <c r="Z946" i="1"/>
  <c r="AA946" i="1" s="1"/>
  <c r="Z947" i="1"/>
  <c r="AA947" i="1" s="1"/>
  <c r="Z948" i="1"/>
  <c r="AA948" i="1" s="1"/>
  <c r="Z949" i="1"/>
  <c r="AA949" i="1" s="1"/>
  <c r="Z950" i="1"/>
  <c r="AA950" i="1" s="1"/>
  <c r="Z951" i="1"/>
  <c r="AA951" i="1" s="1"/>
  <c r="Z952" i="1"/>
  <c r="AA952" i="1" s="1"/>
  <c r="Z953" i="1"/>
  <c r="Z954" i="1"/>
  <c r="Z955" i="1"/>
  <c r="Z956" i="1"/>
  <c r="Z957" i="1"/>
  <c r="Z958" i="1"/>
  <c r="Z959" i="1"/>
  <c r="Z960" i="1"/>
  <c r="Z961" i="1"/>
  <c r="Z962" i="1"/>
  <c r="Z963" i="1"/>
  <c r="Z964" i="1"/>
  <c r="Z965" i="1"/>
  <c r="Z966" i="1"/>
  <c r="Z967" i="1"/>
  <c r="Z968" i="1"/>
  <c r="Z969" i="1"/>
  <c r="Z970" i="1"/>
  <c r="Z971" i="1"/>
  <c r="Z972" i="1"/>
  <c r="Z973" i="1"/>
  <c r="Z974" i="1"/>
  <c r="Z975" i="1"/>
  <c r="Z976" i="1"/>
  <c r="Z977" i="1"/>
  <c r="Z978" i="1"/>
  <c r="Z979" i="1"/>
  <c r="Z980" i="1"/>
  <c r="Z981" i="1"/>
  <c r="Z982" i="1"/>
  <c r="Z983" i="1"/>
  <c r="AA983" i="1" s="1"/>
  <c r="Z984" i="1"/>
  <c r="AA984" i="1" s="1"/>
  <c r="Z985" i="1"/>
  <c r="AA985" i="1" s="1"/>
  <c r="Z986" i="1"/>
  <c r="AA986" i="1" s="1"/>
  <c r="Z987" i="1"/>
  <c r="AA987" i="1" s="1"/>
  <c r="Z988" i="1"/>
  <c r="AA988" i="1" s="1"/>
  <c r="Z989" i="1"/>
  <c r="AA989" i="1" s="1"/>
  <c r="Z990" i="1"/>
  <c r="AA990" i="1" s="1"/>
  <c r="Z991" i="1"/>
  <c r="AA991" i="1" s="1"/>
  <c r="Z992" i="1"/>
  <c r="AA992" i="1" s="1"/>
  <c r="Z993" i="1"/>
  <c r="AA993" i="1" s="1"/>
  <c r="Z994" i="1"/>
  <c r="AA994" i="1" s="1"/>
  <c r="Z995" i="1"/>
  <c r="AA995" i="1" s="1"/>
  <c r="Z996" i="1"/>
  <c r="AA996" i="1" s="1"/>
  <c r="Z997" i="1"/>
  <c r="AA997" i="1" s="1"/>
  <c r="Z998" i="1"/>
  <c r="AA998" i="1" s="1"/>
  <c r="Z999" i="1"/>
  <c r="AA999" i="1" s="1"/>
  <c r="Z1000" i="1"/>
  <c r="AA1000" i="1" s="1"/>
  <c r="Z1001" i="1"/>
  <c r="AA1001" i="1" s="1"/>
  <c r="Z1002" i="1"/>
  <c r="AA1002" i="1" s="1"/>
  <c r="Z1003" i="1"/>
  <c r="AA1003" i="1" s="1"/>
  <c r="Z1004" i="1"/>
  <c r="AA1004" i="1" s="1"/>
  <c r="Z1005" i="1"/>
  <c r="AA1005" i="1" s="1"/>
  <c r="Z1006" i="1"/>
  <c r="AA1006" i="1" s="1"/>
  <c r="Z1007" i="1"/>
  <c r="AA1007" i="1" s="1"/>
  <c r="Z1008" i="1"/>
  <c r="AA1008" i="1" s="1"/>
  <c r="Z1009" i="1"/>
  <c r="AA1009" i="1" s="1"/>
  <c r="Z1010" i="1"/>
  <c r="AA1010" i="1" s="1"/>
  <c r="Z1011" i="1"/>
  <c r="AA1011" i="1" s="1"/>
  <c r="Z1012" i="1"/>
  <c r="AA1012" i="1" s="1"/>
  <c r="Z1013" i="1"/>
  <c r="Z1014" i="1"/>
  <c r="Z1015" i="1"/>
  <c r="Z1016" i="1"/>
  <c r="Z1017" i="1"/>
  <c r="Z1018" i="1"/>
  <c r="Z1019" i="1"/>
  <c r="Z1020" i="1"/>
  <c r="Z1021" i="1"/>
  <c r="Z1022" i="1"/>
  <c r="Z1023" i="1"/>
  <c r="Z1024" i="1"/>
  <c r="Z1025" i="1"/>
  <c r="Z1026" i="1"/>
  <c r="Z1027" i="1"/>
  <c r="Z1028" i="1"/>
  <c r="Z1029" i="1"/>
  <c r="Z1030" i="1"/>
  <c r="Z1031" i="1"/>
  <c r="Z1032" i="1"/>
  <c r="Z1033" i="1"/>
  <c r="Z1034" i="1"/>
  <c r="Z1035" i="1"/>
  <c r="Z1036" i="1"/>
  <c r="Z1037" i="1"/>
  <c r="Z1038" i="1"/>
  <c r="Z1039" i="1"/>
  <c r="Z1040" i="1"/>
  <c r="Z1041" i="1"/>
  <c r="Z1042" i="1"/>
  <c r="Z1043" i="1"/>
  <c r="Z1044" i="1"/>
  <c r="Z1045" i="1"/>
  <c r="Z1046" i="1"/>
  <c r="Z1047" i="1"/>
  <c r="Z1048" i="1"/>
  <c r="Z1049" i="1"/>
  <c r="Z1050" i="1"/>
  <c r="Z1051" i="1"/>
  <c r="Z1052" i="1"/>
  <c r="Z1053" i="1"/>
  <c r="Z1054" i="1"/>
  <c r="Z1055" i="1"/>
  <c r="Z1056" i="1"/>
  <c r="AA1056" i="1" s="1"/>
  <c r="Z1057" i="1"/>
  <c r="AA1057" i="1" s="1"/>
  <c r="Z1058" i="1"/>
  <c r="AA1058" i="1" s="1"/>
  <c r="Z1059" i="1"/>
  <c r="AA1059" i="1" s="1"/>
  <c r="Z1060" i="1"/>
  <c r="AA1060" i="1" s="1"/>
  <c r="Z1061" i="1"/>
  <c r="AA1061" i="1" s="1"/>
  <c r="Z1062" i="1"/>
  <c r="AA1062" i="1" s="1"/>
  <c r="Z1063" i="1"/>
  <c r="AA1063" i="1" s="1"/>
  <c r="Z1064" i="1"/>
  <c r="AA1064" i="1" s="1"/>
  <c r="Z1065" i="1"/>
  <c r="AA1065" i="1" s="1"/>
  <c r="Z1066" i="1"/>
  <c r="AA1066" i="1" s="1"/>
  <c r="Z1067" i="1"/>
  <c r="AA1067" i="1" s="1"/>
  <c r="Z1068" i="1"/>
  <c r="AA1068" i="1" s="1"/>
  <c r="Z1069" i="1"/>
  <c r="AA1069" i="1" s="1"/>
  <c r="Z1070" i="1"/>
  <c r="AA1070" i="1" s="1"/>
  <c r="Z1071" i="1"/>
  <c r="Z1072" i="1"/>
  <c r="Z1073" i="1"/>
  <c r="Z1074" i="1"/>
  <c r="Z1075" i="1"/>
  <c r="Z1076" i="1"/>
  <c r="Z1077" i="1"/>
  <c r="Z1078" i="1"/>
  <c r="Z1079" i="1"/>
  <c r="Z1080" i="1"/>
  <c r="Z1081" i="1"/>
  <c r="Z1082" i="1"/>
  <c r="Z1083" i="1"/>
  <c r="Z1084" i="1"/>
  <c r="Z1085" i="1"/>
  <c r="Z1086" i="1"/>
  <c r="Z1087" i="1"/>
  <c r="Z1088" i="1"/>
  <c r="Z1089" i="1"/>
  <c r="Z1090" i="1"/>
  <c r="Z1091" i="1"/>
  <c r="Z1092" i="1"/>
  <c r="Z1093" i="1"/>
  <c r="Z1094" i="1"/>
  <c r="Z1095" i="1"/>
  <c r="Z1096" i="1"/>
  <c r="Z1097" i="1"/>
  <c r="Z1098" i="1"/>
  <c r="Z1099" i="1"/>
  <c r="Z1100" i="1"/>
  <c r="Z1101" i="1"/>
  <c r="Z1102" i="1"/>
  <c r="Z1103" i="1"/>
  <c r="Z1104" i="1"/>
  <c r="Z1105" i="1"/>
  <c r="Z1106" i="1"/>
  <c r="Z1107" i="1"/>
  <c r="Z1108" i="1"/>
  <c r="Z1109" i="1"/>
  <c r="Z1110" i="1"/>
  <c r="Z1111" i="1"/>
  <c r="Z1112" i="1"/>
  <c r="Z1113" i="1"/>
  <c r="Z1114" i="1"/>
  <c r="Z1115" i="1"/>
  <c r="AA1115" i="1" s="1"/>
  <c r="Z1116" i="1"/>
  <c r="AA1116" i="1" s="1"/>
  <c r="Z1117" i="1"/>
  <c r="AA1117" i="1" s="1"/>
  <c r="Z1118" i="1"/>
  <c r="AA1118" i="1" s="1"/>
  <c r="Z1119" i="1"/>
  <c r="AA1119" i="1" s="1"/>
  <c r="Z1120" i="1"/>
  <c r="AA1120" i="1" s="1"/>
  <c r="Z1121" i="1"/>
  <c r="AA1121" i="1" s="1"/>
  <c r="Z1122" i="1"/>
  <c r="AA1122" i="1" s="1"/>
  <c r="Z1123" i="1"/>
  <c r="AA1123" i="1" s="1"/>
  <c r="Z1124" i="1"/>
  <c r="AA1124" i="1" s="1"/>
  <c r="Z1125" i="1"/>
  <c r="AA1125" i="1" s="1"/>
  <c r="Z1126" i="1"/>
  <c r="AA1126" i="1" s="1"/>
  <c r="Z1127" i="1"/>
  <c r="AA1127" i="1" s="1"/>
  <c r="Z1128" i="1"/>
  <c r="AA1128" i="1" s="1"/>
  <c r="Z1129" i="1"/>
  <c r="AA1129" i="1" s="1"/>
  <c r="Z1130" i="1"/>
  <c r="AA1130" i="1" s="1"/>
  <c r="Z1131" i="1"/>
  <c r="AA1131" i="1" s="1"/>
  <c r="Z1132" i="1"/>
  <c r="AA1132" i="1" s="1"/>
  <c r="Z1133" i="1"/>
  <c r="AA1133" i="1" s="1"/>
  <c r="Z1134" i="1"/>
  <c r="AA1134" i="1" s="1"/>
  <c r="Z1135" i="1"/>
  <c r="AA1135" i="1" s="1"/>
  <c r="Z1136" i="1"/>
  <c r="AA1136" i="1" s="1"/>
  <c r="Z1137" i="1"/>
  <c r="AA1137" i="1" s="1"/>
  <c r="Z1138" i="1"/>
  <c r="AA1138" i="1" s="1"/>
  <c r="Z1139" i="1"/>
  <c r="AA1139" i="1" s="1"/>
  <c r="Z1140" i="1"/>
  <c r="AA1140" i="1" s="1"/>
  <c r="Z1141" i="1"/>
  <c r="AA1141" i="1" s="1"/>
  <c r="Z1142" i="1"/>
  <c r="AA1142" i="1" s="1"/>
  <c r="Z1143" i="1"/>
  <c r="AA1143" i="1" s="1"/>
  <c r="Z1144" i="1"/>
  <c r="Z1145" i="1"/>
  <c r="Z1146" i="1"/>
  <c r="Z1147" i="1"/>
  <c r="Z1148" i="1"/>
  <c r="Z1149" i="1"/>
  <c r="Z1150" i="1"/>
  <c r="Z1151" i="1"/>
  <c r="Z1152" i="1"/>
  <c r="Z1153" i="1"/>
  <c r="Z1154" i="1"/>
  <c r="Z1155" i="1"/>
  <c r="Z1156" i="1"/>
  <c r="Z1157" i="1"/>
  <c r="Z1158" i="1"/>
  <c r="Z1159" i="1"/>
  <c r="Z1160" i="1"/>
  <c r="Z1161" i="1"/>
  <c r="Z1162" i="1"/>
  <c r="Z1163" i="1"/>
  <c r="Z1164" i="1"/>
  <c r="Z1165" i="1"/>
  <c r="Z1166" i="1"/>
  <c r="Z1167" i="1"/>
  <c r="AA1167" i="1" s="1"/>
  <c r="Z1168" i="1"/>
  <c r="AA1168" i="1" s="1"/>
  <c r="Z1169" i="1"/>
  <c r="AA1169" i="1" s="1"/>
  <c r="Z1170" i="1"/>
  <c r="AA1170" i="1" s="1"/>
  <c r="Z1171" i="1"/>
  <c r="AA1171" i="1" s="1"/>
  <c r="Z1172" i="1"/>
  <c r="AA1172" i="1" s="1"/>
  <c r="Z1173" i="1"/>
  <c r="AA1173" i="1" s="1"/>
  <c r="Z1174" i="1"/>
  <c r="AA1174" i="1" s="1"/>
  <c r="Z1175" i="1"/>
  <c r="AA1175" i="1" s="1"/>
  <c r="Z1176" i="1"/>
  <c r="AA1176" i="1" s="1"/>
  <c r="Z1177" i="1"/>
  <c r="AA1177" i="1" s="1"/>
  <c r="Z1178" i="1"/>
  <c r="AA1178" i="1" s="1"/>
  <c r="Z1179" i="1"/>
  <c r="AA1179" i="1" s="1"/>
  <c r="Z1180" i="1"/>
  <c r="AA1180" i="1" s="1"/>
  <c r="Z1181" i="1"/>
  <c r="AA1181" i="1" s="1"/>
  <c r="Z1182" i="1"/>
  <c r="AA1182" i="1" s="1"/>
  <c r="Z1183" i="1"/>
  <c r="AA1183" i="1" s="1"/>
  <c r="Z1184" i="1"/>
  <c r="AA1184" i="1" s="1"/>
  <c r="Z1185" i="1"/>
  <c r="AA1185" i="1" s="1"/>
  <c r="Z1186" i="1"/>
  <c r="AA1186" i="1" s="1"/>
  <c r="Z1187" i="1"/>
  <c r="AA1187" i="1" s="1"/>
  <c r="Z1188" i="1"/>
  <c r="AA1188" i="1" s="1"/>
  <c r="Z1189" i="1"/>
  <c r="AA1189" i="1" s="1"/>
  <c r="Z1190" i="1"/>
  <c r="AA1190" i="1" s="1"/>
  <c r="Z1191" i="1"/>
  <c r="AA1191" i="1" s="1"/>
  <c r="Z1192" i="1"/>
  <c r="AA1192" i="1" s="1"/>
  <c r="Z1193" i="1"/>
  <c r="AA1193" i="1" s="1"/>
  <c r="Z1194" i="1"/>
  <c r="AA1194" i="1" s="1"/>
  <c r="Z1195" i="1"/>
  <c r="AA1195" i="1" s="1"/>
  <c r="Z1196" i="1"/>
  <c r="AA1196" i="1" s="1"/>
  <c r="Z1197" i="1"/>
  <c r="AA1197" i="1" s="1"/>
  <c r="Z1198" i="1"/>
  <c r="AA1198" i="1" s="1"/>
  <c r="Z1199" i="1"/>
  <c r="AA1199" i="1" s="1"/>
  <c r="Z1200" i="1"/>
  <c r="AA1200" i="1" s="1"/>
  <c r="Z1201" i="1"/>
  <c r="AA1201" i="1" s="1"/>
  <c r="Z1202" i="1"/>
  <c r="AA1202" i="1" s="1"/>
  <c r="Z1203" i="1"/>
  <c r="Z1204" i="1"/>
  <c r="Z1205" i="1"/>
  <c r="Z1206" i="1"/>
  <c r="Z1207" i="1"/>
  <c r="Z1208" i="1"/>
  <c r="Z1209" i="1"/>
  <c r="Z1210" i="1"/>
  <c r="Z1211" i="1"/>
  <c r="Z1212" i="1"/>
  <c r="Z1213" i="1"/>
  <c r="Z1214" i="1"/>
  <c r="Z1215" i="1"/>
  <c r="Z1216" i="1"/>
  <c r="Z1217" i="1"/>
  <c r="Z1218" i="1"/>
  <c r="Z1219" i="1"/>
  <c r="Z1220" i="1"/>
  <c r="Z1221" i="1"/>
  <c r="Z1222" i="1"/>
  <c r="Z1223" i="1"/>
  <c r="Z1224" i="1"/>
  <c r="Z1225" i="1"/>
  <c r="Z1226" i="1"/>
  <c r="Z1227" i="1"/>
  <c r="AA1227" i="1" s="1"/>
  <c r="Z1228" i="1"/>
  <c r="AA1228" i="1" s="1"/>
  <c r="Z1229" i="1"/>
  <c r="AA1229" i="1" s="1"/>
  <c r="Z1230" i="1"/>
  <c r="AA1230" i="1" s="1"/>
  <c r="Z1231" i="1"/>
  <c r="AA1231" i="1" s="1"/>
  <c r="Z1232" i="1"/>
  <c r="AA1232" i="1" s="1"/>
  <c r="Z1233" i="1"/>
  <c r="AA1233" i="1" s="1"/>
  <c r="Z1234" i="1"/>
  <c r="AA1234" i="1" s="1"/>
  <c r="Z1235" i="1"/>
  <c r="Z1236" i="1"/>
  <c r="Z1237" i="1"/>
  <c r="Z1238" i="1"/>
  <c r="Z1239" i="1"/>
  <c r="Z1240" i="1"/>
  <c r="Z1241" i="1"/>
  <c r="AA1241" i="1" s="1"/>
  <c r="Z1242" i="1"/>
  <c r="AA1242" i="1" s="1"/>
  <c r="Z1243" i="1"/>
  <c r="AA1243" i="1" s="1"/>
  <c r="Z1244" i="1"/>
  <c r="AA1244" i="1" s="1"/>
  <c r="Z1245" i="1"/>
  <c r="AA1245" i="1" s="1"/>
  <c r="Z1246" i="1"/>
  <c r="AA1246" i="1" s="1"/>
  <c r="Z1247" i="1"/>
  <c r="AA1247" i="1" s="1"/>
  <c r="Z1248" i="1"/>
  <c r="AA1248" i="1" s="1"/>
  <c r="Z1249" i="1"/>
  <c r="AA1249" i="1" s="1"/>
  <c r="Z1250" i="1"/>
  <c r="AA1250" i="1" s="1"/>
  <c r="Z1251" i="1"/>
  <c r="AA1251" i="1" s="1"/>
  <c r="Z1252" i="1"/>
  <c r="AA1252" i="1" s="1"/>
  <c r="Z1253" i="1"/>
  <c r="AA1253" i="1" s="1"/>
  <c r="Z1254" i="1"/>
  <c r="AA1254" i="1" s="1"/>
  <c r="Z1255" i="1"/>
  <c r="AA1255" i="1" s="1"/>
  <c r="Z1256" i="1"/>
  <c r="AA1256" i="1" s="1"/>
  <c r="Z1257" i="1"/>
  <c r="AA1257" i="1" s="1"/>
  <c r="Z1258" i="1"/>
  <c r="AA1258" i="1" s="1"/>
  <c r="Z1259" i="1"/>
  <c r="AA1259" i="1" s="1"/>
  <c r="Z1260" i="1"/>
  <c r="AA1260" i="1" s="1"/>
  <c r="Z1261" i="1"/>
  <c r="AA1261" i="1" s="1"/>
  <c r="Z1262" i="1"/>
  <c r="AA1262" i="1" s="1"/>
  <c r="Z1263" i="1"/>
  <c r="Z1264" i="1"/>
  <c r="Z1265" i="1"/>
  <c r="Z1266" i="1"/>
  <c r="Z1267" i="1"/>
  <c r="Z1268" i="1"/>
  <c r="Z1269" i="1"/>
  <c r="Z1270" i="1"/>
  <c r="Z1271" i="1"/>
  <c r="Z1272" i="1"/>
  <c r="Z1273" i="1"/>
  <c r="Z1274" i="1"/>
  <c r="Z1275" i="1"/>
  <c r="Z1276" i="1"/>
  <c r="Z1277" i="1"/>
  <c r="Z1278" i="1"/>
  <c r="Z1279" i="1"/>
  <c r="Z1280" i="1"/>
  <c r="Z1281" i="1"/>
  <c r="Z1282" i="1"/>
  <c r="Z1283" i="1"/>
  <c r="Z1284" i="1"/>
  <c r="AA1284" i="1" s="1"/>
  <c r="Z1285" i="1"/>
  <c r="AA1285" i="1" s="1"/>
  <c r="Z1286" i="1"/>
  <c r="AA1286" i="1" s="1"/>
  <c r="Z1287" i="1"/>
  <c r="AA1287" i="1" s="1"/>
  <c r="Z1288" i="1"/>
  <c r="AA1288" i="1" s="1"/>
  <c r="Z1289" i="1"/>
  <c r="AA1289" i="1" s="1"/>
  <c r="Z1290" i="1"/>
  <c r="AA1290" i="1" s="1"/>
  <c r="Z1291" i="1"/>
  <c r="AA1291" i="1" s="1"/>
  <c r="Z1292" i="1"/>
  <c r="AA1292" i="1" s="1"/>
  <c r="Z1293" i="1"/>
  <c r="AA1293" i="1" s="1"/>
  <c r="Z1294" i="1"/>
  <c r="AA1294" i="1" s="1"/>
  <c r="Z1295" i="1"/>
  <c r="AA1295" i="1" s="1"/>
  <c r="Z1296" i="1"/>
  <c r="AA1296" i="1" s="1"/>
  <c r="Z1297" i="1"/>
  <c r="AA1297" i="1" s="1"/>
  <c r="Z1298" i="1"/>
  <c r="AA1298" i="1" s="1"/>
  <c r="Z1299" i="1"/>
  <c r="AA1299" i="1" s="1"/>
  <c r="Z1300" i="1"/>
  <c r="AA1300" i="1" s="1"/>
  <c r="Z1301" i="1"/>
  <c r="AA1301" i="1" s="1"/>
  <c r="Z1302" i="1"/>
  <c r="AA1302" i="1" s="1"/>
  <c r="Z1303" i="1"/>
  <c r="AA1303" i="1" s="1"/>
  <c r="Z1304" i="1"/>
  <c r="AA1304" i="1" s="1"/>
  <c r="Z1305" i="1"/>
  <c r="AA1305" i="1" s="1"/>
  <c r="Z1306" i="1"/>
  <c r="AA1306" i="1" s="1"/>
  <c r="Z1307" i="1"/>
  <c r="AA1307" i="1" s="1"/>
  <c r="Z1308" i="1"/>
  <c r="AA1308" i="1" s="1"/>
  <c r="Z1309" i="1"/>
  <c r="AA1309" i="1" s="1"/>
  <c r="Z1310" i="1"/>
  <c r="AA1310" i="1" s="1"/>
  <c r="Z1311" i="1"/>
  <c r="AA1311" i="1" s="1"/>
  <c r="Z1312" i="1"/>
  <c r="AA1312" i="1" s="1"/>
  <c r="Z1313" i="1"/>
  <c r="AA1313" i="1" s="1"/>
  <c r="Z1314" i="1"/>
  <c r="AA1314" i="1" s="1"/>
  <c r="Z1315" i="1"/>
  <c r="AA1315" i="1" s="1"/>
  <c r="Z1316" i="1"/>
  <c r="AA1316" i="1" s="1"/>
  <c r="Z1317" i="1"/>
  <c r="AA1317" i="1" s="1"/>
  <c r="Z1318" i="1"/>
  <c r="AA1318" i="1" s="1"/>
  <c r="Z1319" i="1"/>
  <c r="AA1319" i="1" s="1"/>
  <c r="Z1320" i="1"/>
  <c r="AA1320" i="1" s="1"/>
  <c r="Z1321" i="1"/>
  <c r="Z1322" i="1"/>
  <c r="Z1323" i="1"/>
  <c r="Z1324" i="1"/>
  <c r="Z1325" i="1"/>
  <c r="Z1326" i="1"/>
  <c r="Z1327" i="1"/>
  <c r="Z1328" i="1"/>
  <c r="Z1329" i="1"/>
  <c r="Z1330" i="1"/>
  <c r="Z1331" i="1"/>
  <c r="Z1332" i="1"/>
  <c r="Z1333" i="1"/>
  <c r="Z1334" i="1"/>
  <c r="Z1335" i="1"/>
  <c r="Z1336" i="1"/>
  <c r="Z1337" i="1"/>
  <c r="Z1338" i="1"/>
  <c r="Z1339" i="1"/>
  <c r="Z1340" i="1"/>
  <c r="Z1341" i="1"/>
  <c r="Z1342" i="1"/>
  <c r="Z1343" i="1"/>
  <c r="Z1344" i="1"/>
  <c r="Z1345" i="1"/>
  <c r="Z1346" i="1"/>
  <c r="Z1347" i="1"/>
  <c r="Z1348" i="1"/>
  <c r="Z1349" i="1"/>
  <c r="Z1350" i="1"/>
  <c r="Z1351" i="1"/>
  <c r="Z1352" i="1"/>
  <c r="Z1353" i="1"/>
  <c r="AA1353" i="1" s="1"/>
  <c r="Z1354" i="1"/>
  <c r="AA1354" i="1" s="1"/>
  <c r="Z1355" i="1"/>
  <c r="AA1355" i="1" s="1"/>
  <c r="Z1356" i="1"/>
  <c r="AA1356" i="1" s="1"/>
  <c r="Z1357" i="1"/>
  <c r="AA1357" i="1" s="1"/>
  <c r="Z1358" i="1"/>
  <c r="AA1358" i="1" s="1"/>
  <c r="Z1359" i="1"/>
  <c r="AA1359" i="1" s="1"/>
  <c r="Z1360" i="1"/>
  <c r="AA1360" i="1" s="1"/>
  <c r="Z1361" i="1"/>
  <c r="Z1362" i="1"/>
  <c r="Z1363" i="1"/>
  <c r="Z1364" i="1"/>
  <c r="Z1365" i="1"/>
  <c r="Z1366" i="1"/>
  <c r="Z1367" i="1"/>
  <c r="Z1368" i="1"/>
  <c r="Z1369" i="1"/>
  <c r="Z1370" i="1"/>
  <c r="Z1371" i="1"/>
  <c r="Z1372" i="1"/>
  <c r="Z1373" i="1"/>
  <c r="Z1374" i="1"/>
  <c r="Z1375" i="1"/>
  <c r="AA1375" i="1" s="1"/>
  <c r="Z1376" i="1"/>
  <c r="AA1376" i="1" s="1"/>
  <c r="Z1377" i="1"/>
  <c r="AA1377" i="1" s="1"/>
  <c r="Z1378" i="1"/>
  <c r="AA1378" i="1" s="1"/>
  <c r="Z1379" i="1"/>
  <c r="AA1379" i="1" s="1"/>
  <c r="Z1380" i="1"/>
  <c r="AA1380" i="1" s="1"/>
  <c r="Z1381" i="1"/>
  <c r="AA1381" i="1" s="1"/>
  <c r="Z1382" i="1"/>
  <c r="AA1382" i="1" s="1"/>
  <c r="Z1383" i="1"/>
  <c r="AA1383" i="1" s="1"/>
  <c r="Z1384" i="1"/>
  <c r="AA1384" i="1" s="1"/>
  <c r="Z1385" i="1"/>
  <c r="AA1385" i="1" s="1"/>
  <c r="Z1386" i="1"/>
  <c r="AA1386" i="1" s="1"/>
  <c r="Z1387" i="1"/>
  <c r="AA1387" i="1" s="1"/>
  <c r="Z1388" i="1"/>
  <c r="AA1388" i="1" s="1"/>
  <c r="Z1389" i="1"/>
  <c r="AA1389" i="1" s="1"/>
  <c r="Z1390" i="1"/>
  <c r="AA1390" i="1" s="1"/>
  <c r="Z1391" i="1"/>
  <c r="AA1391" i="1" s="1"/>
  <c r="Z1392" i="1"/>
  <c r="AA1392" i="1" s="1"/>
  <c r="Z1393" i="1"/>
  <c r="AA1393" i="1" s="1"/>
  <c r="Z1394" i="1"/>
  <c r="AA1394" i="1" s="1"/>
  <c r="Z1395" i="1"/>
  <c r="AA1395" i="1" s="1"/>
  <c r="Z1396" i="1"/>
  <c r="AA1396" i="1" s="1"/>
  <c r="Z1397" i="1"/>
  <c r="AA1397" i="1" s="1"/>
  <c r="Z1398" i="1"/>
  <c r="Z1399" i="1"/>
  <c r="Z1400" i="1"/>
  <c r="Z1401" i="1"/>
  <c r="Z1402" i="1"/>
  <c r="Z1403" i="1"/>
  <c r="Z1404" i="1"/>
  <c r="Z1405" i="1"/>
  <c r="Z1406" i="1"/>
  <c r="Z1407" i="1"/>
  <c r="Z1408" i="1"/>
  <c r="Z1409" i="1"/>
  <c r="Z1410" i="1"/>
  <c r="Z1411" i="1"/>
  <c r="Z1412" i="1"/>
  <c r="Z1413" i="1"/>
  <c r="Z1414" i="1"/>
  <c r="Z1415" i="1"/>
  <c r="Z1416" i="1"/>
  <c r="Z1417" i="1"/>
  <c r="Z1418" i="1"/>
  <c r="Z1419" i="1"/>
  <c r="AA1419" i="1" s="1"/>
  <c r="Z1420" i="1"/>
  <c r="AA1420" i="1" s="1"/>
  <c r="Z1421" i="1"/>
  <c r="AA1421" i="1" s="1"/>
  <c r="Z1422" i="1"/>
  <c r="AA1422" i="1" s="1"/>
  <c r="Z1423" i="1"/>
  <c r="AA1423" i="1" s="1"/>
  <c r="Z1424" i="1"/>
  <c r="AA1424" i="1" s="1"/>
  <c r="Z1425" i="1"/>
  <c r="AA1425" i="1" s="1"/>
  <c r="Z1426" i="1"/>
  <c r="AA1426" i="1" s="1"/>
  <c r="Z1427" i="1"/>
  <c r="AA1427" i="1" s="1"/>
  <c r="Z1428" i="1"/>
  <c r="AA1428" i="1" s="1"/>
  <c r="Z1429" i="1"/>
  <c r="AA1429" i="1" s="1"/>
  <c r="Z1430" i="1"/>
  <c r="AA1430" i="1" s="1"/>
  <c r="Z1431" i="1"/>
  <c r="AA1431" i="1" s="1"/>
  <c r="Z1432" i="1"/>
  <c r="AA1432" i="1" s="1"/>
  <c r="Z1433" i="1"/>
  <c r="AA1433" i="1" s="1"/>
  <c r="Z1434" i="1"/>
  <c r="AA1434" i="1" s="1"/>
  <c r="Z1435" i="1"/>
  <c r="AA1435" i="1" s="1"/>
  <c r="Z1436" i="1"/>
  <c r="AA1436" i="1" s="1"/>
  <c r="Z1437" i="1"/>
  <c r="AA1437" i="1" s="1"/>
  <c r="Z1438" i="1"/>
  <c r="AA1438" i="1" s="1"/>
  <c r="Z1439" i="1"/>
  <c r="AA1439" i="1" s="1"/>
  <c r="Z1440" i="1"/>
  <c r="AA1440" i="1" s="1"/>
  <c r="Z1441" i="1"/>
  <c r="AA1441" i="1" s="1"/>
  <c r="Z1442" i="1"/>
  <c r="AA1442" i="1" s="1"/>
  <c r="Z1443" i="1"/>
  <c r="AA1443" i="1" s="1"/>
  <c r="Z1444" i="1"/>
  <c r="AA1444" i="1" s="1"/>
  <c r="Z1445" i="1"/>
  <c r="AA1445" i="1" s="1"/>
  <c r="Z1446" i="1"/>
  <c r="AA1446" i="1" s="1"/>
  <c r="Z1447" i="1"/>
  <c r="AA1447" i="1" s="1"/>
  <c r="Z1448" i="1"/>
  <c r="AA1448" i="1" s="1"/>
  <c r="Z1449" i="1"/>
  <c r="AA1449" i="1" s="1"/>
  <c r="Z1450" i="1"/>
  <c r="AA1450" i="1" s="1"/>
  <c r="Z1451" i="1"/>
  <c r="AA1451" i="1" s="1"/>
  <c r="Z1452" i="1"/>
  <c r="AA1452" i="1" s="1"/>
  <c r="Z1453" i="1"/>
  <c r="AA1453" i="1" s="1"/>
  <c r="Z1454" i="1"/>
  <c r="AA1454" i="1" s="1"/>
  <c r="Z1455" i="1"/>
  <c r="AA1455" i="1" s="1"/>
  <c r="Z1456" i="1"/>
  <c r="AA1456" i="1" s="1"/>
  <c r="Z1457" i="1"/>
  <c r="AA1457" i="1" s="1"/>
  <c r="Z1458" i="1"/>
  <c r="AA1458" i="1" s="1"/>
  <c r="Z1459" i="1"/>
  <c r="AA1459" i="1" s="1"/>
  <c r="Z1460" i="1"/>
  <c r="AA1460" i="1" s="1"/>
  <c r="Z1461" i="1"/>
  <c r="AA1461" i="1" s="1"/>
  <c r="Z1462" i="1"/>
  <c r="AA1462" i="1" s="1"/>
  <c r="Z1463" i="1"/>
  <c r="AA1463" i="1" s="1"/>
  <c r="Z1464" i="1"/>
  <c r="AA1464" i="1" s="1"/>
  <c r="Z1465" i="1"/>
  <c r="Z1466" i="1"/>
  <c r="Z1467" i="1"/>
  <c r="Z1468" i="1"/>
  <c r="Z1469" i="1"/>
  <c r="Z1470" i="1"/>
  <c r="Z1471" i="1"/>
  <c r="Z1472" i="1"/>
  <c r="Z1473" i="1"/>
  <c r="Z1474" i="1"/>
  <c r="Z1475" i="1"/>
  <c r="Z1476" i="1"/>
  <c r="Z1477" i="1"/>
  <c r="Z1478" i="1"/>
  <c r="Z1479" i="1"/>
  <c r="Z1480" i="1"/>
  <c r="Z1481" i="1"/>
  <c r="Z1482" i="1"/>
  <c r="Z1483" i="1"/>
  <c r="Z1484" i="1"/>
  <c r="Z1485" i="1"/>
  <c r="Z1486" i="1"/>
  <c r="Z1487" i="1"/>
  <c r="Z1488" i="1"/>
  <c r="Z1489" i="1"/>
  <c r="Z1490" i="1"/>
  <c r="Z1491" i="1"/>
  <c r="Z1492" i="1"/>
  <c r="Z1493" i="1"/>
  <c r="Z1494" i="1"/>
  <c r="Z1495" i="1"/>
  <c r="Z1496" i="1"/>
  <c r="Z1497" i="1"/>
  <c r="Z1498" i="1"/>
  <c r="Z1499" i="1"/>
  <c r="Z1500" i="1"/>
  <c r="Z1501" i="1"/>
  <c r="Z1502" i="1"/>
  <c r="Z1503" i="1"/>
  <c r="Z1504" i="1"/>
  <c r="Z1505" i="1"/>
  <c r="Z1506" i="1"/>
  <c r="Z1507" i="1"/>
  <c r="Z1508" i="1"/>
  <c r="Z1509" i="1"/>
  <c r="Z1510" i="1"/>
  <c r="Z1511" i="1"/>
  <c r="Z1512" i="1"/>
  <c r="AA1512" i="1" s="1"/>
  <c r="Z1513" i="1"/>
  <c r="AA1513" i="1" s="1"/>
  <c r="Z1514" i="1"/>
  <c r="AA1514" i="1" s="1"/>
  <c r="Z1515" i="1"/>
  <c r="AA1515" i="1" s="1"/>
  <c r="Z1516" i="1"/>
  <c r="AA1516" i="1" s="1"/>
  <c r="Z1517" i="1"/>
  <c r="AA1517" i="1" s="1"/>
  <c r="Z1518" i="1"/>
  <c r="AA1518" i="1" s="1"/>
  <c r="Z1519" i="1"/>
  <c r="AA1519" i="1" s="1"/>
  <c r="Z1520" i="1"/>
  <c r="AA1520" i="1" s="1"/>
  <c r="Z1521" i="1"/>
  <c r="AA1521" i="1" s="1"/>
  <c r="Z1522" i="1"/>
  <c r="AA1522" i="1" s="1"/>
  <c r="Z1523" i="1"/>
  <c r="AA1523" i="1" s="1"/>
  <c r="Z1524" i="1"/>
  <c r="AA1524" i="1" s="1"/>
  <c r="Z1525" i="1"/>
  <c r="AA1525" i="1" s="1"/>
  <c r="Z1526" i="1"/>
  <c r="AA1526" i="1" s="1"/>
  <c r="Z1527" i="1"/>
  <c r="AA1527" i="1" s="1"/>
  <c r="Z1528" i="1"/>
  <c r="AA1528" i="1" s="1"/>
  <c r="Z1529" i="1"/>
  <c r="AA1529" i="1" s="1"/>
  <c r="Z1530" i="1"/>
  <c r="AA1530" i="1" s="1"/>
  <c r="Z1531" i="1"/>
  <c r="AA1531" i="1" s="1"/>
  <c r="Z1532" i="1"/>
  <c r="AA1532" i="1" s="1"/>
  <c r="Z1533" i="1"/>
  <c r="AA1533" i="1" s="1"/>
  <c r="Z1534" i="1"/>
  <c r="AA1534" i="1" s="1"/>
  <c r="Z1535" i="1"/>
  <c r="AA1535" i="1" s="1"/>
  <c r="Z1536" i="1"/>
  <c r="Z1537" i="1"/>
  <c r="Z1538" i="1"/>
  <c r="Z1539" i="1"/>
  <c r="Z1540" i="1"/>
  <c r="Z1541" i="1"/>
  <c r="Z1542" i="1"/>
  <c r="Z1543" i="1"/>
  <c r="Z1544" i="1"/>
  <c r="Z1545" i="1"/>
  <c r="Z1546" i="1"/>
  <c r="Z1547" i="1"/>
  <c r="Z1548" i="1"/>
  <c r="Z1549" i="1"/>
  <c r="Z1550" i="1"/>
  <c r="Z1551" i="1"/>
  <c r="Z1552" i="1"/>
  <c r="Z1553" i="1"/>
  <c r="Z1554" i="1"/>
  <c r="Z1555" i="1"/>
  <c r="Z1556" i="1"/>
  <c r="Z1557" i="1"/>
  <c r="Z1558" i="1"/>
  <c r="Z1559" i="1"/>
  <c r="Z1560" i="1"/>
  <c r="Z1561" i="1"/>
  <c r="Z1562" i="1"/>
  <c r="Z1563" i="1"/>
  <c r="Z1564" i="1"/>
  <c r="Z1565" i="1"/>
  <c r="Z1566" i="1"/>
  <c r="Z1567" i="1"/>
  <c r="Z1568" i="1"/>
  <c r="Z1569" i="1"/>
  <c r="Z1570" i="1"/>
  <c r="Z1571" i="1"/>
  <c r="Z1572" i="1"/>
  <c r="Z1573" i="1"/>
  <c r="Z1574" i="1"/>
  <c r="Z1575" i="1"/>
  <c r="Z1576" i="1"/>
  <c r="Z1577" i="1"/>
  <c r="Z1578" i="1"/>
  <c r="Z1579" i="1"/>
  <c r="U3" i="1"/>
  <c r="V3" i="1" s="1"/>
  <c r="U4" i="1"/>
  <c r="V4" i="1" s="1"/>
  <c r="U5" i="1"/>
  <c r="V5" i="1" s="1"/>
  <c r="U6" i="1"/>
  <c r="V6" i="1" s="1"/>
  <c r="U7" i="1"/>
  <c r="V7" i="1" s="1"/>
  <c r="U8" i="1"/>
  <c r="V8" i="1" s="1"/>
  <c r="U9" i="1"/>
  <c r="V9" i="1" s="1"/>
  <c r="U10" i="1"/>
  <c r="V10" i="1" s="1"/>
  <c r="U11" i="1"/>
  <c r="V11" i="1" s="1"/>
  <c r="U12" i="1"/>
  <c r="V12" i="1" s="1"/>
  <c r="U13" i="1"/>
  <c r="V13" i="1" s="1"/>
  <c r="U14" i="1"/>
  <c r="V14" i="1" s="1"/>
  <c r="U15" i="1"/>
  <c r="V15" i="1" s="1"/>
  <c r="U16" i="1"/>
  <c r="V16" i="1" s="1"/>
  <c r="U17" i="1"/>
  <c r="V17" i="1" s="1"/>
  <c r="U18" i="1"/>
  <c r="V18" i="1" s="1"/>
  <c r="U19" i="1"/>
  <c r="V19" i="1" s="1"/>
  <c r="U20" i="1"/>
  <c r="V20" i="1" s="1"/>
  <c r="U21" i="1"/>
  <c r="U22" i="1"/>
  <c r="V22" i="1" s="1"/>
  <c r="U23" i="1"/>
  <c r="V23" i="1" s="1"/>
  <c r="U24" i="1"/>
  <c r="V24" i="1" s="1"/>
  <c r="U25" i="1"/>
  <c r="V25" i="1" s="1"/>
  <c r="U26" i="1"/>
  <c r="V26" i="1" s="1"/>
  <c r="U27" i="1"/>
  <c r="V27" i="1" s="1"/>
  <c r="U28" i="1"/>
  <c r="V28" i="1" s="1"/>
  <c r="U29" i="1"/>
  <c r="V29" i="1" s="1"/>
  <c r="U30" i="1"/>
  <c r="V30" i="1" s="1"/>
  <c r="U31" i="1"/>
  <c r="V31" i="1" s="1"/>
  <c r="U32" i="1"/>
  <c r="V32" i="1" s="1"/>
  <c r="U33" i="1"/>
  <c r="V33" i="1" s="1"/>
  <c r="U34" i="1"/>
  <c r="V34" i="1" s="1"/>
  <c r="U35" i="1"/>
  <c r="V35" i="1" s="1"/>
  <c r="U36" i="1"/>
  <c r="V36" i="1" s="1"/>
  <c r="U37" i="1"/>
  <c r="V37" i="1" s="1"/>
  <c r="U38" i="1"/>
  <c r="V38" i="1" s="1"/>
  <c r="U39" i="1"/>
  <c r="V39" i="1" s="1"/>
  <c r="U40" i="1"/>
  <c r="V40" i="1" s="1"/>
  <c r="U41" i="1"/>
  <c r="V41" i="1" s="1"/>
  <c r="U42" i="1"/>
  <c r="V42" i="1" s="1"/>
  <c r="U43" i="1"/>
  <c r="V43" i="1" s="1"/>
  <c r="U44" i="1"/>
  <c r="V44" i="1" s="1"/>
  <c r="U45" i="1"/>
  <c r="V45" i="1" s="1"/>
  <c r="U46" i="1"/>
  <c r="V46" i="1" s="1"/>
  <c r="U47" i="1"/>
  <c r="V47" i="1" s="1"/>
  <c r="U48" i="1"/>
  <c r="V48" i="1" s="1"/>
  <c r="U49" i="1"/>
  <c r="V49" i="1" s="1"/>
  <c r="U50" i="1"/>
  <c r="V50" i="1" s="1"/>
  <c r="U51" i="1"/>
  <c r="V51" i="1" s="1"/>
  <c r="U52" i="1"/>
  <c r="U53" i="1"/>
  <c r="V53" i="1" s="1"/>
  <c r="U54" i="1"/>
  <c r="V54" i="1" s="1"/>
  <c r="U55" i="1"/>
  <c r="V55" i="1" s="1"/>
  <c r="U56" i="1"/>
  <c r="V56" i="1" s="1"/>
  <c r="U57" i="1"/>
  <c r="V57" i="1" s="1"/>
  <c r="U58" i="1"/>
  <c r="V58" i="1" s="1"/>
  <c r="U59" i="1"/>
  <c r="V59" i="1" s="1"/>
  <c r="U60" i="1"/>
  <c r="V60" i="1" s="1"/>
  <c r="U61" i="1"/>
  <c r="V61" i="1" s="1"/>
  <c r="U62" i="1"/>
  <c r="V62" i="1" s="1"/>
  <c r="U63" i="1"/>
  <c r="V63" i="1" s="1"/>
  <c r="U64" i="1"/>
  <c r="V64" i="1" s="1"/>
  <c r="U65" i="1"/>
  <c r="V65" i="1" s="1"/>
  <c r="U66" i="1"/>
  <c r="V66" i="1" s="1"/>
  <c r="U67" i="1"/>
  <c r="V67" i="1" s="1"/>
  <c r="U68" i="1"/>
  <c r="V68" i="1" s="1"/>
  <c r="U69" i="1"/>
  <c r="V69" i="1" s="1"/>
  <c r="U70" i="1"/>
  <c r="V70" i="1" s="1"/>
  <c r="U71" i="1"/>
  <c r="V71" i="1" s="1"/>
  <c r="U72" i="1"/>
  <c r="V72" i="1" s="1"/>
  <c r="U73" i="1"/>
  <c r="V73" i="1" s="1"/>
  <c r="U74" i="1"/>
  <c r="V74" i="1" s="1"/>
  <c r="U75" i="1"/>
  <c r="V75" i="1" s="1"/>
  <c r="U76" i="1"/>
  <c r="V76" i="1" s="1"/>
  <c r="U77" i="1"/>
  <c r="V77" i="1" s="1"/>
  <c r="U78" i="1"/>
  <c r="V78" i="1" s="1"/>
  <c r="U79" i="1"/>
  <c r="V79" i="1" s="1"/>
  <c r="U80" i="1"/>
  <c r="V80" i="1" s="1"/>
  <c r="U81" i="1"/>
  <c r="V81" i="1" s="1"/>
  <c r="U82" i="1"/>
  <c r="V82" i="1" s="1"/>
  <c r="U83" i="1"/>
  <c r="V83" i="1" s="1"/>
  <c r="U84" i="1"/>
  <c r="V84" i="1" s="1"/>
  <c r="U85" i="1"/>
  <c r="V85" i="1" s="1"/>
  <c r="U86" i="1"/>
  <c r="V86" i="1" s="1"/>
  <c r="U87" i="1"/>
  <c r="V87" i="1" s="1"/>
  <c r="U88" i="1"/>
  <c r="V88" i="1" s="1"/>
  <c r="U89" i="1"/>
  <c r="V89" i="1" s="1"/>
  <c r="U90" i="1"/>
  <c r="V90" i="1" s="1"/>
  <c r="U91" i="1"/>
  <c r="V91" i="1" s="1"/>
  <c r="U92" i="1"/>
  <c r="V92" i="1" s="1"/>
  <c r="U93" i="1"/>
  <c r="V93" i="1" s="1"/>
  <c r="U94" i="1"/>
  <c r="V94" i="1" s="1"/>
  <c r="U95" i="1"/>
  <c r="V95" i="1" s="1"/>
  <c r="U96" i="1"/>
  <c r="V96" i="1" s="1"/>
  <c r="U97" i="1"/>
  <c r="V97" i="1" s="1"/>
  <c r="U98" i="1"/>
  <c r="V98" i="1" s="1"/>
  <c r="U99" i="1"/>
  <c r="V99" i="1" s="1"/>
  <c r="U100" i="1"/>
  <c r="V100" i="1" s="1"/>
  <c r="U101" i="1"/>
  <c r="V101" i="1" s="1"/>
  <c r="U102" i="1"/>
  <c r="V102" i="1" s="1"/>
  <c r="U103" i="1"/>
  <c r="V103" i="1" s="1"/>
  <c r="U104" i="1"/>
  <c r="V104" i="1" s="1"/>
  <c r="U105" i="1"/>
  <c r="V105" i="1" s="1"/>
  <c r="U106" i="1"/>
  <c r="V106" i="1" s="1"/>
  <c r="U107" i="1"/>
  <c r="V107" i="1" s="1"/>
  <c r="U108" i="1"/>
  <c r="V108" i="1" s="1"/>
  <c r="U109" i="1"/>
  <c r="V109" i="1" s="1"/>
  <c r="U110" i="1"/>
  <c r="V110" i="1" s="1"/>
  <c r="U111" i="1"/>
  <c r="U112" i="1"/>
  <c r="V112" i="1" s="1"/>
  <c r="U113" i="1"/>
  <c r="V113" i="1" s="1"/>
  <c r="U114" i="1"/>
  <c r="V114" i="1" s="1"/>
  <c r="U115" i="1"/>
  <c r="V115" i="1" s="1"/>
  <c r="U116" i="1"/>
  <c r="V116" i="1" s="1"/>
  <c r="U117" i="1"/>
  <c r="V117" i="1" s="1"/>
  <c r="U118" i="1"/>
  <c r="V118" i="1" s="1"/>
  <c r="U119" i="1"/>
  <c r="V119" i="1" s="1"/>
  <c r="U120" i="1"/>
  <c r="V120" i="1" s="1"/>
  <c r="U121" i="1"/>
  <c r="V121" i="1" s="1"/>
  <c r="U122" i="1"/>
  <c r="V122" i="1" s="1"/>
  <c r="U123" i="1"/>
  <c r="V123" i="1" s="1"/>
  <c r="U124" i="1"/>
  <c r="V124" i="1" s="1"/>
  <c r="U125" i="1"/>
  <c r="V125" i="1" s="1"/>
  <c r="U126" i="1"/>
  <c r="U127" i="1"/>
  <c r="V127" i="1" s="1"/>
  <c r="U128" i="1"/>
  <c r="V128" i="1" s="1"/>
  <c r="U129" i="1"/>
  <c r="V129" i="1" s="1"/>
  <c r="U130" i="1"/>
  <c r="V130" i="1" s="1"/>
  <c r="U131" i="1"/>
  <c r="V131" i="1" s="1"/>
  <c r="U132" i="1"/>
  <c r="V132" i="1" s="1"/>
  <c r="U133" i="1"/>
  <c r="V133" i="1" s="1"/>
  <c r="U134" i="1"/>
  <c r="V134" i="1" s="1"/>
  <c r="U135" i="1"/>
  <c r="V135" i="1" s="1"/>
  <c r="U136" i="1"/>
  <c r="V136" i="1" s="1"/>
  <c r="U137" i="1"/>
  <c r="V137" i="1" s="1"/>
  <c r="U138" i="1"/>
  <c r="V138" i="1" s="1"/>
  <c r="U139" i="1"/>
  <c r="V139" i="1" s="1"/>
  <c r="U140" i="1"/>
  <c r="V140" i="1" s="1"/>
  <c r="U141" i="1"/>
  <c r="V141" i="1" s="1"/>
  <c r="U142" i="1"/>
  <c r="V142" i="1" s="1"/>
  <c r="U143" i="1"/>
  <c r="V143" i="1" s="1"/>
  <c r="U144" i="1"/>
  <c r="V144" i="1" s="1"/>
  <c r="U145" i="1"/>
  <c r="V145" i="1" s="1"/>
  <c r="U146" i="1"/>
  <c r="V146" i="1" s="1"/>
  <c r="U147" i="1"/>
  <c r="V147" i="1" s="1"/>
  <c r="U148" i="1"/>
  <c r="V148" i="1" s="1"/>
  <c r="U149" i="1"/>
  <c r="V149" i="1" s="1"/>
  <c r="U150" i="1"/>
  <c r="V150" i="1" s="1"/>
  <c r="U151" i="1"/>
  <c r="U152" i="1"/>
  <c r="V152" i="1" s="1"/>
  <c r="U153" i="1"/>
  <c r="V153" i="1" s="1"/>
  <c r="U154" i="1"/>
  <c r="V154" i="1" s="1"/>
  <c r="U155" i="1"/>
  <c r="V155" i="1" s="1"/>
  <c r="U156" i="1"/>
  <c r="V156" i="1" s="1"/>
  <c r="U157" i="1"/>
  <c r="V157" i="1" s="1"/>
  <c r="U158" i="1"/>
  <c r="V158" i="1" s="1"/>
  <c r="U159" i="1"/>
  <c r="V159" i="1" s="1"/>
  <c r="U160" i="1"/>
  <c r="V160" i="1" s="1"/>
  <c r="U161" i="1"/>
  <c r="V161" i="1" s="1"/>
  <c r="U162" i="1"/>
  <c r="V162" i="1" s="1"/>
  <c r="U163" i="1"/>
  <c r="V163" i="1" s="1"/>
  <c r="U164" i="1"/>
  <c r="V164" i="1" s="1"/>
  <c r="U165" i="1"/>
  <c r="U166" i="1"/>
  <c r="V166" i="1" s="1"/>
  <c r="U167" i="1"/>
  <c r="V167" i="1" s="1"/>
  <c r="U168" i="1"/>
  <c r="V168" i="1" s="1"/>
  <c r="U169" i="1"/>
  <c r="V169" i="1" s="1"/>
  <c r="U170" i="1"/>
  <c r="V170" i="1" s="1"/>
  <c r="U171" i="1"/>
  <c r="V171" i="1" s="1"/>
  <c r="U172" i="1"/>
  <c r="V172" i="1" s="1"/>
  <c r="U173" i="1"/>
  <c r="V173" i="1" s="1"/>
  <c r="U174" i="1"/>
  <c r="V174" i="1" s="1"/>
  <c r="U175" i="1"/>
  <c r="V175" i="1" s="1"/>
  <c r="U176" i="1"/>
  <c r="V176" i="1" s="1"/>
  <c r="U177" i="1"/>
  <c r="V177" i="1" s="1"/>
  <c r="U178" i="1"/>
  <c r="V178" i="1" s="1"/>
  <c r="U179" i="1"/>
  <c r="V179" i="1" s="1"/>
  <c r="U180" i="1"/>
  <c r="V180" i="1" s="1"/>
  <c r="U181" i="1"/>
  <c r="V181" i="1" s="1"/>
  <c r="U182" i="1"/>
  <c r="V182" i="1" s="1"/>
  <c r="U183" i="1"/>
  <c r="U184" i="1"/>
  <c r="V184" i="1" s="1"/>
  <c r="U185" i="1"/>
  <c r="V185" i="1" s="1"/>
  <c r="U186" i="1"/>
  <c r="V186" i="1" s="1"/>
  <c r="U187" i="1"/>
  <c r="V187" i="1" s="1"/>
  <c r="U188" i="1"/>
  <c r="V188" i="1" s="1"/>
  <c r="U189" i="1"/>
  <c r="V189" i="1" s="1"/>
  <c r="U190" i="1"/>
  <c r="V190" i="1" s="1"/>
  <c r="U191" i="1"/>
  <c r="V191" i="1" s="1"/>
  <c r="U192" i="1"/>
  <c r="V192" i="1" s="1"/>
  <c r="U193" i="1"/>
  <c r="V193" i="1" s="1"/>
  <c r="U194" i="1"/>
  <c r="V194" i="1" s="1"/>
  <c r="U195" i="1"/>
  <c r="V195" i="1" s="1"/>
  <c r="U196" i="1"/>
  <c r="V196" i="1" s="1"/>
  <c r="U197" i="1"/>
  <c r="U198" i="1"/>
  <c r="V198" i="1" s="1"/>
  <c r="U199" i="1"/>
  <c r="V199" i="1" s="1"/>
  <c r="U200" i="1"/>
  <c r="V200" i="1" s="1"/>
  <c r="U201" i="1"/>
  <c r="V201" i="1" s="1"/>
  <c r="U202" i="1"/>
  <c r="V202" i="1" s="1"/>
  <c r="U203" i="1"/>
  <c r="V203" i="1" s="1"/>
  <c r="U204" i="1"/>
  <c r="V204" i="1" s="1"/>
  <c r="U205" i="1"/>
  <c r="V205" i="1" s="1"/>
  <c r="U206" i="1"/>
  <c r="V206" i="1" s="1"/>
  <c r="U207" i="1"/>
  <c r="V207" i="1" s="1"/>
  <c r="U208" i="1"/>
  <c r="V208" i="1" s="1"/>
  <c r="U209" i="1"/>
  <c r="V209" i="1" s="1"/>
  <c r="U210" i="1"/>
  <c r="V210" i="1" s="1"/>
  <c r="U211" i="1"/>
  <c r="V211" i="1" s="1"/>
  <c r="U212" i="1"/>
  <c r="U213" i="1"/>
  <c r="V213" i="1" s="1"/>
  <c r="U214" i="1"/>
  <c r="V214" i="1" s="1"/>
  <c r="U215" i="1"/>
  <c r="V215" i="1" s="1"/>
  <c r="U216" i="1"/>
  <c r="V216" i="1" s="1"/>
  <c r="U217" i="1"/>
  <c r="V217" i="1" s="1"/>
  <c r="U218" i="1"/>
  <c r="V218" i="1" s="1"/>
  <c r="U219" i="1"/>
  <c r="V219" i="1" s="1"/>
  <c r="U220" i="1"/>
  <c r="V220" i="1" s="1"/>
  <c r="U221" i="1"/>
  <c r="V221" i="1" s="1"/>
  <c r="U222" i="1"/>
  <c r="V222" i="1" s="1"/>
  <c r="U223" i="1"/>
  <c r="V223" i="1" s="1"/>
  <c r="U224" i="1"/>
  <c r="V224" i="1" s="1"/>
  <c r="U225" i="1"/>
  <c r="V225" i="1" s="1"/>
  <c r="U226" i="1"/>
  <c r="V226" i="1" s="1"/>
  <c r="U227" i="1"/>
  <c r="V227" i="1" s="1"/>
  <c r="U228" i="1"/>
  <c r="V228" i="1" s="1"/>
  <c r="U229" i="1"/>
  <c r="V229" i="1" s="1"/>
  <c r="U230" i="1"/>
  <c r="V230" i="1" s="1"/>
  <c r="U231" i="1"/>
  <c r="V231" i="1" s="1"/>
  <c r="U232" i="1"/>
  <c r="V232" i="1" s="1"/>
  <c r="U233" i="1"/>
  <c r="V233" i="1" s="1"/>
  <c r="U234" i="1"/>
  <c r="V234" i="1" s="1"/>
  <c r="U235" i="1"/>
  <c r="V235" i="1" s="1"/>
  <c r="U236" i="1"/>
  <c r="V236" i="1" s="1"/>
  <c r="U237" i="1"/>
  <c r="V237" i="1" s="1"/>
  <c r="U238" i="1"/>
  <c r="U239" i="1"/>
  <c r="V239" i="1" s="1"/>
  <c r="U240" i="1"/>
  <c r="V240" i="1" s="1"/>
  <c r="U241" i="1"/>
  <c r="V241" i="1" s="1"/>
  <c r="U242" i="1"/>
  <c r="V242" i="1" s="1"/>
  <c r="U243" i="1"/>
  <c r="V243" i="1" s="1"/>
  <c r="U244" i="1"/>
  <c r="V244" i="1" s="1"/>
  <c r="U245" i="1"/>
  <c r="V245" i="1" s="1"/>
  <c r="U246" i="1"/>
  <c r="V246" i="1" s="1"/>
  <c r="U247" i="1"/>
  <c r="V247" i="1" s="1"/>
  <c r="U248" i="1"/>
  <c r="V248" i="1" s="1"/>
  <c r="U249" i="1"/>
  <c r="V249" i="1" s="1"/>
  <c r="U250" i="1"/>
  <c r="V250" i="1" s="1"/>
  <c r="U251" i="1"/>
  <c r="V251" i="1" s="1"/>
  <c r="U252" i="1"/>
  <c r="V252" i="1" s="1"/>
  <c r="U253" i="1"/>
  <c r="V253" i="1" s="1"/>
  <c r="U254" i="1"/>
  <c r="V254" i="1" s="1"/>
  <c r="U255" i="1"/>
  <c r="V255" i="1" s="1"/>
  <c r="U256" i="1"/>
  <c r="V256" i="1" s="1"/>
  <c r="U257" i="1"/>
  <c r="U258" i="1"/>
  <c r="V258" i="1" s="1"/>
  <c r="U259" i="1"/>
  <c r="V259" i="1" s="1"/>
  <c r="U260" i="1"/>
  <c r="V260" i="1" s="1"/>
  <c r="U261" i="1"/>
  <c r="V261" i="1" s="1"/>
  <c r="U262" i="1"/>
  <c r="V262" i="1" s="1"/>
  <c r="U263" i="1"/>
  <c r="V263" i="1" s="1"/>
  <c r="U264" i="1"/>
  <c r="V264" i="1" s="1"/>
  <c r="U265" i="1"/>
  <c r="V265" i="1" s="1"/>
  <c r="U266" i="1"/>
  <c r="V266" i="1" s="1"/>
  <c r="U267" i="1"/>
  <c r="V267" i="1" s="1"/>
  <c r="U268" i="1"/>
  <c r="V268" i="1" s="1"/>
  <c r="U269" i="1"/>
  <c r="V269" i="1" s="1"/>
  <c r="U270" i="1"/>
  <c r="V270" i="1" s="1"/>
  <c r="U271" i="1"/>
  <c r="V271" i="1" s="1"/>
  <c r="U272" i="1"/>
  <c r="V272" i="1" s="1"/>
  <c r="U273" i="1"/>
  <c r="V273" i="1" s="1"/>
  <c r="U274" i="1"/>
  <c r="V274" i="1" s="1"/>
  <c r="U275" i="1"/>
  <c r="V275" i="1" s="1"/>
  <c r="U276" i="1"/>
  <c r="V276" i="1" s="1"/>
  <c r="U277" i="1"/>
  <c r="V277" i="1" s="1"/>
  <c r="U278" i="1"/>
  <c r="V278" i="1" s="1"/>
  <c r="U279" i="1"/>
  <c r="V279" i="1" s="1"/>
  <c r="U280" i="1"/>
  <c r="V280" i="1" s="1"/>
  <c r="U281" i="1"/>
  <c r="V281" i="1" s="1"/>
  <c r="U282" i="1"/>
  <c r="V282" i="1" s="1"/>
  <c r="U283" i="1"/>
  <c r="V283" i="1" s="1"/>
  <c r="U284" i="1"/>
  <c r="V284" i="1" s="1"/>
  <c r="U285" i="1"/>
  <c r="V285" i="1" s="1"/>
  <c r="U286" i="1"/>
  <c r="V286" i="1" s="1"/>
  <c r="U287" i="1"/>
  <c r="V287" i="1" s="1"/>
  <c r="U288" i="1"/>
  <c r="V288" i="1" s="1"/>
  <c r="U289" i="1"/>
  <c r="V289" i="1" s="1"/>
  <c r="U290" i="1"/>
  <c r="V290" i="1" s="1"/>
  <c r="U291" i="1"/>
  <c r="V291" i="1" s="1"/>
  <c r="U292" i="1"/>
  <c r="V292" i="1" s="1"/>
  <c r="U293" i="1"/>
  <c r="V293" i="1" s="1"/>
  <c r="U294" i="1"/>
  <c r="V294" i="1" s="1"/>
  <c r="U295" i="1"/>
  <c r="V295" i="1" s="1"/>
  <c r="U296" i="1"/>
  <c r="V296" i="1" s="1"/>
  <c r="U297" i="1"/>
  <c r="V297" i="1" s="1"/>
  <c r="U298" i="1"/>
  <c r="V298" i="1" s="1"/>
  <c r="U299" i="1"/>
  <c r="V299" i="1" s="1"/>
  <c r="U300" i="1"/>
  <c r="V300" i="1" s="1"/>
  <c r="U301" i="1"/>
  <c r="V301" i="1" s="1"/>
  <c r="U302" i="1"/>
  <c r="V302" i="1" s="1"/>
  <c r="U303" i="1"/>
  <c r="V303" i="1" s="1"/>
  <c r="U304" i="1"/>
  <c r="V304" i="1" s="1"/>
  <c r="U305" i="1"/>
  <c r="V305" i="1" s="1"/>
  <c r="U306" i="1"/>
  <c r="V306" i="1" s="1"/>
  <c r="U307" i="1"/>
  <c r="V307" i="1" s="1"/>
  <c r="U308" i="1"/>
  <c r="V308" i="1" s="1"/>
  <c r="U309" i="1"/>
  <c r="V309" i="1" s="1"/>
  <c r="U310" i="1"/>
  <c r="V310" i="1" s="1"/>
  <c r="U311" i="1"/>
  <c r="V311" i="1" s="1"/>
  <c r="U312" i="1"/>
  <c r="V312" i="1" s="1"/>
  <c r="U313" i="1"/>
  <c r="V313" i="1" s="1"/>
  <c r="U314" i="1"/>
  <c r="V314" i="1" s="1"/>
  <c r="U315" i="1"/>
  <c r="V315" i="1" s="1"/>
  <c r="U316" i="1"/>
  <c r="V316" i="1" s="1"/>
  <c r="U317" i="1"/>
  <c r="V317" i="1" s="1"/>
  <c r="U318" i="1"/>
  <c r="V318" i="1" s="1"/>
  <c r="U319" i="1"/>
  <c r="V319" i="1" s="1"/>
  <c r="U320" i="1"/>
  <c r="V320" i="1" s="1"/>
  <c r="U321" i="1"/>
  <c r="V321" i="1" s="1"/>
  <c r="U322" i="1"/>
  <c r="V322" i="1" s="1"/>
  <c r="U323" i="1"/>
  <c r="V323" i="1" s="1"/>
  <c r="U324" i="1"/>
  <c r="V324" i="1" s="1"/>
  <c r="U325" i="1"/>
  <c r="U326" i="1"/>
  <c r="V326" i="1" s="1"/>
  <c r="U327" i="1"/>
  <c r="V327" i="1" s="1"/>
  <c r="U328" i="1"/>
  <c r="V328" i="1" s="1"/>
  <c r="U329" i="1"/>
  <c r="V329" i="1" s="1"/>
  <c r="U330" i="1"/>
  <c r="V330" i="1" s="1"/>
  <c r="U331" i="1"/>
  <c r="V331" i="1" s="1"/>
  <c r="U332" i="1"/>
  <c r="V332" i="1" s="1"/>
  <c r="U333" i="1"/>
  <c r="V333" i="1" s="1"/>
  <c r="U334" i="1"/>
  <c r="V334" i="1" s="1"/>
  <c r="U335" i="1"/>
  <c r="V335" i="1" s="1"/>
  <c r="U336" i="1"/>
  <c r="V336" i="1" s="1"/>
  <c r="U337" i="1"/>
  <c r="V337" i="1" s="1"/>
  <c r="U338" i="1"/>
  <c r="V338" i="1" s="1"/>
  <c r="U339" i="1"/>
  <c r="V339" i="1" s="1"/>
  <c r="U340" i="1"/>
  <c r="V340" i="1" s="1"/>
  <c r="U341" i="1"/>
  <c r="V341" i="1" s="1"/>
  <c r="U342" i="1"/>
  <c r="V342" i="1" s="1"/>
  <c r="U343" i="1"/>
  <c r="V343" i="1" s="1"/>
  <c r="U344" i="1"/>
  <c r="V344" i="1" s="1"/>
  <c r="U345" i="1"/>
  <c r="V345" i="1" s="1"/>
  <c r="U346" i="1"/>
  <c r="V346" i="1" s="1"/>
  <c r="U347" i="1"/>
  <c r="V347" i="1" s="1"/>
  <c r="U348" i="1"/>
  <c r="V348" i="1" s="1"/>
  <c r="U349" i="1"/>
  <c r="V349" i="1" s="1"/>
  <c r="U350" i="1"/>
  <c r="V350" i="1" s="1"/>
  <c r="U351" i="1"/>
  <c r="V351" i="1" s="1"/>
  <c r="U352" i="1"/>
  <c r="V352" i="1" s="1"/>
  <c r="U353" i="1"/>
  <c r="U354" i="1"/>
  <c r="V354" i="1" s="1"/>
  <c r="U355" i="1"/>
  <c r="V355" i="1" s="1"/>
  <c r="U356" i="1"/>
  <c r="V356" i="1" s="1"/>
  <c r="U357" i="1"/>
  <c r="V357" i="1" s="1"/>
  <c r="U358" i="1"/>
  <c r="V358" i="1" s="1"/>
  <c r="U359" i="1"/>
  <c r="V359" i="1" s="1"/>
  <c r="U360" i="1"/>
  <c r="V360" i="1" s="1"/>
  <c r="U361" i="1"/>
  <c r="V361" i="1" s="1"/>
  <c r="U362" i="1"/>
  <c r="V362" i="1" s="1"/>
  <c r="U363" i="1"/>
  <c r="V363" i="1" s="1"/>
  <c r="U364" i="1"/>
  <c r="V364" i="1" s="1"/>
  <c r="U365" i="1"/>
  <c r="V365" i="1" s="1"/>
  <c r="U366" i="1"/>
  <c r="V366" i="1" s="1"/>
  <c r="U367" i="1"/>
  <c r="V367" i="1" s="1"/>
  <c r="U368" i="1"/>
  <c r="V368" i="1" s="1"/>
  <c r="U369" i="1"/>
  <c r="V369" i="1" s="1"/>
  <c r="U370" i="1"/>
  <c r="V370" i="1" s="1"/>
  <c r="U371" i="1"/>
  <c r="U372" i="1"/>
  <c r="V372" i="1" s="1"/>
  <c r="U373" i="1"/>
  <c r="V373" i="1" s="1"/>
  <c r="U374" i="1"/>
  <c r="V374" i="1" s="1"/>
  <c r="U375" i="1"/>
  <c r="V375" i="1" s="1"/>
  <c r="U376" i="1"/>
  <c r="V376" i="1" s="1"/>
  <c r="U377" i="1"/>
  <c r="V377" i="1" s="1"/>
  <c r="U378" i="1"/>
  <c r="V378" i="1" s="1"/>
  <c r="U379" i="1"/>
  <c r="V379" i="1" s="1"/>
  <c r="U380" i="1"/>
  <c r="V380" i="1" s="1"/>
  <c r="U381" i="1"/>
  <c r="V381" i="1" s="1"/>
  <c r="U382" i="1"/>
  <c r="V382" i="1" s="1"/>
  <c r="U383" i="1"/>
  <c r="V383" i="1" s="1"/>
  <c r="U384" i="1"/>
  <c r="V384" i="1" s="1"/>
  <c r="U385" i="1"/>
  <c r="V385" i="1" s="1"/>
  <c r="U386" i="1"/>
  <c r="V386" i="1" s="1"/>
  <c r="U387" i="1"/>
  <c r="V387" i="1" s="1"/>
  <c r="U388" i="1"/>
  <c r="V388" i="1" s="1"/>
  <c r="U389" i="1"/>
  <c r="V389" i="1" s="1"/>
  <c r="U390" i="1"/>
  <c r="V390" i="1" s="1"/>
  <c r="U391" i="1"/>
  <c r="V391" i="1" s="1"/>
  <c r="U392" i="1"/>
  <c r="V392" i="1" s="1"/>
  <c r="U393" i="1"/>
  <c r="V393" i="1" s="1"/>
  <c r="U394" i="1"/>
  <c r="V394" i="1" s="1"/>
  <c r="U395" i="1"/>
  <c r="V395" i="1" s="1"/>
  <c r="U396" i="1"/>
  <c r="V396" i="1" s="1"/>
  <c r="U397" i="1"/>
  <c r="V397" i="1" s="1"/>
  <c r="U398" i="1"/>
  <c r="V398" i="1" s="1"/>
  <c r="U399" i="1"/>
  <c r="V399" i="1" s="1"/>
  <c r="U400" i="1"/>
  <c r="V400" i="1" s="1"/>
  <c r="U401" i="1"/>
  <c r="V401" i="1" s="1"/>
  <c r="U402" i="1"/>
  <c r="V402" i="1" s="1"/>
  <c r="U403" i="1"/>
  <c r="V403" i="1" s="1"/>
  <c r="U404" i="1"/>
  <c r="V404" i="1" s="1"/>
  <c r="U405" i="1"/>
  <c r="V405" i="1" s="1"/>
  <c r="U406" i="1"/>
  <c r="V406" i="1" s="1"/>
  <c r="U407" i="1"/>
  <c r="V407" i="1" s="1"/>
  <c r="U408" i="1"/>
  <c r="V408" i="1" s="1"/>
  <c r="U409" i="1"/>
  <c r="V409" i="1" s="1"/>
  <c r="U410" i="1"/>
  <c r="V410" i="1" s="1"/>
  <c r="U411" i="1"/>
  <c r="V411" i="1" s="1"/>
  <c r="U412" i="1"/>
  <c r="V412" i="1" s="1"/>
  <c r="U413" i="1"/>
  <c r="V413" i="1" s="1"/>
  <c r="U414" i="1"/>
  <c r="U415" i="1"/>
  <c r="V415" i="1" s="1"/>
  <c r="U416" i="1"/>
  <c r="V416" i="1" s="1"/>
  <c r="U417" i="1"/>
  <c r="V417" i="1" s="1"/>
  <c r="U418" i="1"/>
  <c r="V418" i="1" s="1"/>
  <c r="U419" i="1"/>
  <c r="V419" i="1" s="1"/>
  <c r="U420" i="1"/>
  <c r="V420" i="1" s="1"/>
  <c r="U421" i="1"/>
  <c r="V421" i="1" s="1"/>
  <c r="U422" i="1"/>
  <c r="V422" i="1" s="1"/>
  <c r="U423" i="1"/>
  <c r="V423" i="1" s="1"/>
  <c r="U424" i="1"/>
  <c r="V424" i="1" s="1"/>
  <c r="U425" i="1"/>
  <c r="V425" i="1" s="1"/>
  <c r="U426" i="1"/>
  <c r="V426" i="1" s="1"/>
  <c r="U427" i="1"/>
  <c r="V427" i="1" s="1"/>
  <c r="U428" i="1"/>
  <c r="V428" i="1" s="1"/>
  <c r="U429" i="1"/>
  <c r="V429" i="1" s="1"/>
  <c r="U430" i="1"/>
  <c r="V430" i="1" s="1"/>
  <c r="U431" i="1"/>
  <c r="V431" i="1" s="1"/>
  <c r="U432" i="1"/>
  <c r="V432" i="1" s="1"/>
  <c r="U433" i="1"/>
  <c r="V433" i="1" s="1"/>
  <c r="U434" i="1"/>
  <c r="V434" i="1" s="1"/>
  <c r="U435" i="1"/>
  <c r="V435" i="1" s="1"/>
  <c r="U436" i="1"/>
  <c r="V436" i="1" s="1"/>
  <c r="U437" i="1"/>
  <c r="V437" i="1" s="1"/>
  <c r="U438" i="1"/>
  <c r="V438" i="1" s="1"/>
  <c r="U439" i="1"/>
  <c r="V439" i="1" s="1"/>
  <c r="U440" i="1"/>
  <c r="V440" i="1" s="1"/>
  <c r="U441" i="1"/>
  <c r="V441" i="1" s="1"/>
  <c r="U442" i="1"/>
  <c r="V442" i="1" s="1"/>
  <c r="U443" i="1"/>
  <c r="V443" i="1" s="1"/>
  <c r="U444" i="1"/>
  <c r="V444" i="1" s="1"/>
  <c r="U445" i="1"/>
  <c r="V445" i="1" s="1"/>
  <c r="U446" i="1"/>
  <c r="V446" i="1" s="1"/>
  <c r="U447" i="1"/>
  <c r="V447" i="1" s="1"/>
  <c r="U448" i="1"/>
  <c r="V448" i="1" s="1"/>
  <c r="U449" i="1"/>
  <c r="V449" i="1" s="1"/>
  <c r="U450" i="1"/>
  <c r="V450" i="1" s="1"/>
  <c r="U451" i="1"/>
  <c r="V451" i="1" s="1"/>
  <c r="U452" i="1"/>
  <c r="V452" i="1" s="1"/>
  <c r="U453" i="1"/>
  <c r="V453" i="1" s="1"/>
  <c r="U454" i="1"/>
  <c r="V454" i="1" s="1"/>
  <c r="U455" i="1"/>
  <c r="V455" i="1" s="1"/>
  <c r="U456" i="1"/>
  <c r="V456" i="1" s="1"/>
  <c r="U457" i="1"/>
  <c r="V457" i="1" s="1"/>
  <c r="U458" i="1"/>
  <c r="V458" i="1" s="1"/>
  <c r="U459" i="1"/>
  <c r="U460" i="1"/>
  <c r="V460" i="1" s="1"/>
  <c r="U461" i="1"/>
  <c r="V461" i="1" s="1"/>
  <c r="U462" i="1"/>
  <c r="V462" i="1" s="1"/>
  <c r="U463" i="1"/>
  <c r="V463" i="1" s="1"/>
  <c r="U464" i="1"/>
  <c r="V464" i="1" s="1"/>
  <c r="U465" i="1"/>
  <c r="V465" i="1" s="1"/>
  <c r="U466" i="1"/>
  <c r="V466" i="1" s="1"/>
  <c r="U467" i="1"/>
  <c r="V467" i="1" s="1"/>
  <c r="U468" i="1"/>
  <c r="V468" i="1" s="1"/>
  <c r="U469" i="1"/>
  <c r="V469" i="1" s="1"/>
  <c r="U470" i="1"/>
  <c r="V470" i="1" s="1"/>
  <c r="U471" i="1"/>
  <c r="V471" i="1" s="1"/>
  <c r="U472" i="1"/>
  <c r="V472" i="1" s="1"/>
  <c r="U473" i="1"/>
  <c r="V473" i="1" s="1"/>
  <c r="U474" i="1"/>
  <c r="V474" i="1" s="1"/>
  <c r="U475" i="1"/>
  <c r="V475" i="1" s="1"/>
  <c r="U476" i="1"/>
  <c r="V476" i="1" s="1"/>
  <c r="U477" i="1"/>
  <c r="V477" i="1" s="1"/>
  <c r="U478" i="1"/>
  <c r="V478" i="1" s="1"/>
  <c r="U479" i="1"/>
  <c r="V479" i="1" s="1"/>
  <c r="U480" i="1"/>
  <c r="V480" i="1" s="1"/>
  <c r="U481" i="1"/>
  <c r="V481" i="1" s="1"/>
  <c r="U482" i="1"/>
  <c r="V482" i="1" s="1"/>
  <c r="U483" i="1"/>
  <c r="V483" i="1" s="1"/>
  <c r="U484" i="1"/>
  <c r="V484" i="1" s="1"/>
  <c r="U485" i="1"/>
  <c r="V485" i="1" s="1"/>
  <c r="U486" i="1"/>
  <c r="V486" i="1" s="1"/>
  <c r="U487" i="1"/>
  <c r="V487" i="1" s="1"/>
  <c r="U488" i="1"/>
  <c r="V488" i="1" s="1"/>
  <c r="U489" i="1"/>
  <c r="V489" i="1" s="1"/>
  <c r="U490" i="1"/>
  <c r="V490" i="1" s="1"/>
  <c r="U491" i="1"/>
  <c r="V491" i="1" s="1"/>
  <c r="U492" i="1"/>
  <c r="V492" i="1" s="1"/>
  <c r="U493" i="1"/>
  <c r="V493" i="1" s="1"/>
  <c r="U494" i="1"/>
  <c r="V494" i="1" s="1"/>
  <c r="U495" i="1"/>
  <c r="V495" i="1" s="1"/>
  <c r="U496" i="1"/>
  <c r="V496" i="1" s="1"/>
  <c r="U497" i="1"/>
  <c r="V497" i="1" s="1"/>
  <c r="U498" i="1"/>
  <c r="V498" i="1" s="1"/>
  <c r="U499" i="1"/>
  <c r="V499" i="1" s="1"/>
  <c r="U500" i="1"/>
  <c r="V500" i="1" s="1"/>
  <c r="U501" i="1"/>
  <c r="V501" i="1" s="1"/>
  <c r="U502" i="1"/>
  <c r="V502" i="1" s="1"/>
  <c r="U503" i="1"/>
  <c r="V503" i="1" s="1"/>
  <c r="U504" i="1"/>
  <c r="V504" i="1" s="1"/>
  <c r="U505" i="1"/>
  <c r="V505" i="1" s="1"/>
  <c r="U506" i="1"/>
  <c r="V506" i="1" s="1"/>
  <c r="U507" i="1"/>
  <c r="V507" i="1" s="1"/>
  <c r="U508" i="1"/>
  <c r="V508" i="1" s="1"/>
  <c r="U509" i="1"/>
  <c r="V509" i="1" s="1"/>
  <c r="U510" i="1"/>
  <c r="V510" i="1" s="1"/>
  <c r="U511" i="1"/>
  <c r="V511" i="1" s="1"/>
  <c r="U512" i="1"/>
  <c r="V512" i="1" s="1"/>
  <c r="U513" i="1"/>
  <c r="V513" i="1" s="1"/>
  <c r="U514" i="1"/>
  <c r="V514" i="1" s="1"/>
  <c r="U515" i="1"/>
  <c r="V515" i="1" s="1"/>
  <c r="U516" i="1"/>
  <c r="V516" i="1" s="1"/>
  <c r="U517" i="1"/>
  <c r="V517" i="1" s="1"/>
  <c r="U518" i="1"/>
  <c r="V518" i="1" s="1"/>
  <c r="U519" i="1"/>
  <c r="V519" i="1" s="1"/>
  <c r="U520" i="1"/>
  <c r="V520" i="1" s="1"/>
  <c r="U521" i="1"/>
  <c r="V521" i="1" s="1"/>
  <c r="U522" i="1"/>
  <c r="V522" i="1" s="1"/>
  <c r="U523" i="1"/>
  <c r="V523" i="1" s="1"/>
  <c r="U524" i="1"/>
  <c r="V524" i="1" s="1"/>
  <c r="U525" i="1"/>
  <c r="V525" i="1" s="1"/>
  <c r="U526" i="1"/>
  <c r="V526" i="1" s="1"/>
  <c r="U527" i="1"/>
  <c r="V527" i="1" s="1"/>
  <c r="U528" i="1"/>
  <c r="V528" i="1" s="1"/>
  <c r="U529" i="1"/>
  <c r="V529" i="1" s="1"/>
  <c r="U530" i="1"/>
  <c r="V530" i="1" s="1"/>
  <c r="U531" i="1"/>
  <c r="V531" i="1" s="1"/>
  <c r="U532" i="1"/>
  <c r="V532" i="1" s="1"/>
  <c r="U533" i="1"/>
  <c r="V533" i="1" s="1"/>
  <c r="U534" i="1"/>
  <c r="V534" i="1" s="1"/>
  <c r="U535" i="1"/>
  <c r="V535" i="1" s="1"/>
  <c r="U536" i="1"/>
  <c r="V536" i="1" s="1"/>
  <c r="U537" i="1"/>
  <c r="V537" i="1" s="1"/>
  <c r="U538" i="1"/>
  <c r="V538" i="1" s="1"/>
  <c r="U539" i="1"/>
  <c r="V539" i="1" s="1"/>
  <c r="U540" i="1"/>
  <c r="V540" i="1" s="1"/>
  <c r="U541" i="1"/>
  <c r="V541" i="1" s="1"/>
  <c r="U542" i="1"/>
  <c r="V542" i="1" s="1"/>
  <c r="U543" i="1"/>
  <c r="V543" i="1" s="1"/>
  <c r="U544" i="1"/>
  <c r="V544" i="1" s="1"/>
  <c r="U545" i="1"/>
  <c r="V545" i="1" s="1"/>
  <c r="U546" i="1"/>
  <c r="V546" i="1" s="1"/>
  <c r="U547" i="1"/>
  <c r="V547" i="1" s="1"/>
  <c r="U548" i="1"/>
  <c r="V548" i="1" s="1"/>
  <c r="U549" i="1"/>
  <c r="V549" i="1" s="1"/>
  <c r="U550" i="1"/>
  <c r="V550" i="1" s="1"/>
  <c r="U551" i="1"/>
  <c r="V551" i="1" s="1"/>
  <c r="U552" i="1"/>
  <c r="V552" i="1" s="1"/>
  <c r="U553" i="1"/>
  <c r="V553" i="1" s="1"/>
  <c r="U554" i="1"/>
  <c r="V554" i="1" s="1"/>
  <c r="U555" i="1"/>
  <c r="V555" i="1" s="1"/>
  <c r="U556" i="1"/>
  <c r="V556" i="1" s="1"/>
  <c r="U557" i="1"/>
  <c r="V557" i="1" s="1"/>
  <c r="U558" i="1"/>
  <c r="V558" i="1" s="1"/>
  <c r="U559" i="1"/>
  <c r="V559" i="1" s="1"/>
  <c r="U560" i="1"/>
  <c r="V560" i="1" s="1"/>
  <c r="U561" i="1"/>
  <c r="V561" i="1" s="1"/>
  <c r="U562" i="1"/>
  <c r="V562" i="1" s="1"/>
  <c r="U563" i="1"/>
  <c r="V563" i="1" s="1"/>
  <c r="U564" i="1"/>
  <c r="V564" i="1" s="1"/>
  <c r="U565" i="1"/>
  <c r="V565" i="1" s="1"/>
  <c r="U566" i="1"/>
  <c r="V566" i="1" s="1"/>
  <c r="U567" i="1"/>
  <c r="V567" i="1" s="1"/>
  <c r="U568" i="1"/>
  <c r="V568" i="1" s="1"/>
  <c r="U569" i="1"/>
  <c r="V569" i="1" s="1"/>
  <c r="U570" i="1"/>
  <c r="V570" i="1" s="1"/>
  <c r="U571" i="1"/>
  <c r="V571" i="1" s="1"/>
  <c r="U572" i="1"/>
  <c r="V572" i="1" s="1"/>
  <c r="U573" i="1"/>
  <c r="V573" i="1" s="1"/>
  <c r="U574" i="1"/>
  <c r="V574" i="1" s="1"/>
  <c r="U575" i="1"/>
  <c r="V575" i="1" s="1"/>
  <c r="U576" i="1"/>
  <c r="V576" i="1" s="1"/>
  <c r="U577" i="1"/>
  <c r="V577" i="1" s="1"/>
  <c r="U578" i="1"/>
  <c r="V578" i="1" s="1"/>
  <c r="U579" i="1"/>
  <c r="V579" i="1" s="1"/>
  <c r="U580" i="1"/>
  <c r="V580" i="1" s="1"/>
  <c r="U581" i="1"/>
  <c r="V581" i="1" s="1"/>
  <c r="U582" i="1"/>
  <c r="V582" i="1" s="1"/>
  <c r="U583" i="1"/>
  <c r="V583" i="1" s="1"/>
  <c r="U584" i="1"/>
  <c r="V584" i="1" s="1"/>
  <c r="U585" i="1"/>
  <c r="V585" i="1" s="1"/>
  <c r="U586" i="1"/>
  <c r="V586" i="1" s="1"/>
  <c r="U587" i="1"/>
  <c r="V587" i="1" s="1"/>
  <c r="U588" i="1"/>
  <c r="V588" i="1" s="1"/>
  <c r="U589" i="1"/>
  <c r="V589" i="1" s="1"/>
  <c r="U590" i="1"/>
  <c r="V590" i="1" s="1"/>
  <c r="U591" i="1"/>
  <c r="V591" i="1" s="1"/>
  <c r="U592" i="1"/>
  <c r="V592" i="1" s="1"/>
  <c r="U593" i="1"/>
  <c r="V593" i="1" s="1"/>
  <c r="U594" i="1"/>
  <c r="V594" i="1" s="1"/>
  <c r="U595" i="1"/>
  <c r="V595" i="1" s="1"/>
  <c r="U596" i="1"/>
  <c r="V596" i="1" s="1"/>
  <c r="U597" i="1"/>
  <c r="V597" i="1" s="1"/>
  <c r="U598" i="1"/>
  <c r="V598" i="1" s="1"/>
  <c r="U599" i="1"/>
  <c r="V599" i="1" s="1"/>
  <c r="U600" i="1"/>
  <c r="V600" i="1" s="1"/>
  <c r="U601" i="1"/>
  <c r="V601" i="1" s="1"/>
  <c r="U602" i="1"/>
  <c r="V602" i="1" s="1"/>
  <c r="U603" i="1"/>
  <c r="V603" i="1" s="1"/>
  <c r="U604" i="1"/>
  <c r="V604" i="1" s="1"/>
  <c r="U605" i="1"/>
  <c r="V605" i="1" s="1"/>
  <c r="U606" i="1"/>
  <c r="V606" i="1" s="1"/>
  <c r="U607" i="1"/>
  <c r="V607" i="1" s="1"/>
  <c r="U608" i="1"/>
  <c r="V608" i="1" s="1"/>
  <c r="U609" i="1"/>
  <c r="V609" i="1" s="1"/>
  <c r="U610" i="1"/>
  <c r="V610" i="1" s="1"/>
  <c r="U611" i="1"/>
  <c r="U612" i="1"/>
  <c r="V612" i="1" s="1"/>
  <c r="U613" i="1"/>
  <c r="V613" i="1" s="1"/>
  <c r="U614" i="1"/>
  <c r="V614" i="1" s="1"/>
  <c r="U615" i="1"/>
  <c r="V615" i="1" s="1"/>
  <c r="U616" i="1"/>
  <c r="V616" i="1" s="1"/>
  <c r="U617" i="1"/>
  <c r="V617" i="1" s="1"/>
  <c r="U618" i="1"/>
  <c r="V618" i="1" s="1"/>
  <c r="U619" i="1"/>
  <c r="V619" i="1" s="1"/>
  <c r="U620" i="1"/>
  <c r="V620" i="1" s="1"/>
  <c r="U621" i="1"/>
  <c r="V621" i="1" s="1"/>
  <c r="U622" i="1"/>
  <c r="V622" i="1" s="1"/>
  <c r="U623" i="1"/>
  <c r="V623" i="1" s="1"/>
  <c r="U624" i="1"/>
  <c r="V624" i="1" s="1"/>
  <c r="U625" i="1"/>
  <c r="V625" i="1" s="1"/>
  <c r="U626" i="1"/>
  <c r="V626" i="1" s="1"/>
  <c r="U627" i="1"/>
  <c r="V627" i="1" s="1"/>
  <c r="U628" i="1"/>
  <c r="V628" i="1" s="1"/>
  <c r="U629" i="1"/>
  <c r="V629" i="1" s="1"/>
  <c r="U630" i="1"/>
  <c r="V630" i="1" s="1"/>
  <c r="U631" i="1"/>
  <c r="V631" i="1" s="1"/>
  <c r="U632" i="1"/>
  <c r="V632" i="1" s="1"/>
  <c r="U633" i="1"/>
  <c r="V633" i="1" s="1"/>
  <c r="U634" i="1"/>
  <c r="V634" i="1" s="1"/>
  <c r="U635" i="1"/>
  <c r="V635" i="1" s="1"/>
  <c r="U636" i="1"/>
  <c r="V636" i="1" s="1"/>
  <c r="U637" i="1"/>
  <c r="V637" i="1" s="1"/>
  <c r="U638" i="1"/>
  <c r="V638" i="1" s="1"/>
  <c r="U639" i="1"/>
  <c r="V639" i="1" s="1"/>
  <c r="U640" i="1"/>
  <c r="V640" i="1" s="1"/>
  <c r="U641" i="1"/>
  <c r="V641" i="1" s="1"/>
  <c r="U642" i="1"/>
  <c r="V642" i="1" s="1"/>
  <c r="U643" i="1"/>
  <c r="V643" i="1" s="1"/>
  <c r="U644" i="1"/>
  <c r="V644" i="1" s="1"/>
  <c r="U645" i="1"/>
  <c r="V645" i="1" s="1"/>
  <c r="U646" i="1"/>
  <c r="V646" i="1" s="1"/>
  <c r="U647" i="1"/>
  <c r="V647" i="1" s="1"/>
  <c r="U648" i="1"/>
  <c r="V648" i="1" s="1"/>
  <c r="U649" i="1"/>
  <c r="V649" i="1" s="1"/>
  <c r="U650" i="1"/>
  <c r="V650" i="1" s="1"/>
  <c r="U651" i="1"/>
  <c r="V651" i="1" s="1"/>
  <c r="U652" i="1"/>
  <c r="V652" i="1" s="1"/>
  <c r="U653" i="1"/>
  <c r="V653" i="1" s="1"/>
  <c r="U654" i="1"/>
  <c r="V654" i="1" s="1"/>
  <c r="U655" i="1"/>
  <c r="V655" i="1" s="1"/>
  <c r="U656" i="1"/>
  <c r="V656" i="1" s="1"/>
  <c r="U657" i="1"/>
  <c r="V657" i="1" s="1"/>
  <c r="U658" i="1"/>
  <c r="V658" i="1" s="1"/>
  <c r="U659" i="1"/>
  <c r="V659" i="1" s="1"/>
  <c r="U660" i="1"/>
  <c r="V660" i="1" s="1"/>
  <c r="U661" i="1"/>
  <c r="V661" i="1" s="1"/>
  <c r="U662" i="1"/>
  <c r="V662" i="1" s="1"/>
  <c r="U663" i="1"/>
  <c r="V663" i="1" s="1"/>
  <c r="U664" i="1"/>
  <c r="V664" i="1" s="1"/>
  <c r="U665" i="1"/>
  <c r="V665" i="1" s="1"/>
  <c r="U666" i="1"/>
  <c r="V666" i="1" s="1"/>
  <c r="U667" i="1"/>
  <c r="V667" i="1" s="1"/>
  <c r="U668" i="1"/>
  <c r="U669" i="1"/>
  <c r="V669" i="1" s="1"/>
  <c r="U670" i="1"/>
  <c r="V670" i="1" s="1"/>
  <c r="U671" i="1"/>
  <c r="V671" i="1" s="1"/>
  <c r="U672" i="1"/>
  <c r="V672" i="1" s="1"/>
  <c r="U673" i="1"/>
  <c r="V673" i="1" s="1"/>
  <c r="U674" i="1"/>
  <c r="V674" i="1" s="1"/>
  <c r="U675" i="1"/>
  <c r="V675" i="1" s="1"/>
  <c r="U676" i="1"/>
  <c r="V676" i="1" s="1"/>
  <c r="U677" i="1"/>
  <c r="V677" i="1" s="1"/>
  <c r="U678" i="1"/>
  <c r="V678" i="1" s="1"/>
  <c r="U679" i="1"/>
  <c r="V679" i="1" s="1"/>
  <c r="U680" i="1"/>
  <c r="V680" i="1" s="1"/>
  <c r="U681" i="1"/>
  <c r="V681" i="1" s="1"/>
  <c r="U682" i="1"/>
  <c r="V682" i="1" s="1"/>
  <c r="U683" i="1"/>
  <c r="V683" i="1" s="1"/>
  <c r="U684" i="1"/>
  <c r="V684" i="1" s="1"/>
  <c r="U685" i="1"/>
  <c r="V685" i="1" s="1"/>
  <c r="U686" i="1"/>
  <c r="V686" i="1" s="1"/>
  <c r="U687" i="1"/>
  <c r="V687" i="1" s="1"/>
  <c r="U688" i="1"/>
  <c r="V688" i="1" s="1"/>
  <c r="U689" i="1"/>
  <c r="V689" i="1" s="1"/>
  <c r="U690" i="1"/>
  <c r="V690" i="1" s="1"/>
  <c r="U691" i="1"/>
  <c r="V691" i="1" s="1"/>
  <c r="U692" i="1"/>
  <c r="V692" i="1" s="1"/>
  <c r="U693" i="1"/>
  <c r="V693" i="1" s="1"/>
  <c r="U694" i="1"/>
  <c r="V694" i="1" s="1"/>
  <c r="U695" i="1"/>
  <c r="V695" i="1" s="1"/>
  <c r="U696" i="1"/>
  <c r="V696" i="1" s="1"/>
  <c r="U697" i="1"/>
  <c r="V697" i="1" s="1"/>
  <c r="U698" i="1"/>
  <c r="V698" i="1" s="1"/>
  <c r="U699" i="1"/>
  <c r="V699" i="1" s="1"/>
  <c r="U700" i="1"/>
  <c r="V700" i="1" s="1"/>
  <c r="U701" i="1"/>
  <c r="V701" i="1" s="1"/>
  <c r="U702" i="1"/>
  <c r="V702" i="1" s="1"/>
  <c r="U703" i="1"/>
  <c r="V703" i="1" s="1"/>
  <c r="U704" i="1"/>
  <c r="V704" i="1" s="1"/>
  <c r="U705" i="1"/>
  <c r="V705" i="1" s="1"/>
  <c r="U706" i="1"/>
  <c r="V706" i="1" s="1"/>
  <c r="U707" i="1"/>
  <c r="V707" i="1" s="1"/>
  <c r="U708" i="1"/>
  <c r="V708" i="1" s="1"/>
  <c r="U709" i="1"/>
  <c r="V709" i="1" s="1"/>
  <c r="U710" i="1"/>
  <c r="V710" i="1" s="1"/>
  <c r="U711" i="1"/>
  <c r="V711" i="1" s="1"/>
  <c r="U712" i="1"/>
  <c r="V712" i="1" s="1"/>
  <c r="U713" i="1"/>
  <c r="V713" i="1" s="1"/>
  <c r="U714" i="1"/>
  <c r="V714" i="1" s="1"/>
  <c r="U715" i="1"/>
  <c r="V715" i="1" s="1"/>
  <c r="U716" i="1"/>
  <c r="V716" i="1" s="1"/>
  <c r="U717" i="1"/>
  <c r="V717" i="1" s="1"/>
  <c r="U718" i="1"/>
  <c r="V718" i="1" s="1"/>
  <c r="U719" i="1"/>
  <c r="V719" i="1" s="1"/>
  <c r="U720" i="1"/>
  <c r="V720" i="1" s="1"/>
  <c r="U721" i="1"/>
  <c r="V721" i="1" s="1"/>
  <c r="U722" i="1"/>
  <c r="V722" i="1" s="1"/>
  <c r="U723" i="1"/>
  <c r="V723" i="1" s="1"/>
  <c r="U724" i="1"/>
  <c r="V724" i="1" s="1"/>
  <c r="U725" i="1"/>
  <c r="V725" i="1" s="1"/>
  <c r="U726" i="1"/>
  <c r="V726" i="1" s="1"/>
  <c r="U727" i="1"/>
  <c r="V727" i="1" s="1"/>
  <c r="U728" i="1"/>
  <c r="V728" i="1" s="1"/>
  <c r="U729" i="1"/>
  <c r="V729" i="1" s="1"/>
  <c r="U730" i="1"/>
  <c r="V730" i="1" s="1"/>
  <c r="U731" i="1"/>
  <c r="V731" i="1" s="1"/>
  <c r="U732" i="1"/>
  <c r="V732" i="1" s="1"/>
  <c r="U733" i="1"/>
  <c r="V733" i="1" s="1"/>
  <c r="U734" i="1"/>
  <c r="V734" i="1" s="1"/>
  <c r="U735" i="1"/>
  <c r="V735" i="1" s="1"/>
  <c r="U736" i="1"/>
  <c r="V736" i="1" s="1"/>
  <c r="U737" i="1"/>
  <c r="V737" i="1" s="1"/>
  <c r="U738" i="1"/>
  <c r="V738" i="1" s="1"/>
  <c r="U739" i="1"/>
  <c r="V739" i="1" s="1"/>
  <c r="U740" i="1"/>
  <c r="V740" i="1" s="1"/>
  <c r="U741" i="1"/>
  <c r="V741" i="1" s="1"/>
  <c r="U742" i="1"/>
  <c r="V742" i="1" s="1"/>
  <c r="U743" i="1"/>
  <c r="V743" i="1" s="1"/>
  <c r="U744" i="1"/>
  <c r="V744" i="1" s="1"/>
  <c r="U745" i="1"/>
  <c r="V745" i="1" s="1"/>
  <c r="U746" i="1"/>
  <c r="V746" i="1" s="1"/>
  <c r="U747" i="1"/>
  <c r="V747" i="1" s="1"/>
  <c r="U748" i="1"/>
  <c r="V748" i="1" s="1"/>
  <c r="U749" i="1"/>
  <c r="V749" i="1" s="1"/>
  <c r="U750" i="1"/>
  <c r="V750" i="1" s="1"/>
  <c r="U751" i="1"/>
  <c r="V751" i="1" s="1"/>
  <c r="U752" i="1"/>
  <c r="V752" i="1" s="1"/>
  <c r="U753" i="1"/>
  <c r="V753" i="1" s="1"/>
  <c r="U754" i="1"/>
  <c r="V754" i="1" s="1"/>
  <c r="U755" i="1"/>
  <c r="V755" i="1" s="1"/>
  <c r="U756" i="1"/>
  <c r="V756" i="1" s="1"/>
  <c r="U757" i="1"/>
  <c r="V757" i="1" s="1"/>
  <c r="U758" i="1"/>
  <c r="V758" i="1" s="1"/>
  <c r="U759" i="1"/>
  <c r="V759" i="1" s="1"/>
  <c r="U760" i="1"/>
  <c r="V760" i="1" s="1"/>
  <c r="U761" i="1"/>
  <c r="V761" i="1" s="1"/>
  <c r="U762" i="1"/>
  <c r="V762" i="1" s="1"/>
  <c r="U763" i="1"/>
  <c r="V763" i="1" s="1"/>
  <c r="U764" i="1"/>
  <c r="V764" i="1" s="1"/>
  <c r="U765" i="1"/>
  <c r="V765" i="1" s="1"/>
  <c r="U766" i="1"/>
  <c r="V766" i="1" s="1"/>
  <c r="U767" i="1"/>
  <c r="V767" i="1" s="1"/>
  <c r="U768" i="1"/>
  <c r="V768" i="1" s="1"/>
  <c r="U769" i="1"/>
  <c r="V769" i="1" s="1"/>
  <c r="U770" i="1"/>
  <c r="V770" i="1" s="1"/>
  <c r="U771" i="1"/>
  <c r="V771" i="1" s="1"/>
  <c r="U772" i="1"/>
  <c r="V772" i="1" s="1"/>
  <c r="U773" i="1"/>
  <c r="V773" i="1" s="1"/>
  <c r="U774" i="1"/>
  <c r="V774" i="1" s="1"/>
  <c r="U775" i="1"/>
  <c r="V775" i="1" s="1"/>
  <c r="U776" i="1"/>
  <c r="V776" i="1" s="1"/>
  <c r="U777" i="1"/>
  <c r="V777" i="1" s="1"/>
  <c r="U778" i="1"/>
  <c r="V778" i="1" s="1"/>
  <c r="U779" i="1"/>
  <c r="V779" i="1" s="1"/>
  <c r="U780" i="1"/>
  <c r="V780" i="1" s="1"/>
  <c r="U781" i="1"/>
  <c r="V781" i="1" s="1"/>
  <c r="U782" i="1"/>
  <c r="V782" i="1" s="1"/>
  <c r="U783" i="1"/>
  <c r="V783" i="1" s="1"/>
  <c r="U784" i="1"/>
  <c r="V784" i="1" s="1"/>
  <c r="U785" i="1"/>
  <c r="V785" i="1" s="1"/>
  <c r="U786" i="1"/>
  <c r="V786" i="1" s="1"/>
  <c r="U787" i="1"/>
  <c r="V787" i="1" s="1"/>
  <c r="U788" i="1"/>
  <c r="V788" i="1" s="1"/>
  <c r="U789" i="1"/>
  <c r="V789" i="1" s="1"/>
  <c r="U790" i="1"/>
  <c r="V790" i="1" s="1"/>
  <c r="U791" i="1"/>
  <c r="V791" i="1" s="1"/>
  <c r="U792" i="1"/>
  <c r="V792" i="1" s="1"/>
  <c r="U793" i="1"/>
  <c r="V793" i="1" s="1"/>
  <c r="U794" i="1"/>
  <c r="V794" i="1" s="1"/>
  <c r="U795" i="1"/>
  <c r="V795" i="1" s="1"/>
  <c r="U796" i="1"/>
  <c r="V796" i="1" s="1"/>
  <c r="U797" i="1"/>
  <c r="V797" i="1" s="1"/>
  <c r="U798" i="1"/>
  <c r="V798" i="1" s="1"/>
  <c r="U799" i="1"/>
  <c r="V799" i="1" s="1"/>
  <c r="U800" i="1"/>
  <c r="V800" i="1" s="1"/>
  <c r="U801" i="1"/>
  <c r="V801" i="1" s="1"/>
  <c r="U802" i="1"/>
  <c r="V802" i="1" s="1"/>
  <c r="U803" i="1"/>
  <c r="V803" i="1" s="1"/>
  <c r="U804" i="1"/>
  <c r="V804" i="1" s="1"/>
  <c r="U805" i="1"/>
  <c r="V805" i="1" s="1"/>
  <c r="U806" i="1"/>
  <c r="V806" i="1" s="1"/>
  <c r="U807" i="1"/>
  <c r="V807" i="1" s="1"/>
  <c r="U808" i="1"/>
  <c r="V808" i="1" s="1"/>
  <c r="U809" i="1"/>
  <c r="V809" i="1" s="1"/>
  <c r="U810" i="1"/>
  <c r="V810" i="1" s="1"/>
  <c r="U811" i="1"/>
  <c r="V811" i="1" s="1"/>
  <c r="U812" i="1"/>
  <c r="V812" i="1" s="1"/>
  <c r="U813" i="1"/>
  <c r="V813" i="1" s="1"/>
  <c r="U814" i="1"/>
  <c r="V814" i="1" s="1"/>
  <c r="U815" i="1"/>
  <c r="V815" i="1" s="1"/>
  <c r="U816" i="1"/>
  <c r="V816" i="1" s="1"/>
  <c r="U817" i="1"/>
  <c r="V817" i="1" s="1"/>
  <c r="U818" i="1"/>
  <c r="V818" i="1" s="1"/>
  <c r="U819" i="1"/>
  <c r="V819" i="1" s="1"/>
  <c r="U820" i="1"/>
  <c r="V820" i="1" s="1"/>
  <c r="U821" i="1"/>
  <c r="V821" i="1" s="1"/>
  <c r="U822" i="1"/>
  <c r="V822" i="1" s="1"/>
  <c r="U823" i="1"/>
  <c r="V823" i="1" s="1"/>
  <c r="U824" i="1"/>
  <c r="V824" i="1" s="1"/>
  <c r="U825" i="1"/>
  <c r="V825" i="1" s="1"/>
  <c r="U826" i="1"/>
  <c r="V826" i="1" s="1"/>
  <c r="U827" i="1"/>
  <c r="V827" i="1" s="1"/>
  <c r="U828" i="1"/>
  <c r="V828" i="1" s="1"/>
  <c r="U829" i="1"/>
  <c r="V829" i="1" s="1"/>
  <c r="U830" i="1"/>
  <c r="V830" i="1" s="1"/>
  <c r="U831" i="1"/>
  <c r="V831" i="1" s="1"/>
  <c r="U832" i="1"/>
  <c r="V832" i="1" s="1"/>
  <c r="U833" i="1"/>
  <c r="V833" i="1" s="1"/>
  <c r="U834" i="1"/>
  <c r="V834" i="1" s="1"/>
  <c r="U835" i="1"/>
  <c r="V835" i="1" s="1"/>
  <c r="U836" i="1"/>
  <c r="V836" i="1" s="1"/>
  <c r="U837" i="1"/>
  <c r="V837" i="1" s="1"/>
  <c r="U838" i="1"/>
  <c r="V838" i="1" s="1"/>
  <c r="U839" i="1"/>
  <c r="V839" i="1" s="1"/>
  <c r="U840" i="1"/>
  <c r="V840" i="1" s="1"/>
  <c r="U841" i="1"/>
  <c r="V841" i="1" s="1"/>
  <c r="U842" i="1"/>
  <c r="V842" i="1" s="1"/>
  <c r="U843" i="1"/>
  <c r="V843" i="1" s="1"/>
  <c r="U844" i="1"/>
  <c r="V844" i="1" s="1"/>
  <c r="U845" i="1"/>
  <c r="V845" i="1" s="1"/>
  <c r="U846" i="1"/>
  <c r="V846" i="1" s="1"/>
  <c r="U847" i="1"/>
  <c r="V847" i="1" s="1"/>
  <c r="U848" i="1"/>
  <c r="V848" i="1" s="1"/>
  <c r="U849" i="1"/>
  <c r="V849" i="1" s="1"/>
  <c r="U850" i="1"/>
  <c r="V850" i="1" s="1"/>
  <c r="U851" i="1"/>
  <c r="V851" i="1" s="1"/>
  <c r="U852" i="1"/>
  <c r="V852" i="1" s="1"/>
  <c r="U853" i="1"/>
  <c r="V853" i="1" s="1"/>
  <c r="U854" i="1"/>
  <c r="V854" i="1" s="1"/>
  <c r="U855" i="1"/>
  <c r="V855" i="1" s="1"/>
  <c r="U856" i="1"/>
  <c r="V856" i="1" s="1"/>
  <c r="U857" i="1"/>
  <c r="V857" i="1" s="1"/>
  <c r="U858" i="1"/>
  <c r="V858" i="1" s="1"/>
  <c r="U859" i="1"/>
  <c r="V859" i="1" s="1"/>
  <c r="U860" i="1"/>
  <c r="V860" i="1" s="1"/>
  <c r="U861" i="1"/>
  <c r="V861" i="1" s="1"/>
  <c r="U862" i="1"/>
  <c r="V862" i="1" s="1"/>
  <c r="U863" i="1"/>
  <c r="V863" i="1" s="1"/>
  <c r="U864" i="1"/>
  <c r="V864" i="1" s="1"/>
  <c r="U865" i="1"/>
  <c r="V865" i="1" s="1"/>
  <c r="U866" i="1"/>
  <c r="V866" i="1" s="1"/>
  <c r="U867" i="1"/>
  <c r="V867" i="1" s="1"/>
  <c r="U868" i="1"/>
  <c r="V868" i="1" s="1"/>
  <c r="U869" i="1"/>
  <c r="V869" i="1" s="1"/>
  <c r="U870" i="1"/>
  <c r="V870" i="1" s="1"/>
  <c r="U871" i="1"/>
  <c r="V871" i="1" s="1"/>
  <c r="U872" i="1"/>
  <c r="V872" i="1" s="1"/>
  <c r="U873" i="1"/>
  <c r="V873" i="1" s="1"/>
  <c r="U874" i="1"/>
  <c r="V874" i="1" s="1"/>
  <c r="U875" i="1"/>
  <c r="V875" i="1" s="1"/>
  <c r="U876" i="1"/>
  <c r="V876" i="1" s="1"/>
  <c r="U877" i="1"/>
  <c r="V877" i="1" s="1"/>
  <c r="U878" i="1"/>
  <c r="U879" i="1"/>
  <c r="V879" i="1" s="1"/>
  <c r="U880" i="1"/>
  <c r="V880" i="1" s="1"/>
  <c r="U881" i="1"/>
  <c r="V881" i="1" s="1"/>
  <c r="U882" i="1"/>
  <c r="V882" i="1" s="1"/>
  <c r="U883" i="1"/>
  <c r="V883" i="1" s="1"/>
  <c r="U884" i="1"/>
  <c r="V884" i="1" s="1"/>
  <c r="U885" i="1"/>
  <c r="V885" i="1" s="1"/>
  <c r="U886" i="1"/>
  <c r="V886" i="1" s="1"/>
  <c r="U887" i="1"/>
  <c r="V887" i="1" s="1"/>
  <c r="U888" i="1"/>
  <c r="V888" i="1" s="1"/>
  <c r="U889" i="1"/>
  <c r="V889" i="1" s="1"/>
  <c r="U890" i="1"/>
  <c r="V890" i="1" s="1"/>
  <c r="U891" i="1"/>
  <c r="V891" i="1" s="1"/>
  <c r="U892" i="1"/>
  <c r="V892" i="1" s="1"/>
  <c r="U893" i="1"/>
  <c r="V893" i="1" s="1"/>
  <c r="U894" i="1"/>
  <c r="V894" i="1" s="1"/>
  <c r="U895" i="1"/>
  <c r="V895" i="1" s="1"/>
  <c r="U896" i="1"/>
  <c r="V896" i="1" s="1"/>
  <c r="U897" i="1"/>
  <c r="V897" i="1" s="1"/>
  <c r="U898" i="1"/>
  <c r="V898" i="1" s="1"/>
  <c r="U899" i="1"/>
  <c r="V899" i="1" s="1"/>
  <c r="U900" i="1"/>
  <c r="V900" i="1" s="1"/>
  <c r="U901" i="1"/>
  <c r="V901" i="1" s="1"/>
  <c r="U902" i="1"/>
  <c r="V902" i="1" s="1"/>
  <c r="U903" i="1"/>
  <c r="V903" i="1" s="1"/>
  <c r="U904" i="1"/>
  <c r="V904" i="1" s="1"/>
  <c r="U905" i="1"/>
  <c r="V905" i="1" s="1"/>
  <c r="U906" i="1"/>
  <c r="V906" i="1" s="1"/>
  <c r="U907" i="1"/>
  <c r="V907" i="1" s="1"/>
  <c r="U908" i="1"/>
  <c r="V908" i="1" s="1"/>
  <c r="U909" i="1"/>
  <c r="V909" i="1" s="1"/>
  <c r="U910" i="1"/>
  <c r="V910" i="1" s="1"/>
  <c r="U911" i="1"/>
  <c r="V911" i="1" s="1"/>
  <c r="U912" i="1"/>
  <c r="V912" i="1" s="1"/>
  <c r="U913" i="1"/>
  <c r="V913" i="1" s="1"/>
  <c r="U914" i="1"/>
  <c r="V914" i="1" s="1"/>
  <c r="U915" i="1"/>
  <c r="V915" i="1" s="1"/>
  <c r="U916" i="1"/>
  <c r="V916" i="1" s="1"/>
  <c r="U917" i="1"/>
  <c r="V917" i="1" s="1"/>
  <c r="U918" i="1"/>
  <c r="V918" i="1" s="1"/>
  <c r="U919" i="1"/>
  <c r="V919" i="1" s="1"/>
  <c r="U920" i="1"/>
  <c r="V920" i="1" s="1"/>
  <c r="U921" i="1"/>
  <c r="V921" i="1" s="1"/>
  <c r="U922" i="1"/>
  <c r="U923" i="1"/>
  <c r="V923" i="1" s="1"/>
  <c r="U924" i="1"/>
  <c r="V924" i="1" s="1"/>
  <c r="U925" i="1"/>
  <c r="V925" i="1" s="1"/>
  <c r="U926" i="1"/>
  <c r="V926" i="1" s="1"/>
  <c r="U927" i="1"/>
  <c r="V927" i="1" s="1"/>
  <c r="U928" i="1"/>
  <c r="V928" i="1" s="1"/>
  <c r="U929" i="1"/>
  <c r="V929" i="1" s="1"/>
  <c r="U930" i="1"/>
  <c r="V930" i="1" s="1"/>
  <c r="U931" i="1"/>
  <c r="V931" i="1" s="1"/>
  <c r="U932" i="1"/>
  <c r="V932" i="1" s="1"/>
  <c r="U933" i="1"/>
  <c r="V933" i="1" s="1"/>
  <c r="U934" i="1"/>
  <c r="V934" i="1" s="1"/>
  <c r="U935" i="1"/>
  <c r="V935" i="1" s="1"/>
  <c r="U936" i="1"/>
  <c r="V936" i="1" s="1"/>
  <c r="U937" i="1"/>
  <c r="V937" i="1" s="1"/>
  <c r="U938" i="1"/>
  <c r="V938" i="1" s="1"/>
  <c r="U939" i="1"/>
  <c r="V939" i="1" s="1"/>
  <c r="U940" i="1"/>
  <c r="V940" i="1" s="1"/>
  <c r="U941" i="1"/>
  <c r="V941" i="1" s="1"/>
  <c r="U942" i="1"/>
  <c r="V942" i="1" s="1"/>
  <c r="U943" i="1"/>
  <c r="V943" i="1" s="1"/>
  <c r="U944" i="1"/>
  <c r="V944" i="1" s="1"/>
  <c r="U945" i="1"/>
  <c r="V945" i="1" s="1"/>
  <c r="U946" i="1"/>
  <c r="V946" i="1" s="1"/>
  <c r="U947" i="1"/>
  <c r="V947" i="1" s="1"/>
  <c r="U948" i="1"/>
  <c r="V948" i="1" s="1"/>
  <c r="U949" i="1"/>
  <c r="V949" i="1" s="1"/>
  <c r="U950" i="1"/>
  <c r="V950" i="1" s="1"/>
  <c r="U951" i="1"/>
  <c r="V951" i="1" s="1"/>
  <c r="U952" i="1"/>
  <c r="V952" i="1" s="1"/>
  <c r="U953" i="1"/>
  <c r="V953" i="1" s="1"/>
  <c r="U954" i="1"/>
  <c r="V954" i="1" s="1"/>
  <c r="U955" i="1"/>
  <c r="V955" i="1" s="1"/>
  <c r="U956" i="1"/>
  <c r="V956" i="1" s="1"/>
  <c r="U957" i="1"/>
  <c r="V957" i="1" s="1"/>
  <c r="U958" i="1"/>
  <c r="V958" i="1" s="1"/>
  <c r="U959" i="1"/>
  <c r="V959" i="1" s="1"/>
  <c r="U960" i="1"/>
  <c r="V960" i="1" s="1"/>
  <c r="U961" i="1"/>
  <c r="V961" i="1" s="1"/>
  <c r="U962" i="1"/>
  <c r="V962" i="1" s="1"/>
  <c r="U963" i="1"/>
  <c r="V963" i="1" s="1"/>
  <c r="U964" i="1"/>
  <c r="V964" i="1" s="1"/>
  <c r="U965" i="1"/>
  <c r="V965" i="1" s="1"/>
  <c r="U966" i="1"/>
  <c r="V966" i="1" s="1"/>
  <c r="U967" i="1"/>
  <c r="V967" i="1" s="1"/>
  <c r="U968" i="1"/>
  <c r="V968" i="1" s="1"/>
  <c r="U969" i="1"/>
  <c r="V969" i="1" s="1"/>
  <c r="U970" i="1"/>
  <c r="V970" i="1" s="1"/>
  <c r="U971" i="1"/>
  <c r="V971" i="1" s="1"/>
  <c r="U972" i="1"/>
  <c r="V972" i="1" s="1"/>
  <c r="U973" i="1"/>
  <c r="V973" i="1" s="1"/>
  <c r="U974" i="1"/>
  <c r="V974" i="1" s="1"/>
  <c r="U975" i="1"/>
  <c r="V975" i="1" s="1"/>
  <c r="U976" i="1"/>
  <c r="V976" i="1" s="1"/>
  <c r="U977" i="1"/>
  <c r="V977" i="1" s="1"/>
  <c r="U978" i="1"/>
  <c r="V978" i="1" s="1"/>
  <c r="U979" i="1"/>
  <c r="V979" i="1" s="1"/>
  <c r="U980" i="1"/>
  <c r="V980" i="1" s="1"/>
  <c r="U981" i="1"/>
  <c r="V981" i="1" s="1"/>
  <c r="U982" i="1"/>
  <c r="V982" i="1" s="1"/>
  <c r="U983" i="1"/>
  <c r="V983" i="1" s="1"/>
  <c r="U984" i="1"/>
  <c r="V984" i="1" s="1"/>
  <c r="U985" i="1"/>
  <c r="V985" i="1" s="1"/>
  <c r="U986" i="1"/>
  <c r="V986" i="1" s="1"/>
  <c r="U987" i="1"/>
  <c r="V987" i="1" s="1"/>
  <c r="U988" i="1"/>
  <c r="V988" i="1" s="1"/>
  <c r="U989" i="1"/>
  <c r="V989" i="1" s="1"/>
  <c r="U990" i="1"/>
  <c r="V990" i="1" s="1"/>
  <c r="U991" i="1"/>
  <c r="V991" i="1" s="1"/>
  <c r="U992" i="1"/>
  <c r="V992" i="1" s="1"/>
  <c r="U993" i="1"/>
  <c r="V993" i="1" s="1"/>
  <c r="U994" i="1"/>
  <c r="V994" i="1" s="1"/>
  <c r="U995" i="1"/>
  <c r="V995" i="1" s="1"/>
  <c r="U996" i="1"/>
  <c r="V996" i="1" s="1"/>
  <c r="U997" i="1"/>
  <c r="V997" i="1" s="1"/>
  <c r="U998" i="1"/>
  <c r="V998" i="1" s="1"/>
  <c r="U999" i="1"/>
  <c r="V999" i="1" s="1"/>
  <c r="U1000" i="1"/>
  <c r="V1000" i="1" s="1"/>
  <c r="U1001" i="1"/>
  <c r="V1001" i="1" s="1"/>
  <c r="U1002" i="1"/>
  <c r="V1002" i="1" s="1"/>
  <c r="U1003" i="1"/>
  <c r="V1003" i="1" s="1"/>
  <c r="U1004" i="1"/>
  <c r="V1004" i="1" s="1"/>
  <c r="U1005" i="1"/>
  <c r="V1005" i="1" s="1"/>
  <c r="U1006" i="1"/>
  <c r="V1006" i="1" s="1"/>
  <c r="U1007" i="1"/>
  <c r="V1007" i="1" s="1"/>
  <c r="U1008" i="1"/>
  <c r="V1008" i="1" s="1"/>
  <c r="U1009" i="1"/>
  <c r="V1009" i="1" s="1"/>
  <c r="U1010" i="1"/>
  <c r="V1010" i="1" s="1"/>
  <c r="U1011" i="1"/>
  <c r="V1011" i="1" s="1"/>
  <c r="U1012" i="1"/>
  <c r="V1012" i="1" s="1"/>
  <c r="U1013" i="1"/>
  <c r="V1013" i="1" s="1"/>
  <c r="U1014" i="1"/>
  <c r="V1014" i="1" s="1"/>
  <c r="U1015" i="1"/>
  <c r="V1015" i="1" s="1"/>
  <c r="U1016" i="1"/>
  <c r="V1016" i="1" s="1"/>
  <c r="U1017" i="1"/>
  <c r="V1017" i="1" s="1"/>
  <c r="U1018" i="1"/>
  <c r="V1018" i="1" s="1"/>
  <c r="U1019" i="1"/>
  <c r="V1019" i="1" s="1"/>
  <c r="U1020" i="1"/>
  <c r="V1020" i="1" s="1"/>
  <c r="U1021" i="1"/>
  <c r="V1021" i="1" s="1"/>
  <c r="U1022" i="1"/>
  <c r="V1022" i="1" s="1"/>
  <c r="U1023" i="1"/>
  <c r="V1023" i="1" s="1"/>
  <c r="U1024" i="1"/>
  <c r="V1024" i="1" s="1"/>
  <c r="U1025" i="1"/>
  <c r="V1025" i="1" s="1"/>
  <c r="U1026" i="1"/>
  <c r="V1026" i="1" s="1"/>
  <c r="U1027" i="1"/>
  <c r="V1027" i="1" s="1"/>
  <c r="U1028" i="1"/>
  <c r="V1028" i="1" s="1"/>
  <c r="U1029" i="1"/>
  <c r="V1029" i="1" s="1"/>
  <c r="U1030" i="1"/>
  <c r="V1030" i="1" s="1"/>
  <c r="U1031" i="1"/>
  <c r="V1031" i="1" s="1"/>
  <c r="U1032" i="1"/>
  <c r="V1032" i="1" s="1"/>
  <c r="U1033" i="1"/>
  <c r="V1033" i="1" s="1"/>
  <c r="U1034" i="1"/>
  <c r="V1034" i="1" s="1"/>
  <c r="U1035" i="1"/>
  <c r="V1035" i="1" s="1"/>
  <c r="U1036" i="1"/>
  <c r="V1036" i="1" s="1"/>
  <c r="U1037" i="1"/>
  <c r="V1037" i="1" s="1"/>
  <c r="U1038" i="1"/>
  <c r="V1038" i="1" s="1"/>
  <c r="U1039" i="1"/>
  <c r="V1039" i="1" s="1"/>
  <c r="U1040" i="1"/>
  <c r="V1040" i="1" s="1"/>
  <c r="U1041" i="1"/>
  <c r="V1041" i="1" s="1"/>
  <c r="U1042" i="1"/>
  <c r="V1042" i="1" s="1"/>
  <c r="U1043" i="1"/>
  <c r="V1043" i="1" s="1"/>
  <c r="U1044" i="1"/>
  <c r="V1044" i="1" s="1"/>
  <c r="U1045" i="1"/>
  <c r="V1045" i="1" s="1"/>
  <c r="U1046" i="1"/>
  <c r="V1046" i="1" s="1"/>
  <c r="U1047" i="1"/>
  <c r="V1047" i="1" s="1"/>
  <c r="U1048" i="1"/>
  <c r="V1048" i="1" s="1"/>
  <c r="U1049" i="1"/>
  <c r="V1049" i="1" s="1"/>
  <c r="U1050" i="1"/>
  <c r="V1050" i="1" s="1"/>
  <c r="U1051" i="1"/>
  <c r="V1051" i="1" s="1"/>
  <c r="U1052" i="1"/>
  <c r="V1052" i="1" s="1"/>
  <c r="U1053" i="1"/>
  <c r="V1053" i="1" s="1"/>
  <c r="U1054" i="1"/>
  <c r="V1054" i="1" s="1"/>
  <c r="U1055" i="1"/>
  <c r="V1055" i="1" s="1"/>
  <c r="U1056" i="1"/>
  <c r="V1056" i="1" s="1"/>
  <c r="U1057" i="1"/>
  <c r="V1057" i="1" s="1"/>
  <c r="U1058" i="1"/>
  <c r="V1058" i="1" s="1"/>
  <c r="U1059" i="1"/>
  <c r="V1059" i="1" s="1"/>
  <c r="U1060" i="1"/>
  <c r="V1060" i="1" s="1"/>
  <c r="U1061" i="1"/>
  <c r="V1061" i="1" s="1"/>
  <c r="U1062" i="1"/>
  <c r="V1062" i="1" s="1"/>
  <c r="U1063" i="1"/>
  <c r="V1063" i="1" s="1"/>
  <c r="U1064" i="1"/>
  <c r="V1064" i="1" s="1"/>
  <c r="U1065" i="1"/>
  <c r="V1065" i="1" s="1"/>
  <c r="U1066" i="1"/>
  <c r="V1066" i="1" s="1"/>
  <c r="U1067" i="1"/>
  <c r="V1067" i="1" s="1"/>
  <c r="U1068" i="1"/>
  <c r="V1068" i="1" s="1"/>
  <c r="U1069" i="1"/>
  <c r="V1069" i="1" s="1"/>
  <c r="U1070" i="1"/>
  <c r="V1070" i="1" s="1"/>
  <c r="U1071" i="1"/>
  <c r="V1071" i="1" s="1"/>
  <c r="U1072" i="1"/>
  <c r="V1072" i="1" s="1"/>
  <c r="U1073" i="1"/>
  <c r="V1073" i="1" s="1"/>
  <c r="U1074" i="1"/>
  <c r="V1074" i="1" s="1"/>
  <c r="U1075" i="1"/>
  <c r="V1075" i="1" s="1"/>
  <c r="U1076" i="1"/>
  <c r="V1076" i="1" s="1"/>
  <c r="U1077" i="1"/>
  <c r="V1077" i="1" s="1"/>
  <c r="U1078" i="1"/>
  <c r="V1078" i="1" s="1"/>
  <c r="U1079" i="1"/>
  <c r="V1079" i="1" s="1"/>
  <c r="U1080" i="1"/>
  <c r="V1080" i="1" s="1"/>
  <c r="U1081" i="1"/>
  <c r="V1081" i="1" s="1"/>
  <c r="U1082" i="1"/>
  <c r="V1082" i="1" s="1"/>
  <c r="U1083" i="1"/>
  <c r="V1083" i="1" s="1"/>
  <c r="U1084" i="1"/>
  <c r="V1084" i="1" s="1"/>
  <c r="U1085" i="1"/>
  <c r="V1085" i="1" s="1"/>
  <c r="U1086" i="1"/>
  <c r="V1086" i="1" s="1"/>
  <c r="U1087" i="1"/>
  <c r="V1087" i="1" s="1"/>
  <c r="U1088" i="1"/>
  <c r="V1088" i="1" s="1"/>
  <c r="U1089" i="1"/>
  <c r="V1089" i="1" s="1"/>
  <c r="U1090" i="1"/>
  <c r="V1090" i="1" s="1"/>
  <c r="U1091" i="1"/>
  <c r="V1091" i="1" s="1"/>
  <c r="U1092" i="1"/>
  <c r="V1092" i="1" s="1"/>
  <c r="U1093" i="1"/>
  <c r="V1093" i="1" s="1"/>
  <c r="U1094" i="1"/>
  <c r="V1094" i="1" s="1"/>
  <c r="U1095" i="1"/>
  <c r="V1095" i="1" s="1"/>
  <c r="U1096" i="1"/>
  <c r="V1096" i="1" s="1"/>
  <c r="U1097" i="1"/>
  <c r="V1097" i="1" s="1"/>
  <c r="U1098" i="1"/>
  <c r="V1098" i="1" s="1"/>
  <c r="U1099" i="1"/>
  <c r="V1099" i="1" s="1"/>
  <c r="U1100" i="1"/>
  <c r="V1100" i="1" s="1"/>
  <c r="U1101" i="1"/>
  <c r="V1101" i="1" s="1"/>
  <c r="U1102" i="1"/>
  <c r="V1102" i="1" s="1"/>
  <c r="U1103" i="1"/>
  <c r="V1103" i="1" s="1"/>
  <c r="U1104" i="1"/>
  <c r="V1104" i="1" s="1"/>
  <c r="U1105" i="1"/>
  <c r="V1105" i="1" s="1"/>
  <c r="U1106" i="1"/>
  <c r="V1106" i="1" s="1"/>
  <c r="U1107" i="1"/>
  <c r="V1107" i="1" s="1"/>
  <c r="U1108" i="1"/>
  <c r="V1108" i="1" s="1"/>
  <c r="U1109" i="1"/>
  <c r="V1109" i="1" s="1"/>
  <c r="U1110" i="1"/>
  <c r="V1110" i="1" s="1"/>
  <c r="U1111" i="1"/>
  <c r="V1111" i="1" s="1"/>
  <c r="U1112" i="1"/>
  <c r="V1112" i="1" s="1"/>
  <c r="U1113" i="1"/>
  <c r="V1113" i="1" s="1"/>
  <c r="U1114" i="1"/>
  <c r="V1114" i="1" s="1"/>
  <c r="U1115" i="1"/>
  <c r="V1115" i="1" s="1"/>
  <c r="U1116" i="1"/>
  <c r="V1116" i="1" s="1"/>
  <c r="U1117" i="1"/>
  <c r="V1117" i="1" s="1"/>
  <c r="U1118" i="1"/>
  <c r="V1118" i="1" s="1"/>
  <c r="U1119" i="1"/>
  <c r="V1119" i="1" s="1"/>
  <c r="U1120" i="1"/>
  <c r="V1120" i="1" s="1"/>
  <c r="U1121" i="1"/>
  <c r="V1121" i="1" s="1"/>
  <c r="U1122" i="1"/>
  <c r="V1122" i="1" s="1"/>
  <c r="U1123" i="1"/>
  <c r="V1123" i="1" s="1"/>
  <c r="U1124" i="1"/>
  <c r="V1124" i="1" s="1"/>
  <c r="U1125" i="1"/>
  <c r="V1125" i="1" s="1"/>
  <c r="U1126" i="1"/>
  <c r="V1126" i="1" s="1"/>
  <c r="U1127" i="1"/>
  <c r="V1127" i="1" s="1"/>
  <c r="U1128" i="1"/>
  <c r="V1128" i="1" s="1"/>
  <c r="U1129" i="1"/>
  <c r="V1129" i="1" s="1"/>
  <c r="U1130" i="1"/>
  <c r="V1130" i="1" s="1"/>
  <c r="U1131" i="1"/>
  <c r="V1131" i="1" s="1"/>
  <c r="U1132" i="1"/>
  <c r="V1132" i="1" s="1"/>
  <c r="U1133" i="1"/>
  <c r="V1133" i="1" s="1"/>
  <c r="U1134" i="1"/>
  <c r="V1134" i="1" s="1"/>
  <c r="U1135" i="1"/>
  <c r="V1135" i="1" s="1"/>
  <c r="U1136" i="1"/>
  <c r="V1136" i="1" s="1"/>
  <c r="U1137" i="1"/>
  <c r="V1137" i="1" s="1"/>
  <c r="U1138" i="1"/>
  <c r="V1138" i="1" s="1"/>
  <c r="U1139" i="1"/>
  <c r="V1139" i="1" s="1"/>
  <c r="U1140" i="1"/>
  <c r="V1140" i="1" s="1"/>
  <c r="U1141" i="1"/>
  <c r="V1141" i="1" s="1"/>
  <c r="U1142" i="1"/>
  <c r="V1142" i="1" s="1"/>
  <c r="U1143" i="1"/>
  <c r="V1143" i="1" s="1"/>
  <c r="U1144" i="1"/>
  <c r="V1144" i="1" s="1"/>
  <c r="U1145" i="1"/>
  <c r="V1145" i="1" s="1"/>
  <c r="U1146" i="1"/>
  <c r="V1146" i="1" s="1"/>
  <c r="U1147" i="1"/>
  <c r="V1147" i="1" s="1"/>
  <c r="U1148" i="1"/>
  <c r="V1148" i="1" s="1"/>
  <c r="U1149" i="1"/>
  <c r="V1149" i="1" s="1"/>
  <c r="U1150" i="1"/>
  <c r="V1150" i="1" s="1"/>
  <c r="U1151" i="1"/>
  <c r="V1151" i="1" s="1"/>
  <c r="U1152" i="1"/>
  <c r="V1152" i="1" s="1"/>
  <c r="U1153" i="1"/>
  <c r="V1153" i="1" s="1"/>
  <c r="U1154" i="1"/>
  <c r="V1154" i="1" s="1"/>
  <c r="U1155" i="1"/>
  <c r="V1155" i="1" s="1"/>
  <c r="U1156" i="1"/>
  <c r="V1156" i="1" s="1"/>
  <c r="U1157" i="1"/>
  <c r="V1157" i="1" s="1"/>
  <c r="U1158" i="1"/>
  <c r="V1158" i="1" s="1"/>
  <c r="U1159" i="1"/>
  <c r="V1159" i="1" s="1"/>
  <c r="U1160" i="1"/>
  <c r="V1160" i="1" s="1"/>
  <c r="U1161" i="1"/>
  <c r="V1161" i="1" s="1"/>
  <c r="U1162" i="1"/>
  <c r="V1162" i="1" s="1"/>
  <c r="U1163" i="1"/>
  <c r="V1163" i="1" s="1"/>
  <c r="U1164" i="1"/>
  <c r="V1164" i="1" s="1"/>
  <c r="U1165" i="1"/>
  <c r="V1165" i="1" s="1"/>
  <c r="U1166" i="1"/>
  <c r="V1166" i="1" s="1"/>
  <c r="U1167" i="1"/>
  <c r="V1167" i="1" s="1"/>
  <c r="U1168" i="1"/>
  <c r="V1168" i="1" s="1"/>
  <c r="U1169" i="1"/>
  <c r="V1169" i="1" s="1"/>
  <c r="U1170" i="1"/>
  <c r="V1170" i="1" s="1"/>
  <c r="U1171" i="1"/>
  <c r="V1171" i="1" s="1"/>
  <c r="U1172" i="1"/>
  <c r="V1172" i="1" s="1"/>
  <c r="U1173" i="1"/>
  <c r="V1173" i="1" s="1"/>
  <c r="U1174" i="1"/>
  <c r="V1174" i="1" s="1"/>
  <c r="U1175" i="1"/>
  <c r="V1175" i="1" s="1"/>
  <c r="U1176" i="1"/>
  <c r="U1177" i="1"/>
  <c r="V1177" i="1" s="1"/>
  <c r="U1178" i="1"/>
  <c r="V1178" i="1" s="1"/>
  <c r="U1179" i="1"/>
  <c r="V1179" i="1" s="1"/>
  <c r="U1180" i="1"/>
  <c r="V1180" i="1" s="1"/>
  <c r="U1181" i="1"/>
  <c r="V1181" i="1" s="1"/>
  <c r="U1182" i="1"/>
  <c r="V1182" i="1" s="1"/>
  <c r="U1183" i="1"/>
  <c r="V1183" i="1" s="1"/>
  <c r="U1184" i="1"/>
  <c r="V1184" i="1" s="1"/>
  <c r="U1185" i="1"/>
  <c r="V1185" i="1" s="1"/>
  <c r="U1186" i="1"/>
  <c r="V1186" i="1" s="1"/>
  <c r="U1187" i="1"/>
  <c r="V1187" i="1" s="1"/>
  <c r="U1188" i="1"/>
  <c r="V1188" i="1" s="1"/>
  <c r="U1189" i="1"/>
  <c r="V1189" i="1" s="1"/>
  <c r="U1190" i="1"/>
  <c r="U1191" i="1"/>
  <c r="V1191" i="1" s="1"/>
  <c r="U1192" i="1"/>
  <c r="V1192" i="1" s="1"/>
  <c r="U1193" i="1"/>
  <c r="V1193" i="1" s="1"/>
  <c r="U1194" i="1"/>
  <c r="V1194" i="1" s="1"/>
  <c r="U1195" i="1"/>
  <c r="V1195" i="1" s="1"/>
  <c r="U1196" i="1"/>
  <c r="V1196" i="1" s="1"/>
  <c r="U1197" i="1"/>
  <c r="V1197" i="1" s="1"/>
  <c r="U1198" i="1"/>
  <c r="V1198" i="1" s="1"/>
  <c r="U1199" i="1"/>
  <c r="V1199" i="1" s="1"/>
  <c r="U1200" i="1"/>
  <c r="V1200" i="1" s="1"/>
  <c r="U1201" i="1"/>
  <c r="V1201" i="1" s="1"/>
  <c r="U1202" i="1"/>
  <c r="V1202" i="1" s="1"/>
  <c r="U1203" i="1"/>
  <c r="V1203" i="1" s="1"/>
  <c r="U1204" i="1"/>
  <c r="V1204" i="1" s="1"/>
  <c r="U1205" i="1"/>
  <c r="V1205" i="1" s="1"/>
  <c r="U1206" i="1"/>
  <c r="V1206" i="1" s="1"/>
  <c r="U1207" i="1"/>
  <c r="V1207" i="1" s="1"/>
  <c r="U1208" i="1"/>
  <c r="V1208" i="1" s="1"/>
  <c r="U1209" i="1"/>
  <c r="V1209" i="1" s="1"/>
  <c r="U1210" i="1"/>
  <c r="V1210" i="1" s="1"/>
  <c r="U1211" i="1"/>
  <c r="V1211" i="1" s="1"/>
  <c r="U1212" i="1"/>
  <c r="V1212" i="1" s="1"/>
  <c r="U1213" i="1"/>
  <c r="V1213" i="1" s="1"/>
  <c r="U1214" i="1"/>
  <c r="V1214" i="1" s="1"/>
  <c r="U1215" i="1"/>
  <c r="V1215" i="1" s="1"/>
  <c r="U1216" i="1"/>
  <c r="V1216" i="1" s="1"/>
  <c r="U1217" i="1"/>
  <c r="V1217" i="1" s="1"/>
  <c r="U1218" i="1"/>
  <c r="V1218" i="1" s="1"/>
  <c r="U1219" i="1"/>
  <c r="V1219" i="1" s="1"/>
  <c r="U1220" i="1"/>
  <c r="V1220" i="1" s="1"/>
  <c r="U1221" i="1"/>
  <c r="V1221" i="1" s="1"/>
  <c r="U1222" i="1"/>
  <c r="V1222" i="1" s="1"/>
  <c r="U1223" i="1"/>
  <c r="V1223" i="1" s="1"/>
  <c r="U1224" i="1"/>
  <c r="V1224" i="1" s="1"/>
  <c r="U1225" i="1"/>
  <c r="V1225" i="1" s="1"/>
  <c r="U1226" i="1"/>
  <c r="V1226" i="1" s="1"/>
  <c r="U1227" i="1"/>
  <c r="V1227" i="1" s="1"/>
  <c r="U1228" i="1"/>
  <c r="V1228" i="1" s="1"/>
  <c r="U1229" i="1"/>
  <c r="V1229" i="1" s="1"/>
  <c r="U1230" i="1"/>
  <c r="V1230" i="1" s="1"/>
  <c r="U1231" i="1"/>
  <c r="V1231" i="1" s="1"/>
  <c r="U1232" i="1"/>
  <c r="V1232" i="1" s="1"/>
  <c r="U1233" i="1"/>
  <c r="V1233" i="1" s="1"/>
  <c r="U1234" i="1"/>
  <c r="V1234" i="1" s="1"/>
  <c r="U1235" i="1"/>
  <c r="V1235" i="1" s="1"/>
  <c r="U1236" i="1"/>
  <c r="V1236" i="1" s="1"/>
  <c r="U1237" i="1"/>
  <c r="V1237" i="1" s="1"/>
  <c r="U1238" i="1"/>
  <c r="V1238" i="1" s="1"/>
  <c r="U1239" i="1"/>
  <c r="V1239" i="1" s="1"/>
  <c r="U1240" i="1"/>
  <c r="V1240" i="1" s="1"/>
  <c r="U1241" i="1"/>
  <c r="V1241" i="1" s="1"/>
  <c r="U1242" i="1"/>
  <c r="V1242" i="1" s="1"/>
  <c r="U1243" i="1"/>
  <c r="V1243" i="1" s="1"/>
  <c r="U1244" i="1"/>
  <c r="V1244" i="1" s="1"/>
  <c r="U1245" i="1"/>
  <c r="V1245" i="1" s="1"/>
  <c r="U1246" i="1"/>
  <c r="V1246" i="1" s="1"/>
  <c r="U1247" i="1"/>
  <c r="V1247" i="1" s="1"/>
  <c r="U1248" i="1"/>
  <c r="V1248" i="1" s="1"/>
  <c r="U1249" i="1"/>
  <c r="V1249" i="1" s="1"/>
  <c r="U1250" i="1"/>
  <c r="V1250" i="1" s="1"/>
  <c r="U1251" i="1"/>
  <c r="V1251" i="1" s="1"/>
  <c r="U1252" i="1"/>
  <c r="V1252" i="1" s="1"/>
  <c r="U1253" i="1"/>
  <c r="V1253" i="1" s="1"/>
  <c r="U1254" i="1"/>
  <c r="V1254" i="1" s="1"/>
  <c r="U1255" i="1"/>
  <c r="V1255" i="1" s="1"/>
  <c r="U1256" i="1"/>
  <c r="V1256" i="1" s="1"/>
  <c r="U1257" i="1"/>
  <c r="V1257" i="1" s="1"/>
  <c r="U1258" i="1"/>
  <c r="V1258" i="1" s="1"/>
  <c r="U1259" i="1"/>
  <c r="V1259" i="1" s="1"/>
  <c r="U1260" i="1"/>
  <c r="V1260" i="1" s="1"/>
  <c r="U1261" i="1"/>
  <c r="V1261" i="1" s="1"/>
  <c r="U1262" i="1"/>
  <c r="V1262" i="1" s="1"/>
  <c r="U1263" i="1"/>
  <c r="V1263" i="1" s="1"/>
  <c r="U1264" i="1"/>
  <c r="V1264" i="1" s="1"/>
  <c r="U1265" i="1"/>
  <c r="V1265" i="1" s="1"/>
  <c r="U1266" i="1"/>
  <c r="V1266" i="1" s="1"/>
  <c r="U1267" i="1"/>
  <c r="V1267" i="1" s="1"/>
  <c r="U1268" i="1"/>
  <c r="V1268" i="1" s="1"/>
  <c r="U1269" i="1"/>
  <c r="V1269" i="1" s="1"/>
  <c r="U1270" i="1"/>
  <c r="V1270" i="1" s="1"/>
  <c r="U1271" i="1"/>
  <c r="V1271" i="1" s="1"/>
  <c r="U1272" i="1"/>
  <c r="V1272" i="1" s="1"/>
  <c r="U1273" i="1"/>
  <c r="V1273" i="1" s="1"/>
  <c r="U1274" i="1"/>
  <c r="V1274" i="1" s="1"/>
  <c r="U1275" i="1"/>
  <c r="V1275" i="1" s="1"/>
  <c r="U1276" i="1"/>
  <c r="V1276" i="1" s="1"/>
  <c r="U1277" i="1"/>
  <c r="V1277" i="1" s="1"/>
  <c r="U1278" i="1"/>
  <c r="V1278" i="1" s="1"/>
  <c r="U1279" i="1"/>
  <c r="V1279" i="1" s="1"/>
  <c r="U1280" i="1"/>
  <c r="V1280" i="1" s="1"/>
  <c r="U1281" i="1"/>
  <c r="V1281" i="1" s="1"/>
  <c r="U1282" i="1"/>
  <c r="V1282" i="1" s="1"/>
  <c r="U1283" i="1"/>
  <c r="V1283" i="1" s="1"/>
  <c r="U1284" i="1"/>
  <c r="V1284" i="1" s="1"/>
  <c r="U1285" i="1"/>
  <c r="V1285" i="1" s="1"/>
  <c r="U1286" i="1"/>
  <c r="V1286" i="1" s="1"/>
  <c r="U1287" i="1"/>
  <c r="V1287" i="1" s="1"/>
  <c r="U1288" i="1"/>
  <c r="V1288" i="1" s="1"/>
  <c r="U1289" i="1"/>
  <c r="V1289" i="1" s="1"/>
  <c r="U1290" i="1"/>
  <c r="V1290" i="1" s="1"/>
  <c r="U1291" i="1"/>
  <c r="V1291" i="1" s="1"/>
  <c r="U1292" i="1"/>
  <c r="V1292" i="1" s="1"/>
  <c r="U1293" i="1"/>
  <c r="V1293" i="1" s="1"/>
  <c r="U1294" i="1"/>
  <c r="V1294" i="1" s="1"/>
  <c r="U1295" i="1"/>
  <c r="V1295" i="1" s="1"/>
  <c r="U1296" i="1"/>
  <c r="V1296" i="1" s="1"/>
  <c r="U1297" i="1"/>
  <c r="V1297" i="1" s="1"/>
  <c r="U1298" i="1"/>
  <c r="V1298" i="1" s="1"/>
  <c r="U1299" i="1"/>
  <c r="V1299" i="1" s="1"/>
  <c r="U1300" i="1"/>
  <c r="V1300" i="1" s="1"/>
  <c r="U1301" i="1"/>
  <c r="V1301" i="1" s="1"/>
  <c r="U1302" i="1"/>
  <c r="V1302" i="1" s="1"/>
  <c r="U1303" i="1"/>
  <c r="V1303" i="1" s="1"/>
  <c r="U1304" i="1"/>
  <c r="V1304" i="1" s="1"/>
  <c r="U1305" i="1"/>
  <c r="V1305" i="1" s="1"/>
  <c r="U1306" i="1"/>
  <c r="V1306" i="1" s="1"/>
  <c r="U1307" i="1"/>
  <c r="V1307" i="1" s="1"/>
  <c r="U1308" i="1"/>
  <c r="V1308" i="1" s="1"/>
  <c r="U1309" i="1"/>
  <c r="V1309" i="1" s="1"/>
  <c r="U1310" i="1"/>
  <c r="V1310" i="1" s="1"/>
  <c r="U1311" i="1"/>
  <c r="V1311" i="1" s="1"/>
  <c r="U1312" i="1"/>
  <c r="V1312" i="1" s="1"/>
  <c r="U1313" i="1"/>
  <c r="V1313" i="1" s="1"/>
  <c r="U1314" i="1"/>
  <c r="V1314" i="1" s="1"/>
  <c r="U1315" i="1"/>
  <c r="V1315" i="1" s="1"/>
  <c r="U1316" i="1"/>
  <c r="V1316" i="1" s="1"/>
  <c r="U1317" i="1"/>
  <c r="V1317" i="1" s="1"/>
  <c r="U1318" i="1"/>
  <c r="V1318" i="1" s="1"/>
  <c r="U1319" i="1"/>
  <c r="V1319" i="1" s="1"/>
  <c r="U1320" i="1"/>
  <c r="V1320" i="1" s="1"/>
  <c r="U1321" i="1"/>
  <c r="V1321" i="1" s="1"/>
  <c r="U1322" i="1"/>
  <c r="V1322" i="1" s="1"/>
  <c r="U1323" i="1"/>
  <c r="V1323" i="1" s="1"/>
  <c r="U1324" i="1"/>
  <c r="V1324" i="1" s="1"/>
  <c r="U1325" i="1"/>
  <c r="V1325" i="1" s="1"/>
  <c r="U1326" i="1"/>
  <c r="V1326" i="1" s="1"/>
  <c r="U1327" i="1"/>
  <c r="V1327" i="1" s="1"/>
  <c r="U1328" i="1"/>
  <c r="V1328" i="1" s="1"/>
  <c r="U1329" i="1"/>
  <c r="V1329" i="1" s="1"/>
  <c r="U1330" i="1"/>
  <c r="V1330" i="1" s="1"/>
  <c r="U1331" i="1"/>
  <c r="V1331" i="1" s="1"/>
  <c r="U1332" i="1"/>
  <c r="V1332" i="1" s="1"/>
  <c r="U1333" i="1"/>
  <c r="V1333" i="1" s="1"/>
  <c r="U1334" i="1"/>
  <c r="V1334" i="1" s="1"/>
  <c r="U1335" i="1"/>
  <c r="V1335" i="1" s="1"/>
  <c r="U1336" i="1"/>
  <c r="V1336" i="1" s="1"/>
  <c r="U1337" i="1"/>
  <c r="V1337" i="1" s="1"/>
  <c r="U1338" i="1"/>
  <c r="V1338" i="1" s="1"/>
  <c r="U1339" i="1"/>
  <c r="V1339" i="1" s="1"/>
  <c r="U1340" i="1"/>
  <c r="V1340" i="1" s="1"/>
  <c r="U1341" i="1"/>
  <c r="V1341" i="1" s="1"/>
  <c r="U1342" i="1"/>
  <c r="V1342" i="1" s="1"/>
  <c r="U1343" i="1"/>
  <c r="V1343" i="1" s="1"/>
  <c r="U1344" i="1"/>
  <c r="V1344" i="1" s="1"/>
  <c r="U1345" i="1"/>
  <c r="V1345" i="1" s="1"/>
  <c r="U1346" i="1"/>
  <c r="V1346" i="1" s="1"/>
  <c r="U1347" i="1"/>
  <c r="V1347" i="1" s="1"/>
  <c r="U1348" i="1"/>
  <c r="V1348" i="1" s="1"/>
  <c r="U1349" i="1"/>
  <c r="V1349" i="1" s="1"/>
  <c r="U1350" i="1"/>
  <c r="V1350" i="1" s="1"/>
  <c r="U1351" i="1"/>
  <c r="V1351" i="1" s="1"/>
  <c r="U1352" i="1"/>
  <c r="V1352" i="1" s="1"/>
  <c r="U1353" i="1"/>
  <c r="V1353" i="1" s="1"/>
  <c r="U1354" i="1"/>
  <c r="V1354" i="1" s="1"/>
  <c r="U1355" i="1"/>
  <c r="V1355" i="1" s="1"/>
  <c r="U1356" i="1"/>
  <c r="V1356" i="1" s="1"/>
  <c r="U1357" i="1"/>
  <c r="V1357" i="1" s="1"/>
  <c r="U1358" i="1"/>
  <c r="V1358" i="1" s="1"/>
  <c r="U1359" i="1"/>
  <c r="V1359" i="1" s="1"/>
  <c r="U1360" i="1"/>
  <c r="V1360" i="1" s="1"/>
  <c r="U1361" i="1"/>
  <c r="V1361" i="1" s="1"/>
  <c r="U1362" i="1"/>
  <c r="V1362" i="1" s="1"/>
  <c r="U1363" i="1"/>
  <c r="V1363" i="1" s="1"/>
  <c r="U1364" i="1"/>
  <c r="V1364" i="1" s="1"/>
  <c r="U1365" i="1"/>
  <c r="V1365" i="1" s="1"/>
  <c r="U1366" i="1"/>
  <c r="V1366" i="1" s="1"/>
  <c r="U1367" i="1"/>
  <c r="V1367" i="1" s="1"/>
  <c r="U1368" i="1"/>
  <c r="V1368" i="1" s="1"/>
  <c r="U1369" i="1"/>
  <c r="V1369" i="1" s="1"/>
  <c r="U1370" i="1"/>
  <c r="V1370" i="1" s="1"/>
  <c r="U1371" i="1"/>
  <c r="V1371" i="1" s="1"/>
  <c r="U1372" i="1"/>
  <c r="V1372" i="1" s="1"/>
  <c r="U1373" i="1"/>
  <c r="V1373" i="1" s="1"/>
  <c r="U1374" i="1"/>
  <c r="V1374" i="1" s="1"/>
  <c r="U1375" i="1"/>
  <c r="V1375" i="1" s="1"/>
  <c r="U1376" i="1"/>
  <c r="V1376" i="1" s="1"/>
  <c r="U1377" i="1"/>
  <c r="V1377" i="1" s="1"/>
  <c r="U1378" i="1"/>
  <c r="V1378" i="1" s="1"/>
  <c r="U1379" i="1"/>
  <c r="V1379" i="1" s="1"/>
  <c r="U1380" i="1"/>
  <c r="V1380" i="1" s="1"/>
  <c r="U1381" i="1"/>
  <c r="V1381" i="1" s="1"/>
  <c r="U1382" i="1"/>
  <c r="V1382" i="1" s="1"/>
  <c r="U1383" i="1"/>
  <c r="V1383" i="1" s="1"/>
  <c r="U1384" i="1"/>
  <c r="V1384" i="1" s="1"/>
  <c r="U1385" i="1"/>
  <c r="V1385" i="1" s="1"/>
  <c r="U1386" i="1"/>
  <c r="V1386" i="1" s="1"/>
  <c r="U1387" i="1"/>
  <c r="V1387" i="1" s="1"/>
  <c r="U1388" i="1"/>
  <c r="V1388" i="1" s="1"/>
  <c r="U1389" i="1"/>
  <c r="V1389" i="1" s="1"/>
  <c r="U1390" i="1"/>
  <c r="V1390" i="1" s="1"/>
  <c r="U1391" i="1"/>
  <c r="V1391" i="1" s="1"/>
  <c r="U1392" i="1"/>
  <c r="V1392" i="1" s="1"/>
  <c r="U1393" i="1"/>
  <c r="V1393" i="1" s="1"/>
  <c r="U1394" i="1"/>
  <c r="V1394" i="1" s="1"/>
  <c r="U1395" i="1"/>
  <c r="V1395" i="1" s="1"/>
  <c r="U1396" i="1"/>
  <c r="V1396" i="1" s="1"/>
  <c r="U1397" i="1"/>
  <c r="V1397" i="1" s="1"/>
  <c r="U1398" i="1"/>
  <c r="V1398" i="1" s="1"/>
  <c r="U1399" i="1"/>
  <c r="V1399" i="1" s="1"/>
  <c r="U1400" i="1"/>
  <c r="V1400" i="1" s="1"/>
  <c r="U1401" i="1"/>
  <c r="V1401" i="1" s="1"/>
  <c r="U1402" i="1"/>
  <c r="V1402" i="1" s="1"/>
  <c r="U1403" i="1"/>
  <c r="V1403" i="1" s="1"/>
  <c r="U1404" i="1"/>
  <c r="V1404" i="1" s="1"/>
  <c r="U1405" i="1"/>
  <c r="V1405" i="1" s="1"/>
  <c r="U1406" i="1"/>
  <c r="V1406" i="1" s="1"/>
  <c r="U1407" i="1"/>
  <c r="V1407" i="1" s="1"/>
  <c r="U1408" i="1"/>
  <c r="V1408" i="1" s="1"/>
  <c r="U1409" i="1"/>
  <c r="V1409" i="1" s="1"/>
  <c r="U1410" i="1"/>
  <c r="V1410" i="1" s="1"/>
  <c r="U1411" i="1"/>
  <c r="V1411" i="1" s="1"/>
  <c r="U1412" i="1"/>
  <c r="V1412" i="1" s="1"/>
  <c r="U1413" i="1"/>
  <c r="V1413" i="1" s="1"/>
  <c r="U1414" i="1"/>
  <c r="V1414" i="1" s="1"/>
  <c r="U1415" i="1"/>
  <c r="V1415" i="1" s="1"/>
  <c r="U1416" i="1"/>
  <c r="V1416" i="1" s="1"/>
  <c r="U1417" i="1"/>
  <c r="V1417" i="1" s="1"/>
  <c r="U1418" i="1"/>
  <c r="V1418" i="1" s="1"/>
  <c r="U1419" i="1"/>
  <c r="V1419" i="1" s="1"/>
  <c r="U1420" i="1"/>
  <c r="V1420" i="1" s="1"/>
  <c r="U1421" i="1"/>
  <c r="V1421" i="1" s="1"/>
  <c r="U1422" i="1"/>
  <c r="U1423" i="1"/>
  <c r="V1423" i="1" s="1"/>
  <c r="U1424" i="1"/>
  <c r="V1424" i="1" s="1"/>
  <c r="U1425" i="1"/>
  <c r="V1425" i="1" s="1"/>
  <c r="U1426" i="1"/>
  <c r="V1426" i="1" s="1"/>
  <c r="U1427" i="1"/>
  <c r="V1427" i="1" s="1"/>
  <c r="U1428" i="1"/>
  <c r="V1428" i="1" s="1"/>
  <c r="U1429" i="1"/>
  <c r="V1429" i="1" s="1"/>
  <c r="U1430" i="1"/>
  <c r="V1430" i="1" s="1"/>
  <c r="U1431" i="1"/>
  <c r="V1431" i="1" s="1"/>
  <c r="U1432" i="1"/>
  <c r="V1432" i="1" s="1"/>
  <c r="U1433" i="1"/>
  <c r="V1433" i="1" s="1"/>
  <c r="U1434" i="1"/>
  <c r="V1434" i="1" s="1"/>
  <c r="U1435" i="1"/>
  <c r="V1435" i="1" s="1"/>
  <c r="U1436" i="1"/>
  <c r="U1437" i="1"/>
  <c r="V1437" i="1" s="1"/>
  <c r="U1438" i="1"/>
  <c r="V1438" i="1" s="1"/>
  <c r="U1439" i="1"/>
  <c r="V1439" i="1" s="1"/>
  <c r="U1440" i="1"/>
  <c r="V1440" i="1" s="1"/>
  <c r="U1441" i="1"/>
  <c r="V1441" i="1" s="1"/>
  <c r="U1442" i="1"/>
  <c r="V1442" i="1" s="1"/>
  <c r="U1443" i="1"/>
  <c r="V1443" i="1" s="1"/>
  <c r="U1444" i="1"/>
  <c r="V1444" i="1" s="1"/>
  <c r="U1445" i="1"/>
  <c r="V1445" i="1" s="1"/>
  <c r="U1446" i="1"/>
  <c r="V1446" i="1" s="1"/>
  <c r="U1447" i="1"/>
  <c r="V1447" i="1" s="1"/>
  <c r="U1448" i="1"/>
  <c r="V1448" i="1" s="1"/>
  <c r="U1449" i="1"/>
  <c r="V1449" i="1" s="1"/>
  <c r="U1450" i="1"/>
  <c r="V1450" i="1" s="1"/>
  <c r="U1451" i="1"/>
  <c r="V1451" i="1" s="1"/>
  <c r="U1452" i="1"/>
  <c r="V1452" i="1" s="1"/>
  <c r="U1453" i="1"/>
  <c r="V1453" i="1" s="1"/>
  <c r="U1454" i="1"/>
  <c r="V1454" i="1" s="1"/>
  <c r="U1455" i="1"/>
  <c r="V1455" i="1" s="1"/>
  <c r="U1456" i="1"/>
  <c r="V1456" i="1" s="1"/>
  <c r="U1457" i="1"/>
  <c r="V1457" i="1" s="1"/>
  <c r="U1458" i="1"/>
  <c r="V1458" i="1" s="1"/>
  <c r="U1459" i="1"/>
  <c r="V1459" i="1" s="1"/>
  <c r="U1460" i="1"/>
  <c r="V1460" i="1" s="1"/>
  <c r="U1461" i="1"/>
  <c r="V1461" i="1" s="1"/>
  <c r="U1462" i="1"/>
  <c r="V1462" i="1" s="1"/>
  <c r="U1463" i="1"/>
  <c r="V1463" i="1" s="1"/>
  <c r="U1464" i="1"/>
  <c r="V1464" i="1" s="1"/>
  <c r="U1465" i="1"/>
  <c r="V1465" i="1" s="1"/>
  <c r="U1466" i="1"/>
  <c r="V1466" i="1" s="1"/>
  <c r="U1467" i="1"/>
  <c r="V1467" i="1" s="1"/>
  <c r="U1468" i="1"/>
  <c r="V1468" i="1" s="1"/>
  <c r="U1469" i="1"/>
  <c r="V1469" i="1" s="1"/>
  <c r="U1470" i="1"/>
  <c r="V1470" i="1" s="1"/>
  <c r="U1471" i="1"/>
  <c r="V1471" i="1" s="1"/>
  <c r="U1472" i="1"/>
  <c r="V1472" i="1" s="1"/>
  <c r="U1473" i="1"/>
  <c r="V1473" i="1" s="1"/>
  <c r="U1474" i="1"/>
  <c r="V1474" i="1" s="1"/>
  <c r="U1475" i="1"/>
  <c r="V1475" i="1" s="1"/>
  <c r="U1476" i="1"/>
  <c r="V1476" i="1" s="1"/>
  <c r="U1477" i="1"/>
  <c r="V1477" i="1" s="1"/>
  <c r="U1478" i="1"/>
  <c r="V1478" i="1" s="1"/>
  <c r="U1479" i="1"/>
  <c r="V1479" i="1" s="1"/>
  <c r="U1480" i="1"/>
  <c r="V1480" i="1" s="1"/>
  <c r="U1481" i="1"/>
  <c r="V1481" i="1" s="1"/>
  <c r="U1482" i="1"/>
  <c r="V1482" i="1" s="1"/>
  <c r="U1483" i="1"/>
  <c r="V1483" i="1" s="1"/>
  <c r="U1484" i="1"/>
  <c r="V1484" i="1" s="1"/>
  <c r="U1485" i="1"/>
  <c r="V1485" i="1" s="1"/>
  <c r="U1486" i="1"/>
  <c r="V1486" i="1" s="1"/>
  <c r="U1487" i="1"/>
  <c r="V1487" i="1" s="1"/>
  <c r="U1488" i="1"/>
  <c r="V1488" i="1" s="1"/>
  <c r="U1489" i="1"/>
  <c r="V1489" i="1" s="1"/>
  <c r="U1490" i="1"/>
  <c r="V1490" i="1" s="1"/>
  <c r="U1491" i="1"/>
  <c r="V1491" i="1" s="1"/>
  <c r="U1492" i="1"/>
  <c r="V1492" i="1" s="1"/>
  <c r="U1493" i="1"/>
  <c r="V1493" i="1" s="1"/>
  <c r="U1494" i="1"/>
  <c r="V1494" i="1" s="1"/>
  <c r="U1495" i="1"/>
  <c r="V1495" i="1" s="1"/>
  <c r="U1496" i="1"/>
  <c r="V1496" i="1" s="1"/>
  <c r="U1497" i="1"/>
  <c r="V1497" i="1" s="1"/>
  <c r="U1498" i="1"/>
  <c r="V1498" i="1" s="1"/>
  <c r="U1499" i="1"/>
  <c r="V1499" i="1" s="1"/>
  <c r="U1500" i="1"/>
  <c r="V1500" i="1" s="1"/>
  <c r="U1501" i="1"/>
  <c r="V1501" i="1" s="1"/>
  <c r="U1502" i="1"/>
  <c r="V1502" i="1" s="1"/>
  <c r="U1503" i="1"/>
  <c r="V1503" i="1" s="1"/>
  <c r="U1504" i="1"/>
  <c r="V1504" i="1" s="1"/>
  <c r="U1505" i="1"/>
  <c r="V1505" i="1" s="1"/>
  <c r="U1506" i="1"/>
  <c r="V1506" i="1" s="1"/>
  <c r="U1507" i="1"/>
  <c r="V1507" i="1" s="1"/>
  <c r="U1508" i="1"/>
  <c r="V1508" i="1" s="1"/>
  <c r="U1509" i="1"/>
  <c r="V1509" i="1" s="1"/>
  <c r="U1510" i="1"/>
  <c r="V1510" i="1" s="1"/>
  <c r="U1511" i="1"/>
  <c r="V1511" i="1" s="1"/>
  <c r="U1512" i="1"/>
  <c r="V1512" i="1" s="1"/>
  <c r="U1513" i="1"/>
  <c r="V1513" i="1" s="1"/>
  <c r="U1514" i="1"/>
  <c r="V1514" i="1" s="1"/>
  <c r="U1515" i="1"/>
  <c r="V1515" i="1" s="1"/>
  <c r="U1516" i="1"/>
  <c r="V1516" i="1" s="1"/>
  <c r="U1517" i="1"/>
  <c r="V1517" i="1" s="1"/>
  <c r="U1518" i="1"/>
  <c r="V1518" i="1" s="1"/>
  <c r="U1519" i="1"/>
  <c r="V1519" i="1" s="1"/>
  <c r="U1520" i="1"/>
  <c r="V1520" i="1" s="1"/>
  <c r="U1521" i="1"/>
  <c r="V1521" i="1" s="1"/>
  <c r="U1522" i="1"/>
  <c r="V1522" i="1" s="1"/>
  <c r="U1523" i="1"/>
  <c r="V1523" i="1" s="1"/>
  <c r="U1524" i="1"/>
  <c r="V1524" i="1" s="1"/>
  <c r="U1525" i="1"/>
  <c r="V1525" i="1" s="1"/>
  <c r="U1526" i="1"/>
  <c r="V1526" i="1" s="1"/>
  <c r="U1527" i="1"/>
  <c r="V1527" i="1" s="1"/>
  <c r="U1528" i="1"/>
  <c r="V1528" i="1" s="1"/>
  <c r="U1529" i="1"/>
  <c r="V1529" i="1" s="1"/>
  <c r="U1530" i="1"/>
  <c r="V1530" i="1" s="1"/>
  <c r="U1531" i="1"/>
  <c r="V1531" i="1" s="1"/>
  <c r="U1532" i="1"/>
  <c r="V1532" i="1" s="1"/>
  <c r="U1533" i="1"/>
  <c r="V1533" i="1" s="1"/>
  <c r="U1534" i="1"/>
  <c r="V1534" i="1" s="1"/>
  <c r="U1535" i="1"/>
  <c r="V1535" i="1" s="1"/>
  <c r="U1536" i="1"/>
  <c r="V1536" i="1" s="1"/>
  <c r="U1537" i="1"/>
  <c r="V1537" i="1" s="1"/>
  <c r="U1538" i="1"/>
  <c r="V1538" i="1" s="1"/>
  <c r="U1539" i="1"/>
  <c r="V1539" i="1" s="1"/>
  <c r="U1540" i="1"/>
  <c r="V1540" i="1" s="1"/>
  <c r="U1541" i="1"/>
  <c r="V1541" i="1" s="1"/>
  <c r="U1542" i="1"/>
  <c r="V1542" i="1" s="1"/>
  <c r="U1543" i="1"/>
  <c r="V1543" i="1" s="1"/>
  <c r="U1544" i="1"/>
  <c r="V1544" i="1" s="1"/>
  <c r="U1545" i="1"/>
  <c r="V1545" i="1" s="1"/>
  <c r="U1546" i="1"/>
  <c r="V1546" i="1" s="1"/>
  <c r="U1547" i="1"/>
  <c r="V1547" i="1" s="1"/>
  <c r="U1548" i="1"/>
  <c r="V1548" i="1" s="1"/>
  <c r="U1549" i="1"/>
  <c r="V1549" i="1" s="1"/>
  <c r="U1550" i="1"/>
  <c r="V1550" i="1" s="1"/>
  <c r="U1551" i="1"/>
  <c r="V1551" i="1" s="1"/>
  <c r="U1552" i="1"/>
  <c r="V1552" i="1" s="1"/>
  <c r="U1553" i="1"/>
  <c r="V1553" i="1" s="1"/>
  <c r="U1554" i="1"/>
  <c r="V1554" i="1" s="1"/>
  <c r="U1555" i="1"/>
  <c r="V1555" i="1" s="1"/>
  <c r="U1556" i="1"/>
  <c r="V1556" i="1" s="1"/>
  <c r="U1557" i="1"/>
  <c r="V1557" i="1" s="1"/>
  <c r="U1558" i="1"/>
  <c r="V1558" i="1" s="1"/>
  <c r="U1559" i="1"/>
  <c r="V1559" i="1" s="1"/>
  <c r="U1560" i="1"/>
  <c r="V1560" i="1" s="1"/>
  <c r="U1561" i="1"/>
  <c r="V1561" i="1" s="1"/>
  <c r="U1562" i="1"/>
  <c r="V1562" i="1" s="1"/>
  <c r="U1563" i="1"/>
  <c r="V1563" i="1" s="1"/>
  <c r="U1564" i="1"/>
  <c r="V1564" i="1" s="1"/>
  <c r="U1565" i="1"/>
  <c r="V1565" i="1" s="1"/>
  <c r="U1566" i="1"/>
  <c r="V1566" i="1" s="1"/>
  <c r="U1567" i="1"/>
  <c r="V1567" i="1" s="1"/>
  <c r="U1568" i="1"/>
  <c r="V1568" i="1" s="1"/>
  <c r="U1569" i="1"/>
  <c r="V1569" i="1" s="1"/>
  <c r="U1570" i="1"/>
  <c r="V1570" i="1" s="1"/>
  <c r="U1571" i="1"/>
  <c r="V1571" i="1" s="1"/>
  <c r="U1572" i="1"/>
  <c r="V1572" i="1" s="1"/>
  <c r="U1573" i="1"/>
  <c r="V1573" i="1" s="1"/>
  <c r="U1574" i="1"/>
  <c r="V1574" i="1" s="1"/>
  <c r="U1575" i="1"/>
  <c r="V1575" i="1" s="1"/>
  <c r="U1576" i="1"/>
  <c r="V1576" i="1" s="1"/>
  <c r="U1577" i="1"/>
  <c r="V1577" i="1" s="1"/>
  <c r="U1578" i="1"/>
  <c r="V1578" i="1" s="1"/>
  <c r="U1579" i="1"/>
  <c r="V1579" i="1" s="1"/>
  <c r="Z2" i="1"/>
  <c r="AA2" i="1" s="1"/>
  <c r="U2" i="1"/>
  <c r="V2" i="1" s="1"/>
  <c r="Q3" i="1"/>
  <c r="R3" i="1" s="1"/>
  <c r="Q4" i="1"/>
  <c r="R4" i="1" s="1"/>
  <c r="Q5" i="1"/>
  <c r="Q6" i="1"/>
  <c r="R6" i="1" s="1"/>
  <c r="Q7" i="1"/>
  <c r="R7" i="1" s="1"/>
  <c r="Q8" i="1"/>
  <c r="R8" i="1" s="1"/>
  <c r="Q9" i="1"/>
  <c r="R9" i="1" s="1"/>
  <c r="Q10" i="1"/>
  <c r="R10" i="1" s="1"/>
  <c r="Q11" i="1"/>
  <c r="R11" i="1" s="1"/>
  <c r="Q12" i="1"/>
  <c r="R12" i="1" s="1"/>
  <c r="Q13" i="1"/>
  <c r="R13" i="1" s="1"/>
  <c r="Q14" i="1"/>
  <c r="R14" i="1" s="1"/>
  <c r="Q15" i="1"/>
  <c r="R15" i="1" s="1"/>
  <c r="Q16" i="1"/>
  <c r="R16" i="1" s="1"/>
  <c r="Q17" i="1"/>
  <c r="R17" i="1" s="1"/>
  <c r="Q18" i="1"/>
  <c r="R18" i="1" s="1"/>
  <c r="Q19" i="1"/>
  <c r="R19" i="1" s="1"/>
  <c r="Q20" i="1"/>
  <c r="R20" i="1" s="1"/>
  <c r="Q21" i="1"/>
  <c r="R21" i="1" s="1"/>
  <c r="Q22" i="1"/>
  <c r="R22" i="1" s="1"/>
  <c r="Q23" i="1"/>
  <c r="R23" i="1" s="1"/>
  <c r="Q24" i="1"/>
  <c r="Q25" i="1"/>
  <c r="R25" i="1" s="1"/>
  <c r="Q26" i="1"/>
  <c r="R26" i="1" s="1"/>
  <c r="Q27" i="1"/>
  <c r="R27" i="1" s="1"/>
  <c r="Q28" i="1"/>
  <c r="R28" i="1" s="1"/>
  <c r="Q29" i="1"/>
  <c r="R29" i="1" s="1"/>
  <c r="Q30" i="1"/>
  <c r="R30" i="1" s="1"/>
  <c r="Q31" i="1"/>
  <c r="R31" i="1" s="1"/>
  <c r="Q32" i="1"/>
  <c r="R32" i="1" s="1"/>
  <c r="Q33" i="1"/>
  <c r="R33" i="1" s="1"/>
  <c r="Q34" i="1"/>
  <c r="R34" i="1" s="1"/>
  <c r="Q35" i="1"/>
  <c r="R35" i="1" s="1"/>
  <c r="Q36" i="1"/>
  <c r="R36" i="1" s="1"/>
  <c r="Q37" i="1"/>
  <c r="R37" i="1" s="1"/>
  <c r="Q38" i="1"/>
  <c r="R38" i="1" s="1"/>
  <c r="Q39" i="1"/>
  <c r="R39" i="1" s="1"/>
  <c r="Q40" i="1"/>
  <c r="R40" i="1" s="1"/>
  <c r="Q41" i="1"/>
  <c r="R41" i="1" s="1"/>
  <c r="Q42" i="1"/>
  <c r="R42" i="1" s="1"/>
  <c r="Q43" i="1"/>
  <c r="R43" i="1" s="1"/>
  <c r="Q44" i="1"/>
  <c r="R44" i="1" s="1"/>
  <c r="Q45" i="1"/>
  <c r="R45" i="1" s="1"/>
  <c r="Q46" i="1"/>
  <c r="R46" i="1" s="1"/>
  <c r="Q47" i="1"/>
  <c r="R47" i="1" s="1"/>
  <c r="Q48" i="1"/>
  <c r="R48" i="1" s="1"/>
  <c r="Q49" i="1"/>
  <c r="R49" i="1" s="1"/>
  <c r="Q50" i="1"/>
  <c r="R50" i="1" s="1"/>
  <c r="Q51" i="1"/>
  <c r="R51" i="1" s="1"/>
  <c r="Q52" i="1"/>
  <c r="R52" i="1" s="1"/>
  <c r="Q53" i="1"/>
  <c r="R53" i="1" s="1"/>
  <c r="Q54" i="1"/>
  <c r="R54" i="1" s="1"/>
  <c r="Q55" i="1"/>
  <c r="Q56" i="1"/>
  <c r="R56" i="1" s="1"/>
  <c r="Q57" i="1"/>
  <c r="R57" i="1" s="1"/>
  <c r="Q58" i="1"/>
  <c r="R58" i="1" s="1"/>
  <c r="Q59" i="1"/>
  <c r="R59" i="1" s="1"/>
  <c r="Q60" i="1"/>
  <c r="R60" i="1" s="1"/>
  <c r="Q61" i="1"/>
  <c r="R61" i="1" s="1"/>
  <c r="Q62" i="1"/>
  <c r="R62" i="1" s="1"/>
  <c r="Q63" i="1"/>
  <c r="R63" i="1" s="1"/>
  <c r="Q64" i="1"/>
  <c r="R64" i="1" s="1"/>
  <c r="Q65" i="1"/>
  <c r="R65" i="1" s="1"/>
  <c r="Q66" i="1"/>
  <c r="R66" i="1" s="1"/>
  <c r="Q67" i="1"/>
  <c r="R67" i="1" s="1"/>
  <c r="Q68" i="1"/>
  <c r="R68" i="1" s="1"/>
  <c r="Q69" i="1"/>
  <c r="R69" i="1" s="1"/>
  <c r="Q70" i="1"/>
  <c r="R70" i="1" s="1"/>
  <c r="Q71" i="1"/>
  <c r="R71" i="1" s="1"/>
  <c r="Q72" i="1"/>
  <c r="R72" i="1" s="1"/>
  <c r="Q73" i="1"/>
  <c r="R73" i="1" s="1"/>
  <c r="Q74" i="1"/>
  <c r="R74" i="1" s="1"/>
  <c r="Q75" i="1"/>
  <c r="R75" i="1" s="1"/>
  <c r="Q76" i="1"/>
  <c r="R76" i="1" s="1"/>
  <c r="Q77" i="1"/>
  <c r="R77" i="1" s="1"/>
  <c r="Q78" i="1"/>
  <c r="R78" i="1" s="1"/>
  <c r="Q79" i="1"/>
  <c r="R79" i="1" s="1"/>
  <c r="Q80" i="1"/>
  <c r="R80" i="1" s="1"/>
  <c r="Q81" i="1"/>
  <c r="R81" i="1" s="1"/>
  <c r="Q82" i="1"/>
  <c r="Q83" i="1"/>
  <c r="R83" i="1" s="1"/>
  <c r="Q84" i="1"/>
  <c r="R84" i="1" s="1"/>
  <c r="Q85" i="1"/>
  <c r="R85" i="1" s="1"/>
  <c r="Q86" i="1"/>
  <c r="R86" i="1" s="1"/>
  <c r="Q87" i="1"/>
  <c r="R87" i="1" s="1"/>
  <c r="Q88" i="1"/>
  <c r="R88" i="1" s="1"/>
  <c r="Q89" i="1"/>
  <c r="R89" i="1" s="1"/>
  <c r="Q90" i="1"/>
  <c r="R90" i="1" s="1"/>
  <c r="Q91" i="1"/>
  <c r="R91" i="1" s="1"/>
  <c r="Q92" i="1"/>
  <c r="R92" i="1" s="1"/>
  <c r="Q93" i="1"/>
  <c r="R93" i="1" s="1"/>
  <c r="Q94" i="1"/>
  <c r="R94" i="1" s="1"/>
  <c r="Q95" i="1"/>
  <c r="R95" i="1" s="1"/>
  <c r="Q96" i="1"/>
  <c r="R96" i="1" s="1"/>
  <c r="Q97" i="1"/>
  <c r="R97" i="1" s="1"/>
  <c r="Q98" i="1"/>
  <c r="R98" i="1" s="1"/>
  <c r="Q99" i="1"/>
  <c r="R99" i="1" s="1"/>
  <c r="Q100" i="1"/>
  <c r="R100" i="1" s="1"/>
  <c r="Q101" i="1"/>
  <c r="R101" i="1" s="1"/>
  <c r="Q102" i="1"/>
  <c r="R102" i="1" s="1"/>
  <c r="Q103" i="1"/>
  <c r="R103" i="1" s="1"/>
  <c r="Q104" i="1"/>
  <c r="R104" i="1" s="1"/>
  <c r="Q105" i="1"/>
  <c r="R105" i="1" s="1"/>
  <c r="Q106" i="1"/>
  <c r="R106" i="1" s="1"/>
  <c r="Q107" i="1"/>
  <c r="R107" i="1" s="1"/>
  <c r="Q108" i="1"/>
  <c r="R108" i="1" s="1"/>
  <c r="Q109" i="1"/>
  <c r="R109" i="1" s="1"/>
  <c r="Q110" i="1"/>
  <c r="R110" i="1" s="1"/>
  <c r="Q111" i="1"/>
  <c r="R111" i="1" s="1"/>
  <c r="Q112" i="1"/>
  <c r="R112" i="1" s="1"/>
  <c r="Q113" i="1"/>
  <c r="R113" i="1" s="1"/>
  <c r="Q114" i="1"/>
  <c r="R114" i="1" s="1"/>
  <c r="Q115" i="1"/>
  <c r="R115" i="1" s="1"/>
  <c r="Q116" i="1"/>
  <c r="R116" i="1" s="1"/>
  <c r="Q117" i="1"/>
  <c r="R117" i="1" s="1"/>
  <c r="Q118" i="1"/>
  <c r="R118" i="1" s="1"/>
  <c r="Q119" i="1"/>
  <c r="R119" i="1" s="1"/>
  <c r="Q120" i="1"/>
  <c r="R120" i="1" s="1"/>
  <c r="Q121" i="1"/>
  <c r="R121" i="1" s="1"/>
  <c r="Q122" i="1"/>
  <c r="R122" i="1" s="1"/>
  <c r="Q123" i="1"/>
  <c r="R123" i="1" s="1"/>
  <c r="Q124" i="1"/>
  <c r="R124" i="1" s="1"/>
  <c r="Q125" i="1"/>
  <c r="R125" i="1" s="1"/>
  <c r="Q126" i="1"/>
  <c r="R126" i="1" s="1"/>
  <c r="Q127" i="1"/>
  <c r="R127" i="1" s="1"/>
  <c r="Q128" i="1"/>
  <c r="R128" i="1" s="1"/>
  <c r="Q129" i="1"/>
  <c r="Q130" i="1"/>
  <c r="R130" i="1" s="1"/>
  <c r="Q131" i="1"/>
  <c r="R131" i="1" s="1"/>
  <c r="Q132" i="1"/>
  <c r="R132" i="1" s="1"/>
  <c r="Q133" i="1"/>
  <c r="R133" i="1" s="1"/>
  <c r="Q134" i="1"/>
  <c r="R134" i="1" s="1"/>
  <c r="Q135" i="1"/>
  <c r="R135" i="1" s="1"/>
  <c r="Q136" i="1"/>
  <c r="R136" i="1" s="1"/>
  <c r="Q137" i="1"/>
  <c r="R137" i="1" s="1"/>
  <c r="Q138" i="1"/>
  <c r="R138" i="1" s="1"/>
  <c r="Q139" i="1"/>
  <c r="R139" i="1" s="1"/>
  <c r="Q140" i="1"/>
  <c r="R140" i="1" s="1"/>
  <c r="Q141" i="1"/>
  <c r="R141" i="1" s="1"/>
  <c r="Q142" i="1"/>
  <c r="R142" i="1" s="1"/>
  <c r="Q143" i="1"/>
  <c r="R143" i="1" s="1"/>
  <c r="Q144" i="1"/>
  <c r="R144" i="1" s="1"/>
  <c r="Q145" i="1"/>
  <c r="R145" i="1" s="1"/>
  <c r="Q146" i="1"/>
  <c r="R146" i="1" s="1"/>
  <c r="Q147" i="1"/>
  <c r="R147" i="1" s="1"/>
  <c r="Q148" i="1"/>
  <c r="R148" i="1" s="1"/>
  <c r="Q149" i="1"/>
  <c r="R149" i="1" s="1"/>
  <c r="Q150" i="1"/>
  <c r="R150" i="1" s="1"/>
  <c r="Q151" i="1"/>
  <c r="R151" i="1" s="1"/>
  <c r="Q152" i="1"/>
  <c r="R152" i="1" s="1"/>
  <c r="Q153" i="1"/>
  <c r="R153" i="1" s="1"/>
  <c r="Q154" i="1"/>
  <c r="R154" i="1" s="1"/>
  <c r="Q155" i="1"/>
  <c r="R155" i="1" s="1"/>
  <c r="Q156" i="1"/>
  <c r="R156" i="1" s="1"/>
  <c r="Q157" i="1"/>
  <c r="R157" i="1" s="1"/>
  <c r="Q158" i="1"/>
  <c r="R158" i="1" s="1"/>
  <c r="Q159" i="1"/>
  <c r="R159" i="1" s="1"/>
  <c r="Q160" i="1"/>
  <c r="R160" i="1" s="1"/>
  <c r="Q161" i="1"/>
  <c r="R161" i="1" s="1"/>
  <c r="Q162" i="1"/>
  <c r="R162" i="1" s="1"/>
  <c r="Q163" i="1"/>
  <c r="R163" i="1" s="1"/>
  <c r="Q164" i="1"/>
  <c r="R164" i="1" s="1"/>
  <c r="Q165" i="1"/>
  <c r="R165" i="1" s="1"/>
  <c r="Q166" i="1"/>
  <c r="R166" i="1" s="1"/>
  <c r="Q167" i="1"/>
  <c r="R167" i="1" s="1"/>
  <c r="Q168" i="1"/>
  <c r="R168" i="1" s="1"/>
  <c r="Q169" i="1"/>
  <c r="R169" i="1" s="1"/>
  <c r="Q170" i="1"/>
  <c r="R170" i="1" s="1"/>
  <c r="Q171" i="1"/>
  <c r="R171" i="1" s="1"/>
  <c r="Q172" i="1"/>
  <c r="R172" i="1" s="1"/>
  <c r="Q173" i="1"/>
  <c r="R173" i="1" s="1"/>
  <c r="Q174" i="1"/>
  <c r="R174" i="1" s="1"/>
  <c r="Q175" i="1"/>
  <c r="R175" i="1" s="1"/>
  <c r="Q176" i="1"/>
  <c r="R176" i="1" s="1"/>
  <c r="Q177" i="1"/>
  <c r="R177" i="1" s="1"/>
  <c r="Q178" i="1"/>
  <c r="R178" i="1" s="1"/>
  <c r="Q179" i="1"/>
  <c r="R179" i="1" s="1"/>
  <c r="Q180" i="1"/>
  <c r="R180" i="1" s="1"/>
  <c r="Q181" i="1"/>
  <c r="R181" i="1" s="1"/>
  <c r="Q182" i="1"/>
  <c r="R182" i="1" s="1"/>
  <c r="Q183" i="1"/>
  <c r="Q184" i="1"/>
  <c r="R184" i="1" s="1"/>
  <c r="Q185" i="1"/>
  <c r="R185" i="1" s="1"/>
  <c r="Q186" i="1"/>
  <c r="Q187" i="1"/>
  <c r="R187" i="1" s="1"/>
  <c r="Q188" i="1"/>
  <c r="R188" i="1" s="1"/>
  <c r="Q189" i="1"/>
  <c r="R189" i="1" s="1"/>
  <c r="Q190" i="1"/>
  <c r="R190" i="1" s="1"/>
  <c r="Q191" i="1"/>
  <c r="R191" i="1" s="1"/>
  <c r="Q192" i="1"/>
  <c r="R192" i="1" s="1"/>
  <c r="Q193" i="1"/>
  <c r="R193" i="1" s="1"/>
  <c r="Q194" i="1"/>
  <c r="R194" i="1" s="1"/>
  <c r="Q195" i="1"/>
  <c r="R195" i="1" s="1"/>
  <c r="Q196" i="1"/>
  <c r="R196" i="1" s="1"/>
  <c r="Q197" i="1"/>
  <c r="R197" i="1" s="1"/>
  <c r="Q198" i="1"/>
  <c r="R198" i="1" s="1"/>
  <c r="Q199" i="1"/>
  <c r="R199" i="1" s="1"/>
  <c r="Q200" i="1"/>
  <c r="R200" i="1" s="1"/>
  <c r="Q201" i="1"/>
  <c r="R201" i="1" s="1"/>
  <c r="Q202" i="1"/>
  <c r="R202" i="1" s="1"/>
  <c r="Q203" i="1"/>
  <c r="R203" i="1" s="1"/>
  <c r="Q204" i="1"/>
  <c r="R204" i="1" s="1"/>
  <c r="Q205" i="1"/>
  <c r="R205" i="1" s="1"/>
  <c r="Q206" i="1"/>
  <c r="R206" i="1" s="1"/>
  <c r="Q207" i="1"/>
  <c r="R207" i="1" s="1"/>
  <c r="Q208" i="1"/>
  <c r="R208" i="1" s="1"/>
  <c r="Q209" i="1"/>
  <c r="R209" i="1" s="1"/>
  <c r="Q210" i="1"/>
  <c r="R210" i="1" s="1"/>
  <c r="Q211" i="1"/>
  <c r="R211" i="1" s="1"/>
  <c r="Q212" i="1"/>
  <c r="R212" i="1" s="1"/>
  <c r="Q213" i="1"/>
  <c r="R213" i="1" s="1"/>
  <c r="Q214" i="1"/>
  <c r="R214" i="1" s="1"/>
  <c r="Q215" i="1"/>
  <c r="R215" i="1" s="1"/>
  <c r="Q216" i="1"/>
  <c r="R216" i="1" s="1"/>
  <c r="Q217" i="1"/>
  <c r="R217" i="1" s="1"/>
  <c r="Q218" i="1"/>
  <c r="R218" i="1" s="1"/>
  <c r="Q219" i="1"/>
  <c r="R219" i="1" s="1"/>
  <c r="Q220" i="1"/>
  <c r="R220" i="1" s="1"/>
  <c r="Q221" i="1"/>
  <c r="R221" i="1" s="1"/>
  <c r="Q222" i="1"/>
  <c r="R222" i="1" s="1"/>
  <c r="Q223" i="1"/>
  <c r="R223" i="1" s="1"/>
  <c r="Q224" i="1"/>
  <c r="R224" i="1" s="1"/>
  <c r="Q225" i="1"/>
  <c r="Q226" i="1"/>
  <c r="R226" i="1" s="1"/>
  <c r="Q227" i="1"/>
  <c r="R227" i="1" s="1"/>
  <c r="Q228" i="1"/>
  <c r="R228" i="1" s="1"/>
  <c r="Q229" i="1"/>
  <c r="R229" i="1" s="1"/>
  <c r="Q230" i="1"/>
  <c r="R230" i="1" s="1"/>
  <c r="Q231" i="1"/>
  <c r="R231" i="1" s="1"/>
  <c r="Q232" i="1"/>
  <c r="R232" i="1" s="1"/>
  <c r="Q233" i="1"/>
  <c r="R233" i="1" s="1"/>
  <c r="Q234" i="1"/>
  <c r="R234" i="1" s="1"/>
  <c r="Q235" i="1"/>
  <c r="R235" i="1" s="1"/>
  <c r="Q236" i="1"/>
  <c r="R236" i="1" s="1"/>
  <c r="Q237" i="1"/>
  <c r="R237" i="1" s="1"/>
  <c r="Q238" i="1"/>
  <c r="R238" i="1" s="1"/>
  <c r="Q239" i="1"/>
  <c r="R239" i="1" s="1"/>
  <c r="Q240" i="1"/>
  <c r="R240" i="1" s="1"/>
  <c r="Q241" i="1"/>
  <c r="Q242" i="1"/>
  <c r="R242" i="1" s="1"/>
  <c r="Q243" i="1"/>
  <c r="R243" i="1" s="1"/>
  <c r="Q244" i="1"/>
  <c r="R244" i="1" s="1"/>
  <c r="Q245" i="1"/>
  <c r="R245" i="1" s="1"/>
  <c r="Q246" i="1"/>
  <c r="R246" i="1" s="1"/>
  <c r="Q247" i="1"/>
  <c r="R247" i="1" s="1"/>
  <c r="Q248" i="1"/>
  <c r="R248" i="1" s="1"/>
  <c r="Q249" i="1"/>
  <c r="R249" i="1" s="1"/>
  <c r="Q250" i="1"/>
  <c r="R250" i="1" s="1"/>
  <c r="Q251" i="1"/>
  <c r="R251" i="1" s="1"/>
  <c r="Q252" i="1"/>
  <c r="R252" i="1" s="1"/>
  <c r="Q253" i="1"/>
  <c r="R253" i="1" s="1"/>
  <c r="Q254" i="1"/>
  <c r="R254" i="1" s="1"/>
  <c r="Q255" i="1"/>
  <c r="R255" i="1" s="1"/>
  <c r="Q256" i="1"/>
  <c r="R256" i="1" s="1"/>
  <c r="Q257" i="1"/>
  <c r="R257" i="1" s="1"/>
  <c r="Q258" i="1"/>
  <c r="R258" i="1" s="1"/>
  <c r="Q259" i="1"/>
  <c r="R259" i="1" s="1"/>
  <c r="Q260" i="1"/>
  <c r="R260" i="1" s="1"/>
  <c r="Q261" i="1"/>
  <c r="R261" i="1" s="1"/>
  <c r="Q262" i="1"/>
  <c r="R262" i="1" s="1"/>
  <c r="Q263" i="1"/>
  <c r="R263" i="1" s="1"/>
  <c r="Q264" i="1"/>
  <c r="R264" i="1" s="1"/>
  <c r="Q265" i="1"/>
  <c r="R265" i="1" s="1"/>
  <c r="Q266" i="1"/>
  <c r="R266" i="1" s="1"/>
  <c r="Q267" i="1"/>
  <c r="R267" i="1" s="1"/>
  <c r="Q268" i="1"/>
  <c r="R268" i="1" s="1"/>
  <c r="Q269" i="1"/>
  <c r="R269" i="1" s="1"/>
  <c r="Q270" i="1"/>
  <c r="R270" i="1" s="1"/>
  <c r="Q271" i="1"/>
  <c r="R271" i="1" s="1"/>
  <c r="Q272" i="1"/>
  <c r="R272" i="1" s="1"/>
  <c r="Q273" i="1"/>
  <c r="R273" i="1" s="1"/>
  <c r="Q274" i="1"/>
  <c r="R274" i="1" s="1"/>
  <c r="Q275" i="1"/>
  <c r="R275" i="1" s="1"/>
  <c r="Q276" i="1"/>
  <c r="R276" i="1" s="1"/>
  <c r="Q277" i="1"/>
  <c r="R277" i="1" s="1"/>
  <c r="Q278" i="1"/>
  <c r="R278" i="1" s="1"/>
  <c r="Q279" i="1"/>
  <c r="R279" i="1" s="1"/>
  <c r="Q280" i="1"/>
  <c r="R280" i="1" s="1"/>
  <c r="Q281" i="1"/>
  <c r="R281" i="1" s="1"/>
  <c r="Q282" i="1"/>
  <c r="R282" i="1" s="1"/>
  <c r="Q283" i="1"/>
  <c r="R283" i="1" s="1"/>
  <c r="Q284" i="1"/>
  <c r="R284" i="1" s="1"/>
  <c r="Q285" i="1"/>
  <c r="R285" i="1" s="1"/>
  <c r="Q286" i="1"/>
  <c r="R286" i="1" s="1"/>
  <c r="Q287" i="1"/>
  <c r="R287" i="1" s="1"/>
  <c r="Q288" i="1"/>
  <c r="R288" i="1" s="1"/>
  <c r="Q289" i="1"/>
  <c r="R289" i="1" s="1"/>
  <c r="Q290" i="1"/>
  <c r="R290" i="1" s="1"/>
  <c r="Q291" i="1"/>
  <c r="R291" i="1" s="1"/>
  <c r="Q292" i="1"/>
  <c r="R292" i="1" s="1"/>
  <c r="Q293" i="1"/>
  <c r="R293" i="1" s="1"/>
  <c r="Q294" i="1"/>
  <c r="R294" i="1" s="1"/>
  <c r="Q295" i="1"/>
  <c r="R295" i="1" s="1"/>
  <c r="Q296" i="1"/>
  <c r="R296" i="1" s="1"/>
  <c r="Q297" i="1"/>
  <c r="R297" i="1" s="1"/>
  <c r="Q298" i="1"/>
  <c r="R298" i="1" s="1"/>
  <c r="Q299" i="1"/>
  <c r="R299" i="1" s="1"/>
  <c r="Q300" i="1"/>
  <c r="R300" i="1" s="1"/>
  <c r="Q301" i="1"/>
  <c r="R301" i="1" s="1"/>
  <c r="Q302" i="1"/>
  <c r="R302" i="1" s="1"/>
  <c r="Q303" i="1"/>
  <c r="R303" i="1" s="1"/>
  <c r="Q304" i="1"/>
  <c r="R304" i="1" s="1"/>
  <c r="Q305" i="1"/>
  <c r="R305" i="1" s="1"/>
  <c r="Q306" i="1"/>
  <c r="R306" i="1" s="1"/>
  <c r="Q307" i="1"/>
  <c r="R307" i="1" s="1"/>
  <c r="Q308" i="1"/>
  <c r="R308" i="1" s="1"/>
  <c r="Q309" i="1"/>
  <c r="R309" i="1" s="1"/>
  <c r="Q310" i="1"/>
  <c r="R310" i="1" s="1"/>
  <c r="Q311" i="1"/>
  <c r="R311" i="1" s="1"/>
  <c r="Q312" i="1"/>
  <c r="R312" i="1" s="1"/>
  <c r="Q313" i="1"/>
  <c r="R313" i="1" s="1"/>
  <c r="Q314" i="1"/>
  <c r="R314" i="1" s="1"/>
  <c r="Q315" i="1"/>
  <c r="R315" i="1" s="1"/>
  <c r="Q316" i="1"/>
  <c r="R316" i="1" s="1"/>
  <c r="Q317" i="1"/>
  <c r="R317" i="1" s="1"/>
  <c r="Q318" i="1"/>
  <c r="R318" i="1" s="1"/>
  <c r="Q319" i="1"/>
  <c r="R319" i="1" s="1"/>
  <c r="Q320" i="1"/>
  <c r="R320" i="1" s="1"/>
  <c r="Q321" i="1"/>
  <c r="R321" i="1" s="1"/>
  <c r="Q322" i="1"/>
  <c r="R322" i="1" s="1"/>
  <c r="Q323" i="1"/>
  <c r="R323" i="1" s="1"/>
  <c r="Q324" i="1"/>
  <c r="R324" i="1" s="1"/>
  <c r="Q325" i="1"/>
  <c r="Q326" i="1"/>
  <c r="R326" i="1" s="1"/>
  <c r="Q327" i="1"/>
  <c r="R327" i="1" s="1"/>
  <c r="Q328" i="1"/>
  <c r="R328" i="1" s="1"/>
  <c r="Q329" i="1"/>
  <c r="R329" i="1" s="1"/>
  <c r="Q330" i="1"/>
  <c r="R330" i="1" s="1"/>
  <c r="Q331" i="1"/>
  <c r="R331" i="1" s="1"/>
  <c r="Q332" i="1"/>
  <c r="R332" i="1" s="1"/>
  <c r="Q333" i="1"/>
  <c r="Q334" i="1"/>
  <c r="R334" i="1" s="1"/>
  <c r="Q335" i="1"/>
  <c r="R335" i="1" s="1"/>
  <c r="Q336" i="1"/>
  <c r="R336" i="1" s="1"/>
  <c r="Q337" i="1"/>
  <c r="R337" i="1" s="1"/>
  <c r="Q338" i="1"/>
  <c r="R338" i="1" s="1"/>
  <c r="Q339" i="1"/>
  <c r="R339" i="1" s="1"/>
  <c r="Q340" i="1"/>
  <c r="R340" i="1" s="1"/>
  <c r="Q341" i="1"/>
  <c r="R341" i="1" s="1"/>
  <c r="Q342" i="1"/>
  <c r="R342" i="1" s="1"/>
  <c r="Q343" i="1"/>
  <c r="R343" i="1" s="1"/>
  <c r="Q344" i="1"/>
  <c r="R344" i="1" s="1"/>
  <c r="Q345" i="1"/>
  <c r="R345" i="1" s="1"/>
  <c r="Q346" i="1"/>
  <c r="R346" i="1" s="1"/>
  <c r="Q347" i="1"/>
  <c r="R347" i="1" s="1"/>
  <c r="Q348" i="1"/>
  <c r="R348" i="1" s="1"/>
  <c r="Q349" i="1"/>
  <c r="R349" i="1" s="1"/>
  <c r="Q350" i="1"/>
  <c r="R350" i="1" s="1"/>
  <c r="Q351" i="1"/>
  <c r="R351" i="1" s="1"/>
  <c r="Q352" i="1"/>
  <c r="R352" i="1" s="1"/>
  <c r="Q353" i="1"/>
  <c r="R353" i="1" s="1"/>
  <c r="Q354" i="1"/>
  <c r="R354" i="1" s="1"/>
  <c r="Q355" i="1"/>
  <c r="R355" i="1" s="1"/>
  <c r="Q356" i="1"/>
  <c r="R356" i="1" s="1"/>
  <c r="Q357" i="1"/>
  <c r="R357" i="1" s="1"/>
  <c r="Q358" i="1"/>
  <c r="R358" i="1" s="1"/>
  <c r="Q359" i="1"/>
  <c r="R359" i="1" s="1"/>
  <c r="Q360" i="1"/>
  <c r="R360" i="1" s="1"/>
  <c r="Q361" i="1"/>
  <c r="R361" i="1" s="1"/>
  <c r="Q362" i="1"/>
  <c r="R362" i="1" s="1"/>
  <c r="Q363" i="1"/>
  <c r="R363" i="1" s="1"/>
  <c r="Q364" i="1"/>
  <c r="R364" i="1" s="1"/>
  <c r="Q365" i="1"/>
  <c r="R365" i="1" s="1"/>
  <c r="Q366" i="1"/>
  <c r="R366" i="1" s="1"/>
  <c r="Q367" i="1"/>
  <c r="R367" i="1" s="1"/>
  <c r="Q368" i="1"/>
  <c r="R368" i="1" s="1"/>
  <c r="Q369" i="1"/>
  <c r="R369" i="1" s="1"/>
  <c r="Q370" i="1"/>
  <c r="R370" i="1" s="1"/>
  <c r="Q371" i="1"/>
  <c r="Q372" i="1"/>
  <c r="R372" i="1" s="1"/>
  <c r="Q373" i="1"/>
  <c r="R373" i="1" s="1"/>
  <c r="Q374" i="1"/>
  <c r="R374" i="1" s="1"/>
  <c r="Q375" i="1"/>
  <c r="R375" i="1" s="1"/>
  <c r="Q376" i="1"/>
  <c r="Q377" i="1"/>
  <c r="R377" i="1" s="1"/>
  <c r="Q378" i="1"/>
  <c r="R378" i="1" s="1"/>
  <c r="Q379" i="1"/>
  <c r="R379" i="1" s="1"/>
  <c r="Q380" i="1"/>
  <c r="R380" i="1" s="1"/>
  <c r="Q381" i="1"/>
  <c r="R381" i="1" s="1"/>
  <c r="Q382" i="1"/>
  <c r="R382" i="1" s="1"/>
  <c r="Q383" i="1"/>
  <c r="R383" i="1" s="1"/>
  <c r="Q384" i="1"/>
  <c r="R384" i="1" s="1"/>
  <c r="Q385" i="1"/>
  <c r="R385" i="1" s="1"/>
  <c r="Q386" i="1"/>
  <c r="R386" i="1" s="1"/>
  <c r="Q387" i="1"/>
  <c r="R387" i="1" s="1"/>
  <c r="Q388" i="1"/>
  <c r="R388" i="1" s="1"/>
  <c r="Q389" i="1"/>
  <c r="R389" i="1" s="1"/>
  <c r="Q390" i="1"/>
  <c r="R390" i="1" s="1"/>
  <c r="Q391" i="1"/>
  <c r="R391" i="1" s="1"/>
  <c r="Q392" i="1"/>
  <c r="R392" i="1" s="1"/>
  <c r="Q393" i="1"/>
  <c r="R393" i="1" s="1"/>
  <c r="Q394" i="1"/>
  <c r="R394" i="1" s="1"/>
  <c r="Q395" i="1"/>
  <c r="R395" i="1" s="1"/>
  <c r="Q396" i="1"/>
  <c r="R396" i="1" s="1"/>
  <c r="Q397" i="1"/>
  <c r="R397" i="1" s="1"/>
  <c r="Q398" i="1"/>
  <c r="R398" i="1" s="1"/>
  <c r="Q399" i="1"/>
  <c r="R399" i="1" s="1"/>
  <c r="Q400" i="1"/>
  <c r="R400" i="1" s="1"/>
  <c r="Q401" i="1"/>
  <c r="R401" i="1" s="1"/>
  <c r="Q402" i="1"/>
  <c r="R402" i="1" s="1"/>
  <c r="Q403" i="1"/>
  <c r="R403" i="1" s="1"/>
  <c r="Q404" i="1"/>
  <c r="R404" i="1" s="1"/>
  <c r="Q405" i="1"/>
  <c r="R405" i="1" s="1"/>
  <c r="Q406" i="1"/>
  <c r="R406" i="1" s="1"/>
  <c r="Q407" i="1"/>
  <c r="R407" i="1" s="1"/>
  <c r="Q408" i="1"/>
  <c r="R408" i="1" s="1"/>
  <c r="Q409" i="1"/>
  <c r="R409" i="1" s="1"/>
  <c r="Q410" i="1"/>
  <c r="R410" i="1" s="1"/>
  <c r="Q411" i="1"/>
  <c r="R411" i="1" s="1"/>
  <c r="Q412" i="1"/>
  <c r="R412" i="1" s="1"/>
  <c r="Q413" i="1"/>
  <c r="R413" i="1" s="1"/>
  <c r="Q414" i="1"/>
  <c r="R414" i="1" s="1"/>
  <c r="Q415" i="1"/>
  <c r="R415" i="1" s="1"/>
  <c r="Q416" i="1"/>
  <c r="R416" i="1" s="1"/>
  <c r="Q417" i="1"/>
  <c r="R417" i="1" s="1"/>
  <c r="Q418" i="1"/>
  <c r="R418" i="1" s="1"/>
  <c r="Q419" i="1"/>
  <c r="R419" i="1" s="1"/>
  <c r="Q420" i="1"/>
  <c r="R420" i="1" s="1"/>
  <c r="Q421" i="1"/>
  <c r="R421" i="1" s="1"/>
  <c r="Q422" i="1"/>
  <c r="R422" i="1" s="1"/>
  <c r="Q423" i="1"/>
  <c r="R423" i="1" s="1"/>
  <c r="Q424" i="1"/>
  <c r="R424" i="1" s="1"/>
  <c r="Q425" i="1"/>
  <c r="R425" i="1" s="1"/>
  <c r="Q426" i="1"/>
  <c r="R426" i="1" s="1"/>
  <c r="Q427" i="1"/>
  <c r="R427" i="1" s="1"/>
  <c r="Q428" i="1"/>
  <c r="R428" i="1" s="1"/>
  <c r="Q429" i="1"/>
  <c r="R429" i="1" s="1"/>
  <c r="Q430" i="1"/>
  <c r="R430" i="1" s="1"/>
  <c r="Q431" i="1"/>
  <c r="R431" i="1" s="1"/>
  <c r="Q432" i="1"/>
  <c r="R432" i="1" s="1"/>
  <c r="Q433" i="1"/>
  <c r="R433" i="1" s="1"/>
  <c r="Q434" i="1"/>
  <c r="R434" i="1" s="1"/>
  <c r="Q435" i="1"/>
  <c r="R435" i="1" s="1"/>
  <c r="Q436" i="1"/>
  <c r="R436" i="1" s="1"/>
  <c r="Q437" i="1"/>
  <c r="R437" i="1" s="1"/>
  <c r="Q438" i="1"/>
  <c r="R438" i="1" s="1"/>
  <c r="Q439" i="1"/>
  <c r="R439" i="1" s="1"/>
  <c r="Q440" i="1"/>
  <c r="R440" i="1" s="1"/>
  <c r="Q441" i="1"/>
  <c r="R441" i="1" s="1"/>
  <c r="Q442" i="1"/>
  <c r="R442" i="1" s="1"/>
  <c r="Q443" i="1"/>
  <c r="R443" i="1" s="1"/>
  <c r="Q444" i="1"/>
  <c r="R444" i="1" s="1"/>
  <c r="Q445" i="1"/>
  <c r="R445" i="1" s="1"/>
  <c r="Q446" i="1"/>
  <c r="R446" i="1" s="1"/>
  <c r="Q447" i="1"/>
  <c r="R447" i="1" s="1"/>
  <c r="Q448" i="1"/>
  <c r="R448" i="1" s="1"/>
  <c r="Q449" i="1"/>
  <c r="R449" i="1" s="1"/>
  <c r="Q450" i="1"/>
  <c r="R450" i="1" s="1"/>
  <c r="Q451" i="1"/>
  <c r="R451" i="1" s="1"/>
  <c r="Q452" i="1"/>
  <c r="R452" i="1" s="1"/>
  <c r="Q453" i="1"/>
  <c r="R453" i="1" s="1"/>
  <c r="Q454" i="1"/>
  <c r="R454" i="1" s="1"/>
  <c r="Q455" i="1"/>
  <c r="R455" i="1" s="1"/>
  <c r="Q456" i="1"/>
  <c r="R456" i="1" s="1"/>
  <c r="Q457" i="1"/>
  <c r="R457" i="1" s="1"/>
  <c r="Q458" i="1"/>
  <c r="R458" i="1" s="1"/>
  <c r="Q459" i="1"/>
  <c r="R459" i="1" s="1"/>
  <c r="Q460" i="1"/>
  <c r="R460" i="1" s="1"/>
  <c r="Q461" i="1"/>
  <c r="R461" i="1" s="1"/>
  <c r="Q462" i="1"/>
  <c r="R462" i="1" s="1"/>
  <c r="Q463" i="1"/>
  <c r="R463" i="1" s="1"/>
  <c r="Q464" i="1"/>
  <c r="R464" i="1" s="1"/>
  <c r="Q465" i="1"/>
  <c r="R465" i="1" s="1"/>
  <c r="Q466" i="1"/>
  <c r="R466" i="1" s="1"/>
  <c r="Q467" i="1"/>
  <c r="R467" i="1" s="1"/>
  <c r="Q468" i="1"/>
  <c r="R468" i="1" s="1"/>
  <c r="Q469" i="1"/>
  <c r="R469" i="1" s="1"/>
  <c r="Q470" i="1"/>
  <c r="R470" i="1" s="1"/>
  <c r="Q471" i="1"/>
  <c r="R471" i="1" s="1"/>
  <c r="Q472" i="1"/>
  <c r="R472" i="1" s="1"/>
  <c r="Q473" i="1"/>
  <c r="R473" i="1" s="1"/>
  <c r="Q474" i="1"/>
  <c r="R474" i="1" s="1"/>
  <c r="Q475" i="1"/>
  <c r="R475" i="1" s="1"/>
  <c r="Q476" i="1"/>
  <c r="R476" i="1" s="1"/>
  <c r="Q477" i="1"/>
  <c r="Q478" i="1"/>
  <c r="R478" i="1" s="1"/>
  <c r="Q479" i="1"/>
  <c r="R479" i="1" s="1"/>
  <c r="Q480" i="1"/>
  <c r="Q481" i="1"/>
  <c r="R481" i="1" s="1"/>
  <c r="Q482" i="1"/>
  <c r="R482" i="1" s="1"/>
  <c r="Q483" i="1"/>
  <c r="R483" i="1" s="1"/>
  <c r="Q484" i="1"/>
  <c r="R484" i="1" s="1"/>
  <c r="Q485" i="1"/>
  <c r="R485" i="1" s="1"/>
  <c r="Q486" i="1"/>
  <c r="R486" i="1" s="1"/>
  <c r="Q487" i="1"/>
  <c r="R487" i="1" s="1"/>
  <c r="Q488" i="1"/>
  <c r="R488" i="1" s="1"/>
  <c r="Q489" i="1"/>
  <c r="R489" i="1" s="1"/>
  <c r="Q490" i="1"/>
  <c r="R490" i="1" s="1"/>
  <c r="Q491" i="1"/>
  <c r="R491" i="1" s="1"/>
  <c r="Q492" i="1"/>
  <c r="R492" i="1" s="1"/>
  <c r="Q493" i="1"/>
  <c r="R493" i="1" s="1"/>
  <c r="Q494" i="1"/>
  <c r="R494" i="1" s="1"/>
  <c r="Q495" i="1"/>
  <c r="R495" i="1" s="1"/>
  <c r="Q496" i="1"/>
  <c r="R496" i="1" s="1"/>
  <c r="Q497" i="1"/>
  <c r="R497" i="1" s="1"/>
  <c r="Q498" i="1"/>
  <c r="R498" i="1" s="1"/>
  <c r="Q499" i="1"/>
  <c r="R499" i="1" s="1"/>
  <c r="Q500" i="1"/>
  <c r="R500" i="1" s="1"/>
  <c r="Q501" i="1"/>
  <c r="R501" i="1" s="1"/>
  <c r="Q502" i="1"/>
  <c r="R502" i="1" s="1"/>
  <c r="Q503" i="1"/>
  <c r="R503" i="1" s="1"/>
  <c r="Q504" i="1"/>
  <c r="R504" i="1" s="1"/>
  <c r="Q505" i="1"/>
  <c r="R505" i="1" s="1"/>
  <c r="Q506" i="1"/>
  <c r="R506" i="1" s="1"/>
  <c r="Q507" i="1"/>
  <c r="R507" i="1" s="1"/>
  <c r="Q508" i="1"/>
  <c r="R508" i="1" s="1"/>
  <c r="Q509" i="1"/>
  <c r="R509" i="1" s="1"/>
  <c r="Q510" i="1"/>
  <c r="R510" i="1" s="1"/>
  <c r="Q511" i="1"/>
  <c r="R511" i="1" s="1"/>
  <c r="Q512" i="1"/>
  <c r="R512" i="1" s="1"/>
  <c r="Q513" i="1"/>
  <c r="R513" i="1" s="1"/>
  <c r="Q514" i="1"/>
  <c r="R514" i="1" s="1"/>
  <c r="Q515" i="1"/>
  <c r="R515" i="1" s="1"/>
  <c r="Q516" i="1"/>
  <c r="R516" i="1" s="1"/>
  <c r="Q517" i="1"/>
  <c r="R517" i="1" s="1"/>
  <c r="Q518" i="1"/>
  <c r="R518" i="1" s="1"/>
  <c r="Q519" i="1"/>
  <c r="R519" i="1" s="1"/>
  <c r="Q520" i="1"/>
  <c r="R520" i="1" s="1"/>
  <c r="Q521" i="1"/>
  <c r="R521" i="1" s="1"/>
  <c r="Q522" i="1"/>
  <c r="R522" i="1" s="1"/>
  <c r="Q523" i="1"/>
  <c r="Q524" i="1"/>
  <c r="R524" i="1" s="1"/>
  <c r="Q525" i="1"/>
  <c r="R525" i="1" s="1"/>
  <c r="Q526" i="1"/>
  <c r="R526" i="1" s="1"/>
  <c r="Q527" i="1"/>
  <c r="R527" i="1" s="1"/>
  <c r="Q528" i="1"/>
  <c r="R528" i="1" s="1"/>
  <c r="Q529" i="1"/>
  <c r="R529" i="1" s="1"/>
  <c r="Q530" i="1"/>
  <c r="R530" i="1" s="1"/>
  <c r="Q531" i="1"/>
  <c r="R531" i="1" s="1"/>
  <c r="Q532" i="1"/>
  <c r="R532" i="1" s="1"/>
  <c r="Q533" i="1"/>
  <c r="R533" i="1" s="1"/>
  <c r="Q534" i="1"/>
  <c r="R534" i="1" s="1"/>
  <c r="Q535" i="1"/>
  <c r="R535" i="1" s="1"/>
  <c r="Q536" i="1"/>
  <c r="R536" i="1" s="1"/>
  <c r="Q537" i="1"/>
  <c r="R537" i="1" s="1"/>
  <c r="Q538" i="1"/>
  <c r="R538" i="1" s="1"/>
  <c r="Q539" i="1"/>
  <c r="R539" i="1" s="1"/>
  <c r="Q540" i="1"/>
  <c r="R540" i="1" s="1"/>
  <c r="Q541" i="1"/>
  <c r="R541" i="1" s="1"/>
  <c r="Q542" i="1"/>
  <c r="R542" i="1" s="1"/>
  <c r="Q543" i="1"/>
  <c r="R543" i="1" s="1"/>
  <c r="Q544" i="1"/>
  <c r="R544" i="1" s="1"/>
  <c r="Q545" i="1"/>
  <c r="R545" i="1" s="1"/>
  <c r="Q546" i="1"/>
  <c r="R546" i="1" s="1"/>
  <c r="Q547" i="1"/>
  <c r="R547" i="1" s="1"/>
  <c r="Q548" i="1"/>
  <c r="R548" i="1" s="1"/>
  <c r="Q549" i="1"/>
  <c r="R549" i="1" s="1"/>
  <c r="Q550" i="1"/>
  <c r="R550" i="1" s="1"/>
  <c r="Q551" i="1"/>
  <c r="R551" i="1" s="1"/>
  <c r="Q552" i="1"/>
  <c r="R552" i="1" s="1"/>
  <c r="Q553" i="1"/>
  <c r="R553" i="1" s="1"/>
  <c r="Q554" i="1"/>
  <c r="R554" i="1" s="1"/>
  <c r="Q555" i="1"/>
  <c r="R555" i="1" s="1"/>
  <c r="Q556" i="1"/>
  <c r="R556" i="1" s="1"/>
  <c r="Q557" i="1"/>
  <c r="R557" i="1" s="1"/>
  <c r="Q558" i="1"/>
  <c r="R558" i="1" s="1"/>
  <c r="Q559" i="1"/>
  <c r="R559" i="1" s="1"/>
  <c r="Q560" i="1"/>
  <c r="R560" i="1" s="1"/>
  <c r="Q561" i="1"/>
  <c r="R561" i="1" s="1"/>
  <c r="Q562" i="1"/>
  <c r="R562" i="1" s="1"/>
  <c r="Q563" i="1"/>
  <c r="R563" i="1" s="1"/>
  <c r="Q564" i="1"/>
  <c r="R564" i="1" s="1"/>
  <c r="Q565" i="1"/>
  <c r="R565" i="1" s="1"/>
  <c r="Q566" i="1"/>
  <c r="R566" i="1" s="1"/>
  <c r="Q567" i="1"/>
  <c r="R567" i="1" s="1"/>
  <c r="Q568" i="1"/>
  <c r="R568" i="1" s="1"/>
  <c r="Q569" i="1"/>
  <c r="R569" i="1" s="1"/>
  <c r="Q570" i="1"/>
  <c r="R570" i="1" s="1"/>
  <c r="Q571" i="1"/>
  <c r="R571" i="1" s="1"/>
  <c r="Q572" i="1"/>
  <c r="R572" i="1" s="1"/>
  <c r="Q573" i="1"/>
  <c r="R573" i="1" s="1"/>
  <c r="Q574" i="1"/>
  <c r="R574" i="1" s="1"/>
  <c r="Q575" i="1"/>
  <c r="R575" i="1" s="1"/>
  <c r="Q576" i="1"/>
  <c r="R576" i="1" s="1"/>
  <c r="Q577" i="1"/>
  <c r="R577" i="1" s="1"/>
  <c r="Q578" i="1"/>
  <c r="R578" i="1" s="1"/>
  <c r="Q579" i="1"/>
  <c r="R579" i="1" s="1"/>
  <c r="Q580" i="1"/>
  <c r="R580" i="1" s="1"/>
  <c r="Q581" i="1"/>
  <c r="R581" i="1" s="1"/>
  <c r="Q582" i="1"/>
  <c r="R582" i="1" s="1"/>
  <c r="Q583" i="1"/>
  <c r="R583" i="1" s="1"/>
  <c r="Q584" i="1"/>
  <c r="R584" i="1" s="1"/>
  <c r="Q585" i="1"/>
  <c r="R585" i="1" s="1"/>
  <c r="Q586" i="1"/>
  <c r="R586" i="1" s="1"/>
  <c r="Q587" i="1"/>
  <c r="Q588" i="1"/>
  <c r="R588" i="1" s="1"/>
  <c r="Q589" i="1"/>
  <c r="R589" i="1" s="1"/>
  <c r="Q590" i="1"/>
  <c r="R590" i="1" s="1"/>
  <c r="Q591" i="1"/>
  <c r="R591" i="1" s="1"/>
  <c r="Q592" i="1"/>
  <c r="R592" i="1" s="1"/>
  <c r="Q593" i="1"/>
  <c r="R593" i="1" s="1"/>
  <c r="Q594" i="1"/>
  <c r="R594" i="1" s="1"/>
  <c r="Q595" i="1"/>
  <c r="R595" i="1" s="1"/>
  <c r="Q596" i="1"/>
  <c r="R596" i="1" s="1"/>
  <c r="Q597" i="1"/>
  <c r="R597" i="1" s="1"/>
  <c r="Q598" i="1"/>
  <c r="R598" i="1" s="1"/>
  <c r="Q599" i="1"/>
  <c r="R599" i="1" s="1"/>
  <c r="Q600" i="1"/>
  <c r="R600" i="1" s="1"/>
  <c r="Q601" i="1"/>
  <c r="R601" i="1" s="1"/>
  <c r="Q602" i="1"/>
  <c r="R602" i="1" s="1"/>
  <c r="Q603" i="1"/>
  <c r="R603" i="1" s="1"/>
  <c r="Q604" i="1"/>
  <c r="R604" i="1" s="1"/>
  <c r="Q605" i="1"/>
  <c r="R605" i="1" s="1"/>
  <c r="Q606" i="1"/>
  <c r="R606" i="1" s="1"/>
  <c r="Q607" i="1"/>
  <c r="R607" i="1" s="1"/>
  <c r="Q608" i="1"/>
  <c r="R608" i="1" s="1"/>
  <c r="Q609" i="1"/>
  <c r="R609" i="1" s="1"/>
  <c r="Q610" i="1"/>
  <c r="R610" i="1" s="1"/>
  <c r="Q611" i="1"/>
  <c r="R611" i="1" s="1"/>
  <c r="Q612" i="1"/>
  <c r="R612" i="1" s="1"/>
  <c r="Q613" i="1"/>
  <c r="R613" i="1" s="1"/>
  <c r="Q614" i="1"/>
  <c r="R614" i="1" s="1"/>
  <c r="Q615" i="1"/>
  <c r="R615" i="1" s="1"/>
  <c r="Q616" i="1"/>
  <c r="R616" i="1" s="1"/>
  <c r="Q617" i="1"/>
  <c r="R617" i="1" s="1"/>
  <c r="Q618" i="1"/>
  <c r="R618" i="1" s="1"/>
  <c r="Q619" i="1"/>
  <c r="R619" i="1" s="1"/>
  <c r="Q620" i="1"/>
  <c r="R620" i="1" s="1"/>
  <c r="Q621" i="1"/>
  <c r="R621" i="1" s="1"/>
  <c r="Q622" i="1"/>
  <c r="R622" i="1" s="1"/>
  <c r="Q623" i="1"/>
  <c r="R623" i="1" s="1"/>
  <c r="Q624" i="1"/>
  <c r="R624" i="1" s="1"/>
  <c r="Q625" i="1"/>
  <c r="R625" i="1" s="1"/>
  <c r="Q626" i="1"/>
  <c r="R626" i="1" s="1"/>
  <c r="Q627" i="1"/>
  <c r="R627" i="1" s="1"/>
  <c r="Q628" i="1"/>
  <c r="R628" i="1" s="1"/>
  <c r="Q629" i="1"/>
  <c r="R629" i="1" s="1"/>
  <c r="Q630" i="1"/>
  <c r="R630" i="1" s="1"/>
  <c r="Q631" i="1"/>
  <c r="R631" i="1" s="1"/>
  <c r="Q632" i="1"/>
  <c r="R632" i="1" s="1"/>
  <c r="Q633" i="1"/>
  <c r="Q634" i="1"/>
  <c r="R634" i="1" s="1"/>
  <c r="Q635" i="1"/>
  <c r="R635" i="1" s="1"/>
  <c r="Q636" i="1"/>
  <c r="Q637" i="1"/>
  <c r="R637" i="1" s="1"/>
  <c r="Q638" i="1"/>
  <c r="R638" i="1" s="1"/>
  <c r="Q639" i="1"/>
  <c r="R639" i="1" s="1"/>
  <c r="Q640" i="1"/>
  <c r="R640" i="1" s="1"/>
  <c r="Q641" i="1"/>
  <c r="R641" i="1" s="1"/>
  <c r="Q642" i="1"/>
  <c r="R642" i="1" s="1"/>
  <c r="Q643" i="1"/>
  <c r="R643" i="1" s="1"/>
  <c r="Q644" i="1"/>
  <c r="R644" i="1" s="1"/>
  <c r="Q645" i="1"/>
  <c r="R645" i="1" s="1"/>
  <c r="Q646" i="1"/>
  <c r="R646" i="1" s="1"/>
  <c r="Q647" i="1"/>
  <c r="R647" i="1" s="1"/>
  <c r="Q648" i="1"/>
  <c r="Q649" i="1"/>
  <c r="R649" i="1" s="1"/>
  <c r="Q650" i="1"/>
  <c r="R650" i="1" s="1"/>
  <c r="Q651" i="1"/>
  <c r="R651" i="1" s="1"/>
  <c r="Q652" i="1"/>
  <c r="R652" i="1" s="1"/>
  <c r="Q653" i="1"/>
  <c r="R653" i="1" s="1"/>
  <c r="Q654" i="1"/>
  <c r="R654" i="1" s="1"/>
  <c r="Q655" i="1"/>
  <c r="R655" i="1" s="1"/>
  <c r="Q656" i="1"/>
  <c r="R656" i="1" s="1"/>
  <c r="Q657" i="1"/>
  <c r="R657" i="1" s="1"/>
  <c r="Q658" i="1"/>
  <c r="R658" i="1" s="1"/>
  <c r="Q659" i="1"/>
  <c r="R659" i="1" s="1"/>
  <c r="Q660" i="1"/>
  <c r="R660" i="1" s="1"/>
  <c r="Q661" i="1"/>
  <c r="R661" i="1" s="1"/>
  <c r="Q662" i="1"/>
  <c r="R662" i="1" s="1"/>
  <c r="Q663" i="1"/>
  <c r="R663" i="1" s="1"/>
  <c r="Q664" i="1"/>
  <c r="R664" i="1" s="1"/>
  <c r="Q665" i="1"/>
  <c r="R665" i="1" s="1"/>
  <c r="Q666" i="1"/>
  <c r="R666" i="1" s="1"/>
  <c r="Q667" i="1"/>
  <c r="R667" i="1" s="1"/>
  <c r="Q668" i="1"/>
  <c r="R668" i="1" s="1"/>
  <c r="Q669" i="1"/>
  <c r="R669" i="1" s="1"/>
  <c r="Q670" i="1"/>
  <c r="R670" i="1" s="1"/>
  <c r="Q671" i="1"/>
  <c r="R671" i="1" s="1"/>
  <c r="Q672" i="1"/>
  <c r="R672" i="1" s="1"/>
  <c r="Q673" i="1"/>
  <c r="R673" i="1" s="1"/>
  <c r="Q674" i="1"/>
  <c r="R674" i="1" s="1"/>
  <c r="Q675" i="1"/>
  <c r="R675" i="1" s="1"/>
  <c r="Q676" i="1"/>
  <c r="R676" i="1" s="1"/>
  <c r="Q677" i="1"/>
  <c r="R677" i="1" s="1"/>
  <c r="Q678" i="1"/>
  <c r="R678" i="1" s="1"/>
  <c r="Q679" i="1"/>
  <c r="R679" i="1" s="1"/>
  <c r="Q680" i="1"/>
  <c r="R680" i="1" s="1"/>
  <c r="Q681" i="1"/>
  <c r="R681" i="1" s="1"/>
  <c r="Q682" i="1"/>
  <c r="R682" i="1" s="1"/>
  <c r="Q683" i="1"/>
  <c r="R683" i="1" s="1"/>
  <c r="Q684" i="1"/>
  <c r="R684" i="1" s="1"/>
  <c r="Q685" i="1"/>
  <c r="R685" i="1" s="1"/>
  <c r="Q686" i="1"/>
  <c r="R686" i="1" s="1"/>
  <c r="Q687" i="1"/>
  <c r="R687" i="1" s="1"/>
  <c r="Q688" i="1"/>
  <c r="R688" i="1" s="1"/>
  <c r="Q689" i="1"/>
  <c r="Q690" i="1"/>
  <c r="R690" i="1" s="1"/>
  <c r="Q691" i="1"/>
  <c r="R691" i="1" s="1"/>
  <c r="Q692" i="1"/>
  <c r="R692" i="1" s="1"/>
  <c r="Q693" i="1"/>
  <c r="R693" i="1" s="1"/>
  <c r="Q694" i="1"/>
  <c r="R694" i="1" s="1"/>
  <c r="Q695" i="1"/>
  <c r="R695" i="1" s="1"/>
  <c r="Q696" i="1"/>
  <c r="R696" i="1" s="1"/>
  <c r="Q697" i="1"/>
  <c r="R697" i="1" s="1"/>
  <c r="Q698" i="1"/>
  <c r="R698" i="1" s="1"/>
  <c r="Q699" i="1"/>
  <c r="R699" i="1" s="1"/>
  <c r="Q700" i="1"/>
  <c r="R700" i="1" s="1"/>
  <c r="Q701" i="1"/>
  <c r="R701" i="1" s="1"/>
  <c r="Q702" i="1"/>
  <c r="R702" i="1" s="1"/>
  <c r="Q703" i="1"/>
  <c r="R703" i="1" s="1"/>
  <c r="Q704" i="1"/>
  <c r="R704" i="1" s="1"/>
  <c r="Q705" i="1"/>
  <c r="R705" i="1" s="1"/>
  <c r="Q706" i="1"/>
  <c r="R706" i="1" s="1"/>
  <c r="Q707" i="1"/>
  <c r="R707" i="1" s="1"/>
  <c r="Q708" i="1"/>
  <c r="R708" i="1" s="1"/>
  <c r="Q709" i="1"/>
  <c r="R709" i="1" s="1"/>
  <c r="Q710" i="1"/>
  <c r="R710" i="1" s="1"/>
  <c r="Q711" i="1"/>
  <c r="R711" i="1" s="1"/>
  <c r="Q712" i="1"/>
  <c r="R712" i="1" s="1"/>
  <c r="Q713" i="1"/>
  <c r="R713" i="1" s="1"/>
  <c r="Q714" i="1"/>
  <c r="R714" i="1" s="1"/>
  <c r="Q715" i="1"/>
  <c r="R715" i="1" s="1"/>
  <c r="Q716" i="1"/>
  <c r="R716" i="1" s="1"/>
  <c r="Q717" i="1"/>
  <c r="R717" i="1" s="1"/>
  <c r="Q718" i="1"/>
  <c r="R718" i="1" s="1"/>
  <c r="Q719" i="1"/>
  <c r="R719" i="1" s="1"/>
  <c r="Q720" i="1"/>
  <c r="R720" i="1" s="1"/>
  <c r="Q721" i="1"/>
  <c r="R721" i="1" s="1"/>
  <c r="Q722" i="1"/>
  <c r="R722" i="1" s="1"/>
  <c r="Q723" i="1"/>
  <c r="R723" i="1" s="1"/>
  <c r="Q724" i="1"/>
  <c r="R724" i="1" s="1"/>
  <c r="Q725" i="1"/>
  <c r="R725" i="1" s="1"/>
  <c r="Q726" i="1"/>
  <c r="R726" i="1" s="1"/>
  <c r="Q727" i="1"/>
  <c r="R727" i="1" s="1"/>
  <c r="Q728" i="1"/>
  <c r="R728" i="1" s="1"/>
  <c r="Q729" i="1"/>
  <c r="R729" i="1" s="1"/>
  <c r="Q730" i="1"/>
  <c r="R730" i="1" s="1"/>
  <c r="Q731" i="1"/>
  <c r="R731" i="1" s="1"/>
  <c r="Q732" i="1"/>
  <c r="R732" i="1" s="1"/>
  <c r="Q733" i="1"/>
  <c r="R733" i="1" s="1"/>
  <c r="Q734" i="1"/>
  <c r="R734" i="1" s="1"/>
  <c r="Q735" i="1"/>
  <c r="R735" i="1" s="1"/>
  <c r="Q736" i="1"/>
  <c r="R736" i="1" s="1"/>
  <c r="Q737" i="1"/>
  <c r="R737" i="1" s="1"/>
  <c r="Q738" i="1"/>
  <c r="R738" i="1" s="1"/>
  <c r="Q739" i="1"/>
  <c r="R739" i="1" s="1"/>
  <c r="Q740" i="1"/>
  <c r="R740" i="1" s="1"/>
  <c r="Q741" i="1"/>
  <c r="Q742" i="1"/>
  <c r="R742" i="1" s="1"/>
  <c r="Q743" i="1"/>
  <c r="R743" i="1" s="1"/>
  <c r="Q744" i="1"/>
  <c r="R744" i="1" s="1"/>
  <c r="Q745" i="1"/>
  <c r="R745" i="1" s="1"/>
  <c r="Q746" i="1"/>
  <c r="R746" i="1" s="1"/>
  <c r="Q747" i="1"/>
  <c r="R747" i="1" s="1"/>
  <c r="Q748" i="1"/>
  <c r="R748" i="1" s="1"/>
  <c r="Q749" i="1"/>
  <c r="R749" i="1" s="1"/>
  <c r="Q750" i="1"/>
  <c r="R750" i="1" s="1"/>
  <c r="Q751" i="1"/>
  <c r="R751" i="1" s="1"/>
  <c r="Q752" i="1"/>
  <c r="R752" i="1" s="1"/>
  <c r="Q753" i="1"/>
  <c r="R753" i="1" s="1"/>
  <c r="Q754" i="1"/>
  <c r="R754" i="1" s="1"/>
  <c r="Q755" i="1"/>
  <c r="R755" i="1" s="1"/>
  <c r="Q756" i="1"/>
  <c r="R756" i="1" s="1"/>
  <c r="Q757" i="1"/>
  <c r="R757" i="1" s="1"/>
  <c r="Q758" i="1"/>
  <c r="R758" i="1" s="1"/>
  <c r="Q759" i="1"/>
  <c r="R759" i="1" s="1"/>
  <c r="Q760" i="1"/>
  <c r="R760" i="1" s="1"/>
  <c r="Q761" i="1"/>
  <c r="R761" i="1" s="1"/>
  <c r="Q762" i="1"/>
  <c r="R762" i="1" s="1"/>
  <c r="Q763" i="1"/>
  <c r="R763" i="1" s="1"/>
  <c r="Q764" i="1"/>
  <c r="R764" i="1" s="1"/>
  <c r="Q765" i="1"/>
  <c r="R765" i="1" s="1"/>
  <c r="Q766" i="1"/>
  <c r="R766" i="1" s="1"/>
  <c r="Q767" i="1"/>
  <c r="R767" i="1" s="1"/>
  <c r="Q768" i="1"/>
  <c r="R768" i="1" s="1"/>
  <c r="Q769" i="1"/>
  <c r="R769" i="1" s="1"/>
  <c r="Q770" i="1"/>
  <c r="Q771" i="1"/>
  <c r="R771" i="1" s="1"/>
  <c r="Q772" i="1"/>
  <c r="R772" i="1" s="1"/>
  <c r="Q773" i="1"/>
  <c r="R773" i="1" s="1"/>
  <c r="Q774" i="1"/>
  <c r="R774" i="1" s="1"/>
  <c r="Q775" i="1"/>
  <c r="R775" i="1" s="1"/>
  <c r="Q776" i="1"/>
  <c r="R776" i="1" s="1"/>
  <c r="Q777" i="1"/>
  <c r="R777" i="1" s="1"/>
  <c r="Q778" i="1"/>
  <c r="R778" i="1" s="1"/>
  <c r="Q779" i="1"/>
  <c r="R779" i="1" s="1"/>
  <c r="Q780" i="1"/>
  <c r="R780" i="1" s="1"/>
  <c r="Q781" i="1"/>
  <c r="R781" i="1" s="1"/>
  <c r="Q782" i="1"/>
  <c r="R782" i="1" s="1"/>
  <c r="Q783" i="1"/>
  <c r="R783" i="1" s="1"/>
  <c r="Q784" i="1"/>
  <c r="R784" i="1" s="1"/>
  <c r="Q785" i="1"/>
  <c r="R785" i="1" s="1"/>
  <c r="Q786" i="1"/>
  <c r="R786" i="1" s="1"/>
  <c r="Q787" i="1"/>
  <c r="R787" i="1" s="1"/>
  <c r="Q788" i="1"/>
  <c r="R788" i="1" s="1"/>
  <c r="Q789" i="1"/>
  <c r="R789" i="1" s="1"/>
  <c r="Q790" i="1"/>
  <c r="R790" i="1" s="1"/>
  <c r="Q791" i="1"/>
  <c r="R791" i="1" s="1"/>
  <c r="Q792" i="1"/>
  <c r="R792" i="1" s="1"/>
  <c r="Q793" i="1"/>
  <c r="R793" i="1" s="1"/>
  <c r="Q794" i="1"/>
  <c r="R794" i="1" s="1"/>
  <c r="Q795" i="1"/>
  <c r="R795" i="1" s="1"/>
  <c r="Q796" i="1"/>
  <c r="R796" i="1" s="1"/>
  <c r="Q797" i="1"/>
  <c r="R797" i="1" s="1"/>
  <c r="Q798" i="1"/>
  <c r="R798" i="1" s="1"/>
  <c r="Q799" i="1"/>
  <c r="R799" i="1" s="1"/>
  <c r="Q800" i="1"/>
  <c r="R800" i="1" s="1"/>
  <c r="Q801" i="1"/>
  <c r="R801" i="1" s="1"/>
  <c r="Q802" i="1"/>
  <c r="R802" i="1" s="1"/>
  <c r="Q803" i="1"/>
  <c r="R803" i="1" s="1"/>
  <c r="Q804" i="1"/>
  <c r="R804" i="1" s="1"/>
  <c r="Q805" i="1"/>
  <c r="R805" i="1" s="1"/>
  <c r="Q806" i="1"/>
  <c r="R806" i="1" s="1"/>
  <c r="Q807" i="1"/>
  <c r="R807" i="1" s="1"/>
  <c r="Q808" i="1"/>
  <c r="R808" i="1" s="1"/>
  <c r="Q809" i="1"/>
  <c r="R809" i="1" s="1"/>
  <c r="Q810" i="1"/>
  <c r="R810" i="1" s="1"/>
  <c r="Q811" i="1"/>
  <c r="R811" i="1" s="1"/>
  <c r="Q812" i="1"/>
  <c r="R812" i="1" s="1"/>
  <c r="Q813" i="1"/>
  <c r="R813" i="1" s="1"/>
  <c r="Q814" i="1"/>
  <c r="R814" i="1" s="1"/>
  <c r="Q815" i="1"/>
  <c r="R815" i="1" s="1"/>
  <c r="Q816" i="1"/>
  <c r="R816" i="1" s="1"/>
  <c r="Q817" i="1"/>
  <c r="R817" i="1" s="1"/>
  <c r="Q818" i="1"/>
  <c r="R818" i="1" s="1"/>
  <c r="Q819" i="1"/>
  <c r="R819" i="1" s="1"/>
  <c r="Q820" i="1"/>
  <c r="R820" i="1" s="1"/>
  <c r="Q821" i="1"/>
  <c r="R821" i="1" s="1"/>
  <c r="Q822" i="1"/>
  <c r="R822" i="1" s="1"/>
  <c r="Q823" i="1"/>
  <c r="R823" i="1" s="1"/>
  <c r="Q824" i="1"/>
  <c r="R824" i="1" s="1"/>
  <c r="Q825" i="1"/>
  <c r="R825" i="1" s="1"/>
  <c r="Q826" i="1"/>
  <c r="R826" i="1" s="1"/>
  <c r="Q827" i="1"/>
  <c r="R827" i="1" s="1"/>
  <c r="Q828" i="1"/>
  <c r="R828" i="1" s="1"/>
  <c r="Q829" i="1"/>
  <c r="R829" i="1" s="1"/>
  <c r="Q830" i="1"/>
  <c r="R830" i="1" s="1"/>
  <c r="Q831" i="1"/>
  <c r="R831" i="1" s="1"/>
  <c r="Q832" i="1"/>
  <c r="R832" i="1" s="1"/>
  <c r="Q833" i="1"/>
  <c r="R833" i="1" s="1"/>
  <c r="Q834" i="1"/>
  <c r="R834" i="1" s="1"/>
  <c r="Q835" i="1"/>
  <c r="R835" i="1" s="1"/>
  <c r="Q836" i="1"/>
  <c r="R836" i="1" s="1"/>
  <c r="Q837" i="1"/>
  <c r="R837" i="1" s="1"/>
  <c r="Q838" i="1"/>
  <c r="R838" i="1" s="1"/>
  <c r="Q839" i="1"/>
  <c r="R839" i="1" s="1"/>
  <c r="Q840" i="1"/>
  <c r="R840" i="1" s="1"/>
  <c r="Q841" i="1"/>
  <c r="R841" i="1" s="1"/>
  <c r="Q842" i="1"/>
  <c r="R842" i="1" s="1"/>
  <c r="Q843" i="1"/>
  <c r="R843" i="1" s="1"/>
  <c r="Q844" i="1"/>
  <c r="R844" i="1" s="1"/>
  <c r="Q845" i="1"/>
  <c r="R845" i="1" s="1"/>
  <c r="Q846" i="1"/>
  <c r="R846" i="1" s="1"/>
  <c r="Q847" i="1"/>
  <c r="R847" i="1" s="1"/>
  <c r="Q848" i="1"/>
  <c r="Q849" i="1"/>
  <c r="R849" i="1" s="1"/>
  <c r="Q850" i="1"/>
  <c r="R850" i="1" s="1"/>
  <c r="Q851" i="1"/>
  <c r="R851" i="1" s="1"/>
  <c r="Q852" i="1"/>
  <c r="R852" i="1" s="1"/>
  <c r="Q853" i="1"/>
  <c r="R853" i="1" s="1"/>
  <c r="Q854" i="1"/>
  <c r="R854" i="1" s="1"/>
  <c r="Q855" i="1"/>
  <c r="R855" i="1" s="1"/>
  <c r="Q856" i="1"/>
  <c r="R856" i="1" s="1"/>
  <c r="Q857" i="1"/>
  <c r="R857" i="1" s="1"/>
  <c r="Q858" i="1"/>
  <c r="R858" i="1" s="1"/>
  <c r="Q859" i="1"/>
  <c r="R859" i="1" s="1"/>
  <c r="Q860" i="1"/>
  <c r="R860" i="1" s="1"/>
  <c r="Q861" i="1"/>
  <c r="R861" i="1" s="1"/>
  <c r="Q862" i="1"/>
  <c r="R862" i="1" s="1"/>
  <c r="Q863" i="1"/>
  <c r="R863" i="1" s="1"/>
  <c r="Q864" i="1"/>
  <c r="R864" i="1" s="1"/>
  <c r="Q865" i="1"/>
  <c r="R865" i="1" s="1"/>
  <c r="Q866" i="1"/>
  <c r="R866" i="1" s="1"/>
  <c r="Q867" i="1"/>
  <c r="R867" i="1" s="1"/>
  <c r="Q868" i="1"/>
  <c r="R868" i="1" s="1"/>
  <c r="Q869" i="1"/>
  <c r="R869" i="1" s="1"/>
  <c r="Q870" i="1"/>
  <c r="R870" i="1" s="1"/>
  <c r="Q871" i="1"/>
  <c r="R871" i="1" s="1"/>
  <c r="Q872" i="1"/>
  <c r="R872" i="1" s="1"/>
  <c r="Q873" i="1"/>
  <c r="R873" i="1" s="1"/>
  <c r="Q874" i="1"/>
  <c r="R874" i="1" s="1"/>
  <c r="Q875" i="1"/>
  <c r="R875" i="1" s="1"/>
  <c r="Q876" i="1"/>
  <c r="R876" i="1" s="1"/>
  <c r="Q877" i="1"/>
  <c r="R877" i="1" s="1"/>
  <c r="Q878" i="1"/>
  <c r="R878" i="1" s="1"/>
  <c r="Q879" i="1"/>
  <c r="R879" i="1" s="1"/>
  <c r="Q880" i="1"/>
  <c r="R880" i="1" s="1"/>
  <c r="Q881" i="1"/>
  <c r="R881" i="1" s="1"/>
  <c r="Q882" i="1"/>
  <c r="R882" i="1" s="1"/>
  <c r="Q883" i="1"/>
  <c r="R883" i="1" s="1"/>
  <c r="Q884" i="1"/>
  <c r="R884" i="1" s="1"/>
  <c r="Q885" i="1"/>
  <c r="R885" i="1" s="1"/>
  <c r="Q886" i="1"/>
  <c r="R886" i="1" s="1"/>
  <c r="Q887" i="1"/>
  <c r="R887" i="1" s="1"/>
  <c r="Q888" i="1"/>
  <c r="R888" i="1" s="1"/>
  <c r="Q889" i="1"/>
  <c r="R889" i="1" s="1"/>
  <c r="Q890" i="1"/>
  <c r="R890" i="1" s="1"/>
  <c r="Q891" i="1"/>
  <c r="R891" i="1" s="1"/>
  <c r="Q892" i="1"/>
  <c r="R892" i="1" s="1"/>
  <c r="Q893" i="1"/>
  <c r="R893" i="1" s="1"/>
  <c r="Q894" i="1"/>
  <c r="R894" i="1" s="1"/>
  <c r="Q895" i="1"/>
  <c r="R895" i="1" s="1"/>
  <c r="Q896" i="1"/>
  <c r="R896" i="1" s="1"/>
  <c r="Q897" i="1"/>
  <c r="R897" i="1" s="1"/>
  <c r="Q898" i="1"/>
  <c r="R898" i="1" s="1"/>
  <c r="Q899" i="1"/>
  <c r="R899" i="1" s="1"/>
  <c r="Q900" i="1"/>
  <c r="R900" i="1" s="1"/>
  <c r="Q901" i="1"/>
  <c r="R901" i="1" s="1"/>
  <c r="Q902" i="1"/>
  <c r="R902" i="1" s="1"/>
  <c r="Q903" i="1"/>
  <c r="R903" i="1" s="1"/>
  <c r="Q904" i="1"/>
  <c r="R904" i="1" s="1"/>
  <c r="Q905" i="1"/>
  <c r="R905" i="1" s="1"/>
  <c r="Q906" i="1"/>
  <c r="R906" i="1" s="1"/>
  <c r="Q907" i="1"/>
  <c r="R907" i="1" s="1"/>
  <c r="Q908" i="1"/>
  <c r="R908" i="1" s="1"/>
  <c r="Q909" i="1"/>
  <c r="R909" i="1" s="1"/>
  <c r="Q910" i="1"/>
  <c r="R910" i="1" s="1"/>
  <c r="Q911" i="1"/>
  <c r="R911" i="1" s="1"/>
  <c r="Q912" i="1"/>
  <c r="R912" i="1" s="1"/>
  <c r="Q913" i="1"/>
  <c r="R913" i="1" s="1"/>
  <c r="Q914" i="1"/>
  <c r="R914" i="1" s="1"/>
  <c r="Q915" i="1"/>
  <c r="R915" i="1" s="1"/>
  <c r="Q916" i="1"/>
  <c r="R916" i="1" s="1"/>
  <c r="Q917" i="1"/>
  <c r="R917" i="1" s="1"/>
  <c r="Q918" i="1"/>
  <c r="R918" i="1" s="1"/>
  <c r="Q919" i="1"/>
  <c r="R919" i="1" s="1"/>
  <c r="Q920" i="1"/>
  <c r="R920" i="1" s="1"/>
  <c r="Q921" i="1"/>
  <c r="R921" i="1" s="1"/>
  <c r="Q922" i="1"/>
  <c r="R922" i="1" s="1"/>
  <c r="Q923" i="1"/>
  <c r="R923" i="1" s="1"/>
  <c r="Q924" i="1"/>
  <c r="R924" i="1" s="1"/>
  <c r="Q925" i="1"/>
  <c r="R925" i="1" s="1"/>
  <c r="Q926" i="1"/>
  <c r="R926" i="1" s="1"/>
  <c r="Q927" i="1"/>
  <c r="R927" i="1" s="1"/>
  <c r="Q928" i="1"/>
  <c r="R928" i="1" s="1"/>
  <c r="Q929" i="1"/>
  <c r="R929" i="1" s="1"/>
  <c r="Q930" i="1"/>
  <c r="Q931" i="1"/>
  <c r="R931" i="1" s="1"/>
  <c r="Q932" i="1"/>
  <c r="R932" i="1" s="1"/>
  <c r="Q933" i="1"/>
  <c r="R933" i="1" s="1"/>
  <c r="Q934" i="1"/>
  <c r="R934" i="1" s="1"/>
  <c r="Q935" i="1"/>
  <c r="R935" i="1" s="1"/>
  <c r="Q936" i="1"/>
  <c r="R936" i="1" s="1"/>
  <c r="Q937" i="1"/>
  <c r="R937" i="1" s="1"/>
  <c r="Q938" i="1"/>
  <c r="R938" i="1" s="1"/>
  <c r="Q939" i="1"/>
  <c r="R939" i="1" s="1"/>
  <c r="Q940" i="1"/>
  <c r="R940" i="1" s="1"/>
  <c r="Q941" i="1"/>
  <c r="R941" i="1" s="1"/>
  <c r="Q942" i="1"/>
  <c r="R942" i="1" s="1"/>
  <c r="Q943" i="1"/>
  <c r="R943" i="1" s="1"/>
  <c r="Q944" i="1"/>
  <c r="Q945" i="1"/>
  <c r="R945" i="1" s="1"/>
  <c r="Q946" i="1"/>
  <c r="R946" i="1" s="1"/>
  <c r="Q947" i="1"/>
  <c r="R947" i="1" s="1"/>
  <c r="Q948" i="1"/>
  <c r="R948" i="1" s="1"/>
  <c r="Q949" i="1"/>
  <c r="R949" i="1" s="1"/>
  <c r="Q950" i="1"/>
  <c r="R950" i="1" s="1"/>
  <c r="Q951" i="1"/>
  <c r="R951" i="1" s="1"/>
  <c r="Q952" i="1"/>
  <c r="R952" i="1" s="1"/>
  <c r="Q953" i="1"/>
  <c r="R953" i="1" s="1"/>
  <c r="Q954" i="1"/>
  <c r="R954" i="1" s="1"/>
  <c r="Q955" i="1"/>
  <c r="R955" i="1" s="1"/>
  <c r="Q956" i="1"/>
  <c r="R956" i="1" s="1"/>
  <c r="Q957" i="1"/>
  <c r="R957" i="1" s="1"/>
  <c r="Q958" i="1"/>
  <c r="R958" i="1" s="1"/>
  <c r="Q959" i="1"/>
  <c r="R959" i="1" s="1"/>
  <c r="Q960" i="1"/>
  <c r="R960" i="1" s="1"/>
  <c r="Q961" i="1"/>
  <c r="R961" i="1" s="1"/>
  <c r="Q962" i="1"/>
  <c r="R962" i="1" s="1"/>
  <c r="Q963" i="1"/>
  <c r="R963" i="1" s="1"/>
  <c r="Q964" i="1"/>
  <c r="R964" i="1" s="1"/>
  <c r="Q965" i="1"/>
  <c r="R965" i="1" s="1"/>
  <c r="Q966" i="1"/>
  <c r="R966" i="1" s="1"/>
  <c r="Q967" i="1"/>
  <c r="R967" i="1" s="1"/>
  <c r="Q968" i="1"/>
  <c r="R968" i="1" s="1"/>
  <c r="Q969" i="1"/>
  <c r="R969" i="1" s="1"/>
  <c r="Q970" i="1"/>
  <c r="R970" i="1" s="1"/>
  <c r="Q971" i="1"/>
  <c r="R971" i="1" s="1"/>
  <c r="Q972" i="1"/>
  <c r="R972" i="1" s="1"/>
  <c r="Q973" i="1"/>
  <c r="R973" i="1" s="1"/>
  <c r="Q974" i="1"/>
  <c r="R974" i="1" s="1"/>
  <c r="Q975" i="1"/>
  <c r="R975" i="1" s="1"/>
  <c r="Q976" i="1"/>
  <c r="R976" i="1" s="1"/>
  <c r="Q977" i="1"/>
  <c r="R977" i="1" s="1"/>
  <c r="Q978" i="1"/>
  <c r="R978" i="1" s="1"/>
  <c r="Q979" i="1"/>
  <c r="R979" i="1" s="1"/>
  <c r="Q980" i="1"/>
  <c r="R980" i="1" s="1"/>
  <c r="Q981" i="1"/>
  <c r="R981" i="1" s="1"/>
  <c r="Q982" i="1"/>
  <c r="R982" i="1" s="1"/>
  <c r="Q983" i="1"/>
  <c r="R983" i="1" s="1"/>
  <c r="Q984" i="1"/>
  <c r="R984" i="1" s="1"/>
  <c r="Q985" i="1"/>
  <c r="R985" i="1" s="1"/>
  <c r="Q986" i="1"/>
  <c r="R986" i="1" s="1"/>
  <c r="Q987" i="1"/>
  <c r="R987" i="1" s="1"/>
  <c r="Q988" i="1"/>
  <c r="R988" i="1" s="1"/>
  <c r="Q989" i="1"/>
  <c r="R989" i="1" s="1"/>
  <c r="Q990" i="1"/>
  <c r="R990" i="1" s="1"/>
  <c r="Q991" i="1"/>
  <c r="R991" i="1" s="1"/>
  <c r="Q992" i="1"/>
  <c r="R992" i="1" s="1"/>
  <c r="Q993" i="1"/>
  <c r="R993" i="1" s="1"/>
  <c r="Q994" i="1"/>
  <c r="R994" i="1" s="1"/>
  <c r="Q995" i="1"/>
  <c r="R995" i="1" s="1"/>
  <c r="Q996" i="1"/>
  <c r="R996" i="1" s="1"/>
  <c r="Q997" i="1"/>
  <c r="R997" i="1" s="1"/>
  <c r="Q998" i="1"/>
  <c r="R998" i="1" s="1"/>
  <c r="Q999" i="1"/>
  <c r="R999" i="1" s="1"/>
  <c r="Q1000" i="1"/>
  <c r="R1000" i="1" s="1"/>
  <c r="Q1001" i="1"/>
  <c r="R1001" i="1" s="1"/>
  <c r="Q1002" i="1"/>
  <c r="R1002" i="1" s="1"/>
  <c r="Q1003" i="1"/>
  <c r="R1003" i="1" s="1"/>
  <c r="Q1004" i="1"/>
  <c r="R1004" i="1" s="1"/>
  <c r="Q1005" i="1"/>
  <c r="R1005" i="1" s="1"/>
  <c r="Q1006" i="1"/>
  <c r="R1006" i="1" s="1"/>
  <c r="Q1007" i="1"/>
  <c r="R1007" i="1" s="1"/>
  <c r="Q1008" i="1"/>
  <c r="R1008" i="1" s="1"/>
  <c r="Q1009" i="1"/>
  <c r="R1009" i="1" s="1"/>
  <c r="Q1010" i="1"/>
  <c r="R1010" i="1" s="1"/>
  <c r="Q1011" i="1"/>
  <c r="R1011" i="1" s="1"/>
  <c r="Q1012" i="1"/>
  <c r="R1012" i="1" s="1"/>
  <c r="Q1013" i="1"/>
  <c r="R1013" i="1" s="1"/>
  <c r="Q1014" i="1"/>
  <c r="R1014" i="1" s="1"/>
  <c r="Q1015" i="1"/>
  <c r="R1015" i="1" s="1"/>
  <c r="Q1016" i="1"/>
  <c r="R1016" i="1" s="1"/>
  <c r="Q1017" i="1"/>
  <c r="R1017" i="1" s="1"/>
  <c r="Q1018" i="1"/>
  <c r="R1018" i="1" s="1"/>
  <c r="Q1019" i="1"/>
  <c r="R1019" i="1" s="1"/>
  <c r="Q1020" i="1"/>
  <c r="R1020" i="1" s="1"/>
  <c r="Q1021" i="1"/>
  <c r="R1021" i="1" s="1"/>
  <c r="Q1022" i="1"/>
  <c r="R1022" i="1" s="1"/>
  <c r="Q1023" i="1"/>
  <c r="R1023" i="1" s="1"/>
  <c r="Q1024" i="1"/>
  <c r="R1024" i="1" s="1"/>
  <c r="Q1025" i="1"/>
  <c r="R1025" i="1" s="1"/>
  <c r="Q1026" i="1"/>
  <c r="R1026" i="1" s="1"/>
  <c r="Q1027" i="1"/>
  <c r="R1027" i="1" s="1"/>
  <c r="Q1028" i="1"/>
  <c r="R1028" i="1" s="1"/>
  <c r="Q1029" i="1"/>
  <c r="R1029" i="1" s="1"/>
  <c r="Q1030" i="1"/>
  <c r="R1030" i="1" s="1"/>
  <c r="Q1031" i="1"/>
  <c r="R1031" i="1" s="1"/>
  <c r="Q1032" i="1"/>
  <c r="R1032" i="1" s="1"/>
  <c r="Q1033" i="1"/>
  <c r="R1033" i="1" s="1"/>
  <c r="Q1034" i="1"/>
  <c r="R1034" i="1" s="1"/>
  <c r="Q1035" i="1"/>
  <c r="R1035" i="1" s="1"/>
  <c r="Q1036" i="1"/>
  <c r="R1036" i="1" s="1"/>
  <c r="Q1037" i="1"/>
  <c r="R1037" i="1" s="1"/>
  <c r="Q1038" i="1"/>
  <c r="R1038" i="1" s="1"/>
  <c r="Q1039" i="1"/>
  <c r="R1039" i="1" s="1"/>
  <c r="Q1040" i="1"/>
  <c r="R1040" i="1" s="1"/>
  <c r="Q1041" i="1"/>
  <c r="R1041" i="1" s="1"/>
  <c r="Q1042" i="1"/>
  <c r="R1042" i="1" s="1"/>
  <c r="Q1043" i="1"/>
  <c r="R1043" i="1" s="1"/>
  <c r="Q1044" i="1"/>
  <c r="R1044" i="1" s="1"/>
  <c r="Q1045" i="1"/>
  <c r="R1045" i="1" s="1"/>
  <c r="Q1046" i="1"/>
  <c r="R1046" i="1" s="1"/>
  <c r="Q1047" i="1"/>
  <c r="R1047" i="1" s="1"/>
  <c r="Q1048" i="1"/>
  <c r="R1048" i="1" s="1"/>
  <c r="Q1049" i="1"/>
  <c r="R1049" i="1" s="1"/>
  <c r="Q1050" i="1"/>
  <c r="R1050" i="1" s="1"/>
  <c r="Q1051" i="1"/>
  <c r="R1051" i="1" s="1"/>
  <c r="Q1052" i="1"/>
  <c r="R1052" i="1" s="1"/>
  <c r="Q1053" i="1"/>
  <c r="R1053" i="1" s="1"/>
  <c r="Q1054" i="1"/>
  <c r="R1054" i="1" s="1"/>
  <c r="Q1055" i="1"/>
  <c r="R1055" i="1" s="1"/>
  <c r="Q1056" i="1"/>
  <c r="R1056" i="1" s="1"/>
  <c r="Q1057" i="1"/>
  <c r="R1057" i="1" s="1"/>
  <c r="Q1058" i="1"/>
  <c r="R1058" i="1" s="1"/>
  <c r="Q1059" i="1"/>
  <c r="R1059" i="1" s="1"/>
  <c r="Q1060" i="1"/>
  <c r="R1060" i="1" s="1"/>
  <c r="Q1061" i="1"/>
  <c r="R1061" i="1" s="1"/>
  <c r="Q1062" i="1"/>
  <c r="R1062" i="1" s="1"/>
  <c r="Q1063" i="1"/>
  <c r="R1063" i="1" s="1"/>
  <c r="Q1064" i="1"/>
  <c r="R1064" i="1" s="1"/>
  <c r="Q1065" i="1"/>
  <c r="R1065" i="1" s="1"/>
  <c r="Q1066" i="1"/>
  <c r="R1066" i="1" s="1"/>
  <c r="Q1067" i="1"/>
  <c r="R1067" i="1" s="1"/>
  <c r="Q1068" i="1"/>
  <c r="R1068" i="1" s="1"/>
  <c r="Q1069" i="1"/>
  <c r="R1069" i="1" s="1"/>
  <c r="Q1070" i="1"/>
  <c r="R1070" i="1" s="1"/>
  <c r="Q1071" i="1"/>
  <c r="R1071" i="1" s="1"/>
  <c r="Q1072" i="1"/>
  <c r="R1072" i="1" s="1"/>
  <c r="Q1073" i="1"/>
  <c r="R1073" i="1" s="1"/>
  <c r="Q1074" i="1"/>
  <c r="R1074" i="1" s="1"/>
  <c r="Q1075" i="1"/>
  <c r="R1075" i="1" s="1"/>
  <c r="Q1076" i="1"/>
  <c r="R1076" i="1" s="1"/>
  <c r="Q1077" i="1"/>
  <c r="R1077" i="1" s="1"/>
  <c r="Q1078" i="1"/>
  <c r="R1078" i="1" s="1"/>
  <c r="Q1079" i="1"/>
  <c r="R1079" i="1" s="1"/>
  <c r="Q1080" i="1"/>
  <c r="R1080" i="1" s="1"/>
  <c r="Q1081" i="1"/>
  <c r="R1081" i="1" s="1"/>
  <c r="Q1082" i="1"/>
  <c r="R1082" i="1" s="1"/>
  <c r="Q1083" i="1"/>
  <c r="R1083" i="1" s="1"/>
  <c r="Q1084" i="1"/>
  <c r="R1084" i="1" s="1"/>
  <c r="Q1085" i="1"/>
  <c r="R1085" i="1" s="1"/>
  <c r="Q1086" i="1"/>
  <c r="R1086" i="1" s="1"/>
  <c r="Q1087" i="1"/>
  <c r="R1087" i="1" s="1"/>
  <c r="Q1088" i="1"/>
  <c r="R1088" i="1" s="1"/>
  <c r="Q1089" i="1"/>
  <c r="R1089" i="1" s="1"/>
  <c r="Q1090" i="1"/>
  <c r="R1090" i="1" s="1"/>
  <c r="Q1091" i="1"/>
  <c r="R1091" i="1" s="1"/>
  <c r="Q1092" i="1"/>
  <c r="R1092" i="1" s="1"/>
  <c r="Q1093" i="1"/>
  <c r="R1093" i="1" s="1"/>
  <c r="Q1094" i="1"/>
  <c r="R1094" i="1" s="1"/>
  <c r="Q1095" i="1"/>
  <c r="R1095" i="1" s="1"/>
  <c r="Q1096" i="1"/>
  <c r="R1096" i="1" s="1"/>
  <c r="Q1097" i="1"/>
  <c r="R1097" i="1" s="1"/>
  <c r="Q1098" i="1"/>
  <c r="R1098" i="1" s="1"/>
  <c r="Q1099" i="1"/>
  <c r="R1099" i="1" s="1"/>
  <c r="Q1100" i="1"/>
  <c r="Q1101" i="1"/>
  <c r="R1101" i="1" s="1"/>
  <c r="Q1102" i="1"/>
  <c r="R1102" i="1" s="1"/>
  <c r="Q1103" i="1"/>
  <c r="R1103" i="1" s="1"/>
  <c r="Q1104" i="1"/>
  <c r="R1104" i="1" s="1"/>
  <c r="Q1105" i="1"/>
  <c r="R1105" i="1" s="1"/>
  <c r="Q1106" i="1"/>
  <c r="R1106" i="1" s="1"/>
  <c r="Q1107" i="1"/>
  <c r="R1107" i="1" s="1"/>
  <c r="Q1108" i="1"/>
  <c r="R1108" i="1" s="1"/>
  <c r="Q1109" i="1"/>
  <c r="R1109" i="1" s="1"/>
  <c r="Q1110" i="1"/>
  <c r="R1110" i="1" s="1"/>
  <c r="Q1111" i="1"/>
  <c r="R1111" i="1" s="1"/>
  <c r="Q1112" i="1"/>
  <c r="R1112" i="1" s="1"/>
  <c r="Q1113" i="1"/>
  <c r="R1113" i="1" s="1"/>
  <c r="Q1114" i="1"/>
  <c r="R1114" i="1" s="1"/>
  <c r="Q1115" i="1"/>
  <c r="R1115" i="1" s="1"/>
  <c r="Q1116" i="1"/>
  <c r="R1116" i="1" s="1"/>
  <c r="Q1117" i="1"/>
  <c r="R1117" i="1" s="1"/>
  <c r="Q1118" i="1"/>
  <c r="R1118" i="1" s="1"/>
  <c r="Q1119" i="1"/>
  <c r="R1119" i="1" s="1"/>
  <c r="Q1120" i="1"/>
  <c r="R1120" i="1" s="1"/>
  <c r="Q1121" i="1"/>
  <c r="R1121" i="1" s="1"/>
  <c r="Q1122" i="1"/>
  <c r="R1122" i="1" s="1"/>
  <c r="Q1123" i="1"/>
  <c r="R1123" i="1" s="1"/>
  <c r="Q1124" i="1"/>
  <c r="R1124" i="1" s="1"/>
  <c r="Q1125" i="1"/>
  <c r="R1125" i="1" s="1"/>
  <c r="Q1126" i="1"/>
  <c r="R1126" i="1" s="1"/>
  <c r="Q1127" i="1"/>
  <c r="R1127" i="1" s="1"/>
  <c r="Q1128" i="1"/>
  <c r="R1128" i="1" s="1"/>
  <c r="Q1129" i="1"/>
  <c r="R1129" i="1" s="1"/>
  <c r="Q1130" i="1"/>
  <c r="R1130" i="1" s="1"/>
  <c r="Q1131" i="1"/>
  <c r="R1131" i="1" s="1"/>
  <c r="Q1132" i="1"/>
  <c r="R1132" i="1" s="1"/>
  <c r="Q1133" i="1"/>
  <c r="R1133" i="1" s="1"/>
  <c r="Q1134" i="1"/>
  <c r="R1134" i="1" s="1"/>
  <c r="Q1135" i="1"/>
  <c r="R1135" i="1" s="1"/>
  <c r="Q1136" i="1"/>
  <c r="R1136" i="1" s="1"/>
  <c r="Q1137" i="1"/>
  <c r="R1137" i="1" s="1"/>
  <c r="Q1138" i="1"/>
  <c r="R1138" i="1" s="1"/>
  <c r="Q1139" i="1"/>
  <c r="R1139" i="1" s="1"/>
  <c r="Q1140" i="1"/>
  <c r="R1140" i="1" s="1"/>
  <c r="Q1141" i="1"/>
  <c r="R1141" i="1" s="1"/>
  <c r="Q1142" i="1"/>
  <c r="R1142" i="1" s="1"/>
  <c r="Q1143" i="1"/>
  <c r="R1143" i="1" s="1"/>
  <c r="Q1144" i="1"/>
  <c r="R1144" i="1" s="1"/>
  <c r="Q1145" i="1"/>
  <c r="R1145" i="1" s="1"/>
  <c r="Q1146" i="1"/>
  <c r="R1146" i="1" s="1"/>
  <c r="Q1147" i="1"/>
  <c r="R1147" i="1" s="1"/>
  <c r="Q1148" i="1"/>
  <c r="R1148" i="1" s="1"/>
  <c r="Q1149" i="1"/>
  <c r="R1149" i="1" s="1"/>
  <c r="Q1150" i="1"/>
  <c r="R1150" i="1" s="1"/>
  <c r="Q1151" i="1"/>
  <c r="R1151" i="1" s="1"/>
  <c r="Q1152" i="1"/>
  <c r="R1152" i="1" s="1"/>
  <c r="Q1153" i="1"/>
  <c r="R1153" i="1" s="1"/>
  <c r="Q1154" i="1"/>
  <c r="R1154" i="1" s="1"/>
  <c r="Q1155" i="1"/>
  <c r="R1155" i="1" s="1"/>
  <c r="Q1156" i="1"/>
  <c r="R1156" i="1" s="1"/>
  <c r="Q1157" i="1"/>
  <c r="R1157" i="1" s="1"/>
  <c r="Q1158" i="1"/>
  <c r="R1158" i="1" s="1"/>
  <c r="Q1159" i="1"/>
  <c r="R1159" i="1" s="1"/>
  <c r="Q1160" i="1"/>
  <c r="R1160" i="1" s="1"/>
  <c r="Q1161" i="1"/>
  <c r="R1161" i="1" s="1"/>
  <c r="Q1162" i="1"/>
  <c r="R1162" i="1" s="1"/>
  <c r="Q1163" i="1"/>
  <c r="R1163" i="1" s="1"/>
  <c r="Q1164" i="1"/>
  <c r="R1164" i="1" s="1"/>
  <c r="Q1165" i="1"/>
  <c r="R1165" i="1" s="1"/>
  <c r="Q1166" i="1"/>
  <c r="R1166" i="1" s="1"/>
  <c r="Q1167" i="1"/>
  <c r="R1167" i="1" s="1"/>
  <c r="Q1168" i="1"/>
  <c r="R1168" i="1" s="1"/>
  <c r="Q1169" i="1"/>
  <c r="R1169" i="1" s="1"/>
  <c r="Q1170" i="1"/>
  <c r="R1170" i="1" s="1"/>
  <c r="Q1171" i="1"/>
  <c r="R1171" i="1" s="1"/>
  <c r="Q1172" i="1"/>
  <c r="R1172" i="1" s="1"/>
  <c r="Q1173" i="1"/>
  <c r="R1173" i="1" s="1"/>
  <c r="Q1174" i="1"/>
  <c r="R1174" i="1" s="1"/>
  <c r="Q1175" i="1"/>
  <c r="R1175" i="1" s="1"/>
  <c r="Q1176" i="1"/>
  <c r="R1176" i="1" s="1"/>
  <c r="Q1177" i="1"/>
  <c r="R1177" i="1" s="1"/>
  <c r="Q1178" i="1"/>
  <c r="R1178" i="1" s="1"/>
  <c r="Q1179" i="1"/>
  <c r="R1179" i="1" s="1"/>
  <c r="Q1180" i="1"/>
  <c r="R1180" i="1" s="1"/>
  <c r="Q1181" i="1"/>
  <c r="R1181" i="1" s="1"/>
  <c r="Q1182" i="1"/>
  <c r="R1182" i="1" s="1"/>
  <c r="Q1183" i="1"/>
  <c r="R1183" i="1" s="1"/>
  <c r="Q1184" i="1"/>
  <c r="R1184" i="1" s="1"/>
  <c r="Q1185" i="1"/>
  <c r="R1185" i="1" s="1"/>
  <c r="Q1186" i="1"/>
  <c r="R1186" i="1" s="1"/>
  <c r="Q1187" i="1"/>
  <c r="R1187" i="1" s="1"/>
  <c r="Q1188" i="1"/>
  <c r="R1188" i="1" s="1"/>
  <c r="Q1189" i="1"/>
  <c r="R1189" i="1" s="1"/>
  <c r="Q1190" i="1"/>
  <c r="R1190" i="1" s="1"/>
  <c r="Q1191" i="1"/>
  <c r="R1191" i="1" s="1"/>
  <c r="Q1192" i="1"/>
  <c r="R1192" i="1" s="1"/>
  <c r="Q1193" i="1"/>
  <c r="R1193" i="1" s="1"/>
  <c r="Q1194" i="1"/>
  <c r="R1194" i="1" s="1"/>
  <c r="Q1195" i="1"/>
  <c r="R1195" i="1" s="1"/>
  <c r="Q1196" i="1"/>
  <c r="R1196" i="1" s="1"/>
  <c r="Q1197" i="1"/>
  <c r="R1197" i="1" s="1"/>
  <c r="Q1198" i="1"/>
  <c r="R1198" i="1" s="1"/>
  <c r="Q1199" i="1"/>
  <c r="R1199" i="1" s="1"/>
  <c r="Q1200" i="1"/>
  <c r="R1200" i="1" s="1"/>
  <c r="Q1201" i="1"/>
  <c r="R1201" i="1" s="1"/>
  <c r="Q1202" i="1"/>
  <c r="R1202" i="1" s="1"/>
  <c r="Q1203" i="1"/>
  <c r="R1203" i="1" s="1"/>
  <c r="Q1204" i="1"/>
  <c r="R1204" i="1" s="1"/>
  <c r="Q1205" i="1"/>
  <c r="R1205" i="1" s="1"/>
  <c r="Q1206" i="1"/>
  <c r="R1206" i="1" s="1"/>
  <c r="Q1207" i="1"/>
  <c r="R1207" i="1" s="1"/>
  <c r="Q1208" i="1"/>
  <c r="R1208" i="1" s="1"/>
  <c r="Q1209" i="1"/>
  <c r="R1209" i="1" s="1"/>
  <c r="Q1210" i="1"/>
  <c r="R1210" i="1" s="1"/>
  <c r="Q1211" i="1"/>
  <c r="R1211" i="1" s="1"/>
  <c r="Q1212" i="1"/>
  <c r="R1212" i="1" s="1"/>
  <c r="Q1213" i="1"/>
  <c r="R1213" i="1" s="1"/>
  <c r="Q1214" i="1"/>
  <c r="R1214" i="1" s="1"/>
  <c r="Q1215" i="1"/>
  <c r="R1215" i="1" s="1"/>
  <c r="Q1216" i="1"/>
  <c r="R1216" i="1" s="1"/>
  <c r="Q1217" i="1"/>
  <c r="R1217" i="1" s="1"/>
  <c r="Q1218" i="1"/>
  <c r="R1218" i="1" s="1"/>
  <c r="Q1219" i="1"/>
  <c r="R1219" i="1" s="1"/>
  <c r="Q1220" i="1"/>
  <c r="R1220" i="1" s="1"/>
  <c r="Q1221" i="1"/>
  <c r="R1221" i="1" s="1"/>
  <c r="Q1222" i="1"/>
  <c r="R1222" i="1" s="1"/>
  <c r="Q1223" i="1"/>
  <c r="R1223" i="1" s="1"/>
  <c r="Q1224" i="1"/>
  <c r="R1224" i="1" s="1"/>
  <c r="Q1225" i="1"/>
  <c r="R1225" i="1" s="1"/>
  <c r="Q1226" i="1"/>
  <c r="R1226" i="1" s="1"/>
  <c r="Q1227" i="1"/>
  <c r="R1227" i="1" s="1"/>
  <c r="Q1228" i="1"/>
  <c r="R1228" i="1" s="1"/>
  <c r="Q1229" i="1"/>
  <c r="R1229" i="1" s="1"/>
  <c r="Q1230" i="1"/>
  <c r="R1230" i="1" s="1"/>
  <c r="Q1231" i="1"/>
  <c r="R1231" i="1" s="1"/>
  <c r="Q1232" i="1"/>
  <c r="R1232" i="1" s="1"/>
  <c r="Q1233" i="1"/>
  <c r="R1233" i="1" s="1"/>
  <c r="Q1234" i="1"/>
  <c r="R1234" i="1" s="1"/>
  <c r="Q1235" i="1"/>
  <c r="R1235" i="1" s="1"/>
  <c r="Q1236" i="1"/>
  <c r="R1236" i="1" s="1"/>
  <c r="Q1237" i="1"/>
  <c r="R1237" i="1" s="1"/>
  <c r="Q1238" i="1"/>
  <c r="R1238" i="1" s="1"/>
  <c r="Q1239" i="1"/>
  <c r="R1239" i="1" s="1"/>
  <c r="Q1240" i="1"/>
  <c r="R1240" i="1" s="1"/>
  <c r="Q1241" i="1"/>
  <c r="R1241" i="1" s="1"/>
  <c r="Q1242" i="1"/>
  <c r="Q1243" i="1"/>
  <c r="R1243" i="1" s="1"/>
  <c r="Q1244" i="1"/>
  <c r="R1244" i="1" s="1"/>
  <c r="Q1245" i="1"/>
  <c r="R1245" i="1" s="1"/>
  <c r="Q1246" i="1"/>
  <c r="R1246" i="1" s="1"/>
  <c r="Q1247" i="1"/>
  <c r="R1247" i="1" s="1"/>
  <c r="Q1248" i="1"/>
  <c r="R1248" i="1" s="1"/>
  <c r="Q1249" i="1"/>
  <c r="R1249" i="1" s="1"/>
  <c r="Q1250" i="1"/>
  <c r="R1250" i="1" s="1"/>
  <c r="Q1251" i="1"/>
  <c r="R1251" i="1" s="1"/>
  <c r="Q1252" i="1"/>
  <c r="R1252" i="1" s="1"/>
  <c r="Q1253" i="1"/>
  <c r="R1253" i="1" s="1"/>
  <c r="Q1254" i="1"/>
  <c r="R1254" i="1" s="1"/>
  <c r="Q1255" i="1"/>
  <c r="R1255" i="1" s="1"/>
  <c r="Q1256" i="1"/>
  <c r="R1256" i="1" s="1"/>
  <c r="Q1257" i="1"/>
  <c r="R1257" i="1" s="1"/>
  <c r="Q1258" i="1"/>
  <c r="R1258" i="1" s="1"/>
  <c r="Q1259" i="1"/>
  <c r="R1259" i="1" s="1"/>
  <c r="Q1260" i="1"/>
  <c r="R1260" i="1" s="1"/>
  <c r="Q1261" i="1"/>
  <c r="R1261" i="1" s="1"/>
  <c r="Q1262" i="1"/>
  <c r="R1262" i="1" s="1"/>
  <c r="Q1263" i="1"/>
  <c r="R1263" i="1" s="1"/>
  <c r="Q1264" i="1"/>
  <c r="R1264" i="1" s="1"/>
  <c r="Q1265" i="1"/>
  <c r="R1265" i="1" s="1"/>
  <c r="Q1266" i="1"/>
  <c r="R1266" i="1" s="1"/>
  <c r="Q1267" i="1"/>
  <c r="R1267" i="1" s="1"/>
  <c r="Q1268" i="1"/>
  <c r="R1268" i="1" s="1"/>
  <c r="Q1269" i="1"/>
  <c r="R1269" i="1" s="1"/>
  <c r="Q1270" i="1"/>
  <c r="R1270" i="1" s="1"/>
  <c r="Q1271" i="1"/>
  <c r="R1271" i="1" s="1"/>
  <c r="Q1272" i="1"/>
  <c r="R1272" i="1" s="1"/>
  <c r="Q1273" i="1"/>
  <c r="R1273" i="1" s="1"/>
  <c r="Q1274" i="1"/>
  <c r="R1274" i="1" s="1"/>
  <c r="Q1275" i="1"/>
  <c r="R1275" i="1" s="1"/>
  <c r="Q1276" i="1"/>
  <c r="R1276" i="1" s="1"/>
  <c r="Q1277" i="1"/>
  <c r="R1277" i="1" s="1"/>
  <c r="Q1278" i="1"/>
  <c r="R1278" i="1" s="1"/>
  <c r="Q1279" i="1"/>
  <c r="R1279" i="1" s="1"/>
  <c r="Q1280" i="1"/>
  <c r="R1280" i="1" s="1"/>
  <c r="Q1281" i="1"/>
  <c r="R1281" i="1" s="1"/>
  <c r="Q1282" i="1"/>
  <c r="R1282" i="1" s="1"/>
  <c r="Q1283" i="1"/>
  <c r="R1283" i="1" s="1"/>
  <c r="Q1284" i="1"/>
  <c r="R1284" i="1" s="1"/>
  <c r="Q1285" i="1"/>
  <c r="R1285" i="1" s="1"/>
  <c r="Q1286" i="1"/>
  <c r="R1286" i="1" s="1"/>
  <c r="Q1287" i="1"/>
  <c r="R1287" i="1" s="1"/>
  <c r="Q1288" i="1"/>
  <c r="R1288" i="1" s="1"/>
  <c r="Q1289" i="1"/>
  <c r="R1289" i="1" s="1"/>
  <c r="Q1290" i="1"/>
  <c r="R1290" i="1" s="1"/>
  <c r="Q1291" i="1"/>
  <c r="R1291" i="1" s="1"/>
  <c r="Q1292" i="1"/>
  <c r="R1292" i="1" s="1"/>
  <c r="Q1293" i="1"/>
  <c r="R1293" i="1" s="1"/>
  <c r="Q1294" i="1"/>
  <c r="R1294" i="1" s="1"/>
  <c r="Q1295" i="1"/>
  <c r="R1295" i="1" s="1"/>
  <c r="Q1296" i="1"/>
  <c r="R1296" i="1" s="1"/>
  <c r="Q1297" i="1"/>
  <c r="R1297" i="1" s="1"/>
  <c r="Q1298" i="1"/>
  <c r="R1298" i="1" s="1"/>
  <c r="Q1299" i="1"/>
  <c r="R1299" i="1" s="1"/>
  <c r="Q1300" i="1"/>
  <c r="R1300" i="1" s="1"/>
  <c r="Q1301" i="1"/>
  <c r="R1301" i="1" s="1"/>
  <c r="Q1302" i="1"/>
  <c r="R1302" i="1" s="1"/>
  <c r="Q1303" i="1"/>
  <c r="R1303" i="1" s="1"/>
  <c r="Q1304" i="1"/>
  <c r="R1304" i="1" s="1"/>
  <c r="Q1305" i="1"/>
  <c r="R1305" i="1" s="1"/>
  <c r="Q1306" i="1"/>
  <c r="R1306" i="1" s="1"/>
  <c r="Q1307" i="1"/>
  <c r="R1307" i="1" s="1"/>
  <c r="Q1308" i="1"/>
  <c r="R1308" i="1" s="1"/>
  <c r="Q1309" i="1"/>
  <c r="R1309" i="1" s="1"/>
  <c r="Q1310" i="1"/>
  <c r="R1310" i="1" s="1"/>
  <c r="Q1311" i="1"/>
  <c r="R1311" i="1" s="1"/>
  <c r="Q1312" i="1"/>
  <c r="R1312" i="1" s="1"/>
  <c r="Q1313" i="1"/>
  <c r="R1313" i="1" s="1"/>
  <c r="Q1314" i="1"/>
  <c r="R1314" i="1" s="1"/>
  <c r="Q1315" i="1"/>
  <c r="R1315" i="1" s="1"/>
  <c r="Q1316" i="1"/>
  <c r="R1316" i="1" s="1"/>
  <c r="Q1317" i="1"/>
  <c r="R1317" i="1" s="1"/>
  <c r="Q1318" i="1"/>
  <c r="R1318" i="1" s="1"/>
  <c r="Q1319" i="1"/>
  <c r="R1319" i="1" s="1"/>
  <c r="Q1320" i="1"/>
  <c r="R1320" i="1" s="1"/>
  <c r="Q1321" i="1"/>
  <c r="R1321" i="1" s="1"/>
  <c r="Q1322" i="1"/>
  <c r="R1322" i="1" s="1"/>
  <c r="Q1323" i="1"/>
  <c r="R1323" i="1" s="1"/>
  <c r="Q1324" i="1"/>
  <c r="R1324" i="1" s="1"/>
  <c r="Q1325" i="1"/>
  <c r="R1325" i="1" s="1"/>
  <c r="Q1326" i="1"/>
  <c r="R1326" i="1" s="1"/>
  <c r="Q1327" i="1"/>
  <c r="R1327" i="1" s="1"/>
  <c r="Q1328" i="1"/>
  <c r="R1328" i="1" s="1"/>
  <c r="Q1329" i="1"/>
  <c r="R1329" i="1" s="1"/>
  <c r="Q1330" i="1"/>
  <c r="R1330" i="1" s="1"/>
  <c r="Q1331" i="1"/>
  <c r="R1331" i="1" s="1"/>
  <c r="Q1332" i="1"/>
  <c r="R1332" i="1" s="1"/>
  <c r="Q1333" i="1"/>
  <c r="R1333" i="1" s="1"/>
  <c r="Q1334" i="1"/>
  <c r="R1334" i="1" s="1"/>
  <c r="Q1335" i="1"/>
  <c r="R1335" i="1" s="1"/>
  <c r="Q1336" i="1"/>
  <c r="R1336" i="1" s="1"/>
  <c r="Q1337" i="1"/>
  <c r="R1337" i="1" s="1"/>
  <c r="Q1338" i="1"/>
  <c r="R1338" i="1" s="1"/>
  <c r="Q1339" i="1"/>
  <c r="R1339" i="1" s="1"/>
  <c r="Q1340" i="1"/>
  <c r="R1340" i="1" s="1"/>
  <c r="Q1341" i="1"/>
  <c r="R1341" i="1" s="1"/>
  <c r="Q1342" i="1"/>
  <c r="R1342" i="1" s="1"/>
  <c r="Q1343" i="1"/>
  <c r="R1343" i="1" s="1"/>
  <c r="Q1344" i="1"/>
  <c r="R1344" i="1" s="1"/>
  <c r="Q1345" i="1"/>
  <c r="R1345" i="1" s="1"/>
  <c r="Q1346" i="1"/>
  <c r="R1346" i="1" s="1"/>
  <c r="Q1347" i="1"/>
  <c r="R1347" i="1" s="1"/>
  <c r="Q1348" i="1"/>
  <c r="R1348" i="1" s="1"/>
  <c r="Q1349" i="1"/>
  <c r="R1349" i="1" s="1"/>
  <c r="Q1350" i="1"/>
  <c r="R1350" i="1" s="1"/>
  <c r="Q1351" i="1"/>
  <c r="R1351" i="1" s="1"/>
  <c r="Q1352" i="1"/>
  <c r="R1352" i="1" s="1"/>
  <c r="Q1353" i="1"/>
  <c r="R1353" i="1" s="1"/>
  <c r="Q1354" i="1"/>
  <c r="R1354" i="1" s="1"/>
  <c r="Q1355" i="1"/>
  <c r="R1355" i="1" s="1"/>
  <c r="Q1356" i="1"/>
  <c r="R1356" i="1" s="1"/>
  <c r="Q1357" i="1"/>
  <c r="R1357" i="1" s="1"/>
  <c r="Q1358" i="1"/>
  <c r="R1358" i="1" s="1"/>
  <c r="Q1359" i="1"/>
  <c r="R1359" i="1" s="1"/>
  <c r="Q1360" i="1"/>
  <c r="R1360" i="1" s="1"/>
  <c r="Q1361" i="1"/>
  <c r="R1361" i="1" s="1"/>
  <c r="Q1362" i="1"/>
  <c r="R1362" i="1" s="1"/>
  <c r="Q1363" i="1"/>
  <c r="R1363" i="1" s="1"/>
  <c r="Q1364" i="1"/>
  <c r="R1364" i="1" s="1"/>
  <c r="Q1365" i="1"/>
  <c r="R1365" i="1" s="1"/>
  <c r="Q1366" i="1"/>
  <c r="R1366" i="1" s="1"/>
  <c r="Q1367" i="1"/>
  <c r="R1367" i="1" s="1"/>
  <c r="Q1368" i="1"/>
  <c r="R1368" i="1" s="1"/>
  <c r="Q1369" i="1"/>
  <c r="R1369" i="1" s="1"/>
  <c r="Q1370" i="1"/>
  <c r="R1370" i="1" s="1"/>
  <c r="Q1371" i="1"/>
  <c r="R1371" i="1" s="1"/>
  <c r="Q1372" i="1"/>
  <c r="R1372" i="1" s="1"/>
  <c r="Q1373" i="1"/>
  <c r="R1373" i="1" s="1"/>
  <c r="Q1374" i="1"/>
  <c r="R1374" i="1" s="1"/>
  <c r="Q1375" i="1"/>
  <c r="R1375" i="1" s="1"/>
  <c r="Q1376" i="1"/>
  <c r="R1376" i="1" s="1"/>
  <c r="Q1377" i="1"/>
  <c r="R1377" i="1" s="1"/>
  <c r="Q1378" i="1"/>
  <c r="R1378" i="1" s="1"/>
  <c r="Q1379" i="1"/>
  <c r="R1379" i="1" s="1"/>
  <c r="Q1380" i="1"/>
  <c r="R1380" i="1" s="1"/>
  <c r="Q1381" i="1"/>
  <c r="R1381" i="1" s="1"/>
  <c r="Q1382" i="1"/>
  <c r="R1382" i="1" s="1"/>
  <c r="Q1383" i="1"/>
  <c r="R1383" i="1" s="1"/>
  <c r="Q1384" i="1"/>
  <c r="R1384" i="1" s="1"/>
  <c r="Q1385" i="1"/>
  <c r="R1385" i="1" s="1"/>
  <c r="Q1386" i="1"/>
  <c r="R1386" i="1" s="1"/>
  <c r="Q1387" i="1"/>
  <c r="R1387" i="1" s="1"/>
  <c r="Q1388" i="1"/>
  <c r="R1388" i="1" s="1"/>
  <c r="Q1389" i="1"/>
  <c r="R1389" i="1" s="1"/>
  <c r="Q1390" i="1"/>
  <c r="R1390" i="1" s="1"/>
  <c r="Q1391" i="1"/>
  <c r="R1391" i="1" s="1"/>
  <c r="Q1392" i="1"/>
  <c r="R1392" i="1" s="1"/>
  <c r="Q1393" i="1"/>
  <c r="R1393" i="1" s="1"/>
  <c r="Q1394" i="1"/>
  <c r="R1394" i="1" s="1"/>
  <c r="Q1395" i="1"/>
  <c r="R1395" i="1" s="1"/>
  <c r="Q1396" i="1"/>
  <c r="R1396" i="1" s="1"/>
  <c r="Q1397" i="1"/>
  <c r="R1397" i="1" s="1"/>
  <c r="Q1398" i="1"/>
  <c r="R1398" i="1" s="1"/>
  <c r="Q1399" i="1"/>
  <c r="R1399" i="1" s="1"/>
  <c r="Q1400" i="1"/>
  <c r="R1400" i="1" s="1"/>
  <c r="Q1401" i="1"/>
  <c r="R1401" i="1" s="1"/>
  <c r="Q1402" i="1"/>
  <c r="R1402" i="1" s="1"/>
  <c r="Q1403" i="1"/>
  <c r="R1403" i="1" s="1"/>
  <c r="Q1404" i="1"/>
  <c r="R1404" i="1" s="1"/>
  <c r="Q1405" i="1"/>
  <c r="R1405" i="1" s="1"/>
  <c r="Q1406" i="1"/>
  <c r="R1406" i="1" s="1"/>
  <c r="Q1407" i="1"/>
  <c r="R1407" i="1" s="1"/>
  <c r="Q1408" i="1"/>
  <c r="R1408" i="1" s="1"/>
  <c r="Q1409" i="1"/>
  <c r="R1409" i="1" s="1"/>
  <c r="Q1410" i="1"/>
  <c r="R1410" i="1" s="1"/>
  <c r="Q1411" i="1"/>
  <c r="R1411" i="1" s="1"/>
  <c r="Q1412" i="1"/>
  <c r="R1412" i="1" s="1"/>
  <c r="Q1413" i="1"/>
  <c r="R1413" i="1" s="1"/>
  <c r="Q1414" i="1"/>
  <c r="R1414" i="1" s="1"/>
  <c r="Q1415" i="1"/>
  <c r="R1415" i="1" s="1"/>
  <c r="Q1416" i="1"/>
  <c r="Q1417" i="1"/>
  <c r="R1417" i="1" s="1"/>
  <c r="Q1418" i="1"/>
  <c r="R1418" i="1" s="1"/>
  <c r="Q1419" i="1"/>
  <c r="R1419" i="1" s="1"/>
  <c r="Q1420" i="1"/>
  <c r="R1420" i="1" s="1"/>
  <c r="Q1421" i="1"/>
  <c r="R1421" i="1" s="1"/>
  <c r="Q1422" i="1"/>
  <c r="R1422" i="1" s="1"/>
  <c r="Q1423" i="1"/>
  <c r="R1423" i="1" s="1"/>
  <c r="Q1424" i="1"/>
  <c r="R1424" i="1" s="1"/>
  <c r="Q1425" i="1"/>
  <c r="R1425" i="1" s="1"/>
  <c r="Q1426" i="1"/>
  <c r="R1426" i="1" s="1"/>
  <c r="Q1427" i="1"/>
  <c r="R1427" i="1" s="1"/>
  <c r="Q1428" i="1"/>
  <c r="R1428" i="1" s="1"/>
  <c r="Q1429" i="1"/>
  <c r="R1429" i="1" s="1"/>
  <c r="Q1430" i="1"/>
  <c r="R1430" i="1" s="1"/>
  <c r="Q1431" i="1"/>
  <c r="R1431" i="1" s="1"/>
  <c r="Q1432" i="1"/>
  <c r="R1432" i="1" s="1"/>
  <c r="Q1433" i="1"/>
  <c r="R1433" i="1" s="1"/>
  <c r="Q1434" i="1"/>
  <c r="R1434" i="1" s="1"/>
  <c r="Q1435" i="1"/>
  <c r="R1435" i="1" s="1"/>
  <c r="Q1436" i="1"/>
  <c r="R1436" i="1" s="1"/>
  <c r="Q1437" i="1"/>
  <c r="R1437" i="1" s="1"/>
  <c r="Q1438" i="1"/>
  <c r="R1438" i="1" s="1"/>
  <c r="Q1439" i="1"/>
  <c r="R1439" i="1" s="1"/>
  <c r="Q1440" i="1"/>
  <c r="R1440" i="1" s="1"/>
  <c r="Q1441" i="1"/>
  <c r="R1441" i="1" s="1"/>
  <c r="Q1442" i="1"/>
  <c r="R1442" i="1" s="1"/>
  <c r="Q1443" i="1"/>
  <c r="R1443" i="1" s="1"/>
  <c r="Q1444" i="1"/>
  <c r="Q1445" i="1"/>
  <c r="R1445" i="1" s="1"/>
  <c r="Q1446" i="1"/>
  <c r="R1446" i="1" s="1"/>
  <c r="Q1447" i="1"/>
  <c r="R1447" i="1" s="1"/>
  <c r="Q1448" i="1"/>
  <c r="R1448" i="1" s="1"/>
  <c r="Q1449" i="1"/>
  <c r="R1449" i="1" s="1"/>
  <c r="Q1450" i="1"/>
  <c r="R1450" i="1" s="1"/>
  <c r="Q1451" i="1"/>
  <c r="R1451" i="1" s="1"/>
  <c r="Q1452" i="1"/>
  <c r="R1452" i="1" s="1"/>
  <c r="Q1453" i="1"/>
  <c r="R1453" i="1" s="1"/>
  <c r="Q1454" i="1"/>
  <c r="R1454" i="1" s="1"/>
  <c r="Q1455" i="1"/>
  <c r="R1455" i="1" s="1"/>
  <c r="Q1456" i="1"/>
  <c r="R1456" i="1" s="1"/>
  <c r="Q1457" i="1"/>
  <c r="R1457" i="1" s="1"/>
  <c r="Q1458" i="1"/>
  <c r="Q1459" i="1"/>
  <c r="R1459" i="1" s="1"/>
  <c r="Q1460" i="1"/>
  <c r="R1460" i="1" s="1"/>
  <c r="Q1461" i="1"/>
  <c r="R1461" i="1" s="1"/>
  <c r="Q1462" i="1"/>
  <c r="R1462" i="1" s="1"/>
  <c r="Q1463" i="1"/>
  <c r="R1463" i="1" s="1"/>
  <c r="Q1464" i="1"/>
  <c r="R1464" i="1" s="1"/>
  <c r="Q1465" i="1"/>
  <c r="R1465" i="1" s="1"/>
  <c r="Q1466" i="1"/>
  <c r="R1466" i="1" s="1"/>
  <c r="Q1467" i="1"/>
  <c r="R1467" i="1" s="1"/>
  <c r="Q1468" i="1"/>
  <c r="R1468" i="1" s="1"/>
  <c r="Q1469" i="1"/>
  <c r="R1469" i="1" s="1"/>
  <c r="Q1470" i="1"/>
  <c r="R1470" i="1" s="1"/>
  <c r="Q1471" i="1"/>
  <c r="R1471" i="1" s="1"/>
  <c r="Q1472" i="1"/>
  <c r="R1472" i="1" s="1"/>
  <c r="Q1473" i="1"/>
  <c r="R1473" i="1" s="1"/>
  <c r="Q1474" i="1"/>
  <c r="R1474" i="1" s="1"/>
  <c r="Q1475" i="1"/>
  <c r="R1475" i="1" s="1"/>
  <c r="Q1476" i="1"/>
  <c r="R1476" i="1" s="1"/>
  <c r="Q1477" i="1"/>
  <c r="R1477" i="1" s="1"/>
  <c r="Q1478" i="1"/>
  <c r="R1478" i="1" s="1"/>
  <c r="Q1479" i="1"/>
  <c r="R1479" i="1" s="1"/>
  <c r="Q1480" i="1"/>
  <c r="R1480" i="1" s="1"/>
  <c r="Q1481" i="1"/>
  <c r="R1481" i="1" s="1"/>
  <c r="Q1482" i="1"/>
  <c r="R1482" i="1" s="1"/>
  <c r="Q1483" i="1"/>
  <c r="R1483" i="1" s="1"/>
  <c r="Q1484" i="1"/>
  <c r="R1484" i="1" s="1"/>
  <c r="Q1485" i="1"/>
  <c r="R1485" i="1" s="1"/>
  <c r="Q1486" i="1"/>
  <c r="R1486" i="1" s="1"/>
  <c r="Q1487" i="1"/>
  <c r="R1487" i="1" s="1"/>
  <c r="Q1488" i="1"/>
  <c r="R1488" i="1" s="1"/>
  <c r="Q1489" i="1"/>
  <c r="R1489" i="1" s="1"/>
  <c r="Q1490" i="1"/>
  <c r="R1490" i="1" s="1"/>
  <c r="Q1491" i="1"/>
  <c r="R1491" i="1" s="1"/>
  <c r="Q1492" i="1"/>
  <c r="R1492" i="1" s="1"/>
  <c r="Q1493" i="1"/>
  <c r="R1493" i="1" s="1"/>
  <c r="Q1494" i="1"/>
  <c r="R1494" i="1" s="1"/>
  <c r="Q1495" i="1"/>
  <c r="R1495" i="1" s="1"/>
  <c r="Q1496" i="1"/>
  <c r="R1496" i="1" s="1"/>
  <c r="Q1497" i="1"/>
  <c r="R1497" i="1" s="1"/>
  <c r="Q1498" i="1"/>
  <c r="R1498" i="1" s="1"/>
  <c r="Q1499" i="1"/>
  <c r="R1499" i="1" s="1"/>
  <c r="Q1500" i="1"/>
  <c r="R1500" i="1" s="1"/>
  <c r="Q1501" i="1"/>
  <c r="R1501" i="1" s="1"/>
  <c r="Q1502" i="1"/>
  <c r="R1502" i="1" s="1"/>
  <c r="Q1503" i="1"/>
  <c r="R1503" i="1" s="1"/>
  <c r="Q1504" i="1"/>
  <c r="R1504" i="1" s="1"/>
  <c r="Q1505" i="1"/>
  <c r="R1505" i="1" s="1"/>
  <c r="Q1506" i="1"/>
  <c r="R1506" i="1" s="1"/>
  <c r="Q1507" i="1"/>
  <c r="R1507" i="1" s="1"/>
  <c r="Q1508" i="1"/>
  <c r="R1508" i="1" s="1"/>
  <c r="Q1509" i="1"/>
  <c r="R1509" i="1" s="1"/>
  <c r="Q1510" i="1"/>
  <c r="R1510" i="1" s="1"/>
  <c r="Q1511" i="1"/>
  <c r="R1511" i="1" s="1"/>
  <c r="Q1512" i="1"/>
  <c r="R1512" i="1" s="1"/>
  <c r="Q1513" i="1"/>
  <c r="R1513" i="1" s="1"/>
  <c r="Q1514" i="1"/>
  <c r="R1514" i="1" s="1"/>
  <c r="Q1515" i="1"/>
  <c r="R1515" i="1" s="1"/>
  <c r="Q1516" i="1"/>
  <c r="R1516" i="1" s="1"/>
  <c r="Q1517" i="1"/>
  <c r="R1517" i="1" s="1"/>
  <c r="Q1518" i="1"/>
  <c r="R1518" i="1" s="1"/>
  <c r="Q1519" i="1"/>
  <c r="R1519" i="1" s="1"/>
  <c r="Q1520" i="1"/>
  <c r="R1520" i="1" s="1"/>
  <c r="Q1521" i="1"/>
  <c r="R1521" i="1" s="1"/>
  <c r="Q1522" i="1"/>
  <c r="R1522" i="1" s="1"/>
  <c r="Q1523" i="1"/>
  <c r="R1523" i="1" s="1"/>
  <c r="Q1524" i="1"/>
  <c r="R1524" i="1" s="1"/>
  <c r="Q1525" i="1"/>
  <c r="R1525" i="1" s="1"/>
  <c r="Q1526" i="1"/>
  <c r="R1526" i="1" s="1"/>
  <c r="Q1527" i="1"/>
  <c r="R1527" i="1" s="1"/>
  <c r="Q1528" i="1"/>
  <c r="R1528" i="1" s="1"/>
  <c r="Q1529" i="1"/>
  <c r="R1529" i="1" s="1"/>
  <c r="Q1530" i="1"/>
  <c r="R1530" i="1" s="1"/>
  <c r="Q1531" i="1"/>
  <c r="R1531" i="1" s="1"/>
  <c r="Q1532" i="1"/>
  <c r="R1532" i="1" s="1"/>
  <c r="Q1533" i="1"/>
  <c r="R1533" i="1" s="1"/>
  <c r="Q1534" i="1"/>
  <c r="R1534" i="1" s="1"/>
  <c r="Q1535" i="1"/>
  <c r="R1535" i="1" s="1"/>
  <c r="Q1536" i="1"/>
  <c r="R1536" i="1" s="1"/>
  <c r="Q1537" i="1"/>
  <c r="R1537" i="1" s="1"/>
  <c r="Q1538" i="1"/>
  <c r="R1538" i="1" s="1"/>
  <c r="Q1539" i="1"/>
  <c r="R1539" i="1" s="1"/>
  <c r="Q1540" i="1"/>
  <c r="R1540" i="1" s="1"/>
  <c r="Q1541" i="1"/>
  <c r="R1541" i="1" s="1"/>
  <c r="Q1542" i="1"/>
  <c r="R1542" i="1" s="1"/>
  <c r="Q1543" i="1"/>
  <c r="R1543" i="1" s="1"/>
  <c r="Q1544" i="1"/>
  <c r="R1544" i="1" s="1"/>
  <c r="Q1545" i="1"/>
  <c r="R1545" i="1" s="1"/>
  <c r="Q1546" i="1"/>
  <c r="R1546" i="1" s="1"/>
  <c r="Q1547" i="1"/>
  <c r="R1547" i="1" s="1"/>
  <c r="Q1548" i="1"/>
  <c r="R1548" i="1" s="1"/>
  <c r="Q1549" i="1"/>
  <c r="R1549" i="1" s="1"/>
  <c r="Q1550" i="1"/>
  <c r="R1550" i="1" s="1"/>
  <c r="Q1551" i="1"/>
  <c r="Q1552" i="1"/>
  <c r="R1552" i="1" s="1"/>
  <c r="Q1553" i="1"/>
  <c r="R1553" i="1" s="1"/>
  <c r="Q1554" i="1"/>
  <c r="R1554" i="1" s="1"/>
  <c r="Q1555" i="1"/>
  <c r="R1555" i="1" s="1"/>
  <c r="Q1556" i="1"/>
  <c r="R1556" i="1" s="1"/>
  <c r="Q1557" i="1"/>
  <c r="R1557" i="1" s="1"/>
  <c r="Q1558" i="1"/>
  <c r="R1558" i="1" s="1"/>
  <c r="Q1559" i="1"/>
  <c r="R1559" i="1" s="1"/>
  <c r="Q1560" i="1"/>
  <c r="R1560" i="1" s="1"/>
  <c r="Q1561" i="1"/>
  <c r="R1561" i="1" s="1"/>
  <c r="Q1562" i="1"/>
  <c r="R1562" i="1" s="1"/>
  <c r="Q1563" i="1"/>
  <c r="R1563" i="1" s="1"/>
  <c r="Q1564" i="1"/>
  <c r="R1564" i="1" s="1"/>
  <c r="Q1565" i="1"/>
  <c r="R1565" i="1" s="1"/>
  <c r="Q1566" i="1"/>
  <c r="R1566" i="1" s="1"/>
  <c r="Q1567" i="1"/>
  <c r="R1567" i="1" s="1"/>
  <c r="Q1568" i="1"/>
  <c r="R1568" i="1" s="1"/>
  <c r="Q1569" i="1"/>
  <c r="R1569" i="1" s="1"/>
  <c r="Q1570" i="1"/>
  <c r="R1570" i="1" s="1"/>
  <c r="Q1571" i="1"/>
  <c r="R1571" i="1" s="1"/>
  <c r="Q1572" i="1"/>
  <c r="R1572" i="1" s="1"/>
  <c r="Q1573" i="1"/>
  <c r="R1573" i="1" s="1"/>
  <c r="Q1574" i="1"/>
  <c r="R1574" i="1" s="1"/>
  <c r="Q1575" i="1"/>
  <c r="R1575" i="1" s="1"/>
  <c r="Q1576" i="1"/>
  <c r="R1576" i="1" s="1"/>
  <c r="Q1577" i="1"/>
  <c r="R1577" i="1" s="1"/>
  <c r="Q1578" i="1"/>
  <c r="R1578" i="1" s="1"/>
  <c r="Q1579" i="1"/>
  <c r="R1579" i="1" s="1"/>
  <c r="Q2" i="1"/>
  <c r="R2" i="1" s="1"/>
  <c r="K3" i="1"/>
  <c r="L3" i="1" s="1"/>
  <c r="K4" i="1"/>
  <c r="L4" i="1" s="1"/>
  <c r="K5" i="1"/>
  <c r="L5" i="1" s="1"/>
  <c r="K6" i="1"/>
  <c r="L6" i="1" s="1"/>
  <c r="K7" i="1"/>
  <c r="L7" i="1" s="1"/>
  <c r="K8" i="1"/>
  <c r="L8" i="1" s="1"/>
  <c r="K9" i="1"/>
  <c r="L9" i="1" s="1"/>
  <c r="K10" i="1"/>
  <c r="L10" i="1" s="1"/>
  <c r="K11" i="1"/>
  <c r="L11" i="1" s="1"/>
  <c r="K12" i="1"/>
  <c r="L12" i="1" s="1"/>
  <c r="K13" i="1"/>
  <c r="L13" i="1" s="1"/>
  <c r="K14" i="1"/>
  <c r="L14" i="1" s="1"/>
  <c r="K15" i="1"/>
  <c r="L15" i="1" s="1"/>
  <c r="K16" i="1"/>
  <c r="L16" i="1" s="1"/>
  <c r="K17" i="1"/>
  <c r="L17" i="1" s="1"/>
  <c r="K18" i="1"/>
  <c r="L18" i="1" s="1"/>
  <c r="K19" i="1"/>
  <c r="L19" i="1" s="1"/>
  <c r="K20" i="1"/>
  <c r="L20" i="1" s="1"/>
  <c r="K21" i="1"/>
  <c r="L21" i="1" s="1"/>
  <c r="K22" i="1"/>
  <c r="L22" i="1" s="1"/>
  <c r="K23" i="1"/>
  <c r="L23" i="1" s="1"/>
  <c r="K24" i="1"/>
  <c r="L24" i="1" s="1"/>
  <c r="K25" i="1"/>
  <c r="L25" i="1" s="1"/>
  <c r="K26" i="1"/>
  <c r="L26" i="1" s="1"/>
  <c r="K27" i="1"/>
  <c r="L27" i="1" s="1"/>
  <c r="K28" i="1"/>
  <c r="L28" i="1" s="1"/>
  <c r="K29" i="1"/>
  <c r="L29" i="1" s="1"/>
  <c r="K30" i="1"/>
  <c r="L30" i="1" s="1"/>
  <c r="K31" i="1"/>
  <c r="L31" i="1" s="1"/>
  <c r="K32" i="1"/>
  <c r="L32" i="1" s="1"/>
  <c r="K33" i="1"/>
  <c r="L33" i="1" s="1"/>
  <c r="K34" i="1"/>
  <c r="L34" i="1" s="1"/>
  <c r="K35" i="1"/>
  <c r="L35" i="1" s="1"/>
  <c r="K36" i="1"/>
  <c r="L36" i="1" s="1"/>
  <c r="K37" i="1"/>
  <c r="L37" i="1" s="1"/>
  <c r="K38" i="1"/>
  <c r="L38" i="1" s="1"/>
  <c r="K39" i="1"/>
  <c r="L39" i="1" s="1"/>
  <c r="K40" i="1"/>
  <c r="L40" i="1" s="1"/>
  <c r="K41" i="1"/>
  <c r="L41" i="1" s="1"/>
  <c r="K42" i="1"/>
  <c r="L42" i="1" s="1"/>
  <c r="K43" i="1"/>
  <c r="L43" i="1" s="1"/>
  <c r="K44" i="1"/>
  <c r="L44" i="1" s="1"/>
  <c r="K45" i="1"/>
  <c r="L45" i="1" s="1"/>
  <c r="K46" i="1"/>
  <c r="L46" i="1" s="1"/>
  <c r="K47" i="1"/>
  <c r="L47" i="1" s="1"/>
  <c r="K48" i="1"/>
  <c r="L48" i="1" s="1"/>
  <c r="K49" i="1"/>
  <c r="L49" i="1" s="1"/>
  <c r="K50" i="1"/>
  <c r="L50" i="1" s="1"/>
  <c r="K51" i="1"/>
  <c r="L51" i="1" s="1"/>
  <c r="K52" i="1"/>
  <c r="L52" i="1" s="1"/>
  <c r="K53" i="1"/>
  <c r="L53" i="1" s="1"/>
  <c r="K54" i="1"/>
  <c r="L54" i="1" s="1"/>
  <c r="K55" i="1"/>
  <c r="L55" i="1" s="1"/>
  <c r="K56" i="1"/>
  <c r="L56" i="1" s="1"/>
  <c r="K57" i="1"/>
  <c r="L57" i="1" s="1"/>
  <c r="K58" i="1"/>
  <c r="L58" i="1" s="1"/>
  <c r="K59" i="1"/>
  <c r="L59" i="1" s="1"/>
  <c r="K60" i="1"/>
  <c r="L60" i="1" s="1"/>
  <c r="K61" i="1"/>
  <c r="L61" i="1" s="1"/>
  <c r="K62" i="1"/>
  <c r="L62" i="1" s="1"/>
  <c r="K63" i="1"/>
  <c r="L63" i="1" s="1"/>
  <c r="K64" i="1"/>
  <c r="L64" i="1" s="1"/>
  <c r="K65" i="1"/>
  <c r="L65" i="1" s="1"/>
  <c r="K66" i="1"/>
  <c r="L66" i="1" s="1"/>
  <c r="K67" i="1"/>
  <c r="L67" i="1" s="1"/>
  <c r="K68" i="1"/>
  <c r="L68" i="1" s="1"/>
  <c r="K69" i="1"/>
  <c r="L69" i="1" s="1"/>
  <c r="K70" i="1"/>
  <c r="L70" i="1" s="1"/>
  <c r="K71" i="1"/>
  <c r="L71" i="1" s="1"/>
  <c r="K72" i="1"/>
  <c r="L72" i="1" s="1"/>
  <c r="K73" i="1"/>
  <c r="L73" i="1" s="1"/>
  <c r="K74" i="1"/>
  <c r="L74" i="1" s="1"/>
  <c r="K75" i="1"/>
  <c r="L75" i="1" s="1"/>
  <c r="K76" i="1"/>
  <c r="L76" i="1" s="1"/>
  <c r="K77" i="1"/>
  <c r="L77" i="1" s="1"/>
  <c r="K78" i="1"/>
  <c r="L78" i="1" s="1"/>
  <c r="K79" i="1"/>
  <c r="L79" i="1" s="1"/>
  <c r="K80" i="1"/>
  <c r="L80" i="1" s="1"/>
  <c r="K81" i="1"/>
  <c r="L81" i="1" s="1"/>
  <c r="K82" i="1"/>
  <c r="L82" i="1" s="1"/>
  <c r="K83" i="1"/>
  <c r="L83" i="1" s="1"/>
  <c r="K84" i="1"/>
  <c r="L84" i="1" s="1"/>
  <c r="K85" i="1"/>
  <c r="L85" i="1" s="1"/>
  <c r="K86" i="1"/>
  <c r="L86" i="1" s="1"/>
  <c r="K87" i="1"/>
  <c r="L87" i="1" s="1"/>
  <c r="K88" i="1"/>
  <c r="L88" i="1" s="1"/>
  <c r="K89" i="1"/>
  <c r="L89" i="1" s="1"/>
  <c r="K90" i="1"/>
  <c r="L90" i="1" s="1"/>
  <c r="K91" i="1"/>
  <c r="L91" i="1" s="1"/>
  <c r="K92" i="1"/>
  <c r="L92" i="1" s="1"/>
  <c r="K93" i="1"/>
  <c r="L93" i="1" s="1"/>
  <c r="K94" i="1"/>
  <c r="L94" i="1" s="1"/>
  <c r="K95" i="1"/>
  <c r="L95" i="1" s="1"/>
  <c r="K96" i="1"/>
  <c r="L96" i="1" s="1"/>
  <c r="K97" i="1"/>
  <c r="L97" i="1" s="1"/>
  <c r="K98" i="1"/>
  <c r="L98" i="1" s="1"/>
  <c r="K99" i="1"/>
  <c r="L99" i="1" s="1"/>
  <c r="K100" i="1"/>
  <c r="L100" i="1" s="1"/>
  <c r="K101" i="1"/>
  <c r="L101" i="1" s="1"/>
  <c r="K102" i="1"/>
  <c r="L102" i="1" s="1"/>
  <c r="K103" i="1"/>
  <c r="L103" i="1" s="1"/>
  <c r="K104" i="1"/>
  <c r="L104" i="1" s="1"/>
  <c r="K105" i="1"/>
  <c r="L105" i="1" s="1"/>
  <c r="K106" i="1"/>
  <c r="L106" i="1" s="1"/>
  <c r="K107" i="1"/>
  <c r="L107" i="1" s="1"/>
  <c r="K108" i="1"/>
  <c r="L108" i="1" s="1"/>
  <c r="K109" i="1"/>
  <c r="L109" i="1" s="1"/>
  <c r="K110" i="1"/>
  <c r="L110" i="1" s="1"/>
  <c r="K111" i="1"/>
  <c r="L111" i="1" s="1"/>
  <c r="K112" i="1"/>
  <c r="L112" i="1" s="1"/>
  <c r="K113" i="1"/>
  <c r="L113" i="1" s="1"/>
  <c r="K114" i="1"/>
  <c r="L114" i="1" s="1"/>
  <c r="K115" i="1"/>
  <c r="L115" i="1" s="1"/>
  <c r="K116" i="1"/>
  <c r="L116" i="1" s="1"/>
  <c r="K117" i="1"/>
  <c r="L117" i="1" s="1"/>
  <c r="K118" i="1"/>
  <c r="L118" i="1" s="1"/>
  <c r="K119" i="1"/>
  <c r="L119" i="1" s="1"/>
  <c r="K120" i="1"/>
  <c r="L120" i="1" s="1"/>
  <c r="K121" i="1"/>
  <c r="L121" i="1" s="1"/>
  <c r="K122" i="1"/>
  <c r="L122" i="1" s="1"/>
  <c r="K123" i="1"/>
  <c r="L123" i="1" s="1"/>
  <c r="K124" i="1"/>
  <c r="L124" i="1" s="1"/>
  <c r="K125" i="1"/>
  <c r="L125" i="1" s="1"/>
  <c r="K126" i="1"/>
  <c r="L126" i="1" s="1"/>
  <c r="K127" i="1"/>
  <c r="L127" i="1" s="1"/>
  <c r="K128" i="1"/>
  <c r="L128" i="1" s="1"/>
  <c r="K129" i="1"/>
  <c r="L129" i="1" s="1"/>
  <c r="K130" i="1"/>
  <c r="L130" i="1" s="1"/>
  <c r="K131" i="1"/>
  <c r="L131" i="1" s="1"/>
  <c r="K132" i="1"/>
  <c r="L132" i="1" s="1"/>
  <c r="K133" i="1"/>
  <c r="L133" i="1" s="1"/>
  <c r="K134" i="1"/>
  <c r="L134" i="1" s="1"/>
  <c r="K135" i="1"/>
  <c r="L135" i="1" s="1"/>
  <c r="K136" i="1"/>
  <c r="L136" i="1" s="1"/>
  <c r="K137" i="1"/>
  <c r="L137" i="1" s="1"/>
  <c r="K138" i="1"/>
  <c r="L138" i="1" s="1"/>
  <c r="K139" i="1"/>
  <c r="L139" i="1" s="1"/>
  <c r="K140" i="1"/>
  <c r="L140" i="1" s="1"/>
  <c r="K141" i="1"/>
  <c r="L141" i="1" s="1"/>
  <c r="K142" i="1"/>
  <c r="L142" i="1" s="1"/>
  <c r="K143" i="1"/>
  <c r="L143" i="1" s="1"/>
  <c r="K144" i="1"/>
  <c r="L144" i="1" s="1"/>
  <c r="K145" i="1"/>
  <c r="L145" i="1" s="1"/>
  <c r="K146" i="1"/>
  <c r="L146" i="1" s="1"/>
  <c r="K147" i="1"/>
  <c r="L147" i="1" s="1"/>
  <c r="K148" i="1"/>
  <c r="L148" i="1" s="1"/>
  <c r="K149" i="1"/>
  <c r="L149" i="1" s="1"/>
  <c r="K150" i="1"/>
  <c r="L150" i="1" s="1"/>
  <c r="K151" i="1"/>
  <c r="L151" i="1" s="1"/>
  <c r="K152" i="1"/>
  <c r="L152" i="1" s="1"/>
  <c r="K153" i="1"/>
  <c r="L153" i="1" s="1"/>
  <c r="K154" i="1"/>
  <c r="L154" i="1" s="1"/>
  <c r="K155" i="1"/>
  <c r="L155" i="1" s="1"/>
  <c r="K156" i="1"/>
  <c r="L156" i="1" s="1"/>
  <c r="K157" i="1"/>
  <c r="L157" i="1" s="1"/>
  <c r="K158" i="1"/>
  <c r="L158" i="1" s="1"/>
  <c r="K159" i="1"/>
  <c r="L159" i="1" s="1"/>
  <c r="K160" i="1"/>
  <c r="L160" i="1" s="1"/>
  <c r="K161" i="1"/>
  <c r="L161" i="1" s="1"/>
  <c r="K162" i="1"/>
  <c r="L162" i="1" s="1"/>
  <c r="K163" i="1"/>
  <c r="L163" i="1" s="1"/>
  <c r="K164" i="1"/>
  <c r="L164" i="1" s="1"/>
  <c r="K165" i="1"/>
  <c r="L165" i="1" s="1"/>
  <c r="K166" i="1"/>
  <c r="L166" i="1" s="1"/>
  <c r="K167" i="1"/>
  <c r="L167" i="1" s="1"/>
  <c r="K168" i="1"/>
  <c r="L168" i="1" s="1"/>
  <c r="K169" i="1"/>
  <c r="L169" i="1" s="1"/>
  <c r="K170" i="1"/>
  <c r="L170" i="1" s="1"/>
  <c r="K171" i="1"/>
  <c r="L171" i="1" s="1"/>
  <c r="K172" i="1"/>
  <c r="L172" i="1" s="1"/>
  <c r="K173" i="1"/>
  <c r="L173" i="1" s="1"/>
  <c r="K174" i="1"/>
  <c r="L174" i="1" s="1"/>
  <c r="K175" i="1"/>
  <c r="L175" i="1" s="1"/>
  <c r="K176" i="1"/>
  <c r="L176" i="1" s="1"/>
  <c r="K177" i="1"/>
  <c r="L177" i="1" s="1"/>
  <c r="K178" i="1"/>
  <c r="L178" i="1" s="1"/>
  <c r="K179" i="1"/>
  <c r="L179" i="1" s="1"/>
  <c r="K180" i="1"/>
  <c r="L180" i="1" s="1"/>
  <c r="K181" i="1"/>
  <c r="L181" i="1" s="1"/>
  <c r="K182" i="1"/>
  <c r="L182" i="1" s="1"/>
  <c r="K183" i="1"/>
  <c r="L183" i="1" s="1"/>
  <c r="K184" i="1"/>
  <c r="L184" i="1" s="1"/>
  <c r="K185" i="1"/>
  <c r="L185" i="1" s="1"/>
  <c r="K186" i="1"/>
  <c r="L186" i="1" s="1"/>
  <c r="K187" i="1"/>
  <c r="L187" i="1" s="1"/>
  <c r="K188" i="1"/>
  <c r="L188" i="1" s="1"/>
  <c r="K189" i="1"/>
  <c r="L189" i="1" s="1"/>
  <c r="K190" i="1"/>
  <c r="L190" i="1" s="1"/>
  <c r="K191" i="1"/>
  <c r="L191" i="1" s="1"/>
  <c r="K192" i="1"/>
  <c r="L192" i="1" s="1"/>
  <c r="K193" i="1"/>
  <c r="L193" i="1" s="1"/>
  <c r="K194" i="1"/>
  <c r="L194" i="1" s="1"/>
  <c r="K195" i="1"/>
  <c r="L195" i="1" s="1"/>
  <c r="K196" i="1"/>
  <c r="L196" i="1" s="1"/>
  <c r="K197" i="1"/>
  <c r="L197" i="1" s="1"/>
  <c r="K198" i="1"/>
  <c r="L198" i="1" s="1"/>
  <c r="K199" i="1"/>
  <c r="L199" i="1" s="1"/>
  <c r="K200" i="1"/>
  <c r="L200" i="1" s="1"/>
  <c r="K201" i="1"/>
  <c r="L201" i="1" s="1"/>
  <c r="K202" i="1"/>
  <c r="L202" i="1" s="1"/>
  <c r="K203" i="1"/>
  <c r="L203" i="1" s="1"/>
  <c r="K204" i="1"/>
  <c r="L204" i="1" s="1"/>
  <c r="K205" i="1"/>
  <c r="L205" i="1" s="1"/>
  <c r="K206" i="1"/>
  <c r="L206" i="1" s="1"/>
  <c r="K207" i="1"/>
  <c r="L207" i="1" s="1"/>
  <c r="K208" i="1"/>
  <c r="L208" i="1" s="1"/>
  <c r="K209" i="1"/>
  <c r="L209" i="1" s="1"/>
  <c r="K210" i="1"/>
  <c r="L210" i="1" s="1"/>
  <c r="K211" i="1"/>
  <c r="L211" i="1" s="1"/>
  <c r="K212" i="1"/>
  <c r="L212" i="1" s="1"/>
  <c r="K213" i="1"/>
  <c r="L213" i="1" s="1"/>
  <c r="K214" i="1"/>
  <c r="L214" i="1" s="1"/>
  <c r="K215" i="1"/>
  <c r="L215" i="1" s="1"/>
  <c r="K216" i="1"/>
  <c r="L216" i="1" s="1"/>
  <c r="K217" i="1"/>
  <c r="L217" i="1" s="1"/>
  <c r="K218" i="1"/>
  <c r="L218" i="1" s="1"/>
  <c r="K219" i="1"/>
  <c r="L219" i="1" s="1"/>
  <c r="K220" i="1"/>
  <c r="L220" i="1" s="1"/>
  <c r="K221" i="1"/>
  <c r="L221" i="1" s="1"/>
  <c r="K222" i="1"/>
  <c r="L222" i="1" s="1"/>
  <c r="K223" i="1"/>
  <c r="L223" i="1" s="1"/>
  <c r="K224" i="1"/>
  <c r="L224" i="1" s="1"/>
  <c r="K225" i="1"/>
  <c r="L225" i="1" s="1"/>
  <c r="K226" i="1"/>
  <c r="L226" i="1" s="1"/>
  <c r="K227" i="1"/>
  <c r="L227" i="1" s="1"/>
  <c r="K228" i="1"/>
  <c r="L228" i="1" s="1"/>
  <c r="K229" i="1"/>
  <c r="L229" i="1" s="1"/>
  <c r="K230" i="1"/>
  <c r="L230" i="1" s="1"/>
  <c r="K231" i="1"/>
  <c r="L231" i="1" s="1"/>
  <c r="K232" i="1"/>
  <c r="L232" i="1" s="1"/>
  <c r="K233" i="1"/>
  <c r="L233" i="1" s="1"/>
  <c r="K234" i="1"/>
  <c r="L234" i="1" s="1"/>
  <c r="K235" i="1"/>
  <c r="L235" i="1" s="1"/>
  <c r="K236" i="1"/>
  <c r="L236" i="1" s="1"/>
  <c r="K237" i="1"/>
  <c r="L237" i="1" s="1"/>
  <c r="K238" i="1"/>
  <c r="L238" i="1" s="1"/>
  <c r="K239" i="1"/>
  <c r="L239" i="1" s="1"/>
  <c r="K240" i="1"/>
  <c r="L240" i="1" s="1"/>
  <c r="K241" i="1"/>
  <c r="L241" i="1" s="1"/>
  <c r="K242" i="1"/>
  <c r="L242" i="1" s="1"/>
  <c r="K243" i="1"/>
  <c r="L243" i="1" s="1"/>
  <c r="K244" i="1"/>
  <c r="L244" i="1" s="1"/>
  <c r="K245" i="1"/>
  <c r="L245" i="1" s="1"/>
  <c r="K246" i="1"/>
  <c r="L246" i="1" s="1"/>
  <c r="K247" i="1"/>
  <c r="L247" i="1" s="1"/>
  <c r="K248" i="1"/>
  <c r="L248" i="1" s="1"/>
  <c r="K249" i="1"/>
  <c r="L249" i="1" s="1"/>
  <c r="K250" i="1"/>
  <c r="L250" i="1" s="1"/>
  <c r="K251" i="1"/>
  <c r="L251" i="1" s="1"/>
  <c r="K252" i="1"/>
  <c r="L252" i="1" s="1"/>
  <c r="K253" i="1"/>
  <c r="L253" i="1" s="1"/>
  <c r="K254" i="1"/>
  <c r="L254" i="1" s="1"/>
  <c r="K255" i="1"/>
  <c r="L255" i="1" s="1"/>
  <c r="K256" i="1"/>
  <c r="L256" i="1" s="1"/>
  <c r="K257" i="1"/>
  <c r="L257" i="1" s="1"/>
  <c r="K258" i="1"/>
  <c r="L258" i="1" s="1"/>
  <c r="K259" i="1"/>
  <c r="L259" i="1" s="1"/>
  <c r="K260" i="1"/>
  <c r="L260" i="1" s="1"/>
  <c r="K261" i="1"/>
  <c r="L261" i="1" s="1"/>
  <c r="K262" i="1"/>
  <c r="L262" i="1" s="1"/>
  <c r="K263" i="1"/>
  <c r="L263" i="1" s="1"/>
  <c r="K264" i="1"/>
  <c r="L264" i="1" s="1"/>
  <c r="K265" i="1"/>
  <c r="L265" i="1" s="1"/>
  <c r="K266" i="1"/>
  <c r="L266" i="1" s="1"/>
  <c r="K267" i="1"/>
  <c r="L267" i="1" s="1"/>
  <c r="K268" i="1"/>
  <c r="L268" i="1" s="1"/>
  <c r="K269" i="1"/>
  <c r="L269" i="1" s="1"/>
  <c r="K270" i="1"/>
  <c r="L270" i="1" s="1"/>
  <c r="K271" i="1"/>
  <c r="L271" i="1" s="1"/>
  <c r="K272" i="1"/>
  <c r="L272" i="1" s="1"/>
  <c r="K273" i="1"/>
  <c r="L273" i="1" s="1"/>
  <c r="K274" i="1"/>
  <c r="L274" i="1" s="1"/>
  <c r="K275" i="1"/>
  <c r="L275" i="1" s="1"/>
  <c r="K276" i="1"/>
  <c r="L276" i="1" s="1"/>
  <c r="K277" i="1"/>
  <c r="L277" i="1" s="1"/>
  <c r="K278" i="1"/>
  <c r="L278" i="1" s="1"/>
  <c r="K279" i="1"/>
  <c r="L279" i="1" s="1"/>
  <c r="K280" i="1"/>
  <c r="L280" i="1" s="1"/>
  <c r="K281" i="1"/>
  <c r="L281" i="1" s="1"/>
  <c r="K282" i="1"/>
  <c r="L282" i="1" s="1"/>
  <c r="K283" i="1"/>
  <c r="L283" i="1" s="1"/>
  <c r="K284" i="1"/>
  <c r="L284" i="1" s="1"/>
  <c r="K285" i="1"/>
  <c r="L285" i="1" s="1"/>
  <c r="K286" i="1"/>
  <c r="L286" i="1" s="1"/>
  <c r="K287" i="1"/>
  <c r="L287" i="1" s="1"/>
  <c r="K288" i="1"/>
  <c r="L288" i="1" s="1"/>
  <c r="K289" i="1"/>
  <c r="L289" i="1" s="1"/>
  <c r="K290" i="1"/>
  <c r="L290" i="1" s="1"/>
  <c r="K291" i="1"/>
  <c r="L291" i="1" s="1"/>
  <c r="K292" i="1"/>
  <c r="L292" i="1" s="1"/>
  <c r="K293" i="1"/>
  <c r="L293" i="1" s="1"/>
  <c r="K294" i="1"/>
  <c r="L294" i="1" s="1"/>
  <c r="K295" i="1"/>
  <c r="L295" i="1" s="1"/>
  <c r="K296" i="1"/>
  <c r="L296" i="1" s="1"/>
  <c r="K297" i="1"/>
  <c r="L297" i="1" s="1"/>
  <c r="K298" i="1"/>
  <c r="L298" i="1" s="1"/>
  <c r="K299" i="1"/>
  <c r="L299" i="1" s="1"/>
  <c r="K300" i="1"/>
  <c r="L300" i="1" s="1"/>
  <c r="K301" i="1"/>
  <c r="L301" i="1" s="1"/>
  <c r="K302" i="1"/>
  <c r="L302" i="1" s="1"/>
  <c r="K303" i="1"/>
  <c r="L303" i="1" s="1"/>
  <c r="K304" i="1"/>
  <c r="L304" i="1" s="1"/>
  <c r="K305" i="1"/>
  <c r="L305" i="1" s="1"/>
  <c r="K306" i="1"/>
  <c r="L306" i="1" s="1"/>
  <c r="K307" i="1"/>
  <c r="L307" i="1" s="1"/>
  <c r="K308" i="1"/>
  <c r="L308" i="1" s="1"/>
  <c r="K309" i="1"/>
  <c r="L309" i="1" s="1"/>
  <c r="K310" i="1"/>
  <c r="L310" i="1" s="1"/>
  <c r="K311" i="1"/>
  <c r="L311" i="1" s="1"/>
  <c r="K312" i="1"/>
  <c r="L312" i="1" s="1"/>
  <c r="K313" i="1"/>
  <c r="L313" i="1" s="1"/>
  <c r="K314" i="1"/>
  <c r="L314" i="1" s="1"/>
  <c r="K315" i="1"/>
  <c r="L315" i="1" s="1"/>
  <c r="K316" i="1"/>
  <c r="L316" i="1" s="1"/>
  <c r="K317" i="1"/>
  <c r="L317" i="1" s="1"/>
  <c r="K318" i="1"/>
  <c r="L318" i="1" s="1"/>
  <c r="K319" i="1"/>
  <c r="L319" i="1" s="1"/>
  <c r="K320" i="1"/>
  <c r="L320" i="1" s="1"/>
  <c r="K321" i="1"/>
  <c r="L321" i="1" s="1"/>
  <c r="K322" i="1"/>
  <c r="L322" i="1" s="1"/>
  <c r="K323" i="1"/>
  <c r="L323" i="1" s="1"/>
  <c r="K324" i="1"/>
  <c r="L324" i="1" s="1"/>
  <c r="K325" i="1"/>
  <c r="L325" i="1" s="1"/>
  <c r="K326" i="1"/>
  <c r="L326" i="1" s="1"/>
  <c r="K327" i="1"/>
  <c r="L327" i="1" s="1"/>
  <c r="K328" i="1"/>
  <c r="L328" i="1" s="1"/>
  <c r="K329" i="1"/>
  <c r="L329" i="1" s="1"/>
  <c r="K330" i="1"/>
  <c r="L330" i="1" s="1"/>
  <c r="K331" i="1"/>
  <c r="L331" i="1" s="1"/>
  <c r="K332" i="1"/>
  <c r="L332" i="1" s="1"/>
  <c r="K333" i="1"/>
  <c r="L333" i="1" s="1"/>
  <c r="K334" i="1"/>
  <c r="L334" i="1" s="1"/>
  <c r="K335" i="1"/>
  <c r="L335" i="1" s="1"/>
  <c r="K336" i="1"/>
  <c r="L336" i="1" s="1"/>
  <c r="K337" i="1"/>
  <c r="L337" i="1" s="1"/>
  <c r="K338" i="1"/>
  <c r="L338" i="1" s="1"/>
  <c r="K339" i="1"/>
  <c r="L339" i="1" s="1"/>
  <c r="K340" i="1"/>
  <c r="L340" i="1" s="1"/>
  <c r="K341" i="1"/>
  <c r="L341" i="1" s="1"/>
  <c r="K342" i="1"/>
  <c r="L342" i="1" s="1"/>
  <c r="K343" i="1"/>
  <c r="L343" i="1" s="1"/>
  <c r="K344" i="1"/>
  <c r="L344" i="1" s="1"/>
  <c r="K345" i="1"/>
  <c r="L345" i="1" s="1"/>
  <c r="K346" i="1"/>
  <c r="L346" i="1" s="1"/>
  <c r="K347" i="1"/>
  <c r="L347" i="1" s="1"/>
  <c r="K348" i="1"/>
  <c r="L348" i="1" s="1"/>
  <c r="K349" i="1"/>
  <c r="L349" i="1" s="1"/>
  <c r="K350" i="1"/>
  <c r="L350" i="1" s="1"/>
  <c r="K351" i="1"/>
  <c r="L351" i="1" s="1"/>
  <c r="K352" i="1"/>
  <c r="L352" i="1" s="1"/>
  <c r="K353" i="1"/>
  <c r="L353" i="1" s="1"/>
  <c r="K354" i="1"/>
  <c r="L354" i="1" s="1"/>
  <c r="K355" i="1"/>
  <c r="L355" i="1" s="1"/>
  <c r="K356" i="1"/>
  <c r="L356" i="1" s="1"/>
  <c r="K357" i="1"/>
  <c r="L357" i="1" s="1"/>
  <c r="K358" i="1"/>
  <c r="L358" i="1" s="1"/>
  <c r="K359" i="1"/>
  <c r="L359" i="1" s="1"/>
  <c r="K360" i="1"/>
  <c r="L360" i="1" s="1"/>
  <c r="K361" i="1"/>
  <c r="L361" i="1" s="1"/>
  <c r="K362" i="1"/>
  <c r="L362" i="1" s="1"/>
  <c r="K363" i="1"/>
  <c r="L363" i="1" s="1"/>
  <c r="K364" i="1"/>
  <c r="L364" i="1" s="1"/>
  <c r="K365" i="1"/>
  <c r="L365" i="1" s="1"/>
  <c r="K366" i="1"/>
  <c r="L366" i="1" s="1"/>
  <c r="K367" i="1"/>
  <c r="L367" i="1" s="1"/>
  <c r="K368" i="1"/>
  <c r="L368" i="1" s="1"/>
  <c r="K369" i="1"/>
  <c r="L369" i="1" s="1"/>
  <c r="K370" i="1"/>
  <c r="L370" i="1" s="1"/>
  <c r="K371" i="1"/>
  <c r="L371" i="1" s="1"/>
  <c r="K372" i="1"/>
  <c r="L372" i="1" s="1"/>
  <c r="K373" i="1"/>
  <c r="L373" i="1" s="1"/>
  <c r="K374" i="1"/>
  <c r="L374" i="1" s="1"/>
  <c r="K375" i="1"/>
  <c r="L375" i="1" s="1"/>
  <c r="K376" i="1"/>
  <c r="L376" i="1" s="1"/>
  <c r="K377" i="1"/>
  <c r="L377" i="1" s="1"/>
  <c r="K378" i="1"/>
  <c r="L378" i="1" s="1"/>
  <c r="K379" i="1"/>
  <c r="L379" i="1" s="1"/>
  <c r="K380" i="1"/>
  <c r="L380" i="1" s="1"/>
  <c r="K381" i="1"/>
  <c r="L381" i="1" s="1"/>
  <c r="K382" i="1"/>
  <c r="L382" i="1" s="1"/>
  <c r="K383" i="1"/>
  <c r="L383" i="1" s="1"/>
  <c r="K384" i="1"/>
  <c r="L384" i="1" s="1"/>
  <c r="K385" i="1"/>
  <c r="L385" i="1" s="1"/>
  <c r="K386" i="1"/>
  <c r="L386" i="1" s="1"/>
  <c r="K387" i="1"/>
  <c r="L387" i="1" s="1"/>
  <c r="K388" i="1"/>
  <c r="L388" i="1" s="1"/>
  <c r="K389" i="1"/>
  <c r="L389" i="1" s="1"/>
  <c r="K390" i="1"/>
  <c r="L390" i="1" s="1"/>
  <c r="K391" i="1"/>
  <c r="L391" i="1" s="1"/>
  <c r="K392" i="1"/>
  <c r="L392" i="1" s="1"/>
  <c r="K393" i="1"/>
  <c r="L393" i="1" s="1"/>
  <c r="K394" i="1"/>
  <c r="L394" i="1" s="1"/>
  <c r="K395" i="1"/>
  <c r="L395" i="1" s="1"/>
  <c r="K396" i="1"/>
  <c r="L396" i="1" s="1"/>
  <c r="K397" i="1"/>
  <c r="L397" i="1" s="1"/>
  <c r="K398" i="1"/>
  <c r="L398" i="1" s="1"/>
  <c r="K399" i="1"/>
  <c r="L399" i="1" s="1"/>
  <c r="K400" i="1"/>
  <c r="L400" i="1" s="1"/>
  <c r="K401" i="1"/>
  <c r="L401" i="1" s="1"/>
  <c r="K402" i="1"/>
  <c r="L402" i="1" s="1"/>
  <c r="K403" i="1"/>
  <c r="L403" i="1" s="1"/>
  <c r="K404" i="1"/>
  <c r="L404" i="1" s="1"/>
  <c r="K405" i="1"/>
  <c r="L405" i="1" s="1"/>
  <c r="K406" i="1"/>
  <c r="L406" i="1" s="1"/>
  <c r="K407" i="1"/>
  <c r="L407" i="1" s="1"/>
  <c r="K408" i="1"/>
  <c r="L408" i="1" s="1"/>
  <c r="K409" i="1"/>
  <c r="L409" i="1" s="1"/>
  <c r="K410" i="1"/>
  <c r="L410" i="1" s="1"/>
  <c r="K411" i="1"/>
  <c r="L411" i="1" s="1"/>
  <c r="K412" i="1"/>
  <c r="L412" i="1" s="1"/>
  <c r="K413" i="1"/>
  <c r="L413" i="1" s="1"/>
  <c r="K414" i="1"/>
  <c r="L414" i="1" s="1"/>
  <c r="K415" i="1"/>
  <c r="L415" i="1" s="1"/>
  <c r="K416" i="1"/>
  <c r="L416" i="1" s="1"/>
  <c r="K417" i="1"/>
  <c r="L417" i="1" s="1"/>
  <c r="K418" i="1"/>
  <c r="L418" i="1" s="1"/>
  <c r="K419" i="1"/>
  <c r="L419" i="1" s="1"/>
  <c r="K420" i="1"/>
  <c r="L420" i="1" s="1"/>
  <c r="K421" i="1"/>
  <c r="L421" i="1" s="1"/>
  <c r="K422" i="1"/>
  <c r="L422" i="1" s="1"/>
  <c r="K423" i="1"/>
  <c r="L423" i="1" s="1"/>
  <c r="K424" i="1"/>
  <c r="L424" i="1" s="1"/>
  <c r="K425" i="1"/>
  <c r="L425" i="1" s="1"/>
  <c r="K426" i="1"/>
  <c r="L426" i="1" s="1"/>
  <c r="K427" i="1"/>
  <c r="L427" i="1" s="1"/>
  <c r="K428" i="1"/>
  <c r="L428" i="1" s="1"/>
  <c r="K429" i="1"/>
  <c r="L429" i="1" s="1"/>
  <c r="K430" i="1"/>
  <c r="L430" i="1" s="1"/>
  <c r="K431" i="1"/>
  <c r="L431" i="1" s="1"/>
  <c r="K432" i="1"/>
  <c r="L432" i="1" s="1"/>
  <c r="K433" i="1"/>
  <c r="L433" i="1" s="1"/>
  <c r="K434" i="1"/>
  <c r="L434" i="1" s="1"/>
  <c r="K435" i="1"/>
  <c r="L435" i="1" s="1"/>
  <c r="K436" i="1"/>
  <c r="L436" i="1" s="1"/>
  <c r="K437" i="1"/>
  <c r="L437" i="1" s="1"/>
  <c r="K438" i="1"/>
  <c r="L438" i="1" s="1"/>
  <c r="K439" i="1"/>
  <c r="L439" i="1" s="1"/>
  <c r="K440" i="1"/>
  <c r="L440" i="1" s="1"/>
  <c r="K441" i="1"/>
  <c r="L441" i="1" s="1"/>
  <c r="K442" i="1"/>
  <c r="L442" i="1" s="1"/>
  <c r="K443" i="1"/>
  <c r="L443" i="1" s="1"/>
  <c r="K444" i="1"/>
  <c r="L444" i="1" s="1"/>
  <c r="K445" i="1"/>
  <c r="L445" i="1" s="1"/>
  <c r="K446" i="1"/>
  <c r="L446" i="1" s="1"/>
  <c r="K447" i="1"/>
  <c r="L447" i="1" s="1"/>
  <c r="K448" i="1"/>
  <c r="L448" i="1" s="1"/>
  <c r="K449" i="1"/>
  <c r="L449" i="1" s="1"/>
  <c r="K450" i="1"/>
  <c r="L450" i="1" s="1"/>
  <c r="K451" i="1"/>
  <c r="L451" i="1" s="1"/>
  <c r="K452" i="1"/>
  <c r="L452" i="1" s="1"/>
  <c r="K453" i="1"/>
  <c r="L453" i="1" s="1"/>
  <c r="K454" i="1"/>
  <c r="L454" i="1" s="1"/>
  <c r="K455" i="1"/>
  <c r="L455" i="1" s="1"/>
  <c r="K456" i="1"/>
  <c r="L456" i="1" s="1"/>
  <c r="K457" i="1"/>
  <c r="L457" i="1" s="1"/>
  <c r="K458" i="1"/>
  <c r="L458" i="1" s="1"/>
  <c r="K459" i="1"/>
  <c r="L459" i="1" s="1"/>
  <c r="K460" i="1"/>
  <c r="L460" i="1" s="1"/>
  <c r="K461" i="1"/>
  <c r="L461" i="1" s="1"/>
  <c r="K462" i="1"/>
  <c r="L462" i="1" s="1"/>
  <c r="K463" i="1"/>
  <c r="L463" i="1" s="1"/>
  <c r="K464" i="1"/>
  <c r="L464" i="1" s="1"/>
  <c r="K465" i="1"/>
  <c r="L465" i="1" s="1"/>
  <c r="K466" i="1"/>
  <c r="L466" i="1" s="1"/>
  <c r="K467" i="1"/>
  <c r="L467" i="1" s="1"/>
  <c r="K468" i="1"/>
  <c r="L468" i="1" s="1"/>
  <c r="K469" i="1"/>
  <c r="L469" i="1" s="1"/>
  <c r="K470" i="1"/>
  <c r="L470" i="1" s="1"/>
  <c r="K471" i="1"/>
  <c r="L471" i="1" s="1"/>
  <c r="K472" i="1"/>
  <c r="L472" i="1" s="1"/>
  <c r="K473" i="1"/>
  <c r="L473" i="1" s="1"/>
  <c r="K474" i="1"/>
  <c r="L474" i="1" s="1"/>
  <c r="K475" i="1"/>
  <c r="L475" i="1" s="1"/>
  <c r="K476" i="1"/>
  <c r="L476" i="1" s="1"/>
  <c r="K477" i="1"/>
  <c r="L477" i="1" s="1"/>
  <c r="K478" i="1"/>
  <c r="L478" i="1" s="1"/>
  <c r="K479" i="1"/>
  <c r="L479" i="1" s="1"/>
  <c r="K480" i="1"/>
  <c r="L480" i="1" s="1"/>
  <c r="K481" i="1"/>
  <c r="L481" i="1" s="1"/>
  <c r="K482" i="1"/>
  <c r="L482" i="1" s="1"/>
  <c r="K483" i="1"/>
  <c r="L483" i="1" s="1"/>
  <c r="K484" i="1"/>
  <c r="L484" i="1" s="1"/>
  <c r="K485" i="1"/>
  <c r="L485" i="1" s="1"/>
  <c r="K486" i="1"/>
  <c r="L486" i="1" s="1"/>
  <c r="K487" i="1"/>
  <c r="L487" i="1" s="1"/>
  <c r="K488" i="1"/>
  <c r="L488" i="1" s="1"/>
  <c r="K489" i="1"/>
  <c r="L489" i="1" s="1"/>
  <c r="K490" i="1"/>
  <c r="L490" i="1" s="1"/>
  <c r="K491" i="1"/>
  <c r="L491" i="1" s="1"/>
  <c r="K492" i="1"/>
  <c r="L492" i="1" s="1"/>
  <c r="K493" i="1"/>
  <c r="L493" i="1" s="1"/>
  <c r="K494" i="1"/>
  <c r="L494" i="1" s="1"/>
  <c r="K495" i="1"/>
  <c r="L495" i="1" s="1"/>
  <c r="K496" i="1"/>
  <c r="L496" i="1" s="1"/>
  <c r="K497" i="1"/>
  <c r="L497" i="1" s="1"/>
  <c r="K498" i="1"/>
  <c r="L498" i="1" s="1"/>
  <c r="K499" i="1"/>
  <c r="L499" i="1" s="1"/>
  <c r="K500" i="1"/>
  <c r="L500" i="1" s="1"/>
  <c r="K501" i="1"/>
  <c r="L501" i="1" s="1"/>
  <c r="K502" i="1"/>
  <c r="L502" i="1" s="1"/>
  <c r="K503" i="1"/>
  <c r="L503" i="1" s="1"/>
  <c r="K504" i="1"/>
  <c r="L504" i="1" s="1"/>
  <c r="K505" i="1"/>
  <c r="L505" i="1" s="1"/>
  <c r="K506" i="1"/>
  <c r="L506" i="1" s="1"/>
  <c r="K507" i="1"/>
  <c r="L507" i="1" s="1"/>
  <c r="K508" i="1"/>
  <c r="L508" i="1" s="1"/>
  <c r="K509" i="1"/>
  <c r="L509" i="1" s="1"/>
  <c r="K510" i="1"/>
  <c r="L510" i="1" s="1"/>
  <c r="K511" i="1"/>
  <c r="L511" i="1" s="1"/>
  <c r="K512" i="1"/>
  <c r="L512" i="1" s="1"/>
  <c r="K513" i="1"/>
  <c r="L513" i="1" s="1"/>
  <c r="K514" i="1"/>
  <c r="L514" i="1" s="1"/>
  <c r="K515" i="1"/>
  <c r="L515" i="1" s="1"/>
  <c r="K516" i="1"/>
  <c r="L516" i="1" s="1"/>
  <c r="K517" i="1"/>
  <c r="L517" i="1" s="1"/>
  <c r="K518" i="1"/>
  <c r="L518" i="1" s="1"/>
  <c r="K519" i="1"/>
  <c r="L519" i="1" s="1"/>
  <c r="K520" i="1"/>
  <c r="L520" i="1" s="1"/>
  <c r="K521" i="1"/>
  <c r="L521" i="1" s="1"/>
  <c r="K522" i="1"/>
  <c r="L522" i="1" s="1"/>
  <c r="K523" i="1"/>
  <c r="L523" i="1" s="1"/>
  <c r="K524" i="1"/>
  <c r="L524" i="1" s="1"/>
  <c r="K525" i="1"/>
  <c r="L525" i="1" s="1"/>
  <c r="K526" i="1"/>
  <c r="L526" i="1" s="1"/>
  <c r="K527" i="1"/>
  <c r="L527" i="1" s="1"/>
  <c r="K528" i="1"/>
  <c r="L528" i="1" s="1"/>
  <c r="K529" i="1"/>
  <c r="L529" i="1" s="1"/>
  <c r="K530" i="1"/>
  <c r="L530" i="1" s="1"/>
  <c r="K531" i="1"/>
  <c r="L531" i="1" s="1"/>
  <c r="K532" i="1"/>
  <c r="L532" i="1" s="1"/>
  <c r="K533" i="1"/>
  <c r="L533" i="1" s="1"/>
  <c r="K534" i="1"/>
  <c r="L534" i="1" s="1"/>
  <c r="K535" i="1"/>
  <c r="L535" i="1" s="1"/>
  <c r="K536" i="1"/>
  <c r="L536" i="1" s="1"/>
  <c r="K537" i="1"/>
  <c r="L537" i="1" s="1"/>
  <c r="K538" i="1"/>
  <c r="L538" i="1" s="1"/>
  <c r="K539" i="1"/>
  <c r="L539" i="1" s="1"/>
  <c r="K540" i="1"/>
  <c r="L540" i="1" s="1"/>
  <c r="K541" i="1"/>
  <c r="L541" i="1" s="1"/>
  <c r="K542" i="1"/>
  <c r="L542" i="1" s="1"/>
  <c r="K543" i="1"/>
  <c r="L543" i="1" s="1"/>
  <c r="K544" i="1"/>
  <c r="L544" i="1" s="1"/>
  <c r="K545" i="1"/>
  <c r="L545" i="1" s="1"/>
  <c r="K546" i="1"/>
  <c r="L546" i="1" s="1"/>
  <c r="K547" i="1"/>
  <c r="L547" i="1" s="1"/>
  <c r="K548" i="1"/>
  <c r="L548" i="1" s="1"/>
  <c r="K549" i="1"/>
  <c r="L549" i="1" s="1"/>
  <c r="K550" i="1"/>
  <c r="L550" i="1" s="1"/>
  <c r="K551" i="1"/>
  <c r="L551" i="1" s="1"/>
  <c r="K552" i="1"/>
  <c r="L552" i="1" s="1"/>
  <c r="K553" i="1"/>
  <c r="L553" i="1" s="1"/>
  <c r="K554" i="1"/>
  <c r="L554" i="1" s="1"/>
  <c r="K555" i="1"/>
  <c r="L555" i="1" s="1"/>
  <c r="K556" i="1"/>
  <c r="L556" i="1" s="1"/>
  <c r="K557" i="1"/>
  <c r="L557" i="1" s="1"/>
  <c r="K558" i="1"/>
  <c r="L558" i="1" s="1"/>
  <c r="K559" i="1"/>
  <c r="L559" i="1" s="1"/>
  <c r="K560" i="1"/>
  <c r="L560" i="1" s="1"/>
  <c r="K561" i="1"/>
  <c r="L561" i="1" s="1"/>
  <c r="K562" i="1"/>
  <c r="L562" i="1" s="1"/>
  <c r="K563" i="1"/>
  <c r="L563" i="1" s="1"/>
  <c r="K564" i="1"/>
  <c r="L564" i="1" s="1"/>
  <c r="K565" i="1"/>
  <c r="L565" i="1" s="1"/>
  <c r="K566" i="1"/>
  <c r="L566" i="1" s="1"/>
  <c r="K567" i="1"/>
  <c r="L567" i="1" s="1"/>
  <c r="K568" i="1"/>
  <c r="L568" i="1" s="1"/>
  <c r="K569" i="1"/>
  <c r="L569" i="1" s="1"/>
  <c r="K570" i="1"/>
  <c r="L570" i="1" s="1"/>
  <c r="K571" i="1"/>
  <c r="L571" i="1" s="1"/>
  <c r="K572" i="1"/>
  <c r="L572" i="1" s="1"/>
  <c r="K573" i="1"/>
  <c r="L573" i="1" s="1"/>
  <c r="K574" i="1"/>
  <c r="L574" i="1" s="1"/>
  <c r="K575" i="1"/>
  <c r="L575" i="1" s="1"/>
  <c r="K576" i="1"/>
  <c r="L576" i="1" s="1"/>
  <c r="K577" i="1"/>
  <c r="L577" i="1" s="1"/>
  <c r="K578" i="1"/>
  <c r="L578" i="1" s="1"/>
  <c r="K579" i="1"/>
  <c r="L579" i="1" s="1"/>
  <c r="K580" i="1"/>
  <c r="L580" i="1" s="1"/>
  <c r="K581" i="1"/>
  <c r="L581" i="1" s="1"/>
  <c r="K582" i="1"/>
  <c r="L582" i="1" s="1"/>
  <c r="K583" i="1"/>
  <c r="L583" i="1" s="1"/>
  <c r="K584" i="1"/>
  <c r="L584" i="1" s="1"/>
  <c r="K585" i="1"/>
  <c r="L585" i="1" s="1"/>
  <c r="K586" i="1"/>
  <c r="L586" i="1" s="1"/>
  <c r="K587" i="1"/>
  <c r="L587" i="1" s="1"/>
  <c r="K588" i="1"/>
  <c r="L588" i="1" s="1"/>
  <c r="K589" i="1"/>
  <c r="L589" i="1" s="1"/>
  <c r="K590" i="1"/>
  <c r="L590" i="1" s="1"/>
  <c r="K591" i="1"/>
  <c r="L591" i="1" s="1"/>
  <c r="K592" i="1"/>
  <c r="L592" i="1" s="1"/>
  <c r="K593" i="1"/>
  <c r="L593" i="1" s="1"/>
  <c r="K594" i="1"/>
  <c r="L594" i="1" s="1"/>
  <c r="K595" i="1"/>
  <c r="L595" i="1" s="1"/>
  <c r="K596" i="1"/>
  <c r="L596" i="1" s="1"/>
  <c r="K597" i="1"/>
  <c r="L597" i="1" s="1"/>
  <c r="K598" i="1"/>
  <c r="L598" i="1" s="1"/>
  <c r="K599" i="1"/>
  <c r="L599" i="1" s="1"/>
  <c r="K600" i="1"/>
  <c r="L600" i="1" s="1"/>
  <c r="K601" i="1"/>
  <c r="L601" i="1" s="1"/>
  <c r="K602" i="1"/>
  <c r="L602" i="1" s="1"/>
  <c r="K603" i="1"/>
  <c r="L603" i="1" s="1"/>
  <c r="K604" i="1"/>
  <c r="L604" i="1" s="1"/>
  <c r="K605" i="1"/>
  <c r="L605" i="1" s="1"/>
  <c r="K606" i="1"/>
  <c r="L606" i="1" s="1"/>
  <c r="K607" i="1"/>
  <c r="L607" i="1" s="1"/>
  <c r="K608" i="1"/>
  <c r="L608" i="1" s="1"/>
  <c r="K609" i="1"/>
  <c r="L609" i="1" s="1"/>
  <c r="K610" i="1"/>
  <c r="L610" i="1" s="1"/>
  <c r="K611" i="1"/>
  <c r="L611" i="1" s="1"/>
  <c r="K612" i="1"/>
  <c r="L612" i="1" s="1"/>
  <c r="K613" i="1"/>
  <c r="L613" i="1" s="1"/>
  <c r="K614" i="1"/>
  <c r="L614" i="1" s="1"/>
  <c r="K615" i="1"/>
  <c r="L615" i="1" s="1"/>
  <c r="K616" i="1"/>
  <c r="L616" i="1" s="1"/>
  <c r="K617" i="1"/>
  <c r="L617" i="1" s="1"/>
  <c r="K618" i="1"/>
  <c r="L618" i="1" s="1"/>
  <c r="K619" i="1"/>
  <c r="L619" i="1" s="1"/>
  <c r="K620" i="1"/>
  <c r="L620" i="1" s="1"/>
  <c r="K621" i="1"/>
  <c r="L621" i="1" s="1"/>
  <c r="K622" i="1"/>
  <c r="L622" i="1" s="1"/>
  <c r="K623" i="1"/>
  <c r="L623" i="1" s="1"/>
  <c r="K624" i="1"/>
  <c r="L624" i="1" s="1"/>
  <c r="K625" i="1"/>
  <c r="L625" i="1" s="1"/>
  <c r="K626" i="1"/>
  <c r="L626" i="1" s="1"/>
  <c r="K627" i="1"/>
  <c r="L627" i="1" s="1"/>
  <c r="K628" i="1"/>
  <c r="L628" i="1" s="1"/>
  <c r="K629" i="1"/>
  <c r="L629" i="1" s="1"/>
  <c r="K630" i="1"/>
  <c r="L630" i="1" s="1"/>
  <c r="K631" i="1"/>
  <c r="L631" i="1" s="1"/>
  <c r="K632" i="1"/>
  <c r="L632" i="1" s="1"/>
  <c r="K633" i="1"/>
  <c r="L633" i="1" s="1"/>
  <c r="K634" i="1"/>
  <c r="L634" i="1" s="1"/>
  <c r="K635" i="1"/>
  <c r="L635" i="1" s="1"/>
  <c r="K636" i="1"/>
  <c r="L636" i="1" s="1"/>
  <c r="K637" i="1"/>
  <c r="L637" i="1" s="1"/>
  <c r="K638" i="1"/>
  <c r="L638" i="1" s="1"/>
  <c r="K639" i="1"/>
  <c r="L639" i="1" s="1"/>
  <c r="K640" i="1"/>
  <c r="L640" i="1" s="1"/>
  <c r="K641" i="1"/>
  <c r="L641" i="1" s="1"/>
  <c r="K642" i="1"/>
  <c r="L642" i="1" s="1"/>
  <c r="K643" i="1"/>
  <c r="L643" i="1" s="1"/>
  <c r="K644" i="1"/>
  <c r="L644" i="1" s="1"/>
  <c r="K645" i="1"/>
  <c r="L645" i="1" s="1"/>
  <c r="K646" i="1"/>
  <c r="L646" i="1" s="1"/>
  <c r="K647" i="1"/>
  <c r="L647" i="1" s="1"/>
  <c r="K648" i="1"/>
  <c r="L648" i="1" s="1"/>
  <c r="K649" i="1"/>
  <c r="L649" i="1" s="1"/>
  <c r="K650" i="1"/>
  <c r="L650" i="1" s="1"/>
  <c r="K651" i="1"/>
  <c r="L651" i="1" s="1"/>
  <c r="K652" i="1"/>
  <c r="L652" i="1" s="1"/>
  <c r="K653" i="1"/>
  <c r="L653" i="1" s="1"/>
  <c r="K654" i="1"/>
  <c r="L654" i="1" s="1"/>
  <c r="K655" i="1"/>
  <c r="L655" i="1" s="1"/>
  <c r="K656" i="1"/>
  <c r="L656" i="1" s="1"/>
  <c r="K657" i="1"/>
  <c r="L657" i="1" s="1"/>
  <c r="K658" i="1"/>
  <c r="L658" i="1" s="1"/>
  <c r="K659" i="1"/>
  <c r="L659" i="1" s="1"/>
  <c r="K660" i="1"/>
  <c r="L660" i="1" s="1"/>
  <c r="K661" i="1"/>
  <c r="L661" i="1" s="1"/>
  <c r="K662" i="1"/>
  <c r="L662" i="1" s="1"/>
  <c r="K663" i="1"/>
  <c r="L663" i="1" s="1"/>
  <c r="K664" i="1"/>
  <c r="L664" i="1" s="1"/>
  <c r="K665" i="1"/>
  <c r="L665" i="1" s="1"/>
  <c r="K666" i="1"/>
  <c r="L666" i="1" s="1"/>
  <c r="K667" i="1"/>
  <c r="L667" i="1" s="1"/>
  <c r="K668" i="1"/>
  <c r="L668" i="1" s="1"/>
  <c r="K669" i="1"/>
  <c r="L669" i="1" s="1"/>
  <c r="K670" i="1"/>
  <c r="L670" i="1" s="1"/>
  <c r="K671" i="1"/>
  <c r="L671" i="1" s="1"/>
  <c r="K672" i="1"/>
  <c r="L672" i="1" s="1"/>
  <c r="K673" i="1"/>
  <c r="L673" i="1" s="1"/>
  <c r="K674" i="1"/>
  <c r="L674" i="1" s="1"/>
  <c r="K675" i="1"/>
  <c r="L675" i="1" s="1"/>
  <c r="K676" i="1"/>
  <c r="L676" i="1" s="1"/>
  <c r="K677" i="1"/>
  <c r="L677" i="1" s="1"/>
  <c r="K678" i="1"/>
  <c r="L678" i="1" s="1"/>
  <c r="K679" i="1"/>
  <c r="L679" i="1" s="1"/>
  <c r="K680" i="1"/>
  <c r="L680" i="1" s="1"/>
  <c r="K681" i="1"/>
  <c r="L681" i="1" s="1"/>
  <c r="K682" i="1"/>
  <c r="L682" i="1" s="1"/>
  <c r="K683" i="1"/>
  <c r="L683" i="1" s="1"/>
  <c r="K684" i="1"/>
  <c r="L684" i="1" s="1"/>
  <c r="K685" i="1"/>
  <c r="L685" i="1" s="1"/>
  <c r="K686" i="1"/>
  <c r="L686" i="1" s="1"/>
  <c r="K687" i="1"/>
  <c r="L687" i="1" s="1"/>
  <c r="K688" i="1"/>
  <c r="L688" i="1" s="1"/>
  <c r="K689" i="1"/>
  <c r="L689" i="1" s="1"/>
  <c r="K690" i="1"/>
  <c r="L690" i="1" s="1"/>
  <c r="K691" i="1"/>
  <c r="L691" i="1" s="1"/>
  <c r="K692" i="1"/>
  <c r="L692" i="1" s="1"/>
  <c r="K693" i="1"/>
  <c r="L693" i="1" s="1"/>
  <c r="K694" i="1"/>
  <c r="L694" i="1" s="1"/>
  <c r="K695" i="1"/>
  <c r="L695" i="1" s="1"/>
  <c r="K696" i="1"/>
  <c r="L696" i="1" s="1"/>
  <c r="K697" i="1"/>
  <c r="L697" i="1" s="1"/>
  <c r="K698" i="1"/>
  <c r="L698" i="1" s="1"/>
  <c r="K699" i="1"/>
  <c r="L699" i="1" s="1"/>
  <c r="K700" i="1"/>
  <c r="L700" i="1" s="1"/>
  <c r="K701" i="1"/>
  <c r="L701" i="1" s="1"/>
  <c r="K702" i="1"/>
  <c r="L702" i="1" s="1"/>
  <c r="K703" i="1"/>
  <c r="L703" i="1" s="1"/>
  <c r="K704" i="1"/>
  <c r="L704" i="1" s="1"/>
  <c r="K705" i="1"/>
  <c r="L705" i="1" s="1"/>
  <c r="K706" i="1"/>
  <c r="L706" i="1" s="1"/>
  <c r="K707" i="1"/>
  <c r="L707" i="1" s="1"/>
  <c r="K708" i="1"/>
  <c r="L708" i="1" s="1"/>
  <c r="K709" i="1"/>
  <c r="L709" i="1" s="1"/>
  <c r="K710" i="1"/>
  <c r="L710" i="1" s="1"/>
  <c r="K711" i="1"/>
  <c r="L711" i="1" s="1"/>
  <c r="K712" i="1"/>
  <c r="L712" i="1" s="1"/>
  <c r="K713" i="1"/>
  <c r="L713" i="1" s="1"/>
  <c r="K714" i="1"/>
  <c r="L714" i="1" s="1"/>
  <c r="K715" i="1"/>
  <c r="L715" i="1" s="1"/>
  <c r="K716" i="1"/>
  <c r="L716" i="1" s="1"/>
  <c r="K717" i="1"/>
  <c r="L717" i="1" s="1"/>
  <c r="K718" i="1"/>
  <c r="L718" i="1" s="1"/>
  <c r="K719" i="1"/>
  <c r="L719" i="1" s="1"/>
  <c r="K720" i="1"/>
  <c r="L720" i="1" s="1"/>
  <c r="K721" i="1"/>
  <c r="L721" i="1" s="1"/>
  <c r="K722" i="1"/>
  <c r="L722" i="1" s="1"/>
  <c r="K723" i="1"/>
  <c r="L723" i="1" s="1"/>
  <c r="K724" i="1"/>
  <c r="L724" i="1" s="1"/>
  <c r="K725" i="1"/>
  <c r="L725" i="1" s="1"/>
  <c r="K726" i="1"/>
  <c r="L726" i="1" s="1"/>
  <c r="K727" i="1"/>
  <c r="L727" i="1" s="1"/>
  <c r="K728" i="1"/>
  <c r="L728" i="1" s="1"/>
  <c r="K729" i="1"/>
  <c r="L729" i="1" s="1"/>
  <c r="K730" i="1"/>
  <c r="L730" i="1" s="1"/>
  <c r="K731" i="1"/>
  <c r="K732" i="1"/>
  <c r="L732" i="1" s="1"/>
  <c r="K733" i="1"/>
  <c r="L733" i="1" s="1"/>
  <c r="K734" i="1"/>
  <c r="L734" i="1" s="1"/>
  <c r="K735" i="1"/>
  <c r="L735" i="1" s="1"/>
  <c r="K736" i="1"/>
  <c r="L736" i="1" s="1"/>
  <c r="K737" i="1"/>
  <c r="L737" i="1" s="1"/>
  <c r="K738" i="1"/>
  <c r="L738" i="1" s="1"/>
  <c r="K739" i="1"/>
  <c r="L739" i="1" s="1"/>
  <c r="K740" i="1"/>
  <c r="L740" i="1" s="1"/>
  <c r="K741" i="1"/>
  <c r="L741" i="1" s="1"/>
  <c r="K742" i="1"/>
  <c r="L742" i="1" s="1"/>
  <c r="K743" i="1"/>
  <c r="L743" i="1" s="1"/>
  <c r="K744" i="1"/>
  <c r="L744" i="1" s="1"/>
  <c r="K745" i="1"/>
  <c r="L745" i="1" s="1"/>
  <c r="K746" i="1"/>
  <c r="L746" i="1" s="1"/>
  <c r="K747" i="1"/>
  <c r="L747" i="1" s="1"/>
  <c r="K748" i="1"/>
  <c r="L748" i="1" s="1"/>
  <c r="K749" i="1"/>
  <c r="L749" i="1" s="1"/>
  <c r="K750" i="1"/>
  <c r="L750" i="1" s="1"/>
  <c r="K751" i="1"/>
  <c r="L751" i="1" s="1"/>
  <c r="K752" i="1"/>
  <c r="L752" i="1" s="1"/>
  <c r="K753" i="1"/>
  <c r="L753" i="1" s="1"/>
  <c r="K754" i="1"/>
  <c r="L754" i="1" s="1"/>
  <c r="K755" i="1"/>
  <c r="L755" i="1" s="1"/>
  <c r="K756" i="1"/>
  <c r="L756" i="1" s="1"/>
  <c r="K757" i="1"/>
  <c r="L757" i="1" s="1"/>
  <c r="K758" i="1"/>
  <c r="L758" i="1" s="1"/>
  <c r="K759" i="1"/>
  <c r="L759" i="1" s="1"/>
  <c r="K760" i="1"/>
  <c r="L760" i="1" s="1"/>
  <c r="K761" i="1"/>
  <c r="L761" i="1" s="1"/>
  <c r="K762" i="1"/>
  <c r="L762" i="1" s="1"/>
  <c r="K763" i="1"/>
  <c r="L763" i="1" s="1"/>
  <c r="K764" i="1"/>
  <c r="L764" i="1" s="1"/>
  <c r="K765" i="1"/>
  <c r="L765" i="1" s="1"/>
  <c r="K766" i="1"/>
  <c r="L766" i="1" s="1"/>
  <c r="K767" i="1"/>
  <c r="L767" i="1" s="1"/>
  <c r="K768" i="1"/>
  <c r="L768" i="1" s="1"/>
  <c r="K769" i="1"/>
  <c r="L769" i="1" s="1"/>
  <c r="K770" i="1"/>
  <c r="L770" i="1" s="1"/>
  <c r="K771" i="1"/>
  <c r="L771" i="1" s="1"/>
  <c r="K772" i="1"/>
  <c r="L772" i="1" s="1"/>
  <c r="K773" i="1"/>
  <c r="L773" i="1" s="1"/>
  <c r="K774" i="1"/>
  <c r="L774" i="1" s="1"/>
  <c r="K775" i="1"/>
  <c r="L775" i="1" s="1"/>
  <c r="K776" i="1"/>
  <c r="L776" i="1" s="1"/>
  <c r="K777" i="1"/>
  <c r="L777" i="1" s="1"/>
  <c r="K778" i="1"/>
  <c r="L778" i="1" s="1"/>
  <c r="K779" i="1"/>
  <c r="L779" i="1" s="1"/>
  <c r="K780" i="1"/>
  <c r="L780" i="1" s="1"/>
  <c r="K781" i="1"/>
  <c r="L781" i="1" s="1"/>
  <c r="K782" i="1"/>
  <c r="L782" i="1" s="1"/>
  <c r="K783" i="1"/>
  <c r="L783" i="1" s="1"/>
  <c r="K784" i="1"/>
  <c r="L784" i="1" s="1"/>
  <c r="K785" i="1"/>
  <c r="L785" i="1" s="1"/>
  <c r="K786" i="1"/>
  <c r="L786" i="1" s="1"/>
  <c r="K787" i="1"/>
  <c r="L787" i="1" s="1"/>
  <c r="K788" i="1"/>
  <c r="L788" i="1" s="1"/>
  <c r="K789" i="1"/>
  <c r="L789" i="1" s="1"/>
  <c r="K790" i="1"/>
  <c r="L790" i="1" s="1"/>
  <c r="K791" i="1"/>
  <c r="L791" i="1" s="1"/>
  <c r="K792" i="1"/>
  <c r="L792" i="1" s="1"/>
  <c r="K793" i="1"/>
  <c r="L793" i="1" s="1"/>
  <c r="K794" i="1"/>
  <c r="L794" i="1" s="1"/>
  <c r="K795" i="1"/>
  <c r="L795" i="1" s="1"/>
  <c r="K796" i="1"/>
  <c r="L796" i="1" s="1"/>
  <c r="K797" i="1"/>
  <c r="L797" i="1" s="1"/>
  <c r="K798" i="1"/>
  <c r="L798" i="1" s="1"/>
  <c r="K799" i="1"/>
  <c r="L799" i="1" s="1"/>
  <c r="K800" i="1"/>
  <c r="L800" i="1" s="1"/>
  <c r="K801" i="1"/>
  <c r="L801" i="1" s="1"/>
  <c r="K802" i="1"/>
  <c r="L802" i="1" s="1"/>
  <c r="K803" i="1"/>
  <c r="L803" i="1" s="1"/>
  <c r="K804" i="1"/>
  <c r="L804" i="1" s="1"/>
  <c r="K805" i="1"/>
  <c r="L805" i="1" s="1"/>
  <c r="K806" i="1"/>
  <c r="L806" i="1" s="1"/>
  <c r="K807" i="1"/>
  <c r="L807" i="1" s="1"/>
  <c r="K808" i="1"/>
  <c r="L808" i="1" s="1"/>
  <c r="K809" i="1"/>
  <c r="L809" i="1" s="1"/>
  <c r="K810" i="1"/>
  <c r="L810" i="1" s="1"/>
  <c r="K811" i="1"/>
  <c r="L811" i="1" s="1"/>
  <c r="K812" i="1"/>
  <c r="L812" i="1" s="1"/>
  <c r="K813" i="1"/>
  <c r="L813" i="1" s="1"/>
  <c r="K814" i="1"/>
  <c r="L814" i="1" s="1"/>
  <c r="K815" i="1"/>
  <c r="L815" i="1" s="1"/>
  <c r="K816" i="1"/>
  <c r="L816" i="1" s="1"/>
  <c r="K817" i="1"/>
  <c r="L817" i="1" s="1"/>
  <c r="K818" i="1"/>
  <c r="L818" i="1" s="1"/>
  <c r="K819" i="1"/>
  <c r="L819" i="1" s="1"/>
  <c r="K820" i="1"/>
  <c r="L820" i="1" s="1"/>
  <c r="K821" i="1"/>
  <c r="L821" i="1" s="1"/>
  <c r="K822" i="1"/>
  <c r="L822" i="1" s="1"/>
  <c r="K823" i="1"/>
  <c r="L823" i="1" s="1"/>
  <c r="K824" i="1"/>
  <c r="L824" i="1" s="1"/>
  <c r="K825" i="1"/>
  <c r="L825" i="1" s="1"/>
  <c r="K826" i="1"/>
  <c r="L826" i="1" s="1"/>
  <c r="K827" i="1"/>
  <c r="L827" i="1" s="1"/>
  <c r="K828" i="1"/>
  <c r="L828" i="1" s="1"/>
  <c r="K829" i="1"/>
  <c r="L829" i="1" s="1"/>
  <c r="K830" i="1"/>
  <c r="L830" i="1" s="1"/>
  <c r="K831" i="1"/>
  <c r="L831" i="1" s="1"/>
  <c r="K832" i="1"/>
  <c r="L832" i="1" s="1"/>
  <c r="K833" i="1"/>
  <c r="L833" i="1" s="1"/>
  <c r="K834" i="1"/>
  <c r="L834" i="1" s="1"/>
  <c r="K835" i="1"/>
  <c r="L835" i="1" s="1"/>
  <c r="K836" i="1"/>
  <c r="L836" i="1" s="1"/>
  <c r="K837" i="1"/>
  <c r="L837" i="1" s="1"/>
  <c r="K838" i="1"/>
  <c r="L838" i="1" s="1"/>
  <c r="K839" i="1"/>
  <c r="L839" i="1" s="1"/>
  <c r="K840" i="1"/>
  <c r="L840" i="1" s="1"/>
  <c r="K841" i="1"/>
  <c r="L841" i="1" s="1"/>
  <c r="K842" i="1"/>
  <c r="L842" i="1" s="1"/>
  <c r="K843" i="1"/>
  <c r="L843" i="1" s="1"/>
  <c r="K844" i="1"/>
  <c r="L844" i="1" s="1"/>
  <c r="K845" i="1"/>
  <c r="L845" i="1" s="1"/>
  <c r="K846" i="1"/>
  <c r="L846" i="1" s="1"/>
  <c r="K847" i="1"/>
  <c r="L847" i="1" s="1"/>
  <c r="K848" i="1"/>
  <c r="L848" i="1" s="1"/>
  <c r="K849" i="1"/>
  <c r="L849" i="1" s="1"/>
  <c r="K850" i="1"/>
  <c r="L850" i="1" s="1"/>
  <c r="K851" i="1"/>
  <c r="L851" i="1" s="1"/>
  <c r="K852" i="1"/>
  <c r="L852" i="1" s="1"/>
  <c r="K853" i="1"/>
  <c r="L853" i="1" s="1"/>
  <c r="K854" i="1"/>
  <c r="L854" i="1" s="1"/>
  <c r="K855" i="1"/>
  <c r="L855" i="1" s="1"/>
  <c r="K856" i="1"/>
  <c r="L856" i="1" s="1"/>
  <c r="K857" i="1"/>
  <c r="L857" i="1" s="1"/>
  <c r="K858" i="1"/>
  <c r="L858" i="1" s="1"/>
  <c r="K859" i="1"/>
  <c r="L859" i="1" s="1"/>
  <c r="K860" i="1"/>
  <c r="L860" i="1" s="1"/>
  <c r="K861" i="1"/>
  <c r="L861" i="1" s="1"/>
  <c r="K862" i="1"/>
  <c r="L862" i="1" s="1"/>
  <c r="K863" i="1"/>
  <c r="L863" i="1" s="1"/>
  <c r="K864" i="1"/>
  <c r="L864" i="1" s="1"/>
  <c r="K865" i="1"/>
  <c r="L865" i="1" s="1"/>
  <c r="K866" i="1"/>
  <c r="L866" i="1" s="1"/>
  <c r="K867" i="1"/>
  <c r="L867" i="1" s="1"/>
  <c r="K868" i="1"/>
  <c r="L868" i="1" s="1"/>
  <c r="K869" i="1"/>
  <c r="L869" i="1" s="1"/>
  <c r="K870" i="1"/>
  <c r="L870" i="1" s="1"/>
  <c r="K871" i="1"/>
  <c r="L871" i="1" s="1"/>
  <c r="K872" i="1"/>
  <c r="L872" i="1" s="1"/>
  <c r="K873" i="1"/>
  <c r="L873" i="1" s="1"/>
  <c r="K874" i="1"/>
  <c r="L874" i="1" s="1"/>
  <c r="K875" i="1"/>
  <c r="L875" i="1" s="1"/>
  <c r="K876" i="1"/>
  <c r="L876" i="1" s="1"/>
  <c r="K877" i="1"/>
  <c r="L877" i="1" s="1"/>
  <c r="K878" i="1"/>
  <c r="L878" i="1" s="1"/>
  <c r="K879" i="1"/>
  <c r="L879" i="1" s="1"/>
  <c r="K880" i="1"/>
  <c r="L880" i="1" s="1"/>
  <c r="K881" i="1"/>
  <c r="L881" i="1" s="1"/>
  <c r="K882" i="1"/>
  <c r="L882" i="1" s="1"/>
  <c r="K883" i="1"/>
  <c r="L883" i="1" s="1"/>
  <c r="K884" i="1"/>
  <c r="L884" i="1" s="1"/>
  <c r="K885" i="1"/>
  <c r="L885" i="1" s="1"/>
  <c r="K886" i="1"/>
  <c r="L886" i="1" s="1"/>
  <c r="K887" i="1"/>
  <c r="L887" i="1" s="1"/>
  <c r="K888" i="1"/>
  <c r="L888" i="1" s="1"/>
  <c r="K889" i="1"/>
  <c r="L889" i="1" s="1"/>
  <c r="K890" i="1"/>
  <c r="L890" i="1" s="1"/>
  <c r="K891" i="1"/>
  <c r="L891" i="1" s="1"/>
  <c r="K892" i="1"/>
  <c r="L892" i="1" s="1"/>
  <c r="K893" i="1"/>
  <c r="L893" i="1" s="1"/>
  <c r="K894" i="1"/>
  <c r="L894" i="1" s="1"/>
  <c r="K895" i="1"/>
  <c r="L895" i="1" s="1"/>
  <c r="K896" i="1"/>
  <c r="L896" i="1" s="1"/>
  <c r="K897" i="1"/>
  <c r="L897" i="1" s="1"/>
  <c r="K898" i="1"/>
  <c r="L898" i="1" s="1"/>
  <c r="K899" i="1"/>
  <c r="L899" i="1" s="1"/>
  <c r="K900" i="1"/>
  <c r="L900" i="1" s="1"/>
  <c r="K901" i="1"/>
  <c r="L901" i="1" s="1"/>
  <c r="K902" i="1"/>
  <c r="L902" i="1" s="1"/>
  <c r="K903" i="1"/>
  <c r="L903" i="1" s="1"/>
  <c r="K904" i="1"/>
  <c r="L904" i="1" s="1"/>
  <c r="K905" i="1"/>
  <c r="L905" i="1" s="1"/>
  <c r="K906" i="1"/>
  <c r="L906" i="1" s="1"/>
  <c r="K907" i="1"/>
  <c r="L907" i="1" s="1"/>
  <c r="K908" i="1"/>
  <c r="L908" i="1" s="1"/>
  <c r="K909" i="1"/>
  <c r="L909" i="1" s="1"/>
  <c r="K910" i="1"/>
  <c r="L910" i="1" s="1"/>
  <c r="K911" i="1"/>
  <c r="L911" i="1" s="1"/>
  <c r="K912" i="1"/>
  <c r="L912" i="1" s="1"/>
  <c r="K913" i="1"/>
  <c r="L913" i="1" s="1"/>
  <c r="K914" i="1"/>
  <c r="L914" i="1" s="1"/>
  <c r="K915" i="1"/>
  <c r="L915" i="1" s="1"/>
  <c r="K916" i="1"/>
  <c r="L916" i="1" s="1"/>
  <c r="K917" i="1"/>
  <c r="L917" i="1" s="1"/>
  <c r="K918" i="1"/>
  <c r="L918" i="1" s="1"/>
  <c r="K919" i="1"/>
  <c r="L919" i="1" s="1"/>
  <c r="K920" i="1"/>
  <c r="L920" i="1" s="1"/>
  <c r="K921" i="1"/>
  <c r="L921" i="1" s="1"/>
  <c r="K922" i="1"/>
  <c r="L922" i="1" s="1"/>
  <c r="K923" i="1"/>
  <c r="L923" i="1" s="1"/>
  <c r="K924" i="1"/>
  <c r="L924" i="1" s="1"/>
  <c r="K925" i="1"/>
  <c r="L925" i="1" s="1"/>
  <c r="K926" i="1"/>
  <c r="L926" i="1" s="1"/>
  <c r="K927" i="1"/>
  <c r="L927" i="1" s="1"/>
  <c r="K928" i="1"/>
  <c r="L928" i="1" s="1"/>
  <c r="K929" i="1"/>
  <c r="L929" i="1" s="1"/>
  <c r="K930" i="1"/>
  <c r="L930" i="1" s="1"/>
  <c r="K931" i="1"/>
  <c r="L931" i="1" s="1"/>
  <c r="K932" i="1"/>
  <c r="L932" i="1" s="1"/>
  <c r="K933" i="1"/>
  <c r="L933" i="1" s="1"/>
  <c r="K934" i="1"/>
  <c r="L934" i="1" s="1"/>
  <c r="K935" i="1"/>
  <c r="L935" i="1" s="1"/>
  <c r="K936" i="1"/>
  <c r="L936" i="1" s="1"/>
  <c r="K937" i="1"/>
  <c r="L937" i="1" s="1"/>
  <c r="K938" i="1"/>
  <c r="L938" i="1" s="1"/>
  <c r="K939" i="1"/>
  <c r="L939" i="1" s="1"/>
  <c r="K940" i="1"/>
  <c r="L940" i="1" s="1"/>
  <c r="K941" i="1"/>
  <c r="L941" i="1" s="1"/>
  <c r="K942" i="1"/>
  <c r="L942" i="1" s="1"/>
  <c r="K943" i="1"/>
  <c r="L943" i="1" s="1"/>
  <c r="K944" i="1"/>
  <c r="L944" i="1" s="1"/>
  <c r="K945" i="1"/>
  <c r="L945" i="1" s="1"/>
  <c r="K946" i="1"/>
  <c r="L946" i="1" s="1"/>
  <c r="K947" i="1"/>
  <c r="L947" i="1" s="1"/>
  <c r="K948" i="1"/>
  <c r="L948" i="1" s="1"/>
  <c r="K949" i="1"/>
  <c r="L949" i="1" s="1"/>
  <c r="K950" i="1"/>
  <c r="L950" i="1" s="1"/>
  <c r="K951" i="1"/>
  <c r="L951" i="1" s="1"/>
  <c r="K952" i="1"/>
  <c r="L952" i="1" s="1"/>
  <c r="K953" i="1"/>
  <c r="L953" i="1" s="1"/>
  <c r="K954" i="1"/>
  <c r="L954" i="1" s="1"/>
  <c r="K955" i="1"/>
  <c r="L955" i="1" s="1"/>
  <c r="K956" i="1"/>
  <c r="L956" i="1" s="1"/>
  <c r="K957" i="1"/>
  <c r="L957" i="1" s="1"/>
  <c r="K958" i="1"/>
  <c r="L958" i="1" s="1"/>
  <c r="K959" i="1"/>
  <c r="L959" i="1" s="1"/>
  <c r="K960" i="1"/>
  <c r="L960" i="1" s="1"/>
  <c r="K961" i="1"/>
  <c r="L961" i="1" s="1"/>
  <c r="K962" i="1"/>
  <c r="L962" i="1" s="1"/>
  <c r="K963" i="1"/>
  <c r="L963" i="1" s="1"/>
  <c r="K964" i="1"/>
  <c r="L964" i="1" s="1"/>
  <c r="K965" i="1"/>
  <c r="L965" i="1" s="1"/>
  <c r="K966" i="1"/>
  <c r="L966" i="1" s="1"/>
  <c r="K967" i="1"/>
  <c r="L967" i="1" s="1"/>
  <c r="K968" i="1"/>
  <c r="L968" i="1" s="1"/>
  <c r="K969" i="1"/>
  <c r="L969" i="1" s="1"/>
  <c r="K970" i="1"/>
  <c r="L970" i="1" s="1"/>
  <c r="K971" i="1"/>
  <c r="L971" i="1" s="1"/>
  <c r="K972" i="1"/>
  <c r="L972" i="1" s="1"/>
  <c r="K973" i="1"/>
  <c r="L973" i="1" s="1"/>
  <c r="K974" i="1"/>
  <c r="L974" i="1" s="1"/>
  <c r="K975" i="1"/>
  <c r="L975" i="1" s="1"/>
  <c r="K976" i="1"/>
  <c r="L976" i="1" s="1"/>
  <c r="K977" i="1"/>
  <c r="L977" i="1" s="1"/>
  <c r="K978" i="1"/>
  <c r="L978" i="1" s="1"/>
  <c r="K979" i="1"/>
  <c r="L979" i="1" s="1"/>
  <c r="K980" i="1"/>
  <c r="L980" i="1" s="1"/>
  <c r="K981" i="1"/>
  <c r="L981" i="1" s="1"/>
  <c r="K982" i="1"/>
  <c r="L982" i="1" s="1"/>
  <c r="K983" i="1"/>
  <c r="L983" i="1" s="1"/>
  <c r="K984" i="1"/>
  <c r="L984" i="1" s="1"/>
  <c r="K985" i="1"/>
  <c r="L985" i="1" s="1"/>
  <c r="K986" i="1"/>
  <c r="L986" i="1" s="1"/>
  <c r="K987" i="1"/>
  <c r="L987" i="1" s="1"/>
  <c r="K988" i="1"/>
  <c r="L988" i="1" s="1"/>
  <c r="K989" i="1"/>
  <c r="L989" i="1" s="1"/>
  <c r="K990" i="1"/>
  <c r="L990" i="1" s="1"/>
  <c r="K991" i="1"/>
  <c r="L991" i="1" s="1"/>
  <c r="K992" i="1"/>
  <c r="L992" i="1" s="1"/>
  <c r="K993" i="1"/>
  <c r="L993" i="1" s="1"/>
  <c r="K994" i="1"/>
  <c r="L994" i="1" s="1"/>
  <c r="K995" i="1"/>
  <c r="L995" i="1" s="1"/>
  <c r="K996" i="1"/>
  <c r="L996" i="1" s="1"/>
  <c r="K997" i="1"/>
  <c r="L997" i="1" s="1"/>
  <c r="K998" i="1"/>
  <c r="L998" i="1" s="1"/>
  <c r="K999" i="1"/>
  <c r="L999" i="1" s="1"/>
  <c r="K1000" i="1"/>
  <c r="L1000" i="1" s="1"/>
  <c r="K1001" i="1"/>
  <c r="L1001" i="1" s="1"/>
  <c r="K1002" i="1"/>
  <c r="L1002" i="1" s="1"/>
  <c r="K1003" i="1"/>
  <c r="L1003" i="1" s="1"/>
  <c r="K1004" i="1"/>
  <c r="L1004" i="1" s="1"/>
  <c r="K1005" i="1"/>
  <c r="L1005" i="1" s="1"/>
  <c r="K1006" i="1"/>
  <c r="L1006" i="1" s="1"/>
  <c r="K1007" i="1"/>
  <c r="L1007" i="1" s="1"/>
  <c r="K1008" i="1"/>
  <c r="L1008" i="1" s="1"/>
  <c r="K1009" i="1"/>
  <c r="L1009" i="1" s="1"/>
  <c r="K1010" i="1"/>
  <c r="L1010" i="1" s="1"/>
  <c r="K1011" i="1"/>
  <c r="L1011" i="1" s="1"/>
  <c r="K1012" i="1"/>
  <c r="L1012" i="1" s="1"/>
  <c r="K1013" i="1"/>
  <c r="L1013" i="1" s="1"/>
  <c r="K1014" i="1"/>
  <c r="L1014" i="1" s="1"/>
  <c r="K1015" i="1"/>
  <c r="L1015" i="1" s="1"/>
  <c r="K1016" i="1"/>
  <c r="L1016" i="1" s="1"/>
  <c r="K1017" i="1"/>
  <c r="L1017" i="1" s="1"/>
  <c r="K1018" i="1"/>
  <c r="L1018" i="1" s="1"/>
  <c r="K1019" i="1"/>
  <c r="L1019" i="1" s="1"/>
  <c r="K1020" i="1"/>
  <c r="L1020" i="1" s="1"/>
  <c r="K1021" i="1"/>
  <c r="L1021" i="1" s="1"/>
  <c r="K1022" i="1"/>
  <c r="L1022" i="1" s="1"/>
  <c r="K1023" i="1"/>
  <c r="L1023" i="1" s="1"/>
  <c r="K1024" i="1"/>
  <c r="L1024" i="1" s="1"/>
  <c r="K1025" i="1"/>
  <c r="L1025" i="1" s="1"/>
  <c r="K1026" i="1"/>
  <c r="L1026" i="1" s="1"/>
  <c r="K1027" i="1"/>
  <c r="L1027" i="1" s="1"/>
  <c r="K1028" i="1"/>
  <c r="L1028" i="1" s="1"/>
  <c r="K1029" i="1"/>
  <c r="L1029" i="1" s="1"/>
  <c r="K1030" i="1"/>
  <c r="L1030" i="1" s="1"/>
  <c r="K1031" i="1"/>
  <c r="L1031" i="1" s="1"/>
  <c r="K1032" i="1"/>
  <c r="L1032" i="1" s="1"/>
  <c r="K1033" i="1"/>
  <c r="L1033" i="1" s="1"/>
  <c r="K1034" i="1"/>
  <c r="L1034" i="1" s="1"/>
  <c r="K1035" i="1"/>
  <c r="L1035" i="1" s="1"/>
  <c r="K1036" i="1"/>
  <c r="L1036" i="1" s="1"/>
  <c r="K1037" i="1"/>
  <c r="L1037" i="1" s="1"/>
  <c r="K1038" i="1"/>
  <c r="L1038" i="1" s="1"/>
  <c r="K1039" i="1"/>
  <c r="L1039" i="1" s="1"/>
  <c r="K1040" i="1"/>
  <c r="L1040" i="1" s="1"/>
  <c r="K1041" i="1"/>
  <c r="L1041" i="1" s="1"/>
  <c r="K1042" i="1"/>
  <c r="L1042" i="1" s="1"/>
  <c r="K1043" i="1"/>
  <c r="L1043" i="1" s="1"/>
  <c r="K1044" i="1"/>
  <c r="L1044" i="1" s="1"/>
  <c r="K1045" i="1"/>
  <c r="L1045" i="1" s="1"/>
  <c r="K1046" i="1"/>
  <c r="L1046" i="1" s="1"/>
  <c r="K1047" i="1"/>
  <c r="L1047" i="1" s="1"/>
  <c r="K1048" i="1"/>
  <c r="L1048" i="1" s="1"/>
  <c r="K1049" i="1"/>
  <c r="L1049" i="1" s="1"/>
  <c r="K1050" i="1"/>
  <c r="L1050" i="1" s="1"/>
  <c r="K1051" i="1"/>
  <c r="L1051" i="1" s="1"/>
  <c r="K1052" i="1"/>
  <c r="L1052" i="1" s="1"/>
  <c r="K1053" i="1"/>
  <c r="L1053" i="1" s="1"/>
  <c r="K1054" i="1"/>
  <c r="L1054" i="1" s="1"/>
  <c r="K1055" i="1"/>
  <c r="L1055" i="1" s="1"/>
  <c r="K1056" i="1"/>
  <c r="L1056" i="1" s="1"/>
  <c r="K1057" i="1"/>
  <c r="L1057" i="1" s="1"/>
  <c r="K1058" i="1"/>
  <c r="L1058" i="1" s="1"/>
  <c r="K1059" i="1"/>
  <c r="L1059" i="1" s="1"/>
  <c r="K1060" i="1"/>
  <c r="L1060" i="1" s="1"/>
  <c r="K1061" i="1"/>
  <c r="L1061" i="1" s="1"/>
  <c r="K1062" i="1"/>
  <c r="L1062" i="1" s="1"/>
  <c r="K1063" i="1"/>
  <c r="L1063" i="1" s="1"/>
  <c r="K1064" i="1"/>
  <c r="L1064" i="1" s="1"/>
  <c r="K1065" i="1"/>
  <c r="L1065" i="1" s="1"/>
  <c r="K1066" i="1"/>
  <c r="L1066" i="1" s="1"/>
  <c r="K1067" i="1"/>
  <c r="L1067" i="1" s="1"/>
  <c r="K1068" i="1"/>
  <c r="L1068" i="1" s="1"/>
  <c r="K1069" i="1"/>
  <c r="L1069" i="1" s="1"/>
  <c r="K1070" i="1"/>
  <c r="L1070" i="1" s="1"/>
  <c r="K1071" i="1"/>
  <c r="L1071" i="1" s="1"/>
  <c r="K1072" i="1"/>
  <c r="L1072" i="1" s="1"/>
  <c r="K1073" i="1"/>
  <c r="L1073" i="1" s="1"/>
  <c r="K1074" i="1"/>
  <c r="L1074" i="1" s="1"/>
  <c r="K1075" i="1"/>
  <c r="L1075" i="1" s="1"/>
  <c r="K1076" i="1"/>
  <c r="L1076" i="1" s="1"/>
  <c r="K1077" i="1"/>
  <c r="L1077" i="1" s="1"/>
  <c r="K1078" i="1"/>
  <c r="L1078" i="1" s="1"/>
  <c r="K1079" i="1"/>
  <c r="L1079" i="1" s="1"/>
  <c r="K1080" i="1"/>
  <c r="L1080" i="1" s="1"/>
  <c r="K1081" i="1"/>
  <c r="L1081" i="1" s="1"/>
  <c r="K1082" i="1"/>
  <c r="L1082" i="1" s="1"/>
  <c r="K1083" i="1"/>
  <c r="L1083" i="1" s="1"/>
  <c r="K1084" i="1"/>
  <c r="L1084" i="1" s="1"/>
  <c r="K1085" i="1"/>
  <c r="L1085" i="1" s="1"/>
  <c r="K1086" i="1"/>
  <c r="L1086" i="1" s="1"/>
  <c r="K1087" i="1"/>
  <c r="L1087" i="1" s="1"/>
  <c r="K1088" i="1"/>
  <c r="L1088" i="1" s="1"/>
  <c r="K1089" i="1"/>
  <c r="L1089" i="1" s="1"/>
  <c r="K1090" i="1"/>
  <c r="L1090" i="1" s="1"/>
  <c r="K1091" i="1"/>
  <c r="L1091" i="1" s="1"/>
  <c r="K1092" i="1"/>
  <c r="L1092" i="1" s="1"/>
  <c r="K1093" i="1"/>
  <c r="L1093" i="1" s="1"/>
  <c r="K1094" i="1"/>
  <c r="L1094" i="1" s="1"/>
  <c r="K1095" i="1"/>
  <c r="L1095" i="1" s="1"/>
  <c r="K1096" i="1"/>
  <c r="L1096" i="1" s="1"/>
  <c r="K1097" i="1"/>
  <c r="L1097" i="1" s="1"/>
  <c r="K1098" i="1"/>
  <c r="L1098" i="1" s="1"/>
  <c r="K1099" i="1"/>
  <c r="L1099" i="1" s="1"/>
  <c r="K1100" i="1"/>
  <c r="L1100" i="1" s="1"/>
  <c r="K1101" i="1"/>
  <c r="L1101" i="1" s="1"/>
  <c r="K1102" i="1"/>
  <c r="L1102" i="1" s="1"/>
  <c r="K1103" i="1"/>
  <c r="L1103" i="1" s="1"/>
  <c r="K1104" i="1"/>
  <c r="L1104" i="1" s="1"/>
  <c r="K1105" i="1"/>
  <c r="L1105" i="1" s="1"/>
  <c r="K1106" i="1"/>
  <c r="L1106" i="1" s="1"/>
  <c r="K1107" i="1"/>
  <c r="L1107" i="1" s="1"/>
  <c r="K1108" i="1"/>
  <c r="L1108" i="1" s="1"/>
  <c r="K1109" i="1"/>
  <c r="L1109" i="1" s="1"/>
  <c r="K1110" i="1"/>
  <c r="L1110" i="1" s="1"/>
  <c r="K1111" i="1"/>
  <c r="L1111" i="1" s="1"/>
  <c r="K1112" i="1"/>
  <c r="L1112" i="1" s="1"/>
  <c r="K1113" i="1"/>
  <c r="L1113" i="1" s="1"/>
  <c r="K1114" i="1"/>
  <c r="L1114" i="1" s="1"/>
  <c r="K1115" i="1"/>
  <c r="L1115" i="1" s="1"/>
  <c r="K1116" i="1"/>
  <c r="L1116" i="1" s="1"/>
  <c r="K1117" i="1"/>
  <c r="L1117" i="1" s="1"/>
  <c r="K1118" i="1"/>
  <c r="L1118" i="1" s="1"/>
  <c r="K1119" i="1"/>
  <c r="L1119" i="1" s="1"/>
  <c r="K1120" i="1"/>
  <c r="L1120" i="1" s="1"/>
  <c r="K1121" i="1"/>
  <c r="L1121" i="1" s="1"/>
  <c r="K1122" i="1"/>
  <c r="L1122" i="1" s="1"/>
  <c r="K1123" i="1"/>
  <c r="L1123" i="1" s="1"/>
  <c r="K1124" i="1"/>
  <c r="L1124" i="1" s="1"/>
  <c r="K1125" i="1"/>
  <c r="L1125" i="1" s="1"/>
  <c r="K1126" i="1"/>
  <c r="L1126" i="1" s="1"/>
  <c r="K1127" i="1"/>
  <c r="L1127" i="1" s="1"/>
  <c r="K1128" i="1"/>
  <c r="L1128" i="1" s="1"/>
  <c r="K1129" i="1"/>
  <c r="L1129" i="1" s="1"/>
  <c r="K1130" i="1"/>
  <c r="L1130" i="1" s="1"/>
  <c r="K1131" i="1"/>
  <c r="L1131" i="1" s="1"/>
  <c r="K1132" i="1"/>
  <c r="L1132" i="1" s="1"/>
  <c r="K1133" i="1"/>
  <c r="L1133" i="1" s="1"/>
  <c r="K1134" i="1"/>
  <c r="L1134" i="1" s="1"/>
  <c r="K1135" i="1"/>
  <c r="L1135" i="1" s="1"/>
  <c r="K1136" i="1"/>
  <c r="L1136" i="1" s="1"/>
  <c r="K1137" i="1"/>
  <c r="L1137" i="1" s="1"/>
  <c r="K1138" i="1"/>
  <c r="L1138" i="1" s="1"/>
  <c r="K1139" i="1"/>
  <c r="L1139" i="1" s="1"/>
  <c r="K1140" i="1"/>
  <c r="L1140" i="1" s="1"/>
  <c r="K1141" i="1"/>
  <c r="L1141" i="1" s="1"/>
  <c r="K1142" i="1"/>
  <c r="L1142" i="1" s="1"/>
  <c r="K1143" i="1"/>
  <c r="L1143" i="1" s="1"/>
  <c r="K1144" i="1"/>
  <c r="L1144" i="1" s="1"/>
  <c r="K1145" i="1"/>
  <c r="L1145" i="1" s="1"/>
  <c r="K1146" i="1"/>
  <c r="L1146" i="1" s="1"/>
  <c r="K1147" i="1"/>
  <c r="L1147" i="1" s="1"/>
  <c r="K1148" i="1"/>
  <c r="L1148" i="1" s="1"/>
  <c r="K1149" i="1"/>
  <c r="L1149" i="1" s="1"/>
  <c r="K1150" i="1"/>
  <c r="L1150" i="1" s="1"/>
  <c r="K1151" i="1"/>
  <c r="L1151" i="1" s="1"/>
  <c r="K1152" i="1"/>
  <c r="L1152" i="1" s="1"/>
  <c r="K1153" i="1"/>
  <c r="L1153" i="1" s="1"/>
  <c r="K1154" i="1"/>
  <c r="L1154" i="1" s="1"/>
  <c r="K1155" i="1"/>
  <c r="L1155" i="1" s="1"/>
  <c r="K1156" i="1"/>
  <c r="L1156" i="1" s="1"/>
  <c r="K1157" i="1"/>
  <c r="L1157" i="1" s="1"/>
  <c r="K1158" i="1"/>
  <c r="L1158" i="1" s="1"/>
  <c r="K1159" i="1"/>
  <c r="L1159" i="1" s="1"/>
  <c r="K1160" i="1"/>
  <c r="L1160" i="1" s="1"/>
  <c r="K1161" i="1"/>
  <c r="L1161" i="1" s="1"/>
  <c r="K1162" i="1"/>
  <c r="L1162" i="1" s="1"/>
  <c r="K1163" i="1"/>
  <c r="L1163" i="1" s="1"/>
  <c r="K1164" i="1"/>
  <c r="L1164" i="1" s="1"/>
  <c r="K1165" i="1"/>
  <c r="L1165" i="1" s="1"/>
  <c r="K1166" i="1"/>
  <c r="L1166" i="1" s="1"/>
  <c r="K1167" i="1"/>
  <c r="L1167" i="1" s="1"/>
  <c r="K1168" i="1"/>
  <c r="L1168" i="1" s="1"/>
  <c r="K1169" i="1"/>
  <c r="L1169" i="1" s="1"/>
  <c r="K1170" i="1"/>
  <c r="L1170" i="1" s="1"/>
  <c r="K1171" i="1"/>
  <c r="L1171" i="1" s="1"/>
  <c r="K1172" i="1"/>
  <c r="L1172" i="1" s="1"/>
  <c r="K1173" i="1"/>
  <c r="L1173" i="1" s="1"/>
  <c r="K1174" i="1"/>
  <c r="L1174" i="1" s="1"/>
  <c r="K1175" i="1"/>
  <c r="L1175" i="1" s="1"/>
  <c r="K1176" i="1"/>
  <c r="L1176" i="1" s="1"/>
  <c r="K1177" i="1"/>
  <c r="L1177" i="1" s="1"/>
  <c r="K1178" i="1"/>
  <c r="L1178" i="1" s="1"/>
  <c r="K1179" i="1"/>
  <c r="L1179" i="1" s="1"/>
  <c r="K1180" i="1"/>
  <c r="L1180" i="1" s="1"/>
  <c r="K1181" i="1"/>
  <c r="L1181" i="1" s="1"/>
  <c r="K1182" i="1"/>
  <c r="L1182" i="1" s="1"/>
  <c r="K1183" i="1"/>
  <c r="L1183" i="1" s="1"/>
  <c r="K1184" i="1"/>
  <c r="L1184" i="1" s="1"/>
  <c r="K1185" i="1"/>
  <c r="L1185" i="1" s="1"/>
  <c r="K1186" i="1"/>
  <c r="L1186" i="1" s="1"/>
  <c r="K1187" i="1"/>
  <c r="L1187" i="1" s="1"/>
  <c r="K1188" i="1"/>
  <c r="L1188" i="1" s="1"/>
  <c r="K1189" i="1"/>
  <c r="L1189" i="1" s="1"/>
  <c r="K1190" i="1"/>
  <c r="L1190" i="1" s="1"/>
  <c r="K1191" i="1"/>
  <c r="L1191" i="1" s="1"/>
  <c r="K1192" i="1"/>
  <c r="L1192" i="1" s="1"/>
  <c r="K1193" i="1"/>
  <c r="L1193" i="1" s="1"/>
  <c r="K1194" i="1"/>
  <c r="L1194" i="1" s="1"/>
  <c r="K1195" i="1"/>
  <c r="L1195" i="1" s="1"/>
  <c r="K1196" i="1"/>
  <c r="L1196" i="1" s="1"/>
  <c r="K1197" i="1"/>
  <c r="L1197" i="1" s="1"/>
  <c r="K1198" i="1"/>
  <c r="L1198" i="1" s="1"/>
  <c r="K1199" i="1"/>
  <c r="L1199" i="1" s="1"/>
  <c r="K1200" i="1"/>
  <c r="L1200" i="1" s="1"/>
  <c r="K1201" i="1"/>
  <c r="L1201" i="1" s="1"/>
  <c r="K1202" i="1"/>
  <c r="L1202" i="1" s="1"/>
  <c r="K1203" i="1"/>
  <c r="L1203" i="1" s="1"/>
  <c r="K1204" i="1"/>
  <c r="L1204" i="1" s="1"/>
  <c r="K1205" i="1"/>
  <c r="L1205" i="1" s="1"/>
  <c r="K1206" i="1"/>
  <c r="L1206" i="1" s="1"/>
  <c r="K1207" i="1"/>
  <c r="L1207" i="1" s="1"/>
  <c r="K1208" i="1"/>
  <c r="L1208" i="1" s="1"/>
  <c r="K1209" i="1"/>
  <c r="L1209" i="1" s="1"/>
  <c r="K1210" i="1"/>
  <c r="L1210" i="1" s="1"/>
  <c r="K1211" i="1"/>
  <c r="L1211" i="1" s="1"/>
  <c r="K1212" i="1"/>
  <c r="L1212" i="1" s="1"/>
  <c r="K1213" i="1"/>
  <c r="L1213" i="1" s="1"/>
  <c r="K1214" i="1"/>
  <c r="L1214" i="1" s="1"/>
  <c r="K1215" i="1"/>
  <c r="L1215" i="1" s="1"/>
  <c r="K1216" i="1"/>
  <c r="L1216" i="1" s="1"/>
  <c r="K1217" i="1"/>
  <c r="L1217" i="1" s="1"/>
  <c r="K1218" i="1"/>
  <c r="L1218" i="1" s="1"/>
  <c r="K1219" i="1"/>
  <c r="L1219" i="1" s="1"/>
  <c r="K1220" i="1"/>
  <c r="L1220" i="1" s="1"/>
  <c r="K1221" i="1"/>
  <c r="L1221" i="1" s="1"/>
  <c r="K1222" i="1"/>
  <c r="L1222" i="1" s="1"/>
  <c r="K1223" i="1"/>
  <c r="L1223" i="1" s="1"/>
  <c r="K1224" i="1"/>
  <c r="L1224" i="1" s="1"/>
  <c r="K1225" i="1"/>
  <c r="L1225" i="1" s="1"/>
  <c r="K1226" i="1"/>
  <c r="L1226" i="1" s="1"/>
  <c r="K1227" i="1"/>
  <c r="L1227" i="1" s="1"/>
  <c r="K1228" i="1"/>
  <c r="L1228" i="1" s="1"/>
  <c r="K1229" i="1"/>
  <c r="L1229" i="1" s="1"/>
  <c r="K1230" i="1"/>
  <c r="L1230" i="1" s="1"/>
  <c r="K1231" i="1"/>
  <c r="L1231" i="1" s="1"/>
  <c r="K1232" i="1"/>
  <c r="L1232" i="1" s="1"/>
  <c r="K1233" i="1"/>
  <c r="L1233" i="1" s="1"/>
  <c r="K1234" i="1"/>
  <c r="L1234" i="1" s="1"/>
  <c r="K1235" i="1"/>
  <c r="L1235" i="1" s="1"/>
  <c r="K1236" i="1"/>
  <c r="L1236" i="1" s="1"/>
  <c r="K1237" i="1"/>
  <c r="L1237" i="1" s="1"/>
  <c r="K1238" i="1"/>
  <c r="L1238" i="1" s="1"/>
  <c r="K1239" i="1"/>
  <c r="L1239" i="1" s="1"/>
  <c r="K1240" i="1"/>
  <c r="L1240" i="1" s="1"/>
  <c r="K1241" i="1"/>
  <c r="L1241" i="1" s="1"/>
  <c r="K1242" i="1"/>
  <c r="L1242" i="1" s="1"/>
  <c r="K1243" i="1"/>
  <c r="L1243" i="1" s="1"/>
  <c r="K1244" i="1"/>
  <c r="L1244" i="1" s="1"/>
  <c r="K1245" i="1"/>
  <c r="L1245" i="1" s="1"/>
  <c r="K1246" i="1"/>
  <c r="L1246" i="1" s="1"/>
  <c r="K1247" i="1"/>
  <c r="L1247" i="1" s="1"/>
  <c r="K1248" i="1"/>
  <c r="L1248" i="1" s="1"/>
  <c r="K1249" i="1"/>
  <c r="L1249" i="1" s="1"/>
  <c r="K1250" i="1"/>
  <c r="L1250" i="1" s="1"/>
  <c r="K1251" i="1"/>
  <c r="L1251" i="1" s="1"/>
  <c r="K1252" i="1"/>
  <c r="L1252" i="1" s="1"/>
  <c r="K1253" i="1"/>
  <c r="L1253" i="1" s="1"/>
  <c r="K1254" i="1"/>
  <c r="L1254" i="1" s="1"/>
  <c r="K1255" i="1"/>
  <c r="L1255" i="1" s="1"/>
  <c r="K1256" i="1"/>
  <c r="L1256" i="1" s="1"/>
  <c r="K1257" i="1"/>
  <c r="L1257" i="1" s="1"/>
  <c r="K1258" i="1"/>
  <c r="L1258" i="1" s="1"/>
  <c r="K1259" i="1"/>
  <c r="L1259" i="1" s="1"/>
  <c r="K1260" i="1"/>
  <c r="L1260" i="1" s="1"/>
  <c r="K1261" i="1"/>
  <c r="L1261" i="1" s="1"/>
  <c r="K1262" i="1"/>
  <c r="L1262" i="1" s="1"/>
  <c r="K1263" i="1"/>
  <c r="L1263" i="1" s="1"/>
  <c r="K1264" i="1"/>
  <c r="L1264" i="1" s="1"/>
  <c r="K1265" i="1"/>
  <c r="L1265" i="1" s="1"/>
  <c r="K1266" i="1"/>
  <c r="L1266" i="1" s="1"/>
  <c r="K1267" i="1"/>
  <c r="L1267" i="1" s="1"/>
  <c r="K1268" i="1"/>
  <c r="L1268" i="1" s="1"/>
  <c r="K1269" i="1"/>
  <c r="L1269" i="1" s="1"/>
  <c r="K1270" i="1"/>
  <c r="L1270" i="1" s="1"/>
  <c r="K1271" i="1"/>
  <c r="L1271" i="1" s="1"/>
  <c r="K1272" i="1"/>
  <c r="L1272" i="1" s="1"/>
  <c r="K1273" i="1"/>
  <c r="L1273" i="1" s="1"/>
  <c r="K1274" i="1"/>
  <c r="L1274" i="1" s="1"/>
  <c r="K1275" i="1"/>
  <c r="L1275" i="1" s="1"/>
  <c r="K1276" i="1"/>
  <c r="L1276" i="1" s="1"/>
  <c r="K1277" i="1"/>
  <c r="L1277" i="1" s="1"/>
  <c r="K1278" i="1"/>
  <c r="L1278" i="1" s="1"/>
  <c r="K1279" i="1"/>
  <c r="L1279" i="1" s="1"/>
  <c r="K1280" i="1"/>
  <c r="L1280" i="1" s="1"/>
  <c r="K1281" i="1"/>
  <c r="L1281" i="1" s="1"/>
  <c r="K1282" i="1"/>
  <c r="L1282" i="1" s="1"/>
  <c r="K1283" i="1"/>
  <c r="L1283" i="1" s="1"/>
  <c r="K1284" i="1"/>
  <c r="L1284" i="1" s="1"/>
  <c r="K1285" i="1"/>
  <c r="L1285" i="1" s="1"/>
  <c r="K1286" i="1"/>
  <c r="L1286" i="1" s="1"/>
  <c r="K1287" i="1"/>
  <c r="L1287" i="1" s="1"/>
  <c r="K1288" i="1"/>
  <c r="L1288" i="1" s="1"/>
  <c r="K1289" i="1"/>
  <c r="L1289" i="1" s="1"/>
  <c r="K1290" i="1"/>
  <c r="L1290" i="1" s="1"/>
  <c r="K1291" i="1"/>
  <c r="L1291" i="1" s="1"/>
  <c r="K1292" i="1"/>
  <c r="L1292" i="1" s="1"/>
  <c r="K1293" i="1"/>
  <c r="L1293" i="1" s="1"/>
  <c r="K1294" i="1"/>
  <c r="L1294" i="1" s="1"/>
  <c r="K1295" i="1"/>
  <c r="L1295" i="1" s="1"/>
  <c r="K1296" i="1"/>
  <c r="L1296" i="1" s="1"/>
  <c r="K1297" i="1"/>
  <c r="L1297" i="1" s="1"/>
  <c r="K1298" i="1"/>
  <c r="L1298" i="1" s="1"/>
  <c r="K1299" i="1"/>
  <c r="L1299" i="1" s="1"/>
  <c r="K1300" i="1"/>
  <c r="L1300" i="1" s="1"/>
  <c r="K1301" i="1"/>
  <c r="L1301" i="1" s="1"/>
  <c r="K1302" i="1"/>
  <c r="L1302" i="1" s="1"/>
  <c r="K1303" i="1"/>
  <c r="L1303" i="1" s="1"/>
  <c r="K1304" i="1"/>
  <c r="L1304" i="1" s="1"/>
  <c r="K1305" i="1"/>
  <c r="L1305" i="1" s="1"/>
  <c r="K1306" i="1"/>
  <c r="L1306" i="1" s="1"/>
  <c r="K1307" i="1"/>
  <c r="L1307" i="1" s="1"/>
  <c r="K1308" i="1"/>
  <c r="L1308" i="1" s="1"/>
  <c r="K1309" i="1"/>
  <c r="L1309" i="1" s="1"/>
  <c r="K1310" i="1"/>
  <c r="L1310" i="1" s="1"/>
  <c r="K1311" i="1"/>
  <c r="L1311" i="1" s="1"/>
  <c r="K1312" i="1"/>
  <c r="L1312" i="1" s="1"/>
  <c r="K1313" i="1"/>
  <c r="L1313" i="1" s="1"/>
  <c r="K1314" i="1"/>
  <c r="L1314" i="1" s="1"/>
  <c r="K1315" i="1"/>
  <c r="L1315" i="1" s="1"/>
  <c r="K1316" i="1"/>
  <c r="L1316" i="1" s="1"/>
  <c r="K1317" i="1"/>
  <c r="L1317" i="1" s="1"/>
  <c r="K1318" i="1"/>
  <c r="L1318" i="1" s="1"/>
  <c r="K1319" i="1"/>
  <c r="L1319" i="1" s="1"/>
  <c r="K1320" i="1"/>
  <c r="L1320" i="1" s="1"/>
  <c r="K1321" i="1"/>
  <c r="L1321" i="1" s="1"/>
  <c r="K1322" i="1"/>
  <c r="L1322" i="1" s="1"/>
  <c r="K1323" i="1"/>
  <c r="L1323" i="1" s="1"/>
  <c r="K1324" i="1"/>
  <c r="L1324" i="1" s="1"/>
  <c r="K1325" i="1"/>
  <c r="L1325" i="1" s="1"/>
  <c r="K1326" i="1"/>
  <c r="L1326" i="1" s="1"/>
  <c r="K1327" i="1"/>
  <c r="L1327" i="1" s="1"/>
  <c r="K1328" i="1"/>
  <c r="L1328" i="1" s="1"/>
  <c r="K1329" i="1"/>
  <c r="L1329" i="1" s="1"/>
  <c r="K1330" i="1"/>
  <c r="L1330" i="1" s="1"/>
  <c r="K1331" i="1"/>
  <c r="L1331" i="1" s="1"/>
  <c r="K1332" i="1"/>
  <c r="L1332" i="1" s="1"/>
  <c r="K1333" i="1"/>
  <c r="L1333" i="1" s="1"/>
  <c r="K1334" i="1"/>
  <c r="L1334" i="1" s="1"/>
  <c r="K1335" i="1"/>
  <c r="L1335" i="1" s="1"/>
  <c r="K1336" i="1"/>
  <c r="L1336" i="1" s="1"/>
  <c r="K1337" i="1"/>
  <c r="L1337" i="1" s="1"/>
  <c r="K1338" i="1"/>
  <c r="L1338" i="1" s="1"/>
  <c r="K1339" i="1"/>
  <c r="L1339" i="1" s="1"/>
  <c r="K1340" i="1"/>
  <c r="L1340" i="1" s="1"/>
  <c r="K1341" i="1"/>
  <c r="L1341" i="1" s="1"/>
  <c r="K1342" i="1"/>
  <c r="L1342" i="1" s="1"/>
  <c r="K1343" i="1"/>
  <c r="L1343" i="1" s="1"/>
  <c r="K1344" i="1"/>
  <c r="L1344" i="1" s="1"/>
  <c r="K1345" i="1"/>
  <c r="L1345" i="1" s="1"/>
  <c r="K1346" i="1"/>
  <c r="L1346" i="1" s="1"/>
  <c r="K1347" i="1"/>
  <c r="L1347" i="1" s="1"/>
  <c r="K1348" i="1"/>
  <c r="L1348" i="1" s="1"/>
  <c r="K1349" i="1"/>
  <c r="L1349" i="1" s="1"/>
  <c r="K1350" i="1"/>
  <c r="L1350" i="1" s="1"/>
  <c r="K1351" i="1"/>
  <c r="L1351" i="1" s="1"/>
  <c r="K1352" i="1"/>
  <c r="L1352" i="1" s="1"/>
  <c r="K1353" i="1"/>
  <c r="L1353" i="1" s="1"/>
  <c r="K1354" i="1"/>
  <c r="L1354" i="1" s="1"/>
  <c r="K1355" i="1"/>
  <c r="L1355" i="1" s="1"/>
  <c r="K1356" i="1"/>
  <c r="L1356" i="1" s="1"/>
  <c r="K1357" i="1"/>
  <c r="L1357" i="1" s="1"/>
  <c r="K1358" i="1"/>
  <c r="L1358" i="1" s="1"/>
  <c r="K1359" i="1"/>
  <c r="L1359" i="1" s="1"/>
  <c r="K1360" i="1"/>
  <c r="L1360" i="1" s="1"/>
  <c r="K1361" i="1"/>
  <c r="L1361" i="1" s="1"/>
  <c r="K1362" i="1"/>
  <c r="L1362" i="1" s="1"/>
  <c r="K1363" i="1"/>
  <c r="L1363" i="1" s="1"/>
  <c r="K1364" i="1"/>
  <c r="L1364" i="1" s="1"/>
  <c r="K1365" i="1"/>
  <c r="L1365" i="1" s="1"/>
  <c r="K1366" i="1"/>
  <c r="L1366" i="1" s="1"/>
  <c r="K1367" i="1"/>
  <c r="L1367" i="1" s="1"/>
  <c r="K1368" i="1"/>
  <c r="L1368" i="1" s="1"/>
  <c r="K1369" i="1"/>
  <c r="L1369" i="1" s="1"/>
  <c r="K1370" i="1"/>
  <c r="L1370" i="1" s="1"/>
  <c r="K1371" i="1"/>
  <c r="L1371" i="1" s="1"/>
  <c r="K1372" i="1"/>
  <c r="L1372" i="1" s="1"/>
  <c r="K1373" i="1"/>
  <c r="L1373" i="1" s="1"/>
  <c r="K1374" i="1"/>
  <c r="L1374" i="1" s="1"/>
  <c r="K1375" i="1"/>
  <c r="L1375" i="1" s="1"/>
  <c r="K1376" i="1"/>
  <c r="L1376" i="1" s="1"/>
  <c r="K1377" i="1"/>
  <c r="L1377" i="1" s="1"/>
  <c r="K1378" i="1"/>
  <c r="L1378" i="1" s="1"/>
  <c r="K1379" i="1"/>
  <c r="L1379" i="1" s="1"/>
  <c r="K1380" i="1"/>
  <c r="L1380" i="1" s="1"/>
  <c r="K1381" i="1"/>
  <c r="L1381" i="1" s="1"/>
  <c r="K1382" i="1"/>
  <c r="L1382" i="1" s="1"/>
  <c r="K1383" i="1"/>
  <c r="L1383" i="1" s="1"/>
  <c r="K1384" i="1"/>
  <c r="L1384" i="1" s="1"/>
  <c r="K1385" i="1"/>
  <c r="L1385" i="1" s="1"/>
  <c r="K1386" i="1"/>
  <c r="L1386" i="1" s="1"/>
  <c r="K1387" i="1"/>
  <c r="L1387" i="1" s="1"/>
  <c r="K1388" i="1"/>
  <c r="L1388" i="1" s="1"/>
  <c r="K1389" i="1"/>
  <c r="L1389" i="1" s="1"/>
  <c r="K1390" i="1"/>
  <c r="L1390" i="1" s="1"/>
  <c r="K1391" i="1"/>
  <c r="L1391" i="1" s="1"/>
  <c r="K1392" i="1"/>
  <c r="L1392" i="1" s="1"/>
  <c r="K1393" i="1"/>
  <c r="L1393" i="1" s="1"/>
  <c r="K1394" i="1"/>
  <c r="L1394" i="1" s="1"/>
  <c r="K1395" i="1"/>
  <c r="L1395" i="1" s="1"/>
  <c r="K1396" i="1"/>
  <c r="L1396" i="1" s="1"/>
  <c r="K1397" i="1"/>
  <c r="L1397" i="1" s="1"/>
  <c r="K1398" i="1"/>
  <c r="L1398" i="1" s="1"/>
  <c r="K1399" i="1"/>
  <c r="L1399" i="1" s="1"/>
  <c r="K1400" i="1"/>
  <c r="L1400" i="1" s="1"/>
  <c r="K1401" i="1"/>
  <c r="L1401" i="1" s="1"/>
  <c r="K1402" i="1"/>
  <c r="L1402" i="1" s="1"/>
  <c r="K1403" i="1"/>
  <c r="L1403" i="1" s="1"/>
  <c r="K1404" i="1"/>
  <c r="L1404" i="1" s="1"/>
  <c r="K1405" i="1"/>
  <c r="L1405" i="1" s="1"/>
  <c r="K1406" i="1"/>
  <c r="L1406" i="1" s="1"/>
  <c r="K1407" i="1"/>
  <c r="L1407" i="1" s="1"/>
  <c r="K1408" i="1"/>
  <c r="L1408" i="1" s="1"/>
  <c r="K1409" i="1"/>
  <c r="L1409" i="1" s="1"/>
  <c r="K1410" i="1"/>
  <c r="L1410" i="1" s="1"/>
  <c r="K1411" i="1"/>
  <c r="L1411" i="1" s="1"/>
  <c r="K1412" i="1"/>
  <c r="L1412" i="1" s="1"/>
  <c r="K1413" i="1"/>
  <c r="L1413" i="1" s="1"/>
  <c r="K1414" i="1"/>
  <c r="L1414" i="1" s="1"/>
  <c r="K1415" i="1"/>
  <c r="L1415" i="1" s="1"/>
  <c r="K1416" i="1"/>
  <c r="L1416" i="1" s="1"/>
  <c r="K1417" i="1"/>
  <c r="L1417" i="1" s="1"/>
  <c r="K1418" i="1"/>
  <c r="L1418" i="1" s="1"/>
  <c r="K1419" i="1"/>
  <c r="L1419" i="1" s="1"/>
  <c r="K1420" i="1"/>
  <c r="L1420" i="1" s="1"/>
  <c r="K1421" i="1"/>
  <c r="L1421" i="1" s="1"/>
  <c r="K1422" i="1"/>
  <c r="L1422" i="1" s="1"/>
  <c r="K1423" i="1"/>
  <c r="L1423" i="1" s="1"/>
  <c r="K1424" i="1"/>
  <c r="L1424" i="1" s="1"/>
  <c r="K1425" i="1"/>
  <c r="L1425" i="1" s="1"/>
  <c r="K1426" i="1"/>
  <c r="L1426" i="1" s="1"/>
  <c r="K1427" i="1"/>
  <c r="L1427" i="1" s="1"/>
  <c r="K1428" i="1"/>
  <c r="L1428" i="1" s="1"/>
  <c r="K1429" i="1"/>
  <c r="L1429" i="1" s="1"/>
  <c r="K1430" i="1"/>
  <c r="L1430" i="1" s="1"/>
  <c r="K1431" i="1"/>
  <c r="L1431" i="1" s="1"/>
  <c r="K1432" i="1"/>
  <c r="L1432" i="1" s="1"/>
  <c r="K1433" i="1"/>
  <c r="L1433" i="1" s="1"/>
  <c r="K1434" i="1"/>
  <c r="L1434" i="1" s="1"/>
  <c r="K1435" i="1"/>
  <c r="L1435" i="1" s="1"/>
  <c r="K1436" i="1"/>
  <c r="L1436" i="1" s="1"/>
  <c r="K1437" i="1"/>
  <c r="L1437" i="1" s="1"/>
  <c r="K1438" i="1"/>
  <c r="L1438" i="1" s="1"/>
  <c r="K1439" i="1"/>
  <c r="L1439" i="1" s="1"/>
  <c r="K1440" i="1"/>
  <c r="L1440" i="1" s="1"/>
  <c r="K1441" i="1"/>
  <c r="L1441" i="1" s="1"/>
  <c r="K1442" i="1"/>
  <c r="L1442" i="1" s="1"/>
  <c r="K1443" i="1"/>
  <c r="L1443" i="1" s="1"/>
  <c r="K1444" i="1"/>
  <c r="L1444" i="1" s="1"/>
  <c r="K1445" i="1"/>
  <c r="L1445" i="1" s="1"/>
  <c r="K1446" i="1"/>
  <c r="L1446" i="1" s="1"/>
  <c r="K1447" i="1"/>
  <c r="L1447" i="1" s="1"/>
  <c r="K1448" i="1"/>
  <c r="L1448" i="1" s="1"/>
  <c r="K1449" i="1"/>
  <c r="L1449" i="1" s="1"/>
  <c r="K1450" i="1"/>
  <c r="L1450" i="1" s="1"/>
  <c r="K1451" i="1"/>
  <c r="L1451" i="1" s="1"/>
  <c r="K1452" i="1"/>
  <c r="L1452" i="1" s="1"/>
  <c r="K1453" i="1"/>
  <c r="L1453" i="1" s="1"/>
  <c r="K1454" i="1"/>
  <c r="L1454" i="1" s="1"/>
  <c r="K1455" i="1"/>
  <c r="L1455" i="1" s="1"/>
  <c r="K1456" i="1"/>
  <c r="L1456" i="1" s="1"/>
  <c r="K1457" i="1"/>
  <c r="L1457" i="1" s="1"/>
  <c r="K1458" i="1"/>
  <c r="L1458" i="1" s="1"/>
  <c r="K1459" i="1"/>
  <c r="L1459" i="1" s="1"/>
  <c r="K1460" i="1"/>
  <c r="L1460" i="1" s="1"/>
  <c r="K1461" i="1"/>
  <c r="L1461" i="1" s="1"/>
  <c r="K1462" i="1"/>
  <c r="L1462" i="1" s="1"/>
  <c r="K1463" i="1"/>
  <c r="L1463" i="1" s="1"/>
  <c r="K1464" i="1"/>
  <c r="L1464" i="1" s="1"/>
  <c r="K1465" i="1"/>
  <c r="L1465" i="1" s="1"/>
  <c r="K1466" i="1"/>
  <c r="L1466" i="1" s="1"/>
  <c r="K1467" i="1"/>
  <c r="L1467" i="1" s="1"/>
  <c r="K1468" i="1"/>
  <c r="L1468" i="1" s="1"/>
  <c r="K1469" i="1"/>
  <c r="L1469" i="1" s="1"/>
  <c r="K1470" i="1"/>
  <c r="L1470" i="1" s="1"/>
  <c r="K1471" i="1"/>
  <c r="L1471" i="1" s="1"/>
  <c r="K1472" i="1"/>
  <c r="L1472" i="1" s="1"/>
  <c r="K1473" i="1"/>
  <c r="L1473" i="1" s="1"/>
  <c r="K1474" i="1"/>
  <c r="L1474" i="1" s="1"/>
  <c r="K1475" i="1"/>
  <c r="L1475" i="1" s="1"/>
  <c r="K1476" i="1"/>
  <c r="L1476" i="1" s="1"/>
  <c r="K1477" i="1"/>
  <c r="L1477" i="1" s="1"/>
  <c r="K1478" i="1"/>
  <c r="L1478" i="1" s="1"/>
  <c r="K1479" i="1"/>
  <c r="L1479" i="1" s="1"/>
  <c r="K1480" i="1"/>
  <c r="L1480" i="1" s="1"/>
  <c r="K1481" i="1"/>
  <c r="L1481" i="1" s="1"/>
  <c r="K1482" i="1"/>
  <c r="L1482" i="1" s="1"/>
  <c r="K1483" i="1"/>
  <c r="L1483" i="1" s="1"/>
  <c r="K1484" i="1"/>
  <c r="L1484" i="1" s="1"/>
  <c r="K1485" i="1"/>
  <c r="L1485" i="1" s="1"/>
  <c r="K1486" i="1"/>
  <c r="L1486" i="1" s="1"/>
  <c r="K1487" i="1"/>
  <c r="L1487" i="1" s="1"/>
  <c r="K1488" i="1"/>
  <c r="L1488" i="1" s="1"/>
  <c r="K1489" i="1"/>
  <c r="L1489" i="1" s="1"/>
  <c r="K1490" i="1"/>
  <c r="L1490" i="1" s="1"/>
  <c r="K1491" i="1"/>
  <c r="L1491" i="1" s="1"/>
  <c r="K1492" i="1"/>
  <c r="L1492" i="1" s="1"/>
  <c r="K1493" i="1"/>
  <c r="L1493" i="1" s="1"/>
  <c r="K1494" i="1"/>
  <c r="L1494" i="1" s="1"/>
  <c r="K1495" i="1"/>
  <c r="L1495" i="1" s="1"/>
  <c r="K1496" i="1"/>
  <c r="L1496" i="1" s="1"/>
  <c r="K1497" i="1"/>
  <c r="L1497" i="1" s="1"/>
  <c r="K1498" i="1"/>
  <c r="L1498" i="1" s="1"/>
  <c r="K1499" i="1"/>
  <c r="L1499" i="1" s="1"/>
  <c r="K1500" i="1"/>
  <c r="L1500" i="1" s="1"/>
  <c r="K1501" i="1"/>
  <c r="L1501" i="1" s="1"/>
  <c r="K1502" i="1"/>
  <c r="L1502" i="1" s="1"/>
  <c r="K1503" i="1"/>
  <c r="L1503" i="1" s="1"/>
  <c r="K1504" i="1"/>
  <c r="L1504" i="1" s="1"/>
  <c r="K1505" i="1"/>
  <c r="L1505" i="1" s="1"/>
  <c r="K1506" i="1"/>
  <c r="L1506" i="1" s="1"/>
  <c r="K1507" i="1"/>
  <c r="L1507" i="1" s="1"/>
  <c r="K1508" i="1"/>
  <c r="L1508" i="1" s="1"/>
  <c r="K1509" i="1"/>
  <c r="L1509" i="1" s="1"/>
  <c r="K1510" i="1"/>
  <c r="L1510" i="1" s="1"/>
  <c r="K1511" i="1"/>
  <c r="L1511" i="1" s="1"/>
  <c r="K1512" i="1"/>
  <c r="L1512" i="1" s="1"/>
  <c r="K1513" i="1"/>
  <c r="L1513" i="1" s="1"/>
  <c r="K1514" i="1"/>
  <c r="L1514" i="1" s="1"/>
  <c r="K1515" i="1"/>
  <c r="L1515" i="1" s="1"/>
  <c r="K1516" i="1"/>
  <c r="L1516" i="1" s="1"/>
  <c r="K1517" i="1"/>
  <c r="L1517" i="1" s="1"/>
  <c r="K1518" i="1"/>
  <c r="L1518" i="1" s="1"/>
  <c r="K1519" i="1"/>
  <c r="L1519" i="1" s="1"/>
  <c r="K1520" i="1"/>
  <c r="L1520" i="1" s="1"/>
  <c r="K1521" i="1"/>
  <c r="L1521" i="1" s="1"/>
  <c r="K1522" i="1"/>
  <c r="L1522" i="1" s="1"/>
  <c r="K1523" i="1"/>
  <c r="L1523" i="1" s="1"/>
  <c r="K1524" i="1"/>
  <c r="L1524" i="1" s="1"/>
  <c r="K1525" i="1"/>
  <c r="L1525" i="1" s="1"/>
  <c r="K1526" i="1"/>
  <c r="L1526" i="1" s="1"/>
  <c r="K1527" i="1"/>
  <c r="L1527" i="1" s="1"/>
  <c r="K1528" i="1"/>
  <c r="L1528" i="1" s="1"/>
  <c r="K1529" i="1"/>
  <c r="L1529" i="1" s="1"/>
  <c r="K1530" i="1"/>
  <c r="L1530" i="1" s="1"/>
  <c r="K1531" i="1"/>
  <c r="L1531" i="1" s="1"/>
  <c r="K1532" i="1"/>
  <c r="L1532" i="1" s="1"/>
  <c r="K1533" i="1"/>
  <c r="L1533" i="1" s="1"/>
  <c r="K1534" i="1"/>
  <c r="L1534" i="1" s="1"/>
  <c r="K1535" i="1"/>
  <c r="L1535" i="1" s="1"/>
  <c r="K1536" i="1"/>
  <c r="L1536" i="1" s="1"/>
  <c r="K1537" i="1"/>
  <c r="L1537" i="1" s="1"/>
  <c r="K1538" i="1"/>
  <c r="L1538" i="1" s="1"/>
  <c r="K1539" i="1"/>
  <c r="L1539" i="1" s="1"/>
  <c r="K1540" i="1"/>
  <c r="L1540" i="1" s="1"/>
  <c r="K1541" i="1"/>
  <c r="L1541" i="1" s="1"/>
  <c r="K1542" i="1"/>
  <c r="L1542" i="1" s="1"/>
  <c r="K1543" i="1"/>
  <c r="L1543" i="1" s="1"/>
  <c r="K1544" i="1"/>
  <c r="L1544" i="1" s="1"/>
  <c r="K1545" i="1"/>
  <c r="L1545" i="1" s="1"/>
  <c r="K1546" i="1"/>
  <c r="L1546" i="1" s="1"/>
  <c r="K1547" i="1"/>
  <c r="L1547" i="1" s="1"/>
  <c r="K1548" i="1"/>
  <c r="L1548" i="1" s="1"/>
  <c r="K1549" i="1"/>
  <c r="L1549" i="1" s="1"/>
  <c r="K1550" i="1"/>
  <c r="L1550" i="1" s="1"/>
  <c r="K1551" i="1"/>
  <c r="L1551" i="1" s="1"/>
  <c r="K1552" i="1"/>
  <c r="L1552" i="1" s="1"/>
  <c r="K1553" i="1"/>
  <c r="L1553" i="1" s="1"/>
  <c r="K1554" i="1"/>
  <c r="L1554" i="1" s="1"/>
  <c r="K1555" i="1"/>
  <c r="L1555" i="1" s="1"/>
  <c r="K1556" i="1"/>
  <c r="L1556" i="1" s="1"/>
  <c r="K1557" i="1"/>
  <c r="L1557" i="1" s="1"/>
  <c r="K1558" i="1"/>
  <c r="L1558" i="1" s="1"/>
  <c r="K1559" i="1"/>
  <c r="L1559" i="1" s="1"/>
  <c r="K1560" i="1"/>
  <c r="L1560" i="1" s="1"/>
  <c r="K1561" i="1"/>
  <c r="L1561" i="1" s="1"/>
  <c r="K1562" i="1"/>
  <c r="L1562" i="1" s="1"/>
  <c r="K1563" i="1"/>
  <c r="L1563" i="1" s="1"/>
  <c r="K1564" i="1"/>
  <c r="L1564" i="1" s="1"/>
  <c r="K1565" i="1"/>
  <c r="L1565" i="1" s="1"/>
  <c r="K1566" i="1"/>
  <c r="L1566" i="1" s="1"/>
  <c r="K1567" i="1"/>
  <c r="L1567" i="1" s="1"/>
  <c r="K1568" i="1"/>
  <c r="L1568" i="1" s="1"/>
  <c r="K1569" i="1"/>
  <c r="L1569" i="1" s="1"/>
  <c r="K1570" i="1"/>
  <c r="L1570" i="1" s="1"/>
  <c r="K1571" i="1"/>
  <c r="L1571" i="1" s="1"/>
  <c r="K1572" i="1"/>
  <c r="L1572" i="1" s="1"/>
  <c r="K1573" i="1"/>
  <c r="L1573" i="1" s="1"/>
  <c r="K1574" i="1"/>
  <c r="L1574" i="1" s="1"/>
  <c r="K1575" i="1"/>
  <c r="L1575" i="1" s="1"/>
  <c r="K1576" i="1"/>
  <c r="L1576" i="1" s="1"/>
  <c r="K1577" i="1"/>
  <c r="L1577" i="1" s="1"/>
  <c r="K1578" i="1"/>
  <c r="L1578" i="1" s="1"/>
  <c r="K1579" i="1"/>
  <c r="L1579" i="1" s="1"/>
  <c r="K2" i="1"/>
  <c r="L2" i="1" s="1"/>
  <c r="L4" i="11"/>
  <c r="L5" i="11"/>
  <c r="L6" i="11"/>
  <c r="L7" i="11"/>
  <c r="L8" i="11"/>
  <c r="L9" i="11"/>
  <c r="L10" i="11"/>
  <c r="L11" i="11"/>
  <c r="L12" i="11"/>
  <c r="L13" i="11"/>
  <c r="L14" i="11"/>
  <c r="L15" i="11"/>
  <c r="L16" i="11"/>
  <c r="L17" i="11"/>
  <c r="L18" i="11"/>
  <c r="L19" i="11"/>
  <c r="L20" i="11"/>
  <c r="L21" i="11"/>
  <c r="L22" i="11"/>
  <c r="L23" i="11"/>
  <c r="L24" i="11"/>
  <c r="L25" i="11"/>
  <c r="L26" i="11"/>
  <c r="L27" i="11"/>
  <c r="L28" i="11"/>
  <c r="L29" i="11"/>
  <c r="L30" i="11"/>
  <c r="L31" i="11"/>
  <c r="L32" i="11"/>
  <c r="L33" i="11"/>
  <c r="L34" i="11"/>
  <c r="L35" i="11"/>
  <c r="L36" i="11"/>
  <c r="L37" i="11"/>
  <c r="L38" i="11"/>
  <c r="L39" i="11"/>
  <c r="L3" i="11"/>
  <c r="M11" i="11"/>
  <c r="M28" i="11"/>
  <c r="M20" i="11"/>
  <c r="M19" i="11"/>
  <c r="M37" i="11"/>
  <c r="M29" i="11"/>
  <c r="M17" i="11"/>
  <c r="M25" i="11"/>
  <c r="M12" i="11"/>
  <c r="M26" i="11"/>
  <c r="M38" i="11"/>
  <c r="M21" i="11"/>
  <c r="M24" i="11"/>
  <c r="M14" i="11"/>
  <c r="M8" i="11"/>
  <c r="M30" i="11"/>
  <c r="M6" i="11"/>
  <c r="M23" i="11"/>
  <c r="M36" i="11"/>
  <c r="M34" i="11"/>
  <c r="M5" i="11"/>
  <c r="M27" i="11"/>
  <c r="M39" i="11"/>
  <c r="M31" i="11"/>
  <c r="M15" i="11"/>
  <c r="M18" i="11"/>
  <c r="M4" i="11"/>
  <c r="M22" i="11"/>
  <c r="M10" i="11"/>
  <c r="M9" i="11"/>
  <c r="M33" i="11"/>
  <c r="M35" i="11"/>
  <c r="M32" i="11"/>
  <c r="M16" i="11"/>
  <c r="M7" i="11"/>
  <c r="M3" i="11"/>
  <c r="M13" i="11"/>
  <c r="S11" i="11"/>
  <c r="S28" i="11"/>
  <c r="S20" i="11"/>
  <c r="S19" i="11"/>
  <c r="S37" i="11"/>
  <c r="S29" i="11"/>
  <c r="S17" i="11"/>
  <c r="S25" i="11"/>
  <c r="S12" i="11"/>
  <c r="S26" i="11"/>
  <c r="S38" i="11"/>
  <c r="S21" i="11"/>
  <c r="S24" i="11"/>
  <c r="S14" i="11"/>
  <c r="S8" i="11"/>
  <c r="S30" i="11"/>
  <c r="S6" i="11"/>
  <c r="S23" i="11"/>
  <c r="S36" i="11"/>
  <c r="S34" i="11"/>
  <c r="S5" i="11"/>
  <c r="S27" i="11"/>
  <c r="S39" i="11"/>
  <c r="S31" i="11"/>
  <c r="S15" i="11"/>
  <c r="S18" i="11"/>
  <c r="S4" i="11"/>
  <c r="S22" i="11"/>
  <c r="S10" i="11"/>
  <c r="S9" i="11"/>
  <c r="S33" i="11"/>
  <c r="S35" i="11"/>
  <c r="S32" i="11"/>
  <c r="S16" i="11"/>
  <c r="S7" i="11"/>
  <c r="S3" i="11"/>
  <c r="S13" i="11"/>
  <c r="R4" i="11" l="1"/>
  <c r="R5" i="11"/>
  <c r="R6" i="11"/>
  <c r="R7" i="11"/>
  <c r="R8" i="11"/>
  <c r="R9" i="11"/>
  <c r="R10" i="11"/>
  <c r="R11" i="11"/>
  <c r="R12" i="11"/>
  <c r="R13" i="11"/>
  <c r="R14" i="11"/>
  <c r="R15" i="11"/>
  <c r="R16" i="11"/>
  <c r="R17" i="11"/>
  <c r="R18" i="11"/>
  <c r="R19" i="11"/>
  <c r="R20" i="11"/>
  <c r="R21" i="11"/>
  <c r="R22" i="11"/>
  <c r="R23" i="11"/>
  <c r="R24" i="11"/>
  <c r="R25" i="11"/>
  <c r="R26" i="11"/>
  <c r="R27" i="11"/>
  <c r="R28" i="11"/>
  <c r="R29" i="11"/>
  <c r="R30" i="11"/>
  <c r="R31" i="11"/>
  <c r="R32" i="11"/>
  <c r="R33" i="11"/>
  <c r="R34" i="11"/>
  <c r="R35" i="11"/>
  <c r="R36" i="11"/>
  <c r="R37" i="11"/>
  <c r="R38" i="11"/>
  <c r="R39" i="11"/>
  <c r="R3" i="11"/>
  <c r="F4" i="11"/>
  <c r="F5" i="11"/>
  <c r="F6" i="11"/>
  <c r="F7" i="11"/>
  <c r="F8" i="11"/>
  <c r="F9" i="11"/>
  <c r="F10" i="11"/>
  <c r="F11" i="11"/>
  <c r="F12" i="11"/>
  <c r="F13" i="11"/>
  <c r="F14" i="11"/>
  <c r="F15" i="11"/>
  <c r="F16" i="11"/>
  <c r="F17" i="11"/>
  <c r="F18" i="11"/>
  <c r="F19" i="11"/>
  <c r="F20" i="11"/>
  <c r="F21" i="11"/>
  <c r="F22" i="11"/>
  <c r="F23" i="11"/>
  <c r="F24" i="11"/>
  <c r="F25" i="11"/>
  <c r="F26" i="11"/>
  <c r="F27" i="11"/>
  <c r="F28" i="11"/>
  <c r="F29" i="11"/>
  <c r="F30" i="11"/>
  <c r="F31" i="11"/>
  <c r="F32" i="11"/>
  <c r="F33" i="11"/>
  <c r="F34" i="11"/>
  <c r="F35" i="11"/>
  <c r="F36" i="11"/>
  <c r="F37" i="11"/>
  <c r="F38" i="11"/>
  <c r="F39" i="11"/>
  <c r="F3" i="11"/>
  <c r="AA3" i="5"/>
  <c r="AA4" i="5"/>
  <c r="AA5" i="5"/>
  <c r="AA6" i="5"/>
  <c r="AA7" i="5"/>
  <c r="AA8" i="5"/>
  <c r="AA9" i="5"/>
  <c r="AA10" i="5"/>
  <c r="AA11" i="5"/>
  <c r="AA12" i="5"/>
  <c r="AA13" i="5"/>
  <c r="AA14" i="5"/>
  <c r="AA15" i="5"/>
  <c r="AA16" i="5"/>
  <c r="AA17" i="5"/>
  <c r="AA18" i="5"/>
  <c r="AA19" i="5"/>
  <c r="AA20" i="5"/>
  <c r="AA21" i="5"/>
  <c r="AA22" i="5"/>
  <c r="AA23" i="5"/>
  <c r="AA24" i="5"/>
  <c r="AA25" i="5"/>
  <c r="AA26" i="5"/>
  <c r="AA27" i="5"/>
  <c r="AA28" i="5"/>
  <c r="AA29" i="5"/>
  <c r="AA30" i="5"/>
  <c r="AA31" i="5"/>
  <c r="AA32" i="5"/>
  <c r="AA33" i="5"/>
  <c r="AA34" i="5"/>
  <c r="AA35" i="5"/>
  <c r="AA36" i="5"/>
  <c r="AA37" i="5"/>
  <c r="AA38" i="5"/>
  <c r="AA39" i="5"/>
  <c r="AA40" i="5"/>
  <c r="AA41" i="5"/>
  <c r="AA42" i="5"/>
  <c r="AA43" i="5"/>
  <c r="AA44" i="5"/>
  <c r="AA45" i="5"/>
  <c r="AA46" i="5"/>
  <c r="AA47" i="5"/>
  <c r="AA48" i="5"/>
  <c r="AA49" i="5"/>
  <c r="AA50" i="5"/>
  <c r="AA51" i="5"/>
  <c r="AA52" i="5"/>
  <c r="AA53" i="5"/>
  <c r="AA54" i="5"/>
  <c r="AA55" i="5"/>
  <c r="AA56" i="5"/>
  <c r="AA57" i="5"/>
  <c r="AA58" i="5"/>
  <c r="AA59" i="5"/>
  <c r="AA60" i="5"/>
  <c r="AA61" i="5"/>
  <c r="AA62" i="5"/>
  <c r="AA63" i="5"/>
  <c r="AA64" i="5"/>
  <c r="AA65" i="5"/>
  <c r="AA66" i="5"/>
  <c r="AA67" i="5"/>
  <c r="AA68" i="5"/>
  <c r="AA69" i="5"/>
  <c r="AA70" i="5"/>
  <c r="AA71" i="5"/>
  <c r="AA72" i="5"/>
  <c r="AA73" i="5"/>
  <c r="AA74" i="5"/>
  <c r="AA75" i="5"/>
  <c r="AA76" i="5"/>
  <c r="AA77" i="5"/>
  <c r="AA78" i="5"/>
  <c r="AA79" i="5"/>
  <c r="AA80" i="5"/>
  <c r="AA81" i="5"/>
  <c r="AA82" i="5"/>
  <c r="AA83" i="5"/>
  <c r="AA84" i="5"/>
  <c r="AA85" i="5"/>
  <c r="AA86" i="5"/>
  <c r="AA87" i="5"/>
  <c r="AA88" i="5"/>
  <c r="AA89" i="5"/>
  <c r="AA90" i="5"/>
  <c r="AA91" i="5"/>
  <c r="AA92" i="5"/>
  <c r="AA93" i="5"/>
  <c r="AA94" i="5"/>
  <c r="AA95" i="5"/>
  <c r="AA96" i="5"/>
  <c r="AA97" i="5"/>
  <c r="AA98" i="5"/>
  <c r="AA99" i="5"/>
  <c r="AA100" i="5"/>
  <c r="AA101" i="5"/>
  <c r="AA102" i="5"/>
  <c r="AA103" i="5"/>
  <c r="AA104" i="5"/>
  <c r="AA105" i="5"/>
  <c r="AA106" i="5"/>
  <c r="AA107" i="5"/>
  <c r="AA108" i="5"/>
  <c r="AA109" i="5"/>
  <c r="AA110" i="5"/>
  <c r="AA111" i="5"/>
  <c r="AA112" i="5"/>
  <c r="AA113" i="5"/>
  <c r="AA114" i="5"/>
  <c r="AA115" i="5"/>
  <c r="AA116" i="5"/>
  <c r="AA117" i="5"/>
  <c r="AA118" i="5"/>
  <c r="AA119" i="5"/>
  <c r="AA120" i="5"/>
  <c r="AA121" i="5"/>
  <c r="AA122" i="5"/>
  <c r="AA123" i="5"/>
  <c r="AA124" i="5"/>
  <c r="AA125" i="5"/>
  <c r="AA126" i="5"/>
  <c r="AA127" i="5"/>
  <c r="AA128" i="5"/>
  <c r="AA129" i="5"/>
  <c r="AA130" i="5"/>
  <c r="AA131" i="5"/>
  <c r="AA132" i="5"/>
  <c r="AA133" i="5"/>
  <c r="AA134" i="5"/>
  <c r="AA135" i="5"/>
  <c r="AA136" i="5"/>
  <c r="AA137" i="5"/>
  <c r="AA138" i="5"/>
  <c r="AA139" i="5"/>
  <c r="AA140" i="5"/>
  <c r="AA141" i="5"/>
  <c r="AA142" i="5"/>
  <c r="AA143" i="5"/>
  <c r="AA144" i="5"/>
  <c r="AA145" i="5"/>
  <c r="AA146" i="5"/>
  <c r="AA147" i="5"/>
  <c r="AA148" i="5"/>
  <c r="AA149" i="5"/>
  <c r="AA150" i="5"/>
  <c r="AA151" i="5"/>
  <c r="AA152" i="5"/>
  <c r="AA153" i="5"/>
  <c r="AA154" i="5"/>
  <c r="AA155" i="5"/>
  <c r="AA156" i="5"/>
  <c r="AA157" i="5"/>
  <c r="AA158" i="5"/>
  <c r="AA159" i="5"/>
  <c r="AA160" i="5"/>
  <c r="AA161" i="5"/>
  <c r="AA162" i="5"/>
  <c r="AA163" i="5"/>
  <c r="AA164" i="5"/>
  <c r="AA165" i="5"/>
  <c r="AA166" i="5"/>
  <c r="AA167" i="5"/>
  <c r="AA168" i="5"/>
  <c r="AA169" i="5"/>
  <c r="AA170" i="5"/>
  <c r="AA171" i="5"/>
  <c r="AA172" i="5"/>
  <c r="AA173" i="5"/>
  <c r="AA174" i="5"/>
  <c r="AA175" i="5"/>
  <c r="AA176" i="5"/>
  <c r="AA177" i="5"/>
  <c r="AA178" i="5"/>
  <c r="AA179" i="5"/>
  <c r="AA180" i="5"/>
  <c r="AA181" i="5"/>
  <c r="AA182" i="5"/>
  <c r="AA183" i="5"/>
  <c r="AA184" i="5"/>
  <c r="AA185" i="5"/>
  <c r="AA186" i="5"/>
  <c r="AA187" i="5"/>
  <c r="AA188" i="5"/>
  <c r="AA189" i="5"/>
  <c r="AA190" i="5"/>
  <c r="AA191" i="5"/>
  <c r="AA192" i="5"/>
  <c r="AA193" i="5"/>
  <c r="AA194" i="5"/>
  <c r="AA195" i="5"/>
  <c r="AA196" i="5"/>
  <c r="AA197" i="5"/>
  <c r="AA198" i="5"/>
  <c r="AA199" i="5"/>
  <c r="AA200" i="5"/>
  <c r="AA201" i="5"/>
  <c r="AA202" i="5"/>
  <c r="AA203" i="5"/>
  <c r="AA204" i="5"/>
  <c r="AA205" i="5"/>
  <c r="AA206" i="5"/>
  <c r="AA207" i="5"/>
  <c r="AA208" i="5"/>
  <c r="AA209" i="5"/>
  <c r="AA210" i="5"/>
  <c r="AA211" i="5"/>
  <c r="AA212" i="5"/>
  <c r="AA213" i="5"/>
  <c r="AA214" i="5"/>
  <c r="AA215" i="5"/>
  <c r="AA216" i="5"/>
  <c r="AA217" i="5"/>
  <c r="AA218" i="5"/>
  <c r="AA219" i="5"/>
  <c r="AA220" i="5"/>
  <c r="AA221" i="5"/>
  <c r="AA222" i="5"/>
  <c r="AA223" i="5"/>
  <c r="AA224" i="5"/>
  <c r="AA225" i="5"/>
  <c r="AA226" i="5"/>
  <c r="AA227" i="5"/>
  <c r="AA228" i="5"/>
  <c r="AA229" i="5"/>
  <c r="AA230" i="5"/>
  <c r="AA231" i="5"/>
  <c r="AA232" i="5"/>
  <c r="AA233" i="5"/>
  <c r="AA234" i="5"/>
  <c r="AA235" i="5"/>
  <c r="AA236" i="5"/>
  <c r="AA237" i="5"/>
  <c r="AA238" i="5"/>
  <c r="AA239" i="5"/>
  <c r="AA240" i="5"/>
  <c r="AA241" i="5"/>
  <c r="AA242" i="5"/>
  <c r="AA243" i="5"/>
  <c r="AA244" i="5"/>
  <c r="AA245" i="5"/>
  <c r="AA246" i="5"/>
  <c r="AA247" i="5"/>
  <c r="AA248" i="5"/>
  <c r="AA249" i="5"/>
  <c r="AA250" i="5"/>
  <c r="AA251" i="5"/>
  <c r="AA252" i="5"/>
  <c r="AA253" i="5"/>
  <c r="AA254" i="5"/>
  <c r="AA255" i="5"/>
  <c r="AA256" i="5"/>
  <c r="AA257" i="5"/>
  <c r="AA258" i="5"/>
  <c r="AA259" i="5"/>
  <c r="AA260" i="5"/>
  <c r="AA261" i="5"/>
  <c r="AA262" i="5"/>
  <c r="AA263" i="5"/>
  <c r="AA264" i="5"/>
  <c r="AA265" i="5"/>
  <c r="AA266" i="5"/>
  <c r="AA267" i="5"/>
  <c r="AA268" i="5"/>
  <c r="AA269" i="5"/>
  <c r="AA270" i="5"/>
  <c r="AA271" i="5"/>
  <c r="AA272" i="5"/>
  <c r="AA273" i="5"/>
  <c r="AA274" i="5"/>
  <c r="AA275" i="5"/>
  <c r="AA276" i="5"/>
  <c r="AA277" i="5"/>
  <c r="AA278" i="5"/>
  <c r="AA279" i="5"/>
  <c r="AA280" i="5"/>
  <c r="AA281" i="5"/>
  <c r="AA282" i="5"/>
  <c r="AA283" i="5"/>
  <c r="AA284" i="5"/>
  <c r="AA285" i="5"/>
  <c r="AA286" i="5"/>
  <c r="AA287" i="5"/>
  <c r="AA288" i="5"/>
  <c r="AA289" i="5"/>
  <c r="AA290" i="5"/>
  <c r="AA291" i="5"/>
  <c r="AA292" i="5"/>
  <c r="AA293" i="5"/>
  <c r="AA294" i="5"/>
  <c r="AA295" i="5"/>
  <c r="AA296" i="5"/>
  <c r="AA297" i="5"/>
  <c r="AA298" i="5"/>
  <c r="AA299" i="5"/>
  <c r="AA300" i="5"/>
  <c r="AA301" i="5"/>
  <c r="AA302" i="5"/>
  <c r="AA303" i="5"/>
  <c r="AA304" i="5"/>
  <c r="AA305" i="5"/>
  <c r="AA306" i="5"/>
  <c r="AA307" i="5"/>
  <c r="AA308" i="5"/>
  <c r="AA309" i="5"/>
  <c r="AA310" i="5"/>
  <c r="AA311" i="5"/>
  <c r="AA312" i="5"/>
  <c r="AA313" i="5"/>
  <c r="AA314" i="5"/>
  <c r="AA315" i="5"/>
  <c r="AA316" i="5"/>
  <c r="AA317" i="5"/>
  <c r="AA318" i="5"/>
  <c r="AA319" i="5"/>
  <c r="AA320" i="5"/>
  <c r="AA321" i="5"/>
  <c r="AA322" i="5"/>
  <c r="AA323" i="5"/>
  <c r="AA324" i="5"/>
  <c r="AA325" i="5"/>
  <c r="AA326" i="5"/>
  <c r="AA327" i="5"/>
  <c r="AA328" i="5"/>
  <c r="AA329" i="5"/>
  <c r="AA330" i="5"/>
  <c r="AA331" i="5"/>
  <c r="AA332" i="5"/>
  <c r="AA333" i="5"/>
  <c r="AA334" i="5"/>
  <c r="AA335" i="5"/>
  <c r="AA336" i="5"/>
  <c r="AA337" i="5"/>
  <c r="AA338" i="5"/>
  <c r="AA339" i="5"/>
  <c r="AA340" i="5"/>
  <c r="AA341" i="5"/>
  <c r="AA342" i="5"/>
  <c r="AA343" i="5"/>
  <c r="AA344" i="5"/>
  <c r="AA345" i="5"/>
  <c r="AA346" i="5"/>
  <c r="AA347" i="5"/>
  <c r="AA348" i="5"/>
  <c r="AA349" i="5"/>
  <c r="AA350" i="5"/>
  <c r="AA351" i="5"/>
  <c r="AA352" i="5"/>
  <c r="AA353" i="5"/>
  <c r="AA354" i="5"/>
  <c r="AA355" i="5"/>
  <c r="AA356" i="5"/>
  <c r="AA357" i="5"/>
  <c r="AA358" i="5"/>
  <c r="AA359" i="5"/>
  <c r="AA360" i="5"/>
  <c r="AA361" i="5"/>
  <c r="AA362" i="5"/>
  <c r="AA363" i="5"/>
  <c r="AA364" i="5"/>
  <c r="AA365" i="5"/>
  <c r="AA366" i="5"/>
  <c r="AA367" i="5"/>
  <c r="AA368" i="5"/>
  <c r="AA369" i="5"/>
  <c r="AA370" i="5"/>
  <c r="AA371" i="5"/>
  <c r="AA372" i="5"/>
  <c r="AA373" i="5"/>
  <c r="AA374" i="5"/>
  <c r="AA375" i="5"/>
  <c r="AA376" i="5"/>
  <c r="AA377" i="5"/>
  <c r="AA378" i="5"/>
  <c r="AA379" i="5"/>
  <c r="AA380" i="5"/>
  <c r="AA381" i="5"/>
  <c r="AA382" i="5"/>
  <c r="AA383" i="5"/>
  <c r="AA384" i="5"/>
  <c r="AA385" i="5"/>
  <c r="AA386" i="5"/>
  <c r="AA387" i="5"/>
  <c r="AA388" i="5"/>
  <c r="AA389" i="5"/>
  <c r="AA390" i="5"/>
  <c r="AA391" i="5"/>
  <c r="AA392" i="5"/>
  <c r="AA393" i="5"/>
  <c r="AA394" i="5"/>
  <c r="AA395" i="5"/>
  <c r="AA396" i="5"/>
  <c r="AA397" i="5"/>
  <c r="AA398" i="5"/>
  <c r="AA399" i="5"/>
  <c r="AA400" i="5"/>
  <c r="AA401" i="5"/>
  <c r="AA402" i="5"/>
  <c r="AA403" i="5"/>
  <c r="AA404" i="5"/>
  <c r="AA405" i="5"/>
  <c r="AA406" i="5"/>
  <c r="AA407" i="5"/>
  <c r="AA408" i="5"/>
  <c r="AA409" i="5"/>
  <c r="AA410" i="5"/>
  <c r="AA411" i="5"/>
  <c r="AA412" i="5"/>
  <c r="AA413" i="5"/>
  <c r="AA414" i="5"/>
  <c r="AA415" i="5"/>
  <c r="AA416" i="5"/>
  <c r="AA417" i="5"/>
  <c r="AA418" i="5"/>
  <c r="AA419" i="5"/>
  <c r="AA420" i="5"/>
  <c r="AA421" i="5"/>
  <c r="AA422" i="5"/>
  <c r="AA423" i="5"/>
  <c r="AA424" i="5"/>
  <c r="AA425" i="5"/>
  <c r="AA426" i="5"/>
  <c r="AA427" i="5"/>
  <c r="AA428" i="5"/>
  <c r="AA429" i="5"/>
  <c r="AA430" i="5"/>
  <c r="AA431" i="5"/>
  <c r="AA432" i="5"/>
  <c r="AA433" i="5"/>
  <c r="AA434" i="5"/>
  <c r="AA435" i="5"/>
  <c r="AA436" i="5"/>
  <c r="AA437" i="5"/>
  <c r="AA438" i="5"/>
  <c r="AA439" i="5"/>
  <c r="AA440" i="5"/>
  <c r="AA441" i="5"/>
  <c r="AA442" i="5"/>
  <c r="AA443" i="5"/>
  <c r="AA444" i="5"/>
  <c r="AA445" i="5"/>
  <c r="AA446" i="5"/>
  <c r="AA447" i="5"/>
  <c r="AA448" i="5"/>
  <c r="AA449" i="5"/>
  <c r="AA450" i="5"/>
  <c r="AA451" i="5"/>
  <c r="AA452" i="5"/>
  <c r="AA453" i="5"/>
  <c r="AA454" i="5"/>
  <c r="AA455" i="5"/>
  <c r="AA456" i="5"/>
  <c r="AA457" i="5"/>
  <c r="AA458" i="5"/>
  <c r="AA459" i="5"/>
  <c r="AA460" i="5"/>
  <c r="AA461" i="5"/>
  <c r="AA462" i="5"/>
  <c r="AA463" i="5"/>
  <c r="AA464" i="5"/>
  <c r="AA465" i="5"/>
  <c r="AA466" i="5"/>
  <c r="AA467" i="5"/>
  <c r="AA468" i="5"/>
  <c r="AA469" i="5"/>
  <c r="AA470" i="5"/>
  <c r="AA471" i="5"/>
  <c r="AA472" i="5"/>
  <c r="AA473" i="5"/>
  <c r="AA474" i="5"/>
  <c r="AA475" i="5"/>
  <c r="AA476" i="5"/>
  <c r="AA477" i="5"/>
  <c r="AA478" i="5"/>
  <c r="AA479" i="5"/>
  <c r="AA480" i="5"/>
  <c r="AA481" i="5"/>
  <c r="AA482" i="5"/>
  <c r="AA483" i="5"/>
  <c r="AA484" i="5"/>
  <c r="AA485" i="5"/>
  <c r="AA486" i="5"/>
  <c r="AA487" i="5"/>
  <c r="AA488" i="5"/>
  <c r="AA489" i="5"/>
  <c r="AA490" i="5"/>
  <c r="AA491" i="5"/>
  <c r="AA492" i="5"/>
  <c r="AA493" i="5"/>
  <c r="AA494" i="5"/>
  <c r="AA495" i="5"/>
  <c r="AA496" i="5"/>
  <c r="AA497" i="5"/>
  <c r="AA498" i="5"/>
  <c r="AA499" i="5"/>
  <c r="AA500" i="5"/>
  <c r="AA501" i="5"/>
  <c r="AA502" i="5"/>
  <c r="AA503" i="5"/>
  <c r="AA504" i="5"/>
  <c r="AA505" i="5"/>
  <c r="AA506" i="5"/>
  <c r="AA507" i="5"/>
  <c r="AA508" i="5"/>
  <c r="AA509" i="5"/>
  <c r="AA510" i="5"/>
  <c r="AA511" i="5"/>
  <c r="AA512" i="5"/>
  <c r="AA513" i="5"/>
  <c r="AA514" i="5"/>
  <c r="AA515" i="5"/>
  <c r="AA516" i="5"/>
  <c r="AA517" i="5"/>
  <c r="AA518" i="5"/>
  <c r="AA519" i="5"/>
  <c r="AA520" i="5"/>
  <c r="AA521" i="5"/>
  <c r="AA522" i="5"/>
  <c r="AA523" i="5"/>
  <c r="AA524" i="5"/>
  <c r="AA525" i="5"/>
  <c r="AA526" i="5"/>
  <c r="AA527" i="5"/>
  <c r="AA528" i="5"/>
  <c r="AA529" i="5"/>
  <c r="AA530" i="5"/>
  <c r="AA531" i="5"/>
  <c r="AA532" i="5"/>
  <c r="AA533" i="5"/>
  <c r="AA534" i="5"/>
  <c r="AA535" i="5"/>
  <c r="AA536" i="5"/>
  <c r="AA537" i="5"/>
  <c r="AA538" i="5"/>
  <c r="AA539" i="5"/>
  <c r="AA540" i="5"/>
  <c r="AA541" i="5"/>
  <c r="AA542" i="5"/>
  <c r="AA543" i="5"/>
  <c r="AA544" i="5"/>
  <c r="AA545" i="5"/>
  <c r="AA546" i="5"/>
  <c r="AA547" i="5"/>
  <c r="AA548" i="5"/>
  <c r="AA549" i="5"/>
  <c r="AA550" i="5"/>
  <c r="AA551" i="5"/>
  <c r="AA552" i="5"/>
  <c r="AA553" i="5"/>
  <c r="AA554" i="5"/>
  <c r="AA555" i="5"/>
  <c r="AA556" i="5"/>
  <c r="AA557" i="5"/>
  <c r="AA558" i="5"/>
  <c r="AA559" i="5"/>
  <c r="AA560" i="5"/>
  <c r="AA561" i="5"/>
  <c r="AA562" i="5"/>
  <c r="AA563" i="5"/>
  <c r="AA564" i="5"/>
  <c r="AA565" i="5"/>
  <c r="AA566" i="5"/>
  <c r="AA567" i="5"/>
  <c r="AA568" i="5"/>
  <c r="AA569" i="5"/>
  <c r="AA570" i="5"/>
  <c r="AA571" i="5"/>
  <c r="AA572" i="5"/>
  <c r="AA573" i="5"/>
  <c r="AA574" i="5"/>
  <c r="AA575" i="5"/>
  <c r="AA576" i="5"/>
  <c r="AA577" i="5"/>
  <c r="AA578" i="5"/>
  <c r="AA579" i="5"/>
  <c r="AA580" i="5"/>
  <c r="AA581" i="5"/>
  <c r="AA582" i="5"/>
  <c r="AA583" i="5"/>
  <c r="AA584" i="5"/>
  <c r="AA585" i="5"/>
  <c r="AA586" i="5"/>
  <c r="AA587" i="5"/>
  <c r="AA588" i="5"/>
  <c r="AA589" i="5"/>
  <c r="AA590" i="5"/>
  <c r="AA591" i="5"/>
  <c r="AA592" i="5"/>
  <c r="AA593" i="5"/>
  <c r="AA594" i="5"/>
  <c r="AA595" i="5"/>
  <c r="AA596" i="5"/>
  <c r="AA597" i="5"/>
  <c r="AA598" i="5"/>
  <c r="AA599" i="5"/>
  <c r="AA600" i="5"/>
  <c r="AA601" i="5"/>
  <c r="AA602" i="5"/>
  <c r="AA603" i="5"/>
  <c r="AA604" i="5"/>
  <c r="AA605" i="5"/>
  <c r="AA606" i="5"/>
  <c r="AA607" i="5"/>
  <c r="AA608" i="5"/>
  <c r="AA609" i="5"/>
  <c r="AA610" i="5"/>
  <c r="AA611" i="5"/>
  <c r="AA612" i="5"/>
  <c r="AA613" i="5"/>
  <c r="AA614" i="5"/>
  <c r="AA615" i="5"/>
  <c r="AA616" i="5"/>
  <c r="AA617" i="5"/>
  <c r="AA618" i="5"/>
  <c r="AA619" i="5"/>
  <c r="AA620" i="5"/>
  <c r="AA621" i="5"/>
  <c r="AA622" i="5"/>
  <c r="AA623" i="5"/>
  <c r="AA624" i="5"/>
  <c r="AA625" i="5"/>
  <c r="AA626" i="5"/>
  <c r="AA627" i="5"/>
  <c r="AA628" i="5"/>
  <c r="AA629" i="5"/>
  <c r="AA630" i="5"/>
  <c r="AA631" i="5"/>
  <c r="AA632" i="5"/>
  <c r="AA633" i="5"/>
  <c r="AA634" i="5"/>
  <c r="AA635" i="5"/>
  <c r="AA636" i="5"/>
  <c r="AA637" i="5"/>
  <c r="AA638" i="5"/>
  <c r="AA639" i="5"/>
  <c r="AA640" i="5"/>
  <c r="AA641" i="5"/>
  <c r="AA642" i="5"/>
  <c r="AA643" i="5"/>
  <c r="AA644" i="5"/>
  <c r="AA645" i="5"/>
  <c r="AA646" i="5"/>
  <c r="AA647" i="5"/>
  <c r="AA648" i="5"/>
  <c r="AA649" i="5"/>
  <c r="AA650" i="5"/>
  <c r="AA651" i="5"/>
  <c r="AA652" i="5"/>
  <c r="AA653" i="5"/>
  <c r="AA654" i="5"/>
  <c r="AA655" i="5"/>
  <c r="AA656" i="5"/>
  <c r="AA657" i="5"/>
  <c r="AA658" i="5"/>
  <c r="AA659" i="5"/>
  <c r="AA660" i="5"/>
  <c r="AA661" i="5"/>
  <c r="AA662" i="5"/>
  <c r="AA663" i="5"/>
  <c r="AA664" i="5"/>
  <c r="AA665" i="5"/>
  <c r="AA666" i="5"/>
  <c r="AA667" i="5"/>
  <c r="AA668" i="5"/>
  <c r="AA669" i="5"/>
  <c r="AA670" i="5"/>
  <c r="AA671" i="5"/>
  <c r="AA672" i="5"/>
  <c r="AA673" i="5"/>
  <c r="AA674" i="5"/>
  <c r="AA675" i="5"/>
  <c r="AA676" i="5"/>
  <c r="AA677" i="5"/>
  <c r="AA678" i="5"/>
  <c r="AA679" i="5"/>
  <c r="AA680" i="5"/>
  <c r="AA681" i="5"/>
  <c r="AA682" i="5"/>
  <c r="AA683" i="5"/>
  <c r="AA684" i="5"/>
  <c r="AA685" i="5"/>
  <c r="AA686" i="5"/>
  <c r="AA687" i="5"/>
  <c r="AA688" i="5"/>
  <c r="AA689" i="5"/>
  <c r="AA690" i="5"/>
  <c r="AA691" i="5"/>
  <c r="AA692" i="5"/>
  <c r="AA693" i="5"/>
  <c r="AA694" i="5"/>
  <c r="AA695" i="5"/>
  <c r="AA696" i="5"/>
  <c r="AA697" i="5"/>
  <c r="AA698" i="5"/>
  <c r="AA699" i="5"/>
  <c r="AA700" i="5"/>
  <c r="AA701" i="5"/>
  <c r="AA702" i="5"/>
  <c r="AA703" i="5"/>
  <c r="AA704" i="5"/>
  <c r="AA705" i="5"/>
  <c r="AA706" i="5"/>
  <c r="AA707" i="5"/>
  <c r="AA708" i="5"/>
  <c r="AA709" i="5"/>
  <c r="AA710" i="5"/>
  <c r="AA711" i="5"/>
  <c r="AA712" i="5"/>
  <c r="AA713" i="5"/>
  <c r="AA714" i="5"/>
  <c r="AA715" i="5"/>
  <c r="AA716" i="5"/>
  <c r="AA717" i="5"/>
  <c r="AA718" i="5"/>
  <c r="AA719" i="5"/>
  <c r="AA720" i="5"/>
  <c r="AA721" i="5"/>
  <c r="AA722" i="5"/>
  <c r="AA723" i="5"/>
  <c r="AA724" i="5"/>
  <c r="AA725" i="5"/>
  <c r="AA726" i="5"/>
  <c r="AA727" i="5"/>
  <c r="AA728" i="5"/>
  <c r="AA729" i="5"/>
  <c r="AA730" i="5"/>
  <c r="AA731" i="5"/>
  <c r="AA732" i="5"/>
  <c r="AA733" i="5"/>
  <c r="AA734" i="5"/>
  <c r="AA735" i="5"/>
  <c r="AA736" i="5"/>
  <c r="AA737" i="5"/>
  <c r="AA738" i="5"/>
  <c r="AA739" i="5"/>
  <c r="AA740" i="5"/>
  <c r="AA741" i="5"/>
  <c r="AA742" i="5"/>
  <c r="AA743" i="5"/>
  <c r="AA744" i="5"/>
  <c r="AA745" i="5"/>
  <c r="AA746" i="5"/>
  <c r="AA747" i="5"/>
  <c r="AA748" i="5"/>
  <c r="AA749" i="5"/>
  <c r="AA750" i="5"/>
  <c r="AA751" i="5"/>
  <c r="AA752" i="5"/>
  <c r="AA753" i="5"/>
  <c r="AA754" i="5"/>
  <c r="AA755" i="5"/>
  <c r="AA756" i="5"/>
  <c r="AA757" i="5"/>
  <c r="AA758" i="5"/>
  <c r="AA759" i="5"/>
  <c r="AA760" i="5"/>
  <c r="AA761" i="5"/>
  <c r="AA762" i="5"/>
  <c r="AA763" i="5"/>
  <c r="AA764" i="5"/>
  <c r="AA765" i="5"/>
  <c r="AA766" i="5"/>
  <c r="AA767" i="5"/>
  <c r="AA768" i="5"/>
  <c r="AA769" i="5"/>
  <c r="AA770" i="5"/>
  <c r="AA771" i="5"/>
  <c r="AA772" i="5"/>
  <c r="AA773" i="5"/>
  <c r="AA774" i="5"/>
  <c r="AA775" i="5"/>
  <c r="AA776" i="5"/>
  <c r="AA777" i="5"/>
  <c r="AA778" i="5"/>
  <c r="AA779" i="5"/>
  <c r="AA780" i="5"/>
  <c r="AA781" i="5"/>
  <c r="AA782" i="5"/>
  <c r="AA783" i="5"/>
  <c r="AA784" i="5"/>
  <c r="AA785" i="5"/>
  <c r="AA786" i="5"/>
  <c r="AA787" i="5"/>
  <c r="AA788" i="5"/>
  <c r="AA789" i="5"/>
  <c r="Z3" i="5"/>
  <c r="Z4" i="5"/>
  <c r="Z5" i="5"/>
  <c r="Z6" i="5"/>
  <c r="Z7" i="5"/>
  <c r="Z8" i="5"/>
  <c r="Z9" i="5"/>
  <c r="Z10" i="5"/>
  <c r="Z11" i="5"/>
  <c r="Z12" i="5"/>
  <c r="Z13" i="5"/>
  <c r="Z14" i="5"/>
  <c r="Z15" i="5"/>
  <c r="Z16" i="5"/>
  <c r="Z17" i="5"/>
  <c r="Z18" i="5"/>
  <c r="Z19" i="5"/>
  <c r="Z20" i="5"/>
  <c r="Z21" i="5"/>
  <c r="Z22" i="5"/>
  <c r="Z23" i="5"/>
  <c r="Z24" i="5"/>
  <c r="Z25" i="5"/>
  <c r="Z26" i="5"/>
  <c r="Z27" i="5"/>
  <c r="Z28" i="5"/>
  <c r="Z29" i="5"/>
  <c r="Z30" i="5"/>
  <c r="Z31" i="5"/>
  <c r="Z32" i="5"/>
  <c r="Z33" i="5"/>
  <c r="Z34" i="5"/>
  <c r="Z35" i="5"/>
  <c r="Z36" i="5"/>
  <c r="Z37" i="5"/>
  <c r="Z38" i="5"/>
  <c r="Z39" i="5"/>
  <c r="Z40" i="5"/>
  <c r="Z41" i="5"/>
  <c r="Z42" i="5"/>
  <c r="Z43" i="5"/>
  <c r="Z44" i="5"/>
  <c r="Z45" i="5"/>
  <c r="Z46" i="5"/>
  <c r="Z47" i="5"/>
  <c r="Z48" i="5"/>
  <c r="Z49" i="5"/>
  <c r="Z50" i="5"/>
  <c r="Z51" i="5"/>
  <c r="Z52" i="5"/>
  <c r="Z53" i="5"/>
  <c r="Z54" i="5"/>
  <c r="Z55" i="5"/>
  <c r="Z56" i="5"/>
  <c r="Z57" i="5"/>
  <c r="Z58" i="5"/>
  <c r="Z59" i="5"/>
  <c r="Z60" i="5"/>
  <c r="Z61" i="5"/>
  <c r="Z62" i="5"/>
  <c r="Z63" i="5"/>
  <c r="Z64" i="5"/>
  <c r="Z65" i="5"/>
  <c r="Z66" i="5"/>
  <c r="Z67" i="5"/>
  <c r="Z68" i="5"/>
  <c r="Z69" i="5"/>
  <c r="Z70" i="5"/>
  <c r="Z71" i="5"/>
  <c r="Z72" i="5"/>
  <c r="Z73" i="5"/>
  <c r="Z74" i="5"/>
  <c r="Z75" i="5"/>
  <c r="Z76" i="5"/>
  <c r="Z77" i="5"/>
  <c r="Z78" i="5"/>
  <c r="Z79" i="5"/>
  <c r="Z80" i="5"/>
  <c r="Z81" i="5"/>
  <c r="Z82" i="5"/>
  <c r="Z83" i="5"/>
  <c r="Z84" i="5"/>
  <c r="Z85" i="5"/>
  <c r="Z86" i="5"/>
  <c r="Z87" i="5"/>
  <c r="Z88" i="5"/>
  <c r="Z89" i="5"/>
  <c r="Z90" i="5"/>
  <c r="Z91" i="5"/>
  <c r="Z92" i="5"/>
  <c r="Z93" i="5"/>
  <c r="Z94" i="5"/>
  <c r="Z95" i="5"/>
  <c r="Z96" i="5"/>
  <c r="Z97" i="5"/>
  <c r="Z98" i="5"/>
  <c r="Z99" i="5"/>
  <c r="Z100" i="5"/>
  <c r="Z101" i="5"/>
  <c r="Z102" i="5"/>
  <c r="Z103" i="5"/>
  <c r="Z104" i="5"/>
  <c r="Z105" i="5"/>
  <c r="Z106" i="5"/>
  <c r="Z107" i="5"/>
  <c r="Z108" i="5"/>
  <c r="Z109" i="5"/>
  <c r="Z110" i="5"/>
  <c r="Z111" i="5"/>
  <c r="Z112" i="5"/>
  <c r="Z113" i="5"/>
  <c r="Z114" i="5"/>
  <c r="Z115" i="5"/>
  <c r="Z116" i="5"/>
  <c r="Z117" i="5"/>
  <c r="Z118" i="5"/>
  <c r="Z119" i="5"/>
  <c r="Z120" i="5"/>
  <c r="Z121" i="5"/>
  <c r="Z122" i="5"/>
  <c r="Z123" i="5"/>
  <c r="Z124" i="5"/>
  <c r="Z125" i="5"/>
  <c r="Z126" i="5"/>
  <c r="Z127" i="5"/>
  <c r="Z128" i="5"/>
  <c r="Z129" i="5"/>
  <c r="Z130" i="5"/>
  <c r="Z131" i="5"/>
  <c r="Z132" i="5"/>
  <c r="Z133" i="5"/>
  <c r="Z134" i="5"/>
  <c r="Z135" i="5"/>
  <c r="Z136" i="5"/>
  <c r="Z137" i="5"/>
  <c r="Z138" i="5"/>
  <c r="Z139" i="5"/>
  <c r="Z140" i="5"/>
  <c r="Z141" i="5"/>
  <c r="Z142" i="5"/>
  <c r="Z143" i="5"/>
  <c r="Z144" i="5"/>
  <c r="Z145" i="5"/>
  <c r="Z146" i="5"/>
  <c r="Z147" i="5"/>
  <c r="Z148" i="5"/>
  <c r="Z149" i="5"/>
  <c r="Z150" i="5"/>
  <c r="Z151" i="5"/>
  <c r="Z152" i="5"/>
  <c r="Z153" i="5"/>
  <c r="Z154" i="5"/>
  <c r="Z155" i="5"/>
  <c r="Z156" i="5"/>
  <c r="Z157" i="5"/>
  <c r="Z158" i="5"/>
  <c r="Z159" i="5"/>
  <c r="Z160" i="5"/>
  <c r="Z161" i="5"/>
  <c r="Z162" i="5"/>
  <c r="Z163" i="5"/>
  <c r="Z164" i="5"/>
  <c r="Z165" i="5"/>
  <c r="Z166" i="5"/>
  <c r="Z167" i="5"/>
  <c r="Z168" i="5"/>
  <c r="Z169" i="5"/>
  <c r="Z170" i="5"/>
  <c r="Z171" i="5"/>
  <c r="Z172" i="5"/>
  <c r="Z173" i="5"/>
  <c r="Z174" i="5"/>
  <c r="Z175" i="5"/>
  <c r="Z176" i="5"/>
  <c r="Z177" i="5"/>
  <c r="Z178" i="5"/>
  <c r="Z179" i="5"/>
  <c r="Z180" i="5"/>
  <c r="Z181" i="5"/>
  <c r="Z182" i="5"/>
  <c r="Z183" i="5"/>
  <c r="Z184" i="5"/>
  <c r="Z185" i="5"/>
  <c r="Z186" i="5"/>
  <c r="Z187" i="5"/>
  <c r="Z188" i="5"/>
  <c r="Z189" i="5"/>
  <c r="Z190" i="5"/>
  <c r="Z191" i="5"/>
  <c r="Z192" i="5"/>
  <c r="Z193" i="5"/>
  <c r="Z194" i="5"/>
  <c r="Z195" i="5"/>
  <c r="Z196" i="5"/>
  <c r="Z197" i="5"/>
  <c r="Z198" i="5"/>
  <c r="Z199" i="5"/>
  <c r="Z200" i="5"/>
  <c r="Z201" i="5"/>
  <c r="Z202" i="5"/>
  <c r="Z203" i="5"/>
  <c r="Z204" i="5"/>
  <c r="Z205" i="5"/>
  <c r="Z206" i="5"/>
  <c r="Z207" i="5"/>
  <c r="Z208" i="5"/>
  <c r="Z209" i="5"/>
  <c r="Z210" i="5"/>
  <c r="Z211" i="5"/>
  <c r="Z212" i="5"/>
  <c r="Z213" i="5"/>
  <c r="Z214" i="5"/>
  <c r="Z215" i="5"/>
  <c r="Z216" i="5"/>
  <c r="Z217" i="5"/>
  <c r="Z218" i="5"/>
  <c r="Z219" i="5"/>
  <c r="Z220" i="5"/>
  <c r="Z221" i="5"/>
  <c r="Z222" i="5"/>
  <c r="Z223" i="5"/>
  <c r="Z224" i="5"/>
  <c r="Z225" i="5"/>
  <c r="Z226" i="5"/>
  <c r="Z227" i="5"/>
  <c r="Z228" i="5"/>
  <c r="Z229" i="5"/>
  <c r="Z230" i="5"/>
  <c r="Z231" i="5"/>
  <c r="Z232" i="5"/>
  <c r="Z233" i="5"/>
  <c r="Z234" i="5"/>
  <c r="Z235" i="5"/>
  <c r="Z236" i="5"/>
  <c r="Z237" i="5"/>
  <c r="Z238" i="5"/>
  <c r="Z239" i="5"/>
  <c r="Z240" i="5"/>
  <c r="Z241" i="5"/>
  <c r="Z242" i="5"/>
  <c r="Z243" i="5"/>
  <c r="Z244" i="5"/>
  <c r="Z245" i="5"/>
  <c r="Z246" i="5"/>
  <c r="Z247" i="5"/>
  <c r="Z248" i="5"/>
  <c r="Z249" i="5"/>
  <c r="Z250" i="5"/>
  <c r="Z251" i="5"/>
  <c r="Z252" i="5"/>
  <c r="Z253" i="5"/>
  <c r="Z254" i="5"/>
  <c r="Z255" i="5"/>
  <c r="Z256" i="5"/>
  <c r="Z257" i="5"/>
  <c r="Z258" i="5"/>
  <c r="Z259" i="5"/>
  <c r="Z260" i="5"/>
  <c r="Z261" i="5"/>
  <c r="Z262" i="5"/>
  <c r="Z263" i="5"/>
  <c r="Z264" i="5"/>
  <c r="Z265" i="5"/>
  <c r="Z266" i="5"/>
  <c r="Z267" i="5"/>
  <c r="Z268" i="5"/>
  <c r="Z269" i="5"/>
  <c r="Z270" i="5"/>
  <c r="Z271" i="5"/>
  <c r="Z272" i="5"/>
  <c r="Z273" i="5"/>
  <c r="Z274" i="5"/>
  <c r="Z275" i="5"/>
  <c r="Z276" i="5"/>
  <c r="Z277" i="5"/>
  <c r="Z278" i="5"/>
  <c r="Z279" i="5"/>
  <c r="Z280" i="5"/>
  <c r="Z281" i="5"/>
  <c r="Z282" i="5"/>
  <c r="Z283" i="5"/>
  <c r="Z284" i="5"/>
  <c r="Z285" i="5"/>
  <c r="Z286" i="5"/>
  <c r="Z287" i="5"/>
  <c r="Z288" i="5"/>
  <c r="Z289" i="5"/>
  <c r="Z290" i="5"/>
  <c r="Z291" i="5"/>
  <c r="Z292" i="5"/>
  <c r="Z293" i="5"/>
  <c r="Z294" i="5"/>
  <c r="Z295" i="5"/>
  <c r="Z296" i="5"/>
  <c r="Z297" i="5"/>
  <c r="Z298" i="5"/>
  <c r="Z299" i="5"/>
  <c r="Z300" i="5"/>
  <c r="Z301" i="5"/>
  <c r="Z302" i="5"/>
  <c r="Z303" i="5"/>
  <c r="Z304" i="5"/>
  <c r="Z305" i="5"/>
  <c r="Z306" i="5"/>
  <c r="Z307" i="5"/>
  <c r="Z308" i="5"/>
  <c r="Z309" i="5"/>
  <c r="Z310" i="5"/>
  <c r="Z311" i="5"/>
  <c r="Z312" i="5"/>
  <c r="Z313" i="5"/>
  <c r="Z314" i="5"/>
  <c r="Z315" i="5"/>
  <c r="Z316" i="5"/>
  <c r="Z317" i="5"/>
  <c r="Z318" i="5"/>
  <c r="Z319" i="5"/>
  <c r="Z320" i="5"/>
  <c r="Z321" i="5"/>
  <c r="Z322" i="5"/>
  <c r="Z323" i="5"/>
  <c r="Z324" i="5"/>
  <c r="Z325" i="5"/>
  <c r="Z326" i="5"/>
  <c r="Z327" i="5"/>
  <c r="Z328" i="5"/>
  <c r="Z329" i="5"/>
  <c r="Z330" i="5"/>
  <c r="Z331" i="5"/>
  <c r="Z332" i="5"/>
  <c r="Z333" i="5"/>
  <c r="Z334" i="5"/>
  <c r="Z335" i="5"/>
  <c r="Z336" i="5"/>
  <c r="Z337" i="5"/>
  <c r="Z338" i="5"/>
  <c r="Z339" i="5"/>
  <c r="Z340" i="5"/>
  <c r="Z341" i="5"/>
  <c r="Z342" i="5"/>
  <c r="Z343" i="5"/>
  <c r="Z344" i="5"/>
  <c r="Z345" i="5"/>
  <c r="Z346" i="5"/>
  <c r="Z347" i="5"/>
  <c r="Z348" i="5"/>
  <c r="Z349" i="5"/>
  <c r="Z350" i="5"/>
  <c r="Z351" i="5"/>
  <c r="Z352" i="5"/>
  <c r="Z353" i="5"/>
  <c r="Z354" i="5"/>
  <c r="Z355" i="5"/>
  <c r="Z356" i="5"/>
  <c r="Z357" i="5"/>
  <c r="Z358" i="5"/>
  <c r="Z359" i="5"/>
  <c r="Z360" i="5"/>
  <c r="Z361" i="5"/>
  <c r="Z362" i="5"/>
  <c r="Z363" i="5"/>
  <c r="Z364" i="5"/>
  <c r="Z365" i="5"/>
  <c r="Z366" i="5"/>
  <c r="Z367" i="5"/>
  <c r="Z368" i="5"/>
  <c r="Z369" i="5"/>
  <c r="Z370" i="5"/>
  <c r="Z371" i="5"/>
  <c r="Z372" i="5"/>
  <c r="Z373" i="5"/>
  <c r="Z374" i="5"/>
  <c r="Z375" i="5"/>
  <c r="Z376" i="5"/>
  <c r="Z377" i="5"/>
  <c r="Z378" i="5"/>
  <c r="Z379" i="5"/>
  <c r="Z380" i="5"/>
  <c r="Z381" i="5"/>
  <c r="Z382" i="5"/>
  <c r="Z383" i="5"/>
  <c r="Z384" i="5"/>
  <c r="Z385" i="5"/>
  <c r="Z386" i="5"/>
  <c r="Z387" i="5"/>
  <c r="Z388" i="5"/>
  <c r="Z389" i="5"/>
  <c r="Z390" i="5"/>
  <c r="Z391" i="5"/>
  <c r="Z392" i="5"/>
  <c r="Z393" i="5"/>
  <c r="Z394" i="5"/>
  <c r="Z395" i="5"/>
  <c r="Z396" i="5"/>
  <c r="Z397" i="5"/>
  <c r="Z398" i="5"/>
  <c r="Z399" i="5"/>
  <c r="Z400" i="5"/>
  <c r="Z401" i="5"/>
  <c r="Z402" i="5"/>
  <c r="Z403" i="5"/>
  <c r="Z404" i="5"/>
  <c r="Z405" i="5"/>
  <c r="Z406" i="5"/>
  <c r="Z407" i="5"/>
  <c r="Z408" i="5"/>
  <c r="Z409" i="5"/>
  <c r="Z410" i="5"/>
  <c r="Z411" i="5"/>
  <c r="Z412" i="5"/>
  <c r="Z413" i="5"/>
  <c r="Z414" i="5"/>
  <c r="Z415" i="5"/>
  <c r="Z416" i="5"/>
  <c r="Z417" i="5"/>
  <c r="Z418" i="5"/>
  <c r="Z419" i="5"/>
  <c r="Z420" i="5"/>
  <c r="Z421" i="5"/>
  <c r="Z422" i="5"/>
  <c r="Z423" i="5"/>
  <c r="Z424" i="5"/>
  <c r="Z425" i="5"/>
  <c r="Z426" i="5"/>
  <c r="Z427" i="5"/>
  <c r="Z428" i="5"/>
  <c r="Z429" i="5"/>
  <c r="Z430" i="5"/>
  <c r="Z431" i="5"/>
  <c r="Z432" i="5"/>
  <c r="Z433" i="5"/>
  <c r="Z434" i="5"/>
  <c r="Z435" i="5"/>
  <c r="Z436" i="5"/>
  <c r="Z437" i="5"/>
  <c r="Z438" i="5"/>
  <c r="Z439" i="5"/>
  <c r="Z440" i="5"/>
  <c r="Z441" i="5"/>
  <c r="Z442" i="5"/>
  <c r="Z443" i="5"/>
  <c r="Z444" i="5"/>
  <c r="Z445" i="5"/>
  <c r="Z446" i="5"/>
  <c r="Z447" i="5"/>
  <c r="Z448" i="5"/>
  <c r="Z449" i="5"/>
  <c r="Z450" i="5"/>
  <c r="Z451" i="5"/>
  <c r="Z452" i="5"/>
  <c r="Z453" i="5"/>
  <c r="Z454" i="5"/>
  <c r="Z455" i="5"/>
  <c r="Z456" i="5"/>
  <c r="Z457" i="5"/>
  <c r="Z458" i="5"/>
  <c r="Z459" i="5"/>
  <c r="Z460" i="5"/>
  <c r="Z461" i="5"/>
  <c r="Z462" i="5"/>
  <c r="Z463" i="5"/>
  <c r="Z464" i="5"/>
  <c r="Z465" i="5"/>
  <c r="Z466" i="5"/>
  <c r="Z467" i="5"/>
  <c r="Z468" i="5"/>
  <c r="Z469" i="5"/>
  <c r="Z470" i="5"/>
  <c r="Z471" i="5"/>
  <c r="Z472" i="5"/>
  <c r="Z473" i="5"/>
  <c r="Z474" i="5"/>
  <c r="Z475" i="5"/>
  <c r="Z476" i="5"/>
  <c r="Z477" i="5"/>
  <c r="Z478" i="5"/>
  <c r="Z479" i="5"/>
  <c r="Z480" i="5"/>
  <c r="Z481" i="5"/>
  <c r="Z482" i="5"/>
  <c r="Z483" i="5"/>
  <c r="Z484" i="5"/>
  <c r="Z485" i="5"/>
  <c r="Z486" i="5"/>
  <c r="Z487" i="5"/>
  <c r="Z488" i="5"/>
  <c r="Z489" i="5"/>
  <c r="Z490" i="5"/>
  <c r="Z491" i="5"/>
  <c r="Z492" i="5"/>
  <c r="Z493" i="5"/>
  <c r="Z494" i="5"/>
  <c r="Z495" i="5"/>
  <c r="Z496" i="5"/>
  <c r="Z497" i="5"/>
  <c r="Z498" i="5"/>
  <c r="Z499" i="5"/>
  <c r="Z500" i="5"/>
  <c r="Z501" i="5"/>
  <c r="Z502" i="5"/>
  <c r="Z503" i="5"/>
  <c r="Z504" i="5"/>
  <c r="Z505" i="5"/>
  <c r="Z506" i="5"/>
  <c r="Z507" i="5"/>
  <c r="Z508" i="5"/>
  <c r="Z509" i="5"/>
  <c r="Z510" i="5"/>
  <c r="Z511" i="5"/>
  <c r="Z512" i="5"/>
  <c r="Z513" i="5"/>
  <c r="Z514" i="5"/>
  <c r="Z515" i="5"/>
  <c r="Z516" i="5"/>
  <c r="Z517" i="5"/>
  <c r="Z518" i="5"/>
  <c r="Z519" i="5"/>
  <c r="Z520" i="5"/>
  <c r="Z521" i="5"/>
  <c r="Z522" i="5"/>
  <c r="Z523" i="5"/>
  <c r="Z524" i="5"/>
  <c r="Z525" i="5"/>
  <c r="Z526" i="5"/>
  <c r="Z527" i="5"/>
  <c r="Z528" i="5"/>
  <c r="Z529" i="5"/>
  <c r="Z530" i="5"/>
  <c r="Z531" i="5"/>
  <c r="Z532" i="5"/>
  <c r="Z533" i="5"/>
  <c r="Z534" i="5"/>
  <c r="Z535" i="5"/>
  <c r="Z536" i="5"/>
  <c r="Z537" i="5"/>
  <c r="Z538" i="5"/>
  <c r="Z539" i="5"/>
  <c r="Z540" i="5"/>
  <c r="Z541" i="5"/>
  <c r="Z542" i="5"/>
  <c r="Z543" i="5"/>
  <c r="Z544" i="5"/>
  <c r="Z545" i="5"/>
  <c r="Z546" i="5"/>
  <c r="Z547" i="5"/>
  <c r="Z548" i="5"/>
  <c r="Z549" i="5"/>
  <c r="Z550" i="5"/>
  <c r="Z551" i="5"/>
  <c r="Z552" i="5"/>
  <c r="Z553" i="5"/>
  <c r="Z554" i="5"/>
  <c r="Z555" i="5"/>
  <c r="Z556" i="5"/>
  <c r="Z557" i="5"/>
  <c r="Z558" i="5"/>
  <c r="Z559" i="5"/>
  <c r="Z560" i="5"/>
  <c r="Z561" i="5"/>
  <c r="Z562" i="5"/>
  <c r="Z563" i="5"/>
  <c r="Z564" i="5"/>
  <c r="Z565" i="5"/>
  <c r="Z566" i="5"/>
  <c r="Z567" i="5"/>
  <c r="Z568" i="5"/>
  <c r="Z569" i="5"/>
  <c r="Z570" i="5"/>
  <c r="Z571" i="5"/>
  <c r="Z572" i="5"/>
  <c r="Z573" i="5"/>
  <c r="Z574" i="5"/>
  <c r="Z575" i="5"/>
  <c r="Z576" i="5"/>
  <c r="Z577" i="5"/>
  <c r="Z578" i="5"/>
  <c r="Z579" i="5"/>
  <c r="Z580" i="5"/>
  <c r="Z581" i="5"/>
  <c r="Z582" i="5"/>
  <c r="Z583" i="5"/>
  <c r="Z584" i="5"/>
  <c r="Z585" i="5"/>
  <c r="Z586" i="5"/>
  <c r="Z587" i="5"/>
  <c r="Z588" i="5"/>
  <c r="Z589" i="5"/>
  <c r="Z590" i="5"/>
  <c r="Z591" i="5"/>
  <c r="Z592" i="5"/>
  <c r="Z593" i="5"/>
  <c r="Z594" i="5"/>
  <c r="Z595" i="5"/>
  <c r="Z596" i="5"/>
  <c r="Z597" i="5"/>
  <c r="Z598" i="5"/>
  <c r="Z599" i="5"/>
  <c r="Z600" i="5"/>
  <c r="Z601" i="5"/>
  <c r="Z602" i="5"/>
  <c r="Z603" i="5"/>
  <c r="Z604" i="5"/>
  <c r="Z605" i="5"/>
  <c r="Z606" i="5"/>
  <c r="Z607" i="5"/>
  <c r="Z608" i="5"/>
  <c r="Z609" i="5"/>
  <c r="Z610" i="5"/>
  <c r="Z611" i="5"/>
  <c r="Z612" i="5"/>
  <c r="Z613" i="5"/>
  <c r="Z614" i="5"/>
  <c r="Z615" i="5"/>
  <c r="Z616" i="5"/>
  <c r="Z617" i="5"/>
  <c r="Z618" i="5"/>
  <c r="Z619" i="5"/>
  <c r="Z620" i="5"/>
  <c r="Z621" i="5"/>
  <c r="Z622" i="5"/>
  <c r="Z623" i="5"/>
  <c r="Z624" i="5"/>
  <c r="Z625" i="5"/>
  <c r="Z626" i="5"/>
  <c r="Z627" i="5"/>
  <c r="Z628" i="5"/>
  <c r="Z629" i="5"/>
  <c r="Z630" i="5"/>
  <c r="Z631" i="5"/>
  <c r="Z632" i="5"/>
  <c r="Z633" i="5"/>
  <c r="Z634" i="5"/>
  <c r="Z635" i="5"/>
  <c r="Z636" i="5"/>
  <c r="Z637" i="5"/>
  <c r="Z638" i="5"/>
  <c r="Z639" i="5"/>
  <c r="Z640" i="5"/>
  <c r="Z641" i="5"/>
  <c r="Z642" i="5"/>
  <c r="Z643" i="5"/>
  <c r="Z644" i="5"/>
  <c r="Z645" i="5"/>
  <c r="Z646" i="5"/>
  <c r="Z647" i="5"/>
  <c r="Z648" i="5"/>
  <c r="Z649" i="5"/>
  <c r="Z650" i="5"/>
  <c r="Z651" i="5"/>
  <c r="Z652" i="5"/>
  <c r="Z653" i="5"/>
  <c r="Z654" i="5"/>
  <c r="Z655" i="5"/>
  <c r="Z656" i="5"/>
  <c r="Z657" i="5"/>
  <c r="Z658" i="5"/>
  <c r="Z659" i="5"/>
  <c r="Z660" i="5"/>
  <c r="Z661" i="5"/>
  <c r="Z662" i="5"/>
  <c r="Z663" i="5"/>
  <c r="Z664" i="5"/>
  <c r="Z665" i="5"/>
  <c r="Z666" i="5"/>
  <c r="Z667" i="5"/>
  <c r="Z668" i="5"/>
  <c r="Z669" i="5"/>
  <c r="Z670" i="5"/>
  <c r="Z671" i="5"/>
  <c r="Z672" i="5"/>
  <c r="Z673" i="5"/>
  <c r="Z674" i="5"/>
  <c r="Z675" i="5"/>
  <c r="Z676" i="5"/>
  <c r="Z677" i="5"/>
  <c r="Z678" i="5"/>
  <c r="Z679" i="5"/>
  <c r="Z680" i="5"/>
  <c r="Z681" i="5"/>
  <c r="Z682" i="5"/>
  <c r="Z683" i="5"/>
  <c r="Z684" i="5"/>
  <c r="Z685" i="5"/>
  <c r="Z686" i="5"/>
  <c r="Z687" i="5"/>
  <c r="Z688" i="5"/>
  <c r="Z689" i="5"/>
  <c r="Z690" i="5"/>
  <c r="Z691" i="5"/>
  <c r="Z692" i="5"/>
  <c r="Z693" i="5"/>
  <c r="Z694" i="5"/>
  <c r="Z695" i="5"/>
  <c r="Z696" i="5"/>
  <c r="Z697" i="5"/>
  <c r="Z698" i="5"/>
  <c r="Z699" i="5"/>
  <c r="Z700" i="5"/>
  <c r="Z701" i="5"/>
  <c r="Z702" i="5"/>
  <c r="Z703" i="5"/>
  <c r="Z704" i="5"/>
  <c r="Z705" i="5"/>
  <c r="Z706" i="5"/>
  <c r="Z707" i="5"/>
  <c r="Z708" i="5"/>
  <c r="Z709" i="5"/>
  <c r="Z710" i="5"/>
  <c r="Z711" i="5"/>
  <c r="Z712" i="5"/>
  <c r="Z713" i="5"/>
  <c r="Z714" i="5"/>
  <c r="Z715" i="5"/>
  <c r="Z716" i="5"/>
  <c r="Z717" i="5"/>
  <c r="Z718" i="5"/>
  <c r="Z719" i="5"/>
  <c r="Z720" i="5"/>
  <c r="Z721" i="5"/>
  <c r="Z722" i="5"/>
  <c r="Z723" i="5"/>
  <c r="Z724" i="5"/>
  <c r="Z725" i="5"/>
  <c r="Z726" i="5"/>
  <c r="Z727" i="5"/>
  <c r="Z728" i="5"/>
  <c r="Z729" i="5"/>
  <c r="Z730" i="5"/>
  <c r="Z731" i="5"/>
  <c r="Z732" i="5"/>
  <c r="Z733" i="5"/>
  <c r="Z734" i="5"/>
  <c r="Z735" i="5"/>
  <c r="Z736" i="5"/>
  <c r="Z737" i="5"/>
  <c r="Z738" i="5"/>
  <c r="Z739" i="5"/>
  <c r="Z740" i="5"/>
  <c r="Z741" i="5"/>
  <c r="Z742" i="5"/>
  <c r="Z743" i="5"/>
  <c r="Z744" i="5"/>
  <c r="Z745" i="5"/>
  <c r="Z746" i="5"/>
  <c r="Z747" i="5"/>
  <c r="Z748" i="5"/>
  <c r="Z749" i="5"/>
  <c r="Z750" i="5"/>
  <c r="Z751" i="5"/>
  <c r="Z752" i="5"/>
  <c r="Z753" i="5"/>
  <c r="Z754" i="5"/>
  <c r="Z755" i="5"/>
  <c r="Z756" i="5"/>
  <c r="Z757" i="5"/>
  <c r="Z758" i="5"/>
  <c r="Z759" i="5"/>
  <c r="Z760" i="5"/>
  <c r="Z761" i="5"/>
  <c r="Z762" i="5"/>
  <c r="Z763" i="5"/>
  <c r="Z764" i="5"/>
  <c r="Z765" i="5"/>
  <c r="Z766" i="5"/>
  <c r="Z767" i="5"/>
  <c r="Z768" i="5"/>
  <c r="Z769" i="5"/>
  <c r="Z770" i="5"/>
  <c r="Z771" i="5"/>
  <c r="Z772" i="5"/>
  <c r="Z773" i="5"/>
  <c r="Z774" i="5"/>
  <c r="Z775" i="5"/>
  <c r="Z776" i="5"/>
  <c r="Z777" i="5"/>
  <c r="Z778" i="5"/>
  <c r="Z779" i="5"/>
  <c r="Z780" i="5"/>
  <c r="Z781" i="5"/>
  <c r="Z782" i="5"/>
  <c r="Z783" i="5"/>
  <c r="Z784" i="5"/>
  <c r="Z785" i="5"/>
  <c r="Z786" i="5"/>
  <c r="Z787" i="5"/>
  <c r="Z788" i="5"/>
  <c r="Z789" i="5"/>
  <c r="Y3" i="5"/>
  <c r="Y4" i="5"/>
  <c r="Y5" i="5"/>
  <c r="Y6" i="5"/>
  <c r="Y7" i="5"/>
  <c r="Y8" i="5"/>
  <c r="Y9" i="5"/>
  <c r="Y10" i="5"/>
  <c r="Y11" i="5"/>
  <c r="Y12" i="5"/>
  <c r="Y13" i="5"/>
  <c r="Y14" i="5"/>
  <c r="Y15" i="5"/>
  <c r="Y16" i="5"/>
  <c r="Y17" i="5"/>
  <c r="Y18" i="5"/>
  <c r="Y19" i="5"/>
  <c r="Y20" i="5"/>
  <c r="Y21" i="5"/>
  <c r="Y22" i="5"/>
  <c r="Y23" i="5"/>
  <c r="Y24" i="5"/>
  <c r="Y25" i="5"/>
  <c r="Y26" i="5"/>
  <c r="Y27" i="5"/>
  <c r="Y28" i="5"/>
  <c r="Y29" i="5"/>
  <c r="Y30" i="5"/>
  <c r="Y31" i="5"/>
  <c r="Y32" i="5"/>
  <c r="Y33" i="5"/>
  <c r="Y34" i="5"/>
  <c r="Y35" i="5"/>
  <c r="Y36" i="5"/>
  <c r="Y37" i="5"/>
  <c r="Y38" i="5"/>
  <c r="Y39" i="5"/>
  <c r="Y40" i="5"/>
  <c r="Y41" i="5"/>
  <c r="Y42" i="5"/>
  <c r="Y43" i="5"/>
  <c r="Y44" i="5"/>
  <c r="Y45" i="5"/>
  <c r="Y46" i="5"/>
  <c r="Y47" i="5"/>
  <c r="Y48" i="5"/>
  <c r="Y49" i="5"/>
  <c r="Y50" i="5"/>
  <c r="Y51" i="5"/>
  <c r="Y52" i="5"/>
  <c r="Y53" i="5"/>
  <c r="Y54" i="5"/>
  <c r="Y55" i="5"/>
  <c r="Y56" i="5"/>
  <c r="Y57" i="5"/>
  <c r="Y58" i="5"/>
  <c r="Y59" i="5"/>
  <c r="Y60" i="5"/>
  <c r="Y61" i="5"/>
  <c r="Y62" i="5"/>
  <c r="Y63" i="5"/>
  <c r="Y64" i="5"/>
  <c r="Y65" i="5"/>
  <c r="Y66" i="5"/>
  <c r="Y67" i="5"/>
  <c r="Y68" i="5"/>
  <c r="Y69" i="5"/>
  <c r="Y70" i="5"/>
  <c r="Y71" i="5"/>
  <c r="Y72" i="5"/>
  <c r="Y73" i="5"/>
  <c r="Y74" i="5"/>
  <c r="Y75" i="5"/>
  <c r="Y76" i="5"/>
  <c r="Y77" i="5"/>
  <c r="Y78" i="5"/>
  <c r="Y79" i="5"/>
  <c r="Y80" i="5"/>
  <c r="Y81" i="5"/>
  <c r="Y82" i="5"/>
  <c r="Y83" i="5"/>
  <c r="Y84" i="5"/>
  <c r="Y85" i="5"/>
  <c r="Y86" i="5"/>
  <c r="Y87" i="5"/>
  <c r="Y88" i="5"/>
  <c r="Y89" i="5"/>
  <c r="Y90" i="5"/>
  <c r="Y91" i="5"/>
  <c r="Y92" i="5"/>
  <c r="Y93" i="5"/>
  <c r="Y94" i="5"/>
  <c r="Y95" i="5"/>
  <c r="Y96" i="5"/>
  <c r="Y97" i="5"/>
  <c r="Y98" i="5"/>
  <c r="Y99" i="5"/>
  <c r="Y100" i="5"/>
  <c r="Y101" i="5"/>
  <c r="Y102" i="5"/>
  <c r="Y103" i="5"/>
  <c r="Y104" i="5"/>
  <c r="Y105" i="5"/>
  <c r="Y106" i="5"/>
  <c r="Y107" i="5"/>
  <c r="Y108" i="5"/>
  <c r="Y109" i="5"/>
  <c r="Y110" i="5"/>
  <c r="Y111" i="5"/>
  <c r="Y112" i="5"/>
  <c r="Y113" i="5"/>
  <c r="Y114" i="5"/>
  <c r="Y115" i="5"/>
  <c r="Y116" i="5"/>
  <c r="Y117" i="5"/>
  <c r="Y118" i="5"/>
  <c r="Y119" i="5"/>
  <c r="Y120" i="5"/>
  <c r="Y121" i="5"/>
  <c r="Y122" i="5"/>
  <c r="Y123" i="5"/>
  <c r="Y124" i="5"/>
  <c r="Y125" i="5"/>
  <c r="Y126" i="5"/>
  <c r="Y127" i="5"/>
  <c r="Y128" i="5"/>
  <c r="Y129" i="5"/>
  <c r="Y130" i="5"/>
  <c r="Y131" i="5"/>
  <c r="Y132" i="5"/>
  <c r="Y133" i="5"/>
  <c r="Y134" i="5"/>
  <c r="Y135" i="5"/>
  <c r="Y136" i="5"/>
  <c r="Y137" i="5"/>
  <c r="Y138" i="5"/>
  <c r="Y139" i="5"/>
  <c r="Y140" i="5"/>
  <c r="Y141" i="5"/>
  <c r="Y142" i="5"/>
  <c r="Y143" i="5"/>
  <c r="Y144" i="5"/>
  <c r="Y145" i="5"/>
  <c r="Y146" i="5"/>
  <c r="Y147" i="5"/>
  <c r="Y148" i="5"/>
  <c r="Y149" i="5"/>
  <c r="Y150" i="5"/>
  <c r="Y151" i="5"/>
  <c r="Y152" i="5"/>
  <c r="Y153" i="5"/>
  <c r="Y154" i="5"/>
  <c r="Y155" i="5"/>
  <c r="Y156" i="5"/>
  <c r="Y157" i="5"/>
  <c r="Y158" i="5"/>
  <c r="Y159" i="5"/>
  <c r="Y160" i="5"/>
  <c r="Y161" i="5"/>
  <c r="Y162" i="5"/>
  <c r="Y163" i="5"/>
  <c r="Y164" i="5"/>
  <c r="Y165" i="5"/>
  <c r="Y166" i="5"/>
  <c r="Y167" i="5"/>
  <c r="Y168" i="5"/>
  <c r="Y169" i="5"/>
  <c r="Y170" i="5"/>
  <c r="Y171" i="5"/>
  <c r="Y172" i="5"/>
  <c r="Y173" i="5"/>
  <c r="Y174" i="5"/>
  <c r="Y175" i="5"/>
  <c r="Y176" i="5"/>
  <c r="Y177" i="5"/>
  <c r="Y178" i="5"/>
  <c r="Y179" i="5"/>
  <c r="Y180" i="5"/>
  <c r="Y181" i="5"/>
  <c r="Y182" i="5"/>
  <c r="Y183" i="5"/>
  <c r="Y184" i="5"/>
  <c r="Y185" i="5"/>
  <c r="Y186" i="5"/>
  <c r="Y187" i="5"/>
  <c r="Y188" i="5"/>
  <c r="Y189" i="5"/>
  <c r="Y190" i="5"/>
  <c r="Y191" i="5"/>
  <c r="Y192" i="5"/>
  <c r="Y193" i="5"/>
  <c r="Y194" i="5"/>
  <c r="Y195" i="5"/>
  <c r="Y196" i="5"/>
  <c r="Y197" i="5"/>
  <c r="Y198" i="5"/>
  <c r="Y199" i="5"/>
  <c r="Y200" i="5"/>
  <c r="Y201" i="5"/>
  <c r="Y202" i="5"/>
  <c r="Y203" i="5"/>
  <c r="Y204" i="5"/>
  <c r="Y205" i="5"/>
  <c r="Y206" i="5"/>
  <c r="Y207" i="5"/>
  <c r="Y208" i="5"/>
  <c r="Y209" i="5"/>
  <c r="Y210" i="5"/>
  <c r="Y211" i="5"/>
  <c r="Y212" i="5"/>
  <c r="Y213" i="5"/>
  <c r="Y214" i="5"/>
  <c r="Y215" i="5"/>
  <c r="Y216" i="5"/>
  <c r="Y217" i="5"/>
  <c r="Y218" i="5"/>
  <c r="Y219" i="5"/>
  <c r="Y220" i="5"/>
  <c r="Y221" i="5"/>
  <c r="Y222" i="5"/>
  <c r="Y223" i="5"/>
  <c r="Y224" i="5"/>
  <c r="Y225" i="5"/>
  <c r="Y226" i="5"/>
  <c r="Y227" i="5"/>
  <c r="Y228" i="5"/>
  <c r="Y229" i="5"/>
  <c r="Y230" i="5"/>
  <c r="Y231" i="5"/>
  <c r="Y232" i="5"/>
  <c r="Y233" i="5"/>
  <c r="Y234" i="5"/>
  <c r="Y235" i="5"/>
  <c r="Y236" i="5"/>
  <c r="Y237" i="5"/>
  <c r="Y238" i="5"/>
  <c r="Y239" i="5"/>
  <c r="Y240" i="5"/>
  <c r="Y241" i="5"/>
  <c r="Y242" i="5"/>
  <c r="Y243" i="5"/>
  <c r="Y244" i="5"/>
  <c r="Y245" i="5"/>
  <c r="Y246" i="5"/>
  <c r="Y247" i="5"/>
  <c r="Y248" i="5"/>
  <c r="Y249" i="5"/>
  <c r="Y250" i="5"/>
  <c r="Y251" i="5"/>
  <c r="Y252" i="5"/>
  <c r="Y253" i="5"/>
  <c r="Y254" i="5"/>
  <c r="Y255" i="5"/>
  <c r="Y256" i="5"/>
  <c r="Y257" i="5"/>
  <c r="Y258" i="5"/>
  <c r="Y259" i="5"/>
  <c r="Y260" i="5"/>
  <c r="Y261" i="5"/>
  <c r="Y262" i="5"/>
  <c r="Y263" i="5"/>
  <c r="Y264" i="5"/>
  <c r="Y265" i="5"/>
  <c r="Y266" i="5"/>
  <c r="Y267" i="5"/>
  <c r="Y268" i="5"/>
  <c r="Y269" i="5"/>
  <c r="Y270" i="5"/>
  <c r="Y271" i="5"/>
  <c r="Y272" i="5"/>
  <c r="Y273" i="5"/>
  <c r="Y274" i="5"/>
  <c r="Y275" i="5"/>
  <c r="Y276" i="5"/>
  <c r="Y277" i="5"/>
  <c r="Y278" i="5"/>
  <c r="Y279" i="5"/>
  <c r="Y280" i="5"/>
  <c r="Y281" i="5"/>
  <c r="Y282" i="5"/>
  <c r="Y283" i="5"/>
  <c r="Y284" i="5"/>
  <c r="Y285" i="5"/>
  <c r="Y286" i="5"/>
  <c r="Y287" i="5"/>
  <c r="Y288" i="5"/>
  <c r="Y289" i="5"/>
  <c r="Y290" i="5"/>
  <c r="Y291" i="5"/>
  <c r="Y292" i="5"/>
  <c r="Y293" i="5"/>
  <c r="Y294" i="5"/>
  <c r="Y295" i="5"/>
  <c r="Y296" i="5"/>
  <c r="Y297" i="5"/>
  <c r="Y298" i="5"/>
  <c r="Y299" i="5"/>
  <c r="Y300" i="5"/>
  <c r="Y301" i="5"/>
  <c r="Y302" i="5"/>
  <c r="Y303" i="5"/>
  <c r="Y304" i="5"/>
  <c r="Y305" i="5"/>
  <c r="Y306" i="5"/>
  <c r="Y307" i="5"/>
  <c r="Y308" i="5"/>
  <c r="Y309" i="5"/>
  <c r="Y310" i="5"/>
  <c r="Y311" i="5"/>
  <c r="Y312" i="5"/>
  <c r="Y313" i="5"/>
  <c r="Y314" i="5"/>
  <c r="Y315" i="5"/>
  <c r="Y316" i="5"/>
  <c r="Y317" i="5"/>
  <c r="Y318" i="5"/>
  <c r="Y319" i="5"/>
  <c r="Y320" i="5"/>
  <c r="Y321" i="5"/>
  <c r="Y322" i="5"/>
  <c r="Y323" i="5"/>
  <c r="Y324" i="5"/>
  <c r="Y325" i="5"/>
  <c r="Y326" i="5"/>
  <c r="Y327" i="5"/>
  <c r="Y328" i="5"/>
  <c r="Y329" i="5"/>
  <c r="Y330" i="5"/>
  <c r="Y331" i="5"/>
  <c r="Y332" i="5"/>
  <c r="Y333" i="5"/>
  <c r="Y334" i="5"/>
  <c r="Y335" i="5"/>
  <c r="Y336" i="5"/>
  <c r="Y337" i="5"/>
  <c r="Y338" i="5"/>
  <c r="Y339" i="5"/>
  <c r="Y340" i="5"/>
  <c r="Y341" i="5"/>
  <c r="Y342" i="5"/>
  <c r="Y343" i="5"/>
  <c r="Y344" i="5"/>
  <c r="Y345" i="5"/>
  <c r="Y346" i="5"/>
  <c r="Y347" i="5"/>
  <c r="Y348" i="5"/>
  <c r="Y349" i="5"/>
  <c r="Y350" i="5"/>
  <c r="Y351" i="5"/>
  <c r="Y352" i="5"/>
  <c r="Y353" i="5"/>
  <c r="Y354" i="5"/>
  <c r="Y355" i="5"/>
  <c r="Y356" i="5"/>
  <c r="Y357" i="5"/>
  <c r="Y358" i="5"/>
  <c r="Y359" i="5"/>
  <c r="Y360" i="5"/>
  <c r="Y361" i="5"/>
  <c r="Y362" i="5"/>
  <c r="Y363" i="5"/>
  <c r="Y364" i="5"/>
  <c r="Y365" i="5"/>
  <c r="Y366" i="5"/>
  <c r="Y367" i="5"/>
  <c r="Y368" i="5"/>
  <c r="Y369" i="5"/>
  <c r="Y370" i="5"/>
  <c r="Y371" i="5"/>
  <c r="Y372" i="5"/>
  <c r="Y373" i="5"/>
  <c r="Y374" i="5"/>
  <c r="Y375" i="5"/>
  <c r="Y376" i="5"/>
  <c r="Y377" i="5"/>
  <c r="Y378" i="5"/>
  <c r="Y379" i="5"/>
  <c r="Y380" i="5"/>
  <c r="Y381" i="5"/>
  <c r="Y382" i="5"/>
  <c r="Y383" i="5"/>
  <c r="Y384" i="5"/>
  <c r="Y385" i="5"/>
  <c r="Y386" i="5"/>
  <c r="Y387" i="5"/>
  <c r="Y388" i="5"/>
  <c r="Y389" i="5"/>
  <c r="Y390" i="5"/>
  <c r="Y391" i="5"/>
  <c r="Y392" i="5"/>
  <c r="Y393" i="5"/>
  <c r="Y394" i="5"/>
  <c r="Y395" i="5"/>
  <c r="Y396" i="5"/>
  <c r="Y397" i="5"/>
  <c r="Y398" i="5"/>
  <c r="Y399" i="5"/>
  <c r="Y400" i="5"/>
  <c r="Y401" i="5"/>
  <c r="Y402" i="5"/>
  <c r="Y403" i="5"/>
  <c r="Y404" i="5"/>
  <c r="Y405" i="5"/>
  <c r="Y406" i="5"/>
  <c r="Y407" i="5"/>
  <c r="Y408" i="5"/>
  <c r="Y409" i="5"/>
  <c r="Y410" i="5"/>
  <c r="Y411" i="5"/>
  <c r="Y412" i="5"/>
  <c r="Y413" i="5"/>
  <c r="Y414" i="5"/>
  <c r="Y415" i="5"/>
  <c r="Y416" i="5"/>
  <c r="Y417" i="5"/>
  <c r="Y418" i="5"/>
  <c r="Y419" i="5"/>
  <c r="Y420" i="5"/>
  <c r="Y421" i="5"/>
  <c r="Y422" i="5"/>
  <c r="Y423" i="5"/>
  <c r="Y424" i="5"/>
  <c r="Y425" i="5"/>
  <c r="Y426" i="5"/>
  <c r="Y427" i="5"/>
  <c r="Y428" i="5"/>
  <c r="Y429" i="5"/>
  <c r="Y430" i="5"/>
  <c r="Y431" i="5"/>
  <c r="Y432" i="5"/>
  <c r="Y433" i="5"/>
  <c r="Y434" i="5"/>
  <c r="Y435" i="5"/>
  <c r="Y436" i="5"/>
  <c r="Y437" i="5"/>
  <c r="Y438" i="5"/>
  <c r="Y439" i="5"/>
  <c r="Y440" i="5"/>
  <c r="Y441" i="5"/>
  <c r="Y442" i="5"/>
  <c r="Y443" i="5"/>
  <c r="Y444" i="5"/>
  <c r="Y445" i="5"/>
  <c r="Y446" i="5"/>
  <c r="Y447" i="5"/>
  <c r="Y448" i="5"/>
  <c r="Y449" i="5"/>
  <c r="Y450" i="5"/>
  <c r="Y451" i="5"/>
  <c r="Y452" i="5"/>
  <c r="Y453" i="5"/>
  <c r="Y454" i="5"/>
  <c r="Y455" i="5"/>
  <c r="Y456" i="5"/>
  <c r="Y457" i="5"/>
  <c r="Y458" i="5"/>
  <c r="Y459" i="5"/>
  <c r="Y460" i="5"/>
  <c r="Y461" i="5"/>
  <c r="Y462" i="5"/>
  <c r="Y463" i="5"/>
  <c r="Y464" i="5"/>
  <c r="Y465" i="5"/>
  <c r="Y466" i="5"/>
  <c r="Y467" i="5"/>
  <c r="Y468" i="5"/>
  <c r="Y469" i="5"/>
  <c r="Y470" i="5"/>
  <c r="Y471" i="5"/>
  <c r="Y472" i="5"/>
  <c r="Y473" i="5"/>
  <c r="Y474" i="5"/>
  <c r="Y475" i="5"/>
  <c r="Y476" i="5"/>
  <c r="Y477" i="5"/>
  <c r="Y478" i="5"/>
  <c r="Y479" i="5"/>
  <c r="Y480" i="5"/>
  <c r="Y481" i="5"/>
  <c r="Y482" i="5"/>
  <c r="Y483" i="5"/>
  <c r="Y484" i="5"/>
  <c r="Y485" i="5"/>
  <c r="Y486" i="5"/>
  <c r="Y487" i="5"/>
  <c r="Y488" i="5"/>
  <c r="Y489" i="5"/>
  <c r="Y490" i="5"/>
  <c r="Y491" i="5"/>
  <c r="Y492" i="5"/>
  <c r="Y493" i="5"/>
  <c r="Y494" i="5"/>
  <c r="Y495" i="5"/>
  <c r="Y496" i="5"/>
  <c r="Y497" i="5"/>
  <c r="Y498" i="5"/>
  <c r="Y499" i="5"/>
  <c r="Y500" i="5"/>
  <c r="Y501" i="5"/>
  <c r="Y502" i="5"/>
  <c r="Y503" i="5"/>
  <c r="Y504" i="5"/>
  <c r="Y505" i="5"/>
  <c r="Y506" i="5"/>
  <c r="Y507" i="5"/>
  <c r="Y508" i="5"/>
  <c r="Y509" i="5"/>
  <c r="Y510" i="5"/>
  <c r="Y511" i="5"/>
  <c r="Y512" i="5"/>
  <c r="Y513" i="5"/>
  <c r="Y514" i="5"/>
  <c r="Y515" i="5"/>
  <c r="Y516" i="5"/>
  <c r="Y517" i="5"/>
  <c r="Y518" i="5"/>
  <c r="Y519" i="5"/>
  <c r="Y520" i="5"/>
  <c r="Y521" i="5"/>
  <c r="Y522" i="5"/>
  <c r="Y523" i="5"/>
  <c r="Y524" i="5"/>
  <c r="Y525" i="5"/>
  <c r="Y526" i="5"/>
  <c r="Y527" i="5"/>
  <c r="Y528" i="5"/>
  <c r="Y529" i="5"/>
  <c r="Y530" i="5"/>
  <c r="Y531" i="5"/>
  <c r="Y532" i="5"/>
  <c r="Y533" i="5"/>
  <c r="Y534" i="5"/>
  <c r="Y535" i="5"/>
  <c r="Y536" i="5"/>
  <c r="Y537" i="5"/>
  <c r="Y538" i="5"/>
  <c r="Y539" i="5"/>
  <c r="Y540" i="5"/>
  <c r="Y541" i="5"/>
  <c r="Y542" i="5"/>
  <c r="Y543" i="5"/>
  <c r="Y544" i="5"/>
  <c r="Y545" i="5"/>
  <c r="Y546" i="5"/>
  <c r="Y547" i="5"/>
  <c r="Y548" i="5"/>
  <c r="Y549" i="5"/>
  <c r="Y550" i="5"/>
  <c r="Y551" i="5"/>
  <c r="Y552" i="5"/>
  <c r="Y553" i="5"/>
  <c r="Y554" i="5"/>
  <c r="Y555" i="5"/>
  <c r="Y556" i="5"/>
  <c r="Y557" i="5"/>
  <c r="Y558" i="5"/>
  <c r="Y559" i="5"/>
  <c r="Y560" i="5"/>
  <c r="Y561" i="5"/>
  <c r="Y562" i="5"/>
  <c r="Y563" i="5"/>
  <c r="Y564" i="5"/>
  <c r="Y565" i="5"/>
  <c r="Y566" i="5"/>
  <c r="Y567" i="5"/>
  <c r="Y568" i="5"/>
  <c r="Y569" i="5"/>
  <c r="Y570" i="5"/>
  <c r="Y571" i="5"/>
  <c r="Y572" i="5"/>
  <c r="Y573" i="5"/>
  <c r="Y574" i="5"/>
  <c r="Y575" i="5"/>
  <c r="Y576" i="5"/>
  <c r="Y577" i="5"/>
  <c r="Y578" i="5"/>
  <c r="Y579" i="5"/>
  <c r="Y580" i="5"/>
  <c r="Y581" i="5"/>
  <c r="Y582" i="5"/>
  <c r="Y583" i="5"/>
  <c r="Y584" i="5"/>
  <c r="Y585" i="5"/>
  <c r="Y586" i="5"/>
  <c r="Y587" i="5"/>
  <c r="Y588" i="5"/>
  <c r="Y589" i="5"/>
  <c r="Y590" i="5"/>
  <c r="Y591" i="5"/>
  <c r="Y592" i="5"/>
  <c r="Y593" i="5"/>
  <c r="Y594" i="5"/>
  <c r="Y595" i="5"/>
  <c r="Y596" i="5"/>
  <c r="Y597" i="5"/>
  <c r="Y598" i="5"/>
  <c r="Y599" i="5"/>
  <c r="Y600" i="5"/>
  <c r="Y601" i="5"/>
  <c r="Y602" i="5"/>
  <c r="Y603" i="5"/>
  <c r="Y604" i="5"/>
  <c r="Y605" i="5"/>
  <c r="Y606" i="5"/>
  <c r="Y607" i="5"/>
  <c r="Y608" i="5"/>
  <c r="Y609" i="5"/>
  <c r="Y610" i="5"/>
  <c r="Y611" i="5"/>
  <c r="Y612" i="5"/>
  <c r="Y613" i="5"/>
  <c r="Y614" i="5"/>
  <c r="Y615" i="5"/>
  <c r="Y616" i="5"/>
  <c r="Y617" i="5"/>
  <c r="Y618" i="5"/>
  <c r="Y619" i="5"/>
  <c r="Y620" i="5"/>
  <c r="Y621" i="5"/>
  <c r="Y622" i="5"/>
  <c r="Y623" i="5"/>
  <c r="Y624" i="5"/>
  <c r="Y625" i="5"/>
  <c r="Y626" i="5"/>
  <c r="Y627" i="5"/>
  <c r="Y628" i="5"/>
  <c r="Y629" i="5"/>
  <c r="Y630" i="5"/>
  <c r="Y631" i="5"/>
  <c r="Y632" i="5"/>
  <c r="Y633" i="5"/>
  <c r="Y634" i="5"/>
  <c r="Y635" i="5"/>
  <c r="Y636" i="5"/>
  <c r="Y637" i="5"/>
  <c r="Y638" i="5"/>
  <c r="Y639" i="5"/>
  <c r="Y640" i="5"/>
  <c r="Y641" i="5"/>
  <c r="Y642" i="5"/>
  <c r="Y643" i="5"/>
  <c r="Y644" i="5"/>
  <c r="Y645" i="5"/>
  <c r="Y646" i="5"/>
  <c r="Y647" i="5"/>
  <c r="Y648" i="5"/>
  <c r="Y649" i="5"/>
  <c r="Y650" i="5"/>
  <c r="Y651" i="5"/>
  <c r="Y652" i="5"/>
  <c r="Y653" i="5"/>
  <c r="Y654" i="5"/>
  <c r="Y655" i="5"/>
  <c r="Y656" i="5"/>
  <c r="Y657" i="5"/>
  <c r="Y658" i="5"/>
  <c r="Y659" i="5"/>
  <c r="Y660" i="5"/>
  <c r="Y661" i="5"/>
  <c r="Y662" i="5"/>
  <c r="Y663" i="5"/>
  <c r="Y664" i="5"/>
  <c r="Y665" i="5"/>
  <c r="Y666" i="5"/>
  <c r="Y667" i="5"/>
  <c r="Y668" i="5"/>
  <c r="Y669" i="5"/>
  <c r="Y670" i="5"/>
  <c r="Y671" i="5"/>
  <c r="Y672" i="5"/>
  <c r="Y673" i="5"/>
  <c r="Y674" i="5"/>
  <c r="Y675" i="5"/>
  <c r="Y676" i="5"/>
  <c r="Y677" i="5"/>
  <c r="Y678" i="5"/>
  <c r="Y679" i="5"/>
  <c r="Y680" i="5"/>
  <c r="Y681" i="5"/>
  <c r="Y682" i="5"/>
  <c r="Y683" i="5"/>
  <c r="Y684" i="5"/>
  <c r="Y685" i="5"/>
  <c r="Y686" i="5"/>
  <c r="Y687" i="5"/>
  <c r="Y688" i="5"/>
  <c r="Y689" i="5"/>
  <c r="Y690" i="5"/>
  <c r="Y691" i="5"/>
  <c r="Y692" i="5"/>
  <c r="Y693" i="5"/>
  <c r="Y694" i="5"/>
  <c r="Y695" i="5"/>
  <c r="Y696" i="5"/>
  <c r="Y697" i="5"/>
  <c r="Y698" i="5"/>
  <c r="Y699" i="5"/>
  <c r="Y700" i="5"/>
  <c r="Y701" i="5"/>
  <c r="Y702" i="5"/>
  <c r="Y703" i="5"/>
  <c r="Y704" i="5"/>
  <c r="Y705" i="5"/>
  <c r="Y706" i="5"/>
  <c r="Y707" i="5"/>
  <c r="Y708" i="5"/>
  <c r="Y709" i="5"/>
  <c r="Y710" i="5"/>
  <c r="Y711" i="5"/>
  <c r="Y712" i="5"/>
  <c r="Y713" i="5"/>
  <c r="Y714" i="5"/>
  <c r="Y715" i="5"/>
  <c r="Y716" i="5"/>
  <c r="Y717" i="5"/>
  <c r="Y718" i="5"/>
  <c r="Y719" i="5"/>
  <c r="Y720" i="5"/>
  <c r="Y721" i="5"/>
  <c r="Y722" i="5"/>
  <c r="Y723" i="5"/>
  <c r="Y724" i="5"/>
  <c r="Y725" i="5"/>
  <c r="Y726" i="5"/>
  <c r="Y727" i="5"/>
  <c r="Y728" i="5"/>
  <c r="Y729" i="5"/>
  <c r="Y730" i="5"/>
  <c r="Y731" i="5"/>
  <c r="Y732" i="5"/>
  <c r="Y733" i="5"/>
  <c r="Y734" i="5"/>
  <c r="Y735" i="5"/>
  <c r="Y736" i="5"/>
  <c r="Y737" i="5"/>
  <c r="Y738" i="5"/>
  <c r="Y739" i="5"/>
  <c r="Y740" i="5"/>
  <c r="Y741" i="5"/>
  <c r="Y742" i="5"/>
  <c r="Y743" i="5"/>
  <c r="Y744" i="5"/>
  <c r="Y745" i="5"/>
  <c r="Y746" i="5"/>
  <c r="Y747" i="5"/>
  <c r="Y748" i="5"/>
  <c r="Y749" i="5"/>
  <c r="Y750" i="5"/>
  <c r="Y751" i="5"/>
  <c r="Y752" i="5"/>
  <c r="Y753" i="5"/>
  <c r="Y754" i="5"/>
  <c r="Y755" i="5"/>
  <c r="Y756" i="5"/>
  <c r="Y757" i="5"/>
  <c r="Y758" i="5"/>
  <c r="Y759" i="5"/>
  <c r="Y760" i="5"/>
  <c r="Y761" i="5"/>
  <c r="Y762" i="5"/>
  <c r="Y763" i="5"/>
  <c r="Y764" i="5"/>
  <c r="Y765" i="5"/>
  <c r="Y766" i="5"/>
  <c r="Y767" i="5"/>
  <c r="Y768" i="5"/>
  <c r="Y769" i="5"/>
  <c r="Y770" i="5"/>
  <c r="Y771" i="5"/>
  <c r="Y772" i="5"/>
  <c r="Y773" i="5"/>
  <c r="Y774" i="5"/>
  <c r="Y775" i="5"/>
  <c r="Y776" i="5"/>
  <c r="Y777" i="5"/>
  <c r="Y778" i="5"/>
  <c r="Y779" i="5"/>
  <c r="Y780" i="5"/>
  <c r="Y781" i="5"/>
  <c r="Y782" i="5"/>
  <c r="Y783" i="5"/>
  <c r="Y784" i="5"/>
  <c r="Y785" i="5"/>
  <c r="Y786" i="5"/>
  <c r="Y787" i="5"/>
  <c r="Y788" i="5"/>
  <c r="Y789" i="5"/>
  <c r="X3" i="5"/>
  <c r="X4" i="5"/>
  <c r="X5" i="5"/>
  <c r="X6" i="5"/>
  <c r="X7" i="5"/>
  <c r="X8" i="5"/>
  <c r="X9" i="5"/>
  <c r="X10" i="5"/>
  <c r="X11" i="5"/>
  <c r="X12" i="5"/>
  <c r="X13" i="5"/>
  <c r="X14" i="5"/>
  <c r="X15" i="5"/>
  <c r="X16" i="5"/>
  <c r="X17" i="5"/>
  <c r="X18" i="5"/>
  <c r="X19" i="5"/>
  <c r="X20" i="5"/>
  <c r="X21" i="5"/>
  <c r="X22" i="5"/>
  <c r="X23" i="5"/>
  <c r="X24" i="5"/>
  <c r="X25" i="5"/>
  <c r="X26" i="5"/>
  <c r="X27" i="5"/>
  <c r="X28" i="5"/>
  <c r="X29" i="5"/>
  <c r="X30" i="5"/>
  <c r="X31" i="5"/>
  <c r="X32" i="5"/>
  <c r="X33" i="5"/>
  <c r="X34" i="5"/>
  <c r="X35" i="5"/>
  <c r="X36" i="5"/>
  <c r="X37" i="5"/>
  <c r="X38" i="5"/>
  <c r="X39" i="5"/>
  <c r="X40" i="5"/>
  <c r="X41" i="5"/>
  <c r="X42" i="5"/>
  <c r="X43" i="5"/>
  <c r="X44" i="5"/>
  <c r="X45" i="5"/>
  <c r="X46" i="5"/>
  <c r="X47" i="5"/>
  <c r="X48" i="5"/>
  <c r="X49" i="5"/>
  <c r="X50" i="5"/>
  <c r="X51" i="5"/>
  <c r="X52" i="5"/>
  <c r="X53" i="5"/>
  <c r="X54" i="5"/>
  <c r="X55" i="5"/>
  <c r="X56" i="5"/>
  <c r="X57" i="5"/>
  <c r="X58" i="5"/>
  <c r="X59" i="5"/>
  <c r="X60" i="5"/>
  <c r="X61" i="5"/>
  <c r="X62" i="5"/>
  <c r="X63" i="5"/>
  <c r="X64" i="5"/>
  <c r="X65" i="5"/>
  <c r="X66" i="5"/>
  <c r="X67" i="5"/>
  <c r="X68" i="5"/>
  <c r="X69" i="5"/>
  <c r="X70" i="5"/>
  <c r="X71" i="5"/>
  <c r="X72" i="5"/>
  <c r="X73" i="5"/>
  <c r="X74" i="5"/>
  <c r="X75" i="5"/>
  <c r="X76" i="5"/>
  <c r="X77" i="5"/>
  <c r="X78" i="5"/>
  <c r="X79" i="5"/>
  <c r="X80" i="5"/>
  <c r="X81" i="5"/>
  <c r="X82" i="5"/>
  <c r="X83" i="5"/>
  <c r="X84" i="5"/>
  <c r="X85" i="5"/>
  <c r="X86" i="5"/>
  <c r="X87" i="5"/>
  <c r="X88" i="5"/>
  <c r="X89" i="5"/>
  <c r="X90" i="5"/>
  <c r="X91" i="5"/>
  <c r="X92" i="5"/>
  <c r="X93" i="5"/>
  <c r="X94" i="5"/>
  <c r="X95" i="5"/>
  <c r="X96" i="5"/>
  <c r="X97" i="5"/>
  <c r="X98" i="5"/>
  <c r="X99" i="5"/>
  <c r="X100" i="5"/>
  <c r="X101" i="5"/>
  <c r="X102" i="5"/>
  <c r="X103" i="5"/>
  <c r="X104" i="5"/>
  <c r="X105" i="5"/>
  <c r="X106" i="5"/>
  <c r="X107" i="5"/>
  <c r="X108" i="5"/>
  <c r="X109" i="5"/>
  <c r="X110" i="5"/>
  <c r="X111" i="5"/>
  <c r="X112" i="5"/>
  <c r="X113" i="5"/>
  <c r="X114" i="5"/>
  <c r="X115" i="5"/>
  <c r="X116" i="5"/>
  <c r="X117" i="5"/>
  <c r="X118" i="5"/>
  <c r="X119" i="5"/>
  <c r="X120" i="5"/>
  <c r="X121" i="5"/>
  <c r="X122" i="5"/>
  <c r="X123" i="5"/>
  <c r="X124" i="5"/>
  <c r="X125" i="5"/>
  <c r="X126" i="5"/>
  <c r="X127" i="5"/>
  <c r="X128" i="5"/>
  <c r="X129" i="5"/>
  <c r="X130" i="5"/>
  <c r="X131" i="5"/>
  <c r="X132" i="5"/>
  <c r="X133" i="5"/>
  <c r="X134" i="5"/>
  <c r="X135" i="5"/>
  <c r="X136" i="5"/>
  <c r="X137" i="5"/>
  <c r="X138" i="5"/>
  <c r="X139" i="5"/>
  <c r="X140" i="5"/>
  <c r="X141" i="5"/>
  <c r="X142" i="5"/>
  <c r="X143" i="5"/>
  <c r="X144" i="5"/>
  <c r="X145" i="5"/>
  <c r="X146" i="5"/>
  <c r="X147" i="5"/>
  <c r="X148" i="5"/>
  <c r="X149" i="5"/>
  <c r="X150" i="5"/>
  <c r="X151" i="5"/>
  <c r="X152" i="5"/>
  <c r="X153" i="5"/>
  <c r="X154" i="5"/>
  <c r="X155" i="5"/>
  <c r="X156" i="5"/>
  <c r="X157" i="5"/>
  <c r="X158" i="5"/>
  <c r="X159" i="5"/>
  <c r="X160" i="5"/>
  <c r="X161" i="5"/>
  <c r="X162" i="5"/>
  <c r="X163" i="5"/>
  <c r="X164" i="5"/>
  <c r="X165" i="5"/>
  <c r="X166" i="5"/>
  <c r="X167" i="5"/>
  <c r="X168" i="5"/>
  <c r="X169" i="5"/>
  <c r="X170" i="5"/>
  <c r="X171" i="5"/>
  <c r="X172" i="5"/>
  <c r="X173" i="5"/>
  <c r="X174" i="5"/>
  <c r="X175" i="5"/>
  <c r="X176" i="5"/>
  <c r="X177" i="5"/>
  <c r="X178" i="5"/>
  <c r="X179" i="5"/>
  <c r="X180" i="5"/>
  <c r="X181" i="5"/>
  <c r="X182" i="5"/>
  <c r="X183" i="5"/>
  <c r="X184" i="5"/>
  <c r="X185" i="5"/>
  <c r="X186" i="5"/>
  <c r="X187" i="5"/>
  <c r="X188" i="5"/>
  <c r="X189" i="5"/>
  <c r="X190" i="5"/>
  <c r="X191" i="5"/>
  <c r="X192" i="5"/>
  <c r="X193" i="5"/>
  <c r="X194" i="5"/>
  <c r="X195" i="5"/>
  <c r="X196" i="5"/>
  <c r="X197" i="5"/>
  <c r="X198" i="5"/>
  <c r="X199" i="5"/>
  <c r="X200" i="5"/>
  <c r="X201" i="5"/>
  <c r="X202" i="5"/>
  <c r="X203" i="5"/>
  <c r="X204" i="5"/>
  <c r="X205" i="5"/>
  <c r="X206" i="5"/>
  <c r="X207" i="5"/>
  <c r="X208" i="5"/>
  <c r="X209" i="5"/>
  <c r="X210" i="5"/>
  <c r="X211" i="5"/>
  <c r="X212" i="5"/>
  <c r="X213" i="5"/>
  <c r="X214" i="5"/>
  <c r="X215" i="5"/>
  <c r="X216" i="5"/>
  <c r="X217" i="5"/>
  <c r="X218" i="5"/>
  <c r="X219" i="5"/>
  <c r="X220" i="5"/>
  <c r="X221" i="5"/>
  <c r="X222" i="5"/>
  <c r="X223" i="5"/>
  <c r="X224" i="5"/>
  <c r="X225" i="5"/>
  <c r="X226" i="5"/>
  <c r="X227" i="5"/>
  <c r="X228" i="5"/>
  <c r="X229" i="5"/>
  <c r="X230" i="5"/>
  <c r="X231" i="5"/>
  <c r="X232" i="5"/>
  <c r="X233" i="5"/>
  <c r="X234" i="5"/>
  <c r="X235" i="5"/>
  <c r="X236" i="5"/>
  <c r="X237" i="5"/>
  <c r="X238" i="5"/>
  <c r="X239" i="5"/>
  <c r="X240" i="5"/>
  <c r="X241" i="5"/>
  <c r="X242" i="5"/>
  <c r="X243" i="5"/>
  <c r="X244" i="5"/>
  <c r="X245" i="5"/>
  <c r="X246" i="5"/>
  <c r="X247" i="5"/>
  <c r="X248" i="5"/>
  <c r="X249" i="5"/>
  <c r="X250" i="5"/>
  <c r="X251" i="5"/>
  <c r="X252" i="5"/>
  <c r="X253" i="5"/>
  <c r="X254" i="5"/>
  <c r="X255" i="5"/>
  <c r="X256" i="5"/>
  <c r="X257" i="5"/>
  <c r="X258" i="5"/>
  <c r="X259" i="5"/>
  <c r="X260" i="5"/>
  <c r="X261" i="5"/>
  <c r="X262" i="5"/>
  <c r="X263" i="5"/>
  <c r="X264" i="5"/>
  <c r="X265" i="5"/>
  <c r="X266" i="5"/>
  <c r="X267" i="5"/>
  <c r="X268" i="5"/>
  <c r="X269" i="5"/>
  <c r="X270" i="5"/>
  <c r="X271" i="5"/>
  <c r="X272" i="5"/>
  <c r="X273" i="5"/>
  <c r="X274" i="5"/>
  <c r="X275" i="5"/>
  <c r="X276" i="5"/>
  <c r="X277" i="5"/>
  <c r="X278" i="5"/>
  <c r="X279" i="5"/>
  <c r="X280" i="5"/>
  <c r="X281" i="5"/>
  <c r="X282" i="5"/>
  <c r="X283" i="5"/>
  <c r="X284" i="5"/>
  <c r="X285" i="5"/>
  <c r="X286" i="5"/>
  <c r="X287" i="5"/>
  <c r="X288" i="5"/>
  <c r="X289" i="5"/>
  <c r="X290" i="5"/>
  <c r="X291" i="5"/>
  <c r="X292" i="5"/>
  <c r="X293" i="5"/>
  <c r="X294" i="5"/>
  <c r="X295" i="5"/>
  <c r="X296" i="5"/>
  <c r="X297" i="5"/>
  <c r="X298" i="5"/>
  <c r="X299" i="5"/>
  <c r="X300" i="5"/>
  <c r="X301" i="5"/>
  <c r="X302" i="5"/>
  <c r="X303" i="5"/>
  <c r="X304" i="5"/>
  <c r="X305" i="5"/>
  <c r="X306" i="5"/>
  <c r="X307" i="5"/>
  <c r="X308" i="5"/>
  <c r="X309" i="5"/>
  <c r="X310" i="5"/>
  <c r="X311" i="5"/>
  <c r="X312" i="5"/>
  <c r="X313" i="5"/>
  <c r="X314" i="5"/>
  <c r="X315" i="5"/>
  <c r="X316" i="5"/>
  <c r="X317" i="5"/>
  <c r="X318" i="5"/>
  <c r="X319" i="5"/>
  <c r="X320" i="5"/>
  <c r="X321" i="5"/>
  <c r="X322" i="5"/>
  <c r="X323" i="5"/>
  <c r="X324" i="5"/>
  <c r="X325" i="5"/>
  <c r="X326" i="5"/>
  <c r="X327" i="5"/>
  <c r="X328" i="5"/>
  <c r="X329" i="5"/>
  <c r="X330" i="5"/>
  <c r="X331" i="5"/>
  <c r="X332" i="5"/>
  <c r="X333" i="5"/>
  <c r="X334" i="5"/>
  <c r="X335" i="5"/>
  <c r="X336" i="5"/>
  <c r="X337" i="5"/>
  <c r="X338" i="5"/>
  <c r="X339" i="5"/>
  <c r="X340" i="5"/>
  <c r="X341" i="5"/>
  <c r="X342" i="5"/>
  <c r="X343" i="5"/>
  <c r="X344" i="5"/>
  <c r="X345" i="5"/>
  <c r="X346" i="5"/>
  <c r="X347" i="5"/>
  <c r="X348" i="5"/>
  <c r="X349" i="5"/>
  <c r="X350" i="5"/>
  <c r="X351" i="5"/>
  <c r="X352" i="5"/>
  <c r="X353" i="5"/>
  <c r="X354" i="5"/>
  <c r="X355" i="5"/>
  <c r="X356" i="5"/>
  <c r="X357" i="5"/>
  <c r="X358" i="5"/>
  <c r="X359" i="5"/>
  <c r="X360" i="5"/>
  <c r="X361" i="5"/>
  <c r="X362" i="5"/>
  <c r="X363" i="5"/>
  <c r="X364" i="5"/>
  <c r="X365" i="5"/>
  <c r="X366" i="5"/>
  <c r="X367" i="5"/>
  <c r="X368" i="5"/>
  <c r="X369" i="5"/>
  <c r="X370" i="5"/>
  <c r="X371" i="5"/>
  <c r="X372" i="5"/>
  <c r="X373" i="5"/>
  <c r="X374" i="5"/>
  <c r="X375" i="5"/>
  <c r="X376" i="5"/>
  <c r="X377" i="5"/>
  <c r="X378" i="5"/>
  <c r="X379" i="5"/>
  <c r="X380" i="5"/>
  <c r="X381" i="5"/>
  <c r="X382" i="5"/>
  <c r="X383" i="5"/>
  <c r="X384" i="5"/>
  <c r="X385" i="5"/>
  <c r="X386" i="5"/>
  <c r="X387" i="5"/>
  <c r="X388" i="5"/>
  <c r="X389" i="5"/>
  <c r="X390" i="5"/>
  <c r="X391" i="5"/>
  <c r="X392" i="5"/>
  <c r="X393" i="5"/>
  <c r="X394" i="5"/>
  <c r="X395" i="5"/>
  <c r="X396" i="5"/>
  <c r="X397" i="5"/>
  <c r="X398" i="5"/>
  <c r="X399" i="5"/>
  <c r="X400" i="5"/>
  <c r="X401" i="5"/>
  <c r="X402" i="5"/>
  <c r="X403" i="5"/>
  <c r="X404" i="5"/>
  <c r="X405" i="5"/>
  <c r="X406" i="5"/>
  <c r="X407" i="5"/>
  <c r="X408" i="5"/>
  <c r="X409" i="5"/>
  <c r="X410" i="5"/>
  <c r="X411" i="5"/>
  <c r="X412" i="5"/>
  <c r="X413" i="5"/>
  <c r="X414" i="5"/>
  <c r="X415" i="5"/>
  <c r="X416" i="5"/>
  <c r="X417" i="5"/>
  <c r="X418" i="5"/>
  <c r="X419" i="5"/>
  <c r="X420" i="5"/>
  <c r="X421" i="5"/>
  <c r="X422" i="5"/>
  <c r="X423" i="5"/>
  <c r="X424" i="5"/>
  <c r="X425" i="5"/>
  <c r="X426" i="5"/>
  <c r="X427" i="5"/>
  <c r="X428" i="5"/>
  <c r="X429" i="5"/>
  <c r="X430" i="5"/>
  <c r="X431" i="5"/>
  <c r="X432" i="5"/>
  <c r="X433" i="5"/>
  <c r="X434" i="5"/>
  <c r="X435" i="5"/>
  <c r="X436" i="5"/>
  <c r="X437" i="5"/>
  <c r="X438" i="5"/>
  <c r="X439" i="5"/>
  <c r="X440" i="5"/>
  <c r="X441" i="5"/>
  <c r="X442" i="5"/>
  <c r="X443" i="5"/>
  <c r="X444" i="5"/>
  <c r="X445" i="5"/>
  <c r="X446" i="5"/>
  <c r="X447" i="5"/>
  <c r="X448" i="5"/>
  <c r="X449" i="5"/>
  <c r="X450" i="5"/>
  <c r="X451" i="5"/>
  <c r="X452" i="5"/>
  <c r="X453" i="5"/>
  <c r="X454" i="5"/>
  <c r="X455" i="5"/>
  <c r="X456" i="5"/>
  <c r="X457" i="5"/>
  <c r="X458" i="5"/>
  <c r="X459" i="5"/>
  <c r="X460" i="5"/>
  <c r="X461" i="5"/>
  <c r="X462" i="5"/>
  <c r="X463" i="5"/>
  <c r="X464" i="5"/>
  <c r="X465" i="5"/>
  <c r="X466" i="5"/>
  <c r="X467" i="5"/>
  <c r="X468" i="5"/>
  <c r="X469" i="5"/>
  <c r="X470" i="5"/>
  <c r="X471" i="5"/>
  <c r="X472" i="5"/>
  <c r="X473" i="5"/>
  <c r="X474" i="5"/>
  <c r="X475" i="5"/>
  <c r="X476" i="5"/>
  <c r="X477" i="5"/>
  <c r="X478" i="5"/>
  <c r="X479" i="5"/>
  <c r="X480" i="5"/>
  <c r="X481" i="5"/>
  <c r="X482" i="5"/>
  <c r="X483" i="5"/>
  <c r="X484" i="5"/>
  <c r="X485" i="5"/>
  <c r="X486" i="5"/>
  <c r="X487" i="5"/>
  <c r="X488" i="5"/>
  <c r="X489" i="5"/>
  <c r="X490" i="5"/>
  <c r="X491" i="5"/>
  <c r="X492" i="5"/>
  <c r="X493" i="5"/>
  <c r="X494" i="5"/>
  <c r="X495" i="5"/>
  <c r="X496" i="5"/>
  <c r="X497" i="5"/>
  <c r="X498" i="5"/>
  <c r="X499" i="5"/>
  <c r="X500" i="5"/>
  <c r="X501" i="5"/>
  <c r="X502" i="5"/>
  <c r="X503" i="5"/>
  <c r="X504" i="5"/>
  <c r="X505" i="5"/>
  <c r="X506" i="5"/>
  <c r="X507" i="5"/>
  <c r="X508" i="5"/>
  <c r="X509" i="5"/>
  <c r="X510" i="5"/>
  <c r="X511" i="5"/>
  <c r="X512" i="5"/>
  <c r="X513" i="5"/>
  <c r="X514" i="5"/>
  <c r="X515" i="5"/>
  <c r="X516" i="5"/>
  <c r="X517" i="5"/>
  <c r="X518" i="5"/>
  <c r="X519" i="5"/>
  <c r="X520" i="5"/>
  <c r="X521" i="5"/>
  <c r="X522" i="5"/>
  <c r="X523" i="5"/>
  <c r="X524" i="5"/>
  <c r="X525" i="5"/>
  <c r="X526" i="5"/>
  <c r="X527" i="5"/>
  <c r="X528" i="5"/>
  <c r="X529" i="5"/>
  <c r="X530" i="5"/>
  <c r="X531" i="5"/>
  <c r="X532" i="5"/>
  <c r="X533" i="5"/>
  <c r="X534" i="5"/>
  <c r="X535" i="5"/>
  <c r="X536" i="5"/>
  <c r="X537" i="5"/>
  <c r="X538" i="5"/>
  <c r="X539" i="5"/>
  <c r="X540" i="5"/>
  <c r="X541" i="5"/>
  <c r="X542" i="5"/>
  <c r="X543" i="5"/>
  <c r="X544" i="5"/>
  <c r="X545" i="5"/>
  <c r="X546" i="5"/>
  <c r="X547" i="5"/>
  <c r="X548" i="5"/>
  <c r="X549" i="5"/>
  <c r="X550" i="5"/>
  <c r="X551" i="5"/>
  <c r="X552" i="5"/>
  <c r="X553" i="5"/>
  <c r="X554" i="5"/>
  <c r="X555" i="5"/>
  <c r="X556" i="5"/>
  <c r="X557" i="5"/>
  <c r="X558" i="5"/>
  <c r="X559" i="5"/>
  <c r="X560" i="5"/>
  <c r="X561" i="5"/>
  <c r="X562" i="5"/>
  <c r="X563" i="5"/>
  <c r="X564" i="5"/>
  <c r="X565" i="5"/>
  <c r="X566" i="5"/>
  <c r="X567" i="5"/>
  <c r="X568" i="5"/>
  <c r="X569" i="5"/>
  <c r="X570" i="5"/>
  <c r="X571" i="5"/>
  <c r="X572" i="5"/>
  <c r="X573" i="5"/>
  <c r="X574" i="5"/>
  <c r="X575" i="5"/>
  <c r="X576" i="5"/>
  <c r="X577" i="5"/>
  <c r="X578" i="5"/>
  <c r="X579" i="5"/>
  <c r="X580" i="5"/>
  <c r="X581" i="5"/>
  <c r="X582" i="5"/>
  <c r="X583" i="5"/>
  <c r="X584" i="5"/>
  <c r="X585" i="5"/>
  <c r="X586" i="5"/>
  <c r="X587" i="5"/>
  <c r="X588" i="5"/>
  <c r="X589" i="5"/>
  <c r="X590" i="5"/>
  <c r="X591" i="5"/>
  <c r="X592" i="5"/>
  <c r="X593" i="5"/>
  <c r="X594" i="5"/>
  <c r="X595" i="5"/>
  <c r="X596" i="5"/>
  <c r="X597" i="5"/>
  <c r="X598" i="5"/>
  <c r="X599" i="5"/>
  <c r="X600" i="5"/>
  <c r="X601" i="5"/>
  <c r="X602" i="5"/>
  <c r="X603" i="5"/>
  <c r="X604" i="5"/>
  <c r="X605" i="5"/>
  <c r="X606" i="5"/>
  <c r="X607" i="5"/>
  <c r="X608" i="5"/>
  <c r="X609" i="5"/>
  <c r="X610" i="5"/>
  <c r="X611" i="5"/>
  <c r="X612" i="5"/>
  <c r="X613" i="5"/>
  <c r="X614" i="5"/>
  <c r="X615" i="5"/>
  <c r="X616" i="5"/>
  <c r="X617" i="5"/>
  <c r="X618" i="5"/>
  <c r="X619" i="5"/>
  <c r="X620" i="5"/>
  <c r="X621" i="5"/>
  <c r="X622" i="5"/>
  <c r="X623" i="5"/>
  <c r="X624" i="5"/>
  <c r="X625" i="5"/>
  <c r="X626" i="5"/>
  <c r="X627" i="5"/>
  <c r="X628" i="5"/>
  <c r="X629" i="5"/>
  <c r="X630" i="5"/>
  <c r="X631" i="5"/>
  <c r="X632" i="5"/>
  <c r="X633" i="5"/>
  <c r="X634" i="5"/>
  <c r="X635" i="5"/>
  <c r="X636" i="5"/>
  <c r="X637" i="5"/>
  <c r="X638" i="5"/>
  <c r="X639" i="5"/>
  <c r="X640" i="5"/>
  <c r="X641" i="5"/>
  <c r="X642" i="5"/>
  <c r="X643" i="5"/>
  <c r="X644" i="5"/>
  <c r="X645" i="5"/>
  <c r="X646" i="5"/>
  <c r="X647" i="5"/>
  <c r="X648" i="5"/>
  <c r="X649" i="5"/>
  <c r="X650" i="5"/>
  <c r="X651" i="5"/>
  <c r="X652" i="5"/>
  <c r="X653" i="5"/>
  <c r="X654" i="5"/>
  <c r="X655" i="5"/>
  <c r="X656" i="5"/>
  <c r="X657" i="5"/>
  <c r="X658" i="5"/>
  <c r="X659" i="5"/>
  <c r="X660" i="5"/>
  <c r="X661" i="5"/>
  <c r="X662" i="5"/>
  <c r="X663" i="5"/>
  <c r="X664" i="5"/>
  <c r="X665" i="5"/>
  <c r="X666" i="5"/>
  <c r="X667" i="5"/>
  <c r="X668" i="5"/>
  <c r="X669" i="5"/>
  <c r="X670" i="5"/>
  <c r="X671" i="5"/>
  <c r="X672" i="5"/>
  <c r="X673" i="5"/>
  <c r="X674" i="5"/>
  <c r="X675" i="5"/>
  <c r="X676" i="5"/>
  <c r="X677" i="5"/>
  <c r="X678" i="5"/>
  <c r="X679" i="5"/>
  <c r="X680" i="5"/>
  <c r="X681" i="5"/>
  <c r="X682" i="5"/>
  <c r="X683" i="5"/>
  <c r="X684" i="5"/>
  <c r="X685" i="5"/>
  <c r="X686" i="5"/>
  <c r="X687" i="5"/>
  <c r="X688" i="5"/>
  <c r="X689" i="5"/>
  <c r="X690" i="5"/>
  <c r="X691" i="5"/>
  <c r="X692" i="5"/>
  <c r="X693" i="5"/>
  <c r="X694" i="5"/>
  <c r="X695" i="5"/>
  <c r="X696" i="5"/>
  <c r="X697" i="5"/>
  <c r="X698" i="5"/>
  <c r="X699" i="5"/>
  <c r="X700" i="5"/>
  <c r="X701" i="5"/>
  <c r="X702" i="5"/>
  <c r="X703" i="5"/>
  <c r="X704" i="5"/>
  <c r="X705" i="5"/>
  <c r="X706" i="5"/>
  <c r="X707" i="5"/>
  <c r="X708" i="5"/>
  <c r="X709" i="5"/>
  <c r="X710" i="5"/>
  <c r="X711" i="5"/>
  <c r="X712" i="5"/>
  <c r="X713" i="5"/>
  <c r="X714" i="5"/>
  <c r="X715" i="5"/>
  <c r="X716" i="5"/>
  <c r="X717" i="5"/>
  <c r="X718" i="5"/>
  <c r="X719" i="5"/>
  <c r="X720" i="5"/>
  <c r="X721" i="5"/>
  <c r="X722" i="5"/>
  <c r="X723" i="5"/>
  <c r="X724" i="5"/>
  <c r="X725" i="5"/>
  <c r="X726" i="5"/>
  <c r="X727" i="5"/>
  <c r="X728" i="5"/>
  <c r="X729" i="5"/>
  <c r="X730" i="5"/>
  <c r="X731" i="5"/>
  <c r="X732" i="5"/>
  <c r="X733" i="5"/>
  <c r="X734" i="5"/>
  <c r="X735" i="5"/>
  <c r="X736" i="5"/>
  <c r="X737" i="5"/>
  <c r="X738" i="5"/>
  <c r="X739" i="5"/>
  <c r="X740" i="5"/>
  <c r="X741" i="5"/>
  <c r="X742" i="5"/>
  <c r="X743" i="5"/>
  <c r="X744" i="5"/>
  <c r="X745" i="5"/>
  <c r="X746" i="5"/>
  <c r="X747" i="5"/>
  <c r="X748" i="5"/>
  <c r="X749" i="5"/>
  <c r="X750" i="5"/>
  <c r="X751" i="5"/>
  <c r="X752" i="5"/>
  <c r="X753" i="5"/>
  <c r="X754" i="5"/>
  <c r="X755" i="5"/>
  <c r="X756" i="5"/>
  <c r="X757" i="5"/>
  <c r="X758" i="5"/>
  <c r="X759" i="5"/>
  <c r="X760" i="5"/>
  <c r="X761" i="5"/>
  <c r="X762" i="5"/>
  <c r="X763" i="5"/>
  <c r="X764" i="5"/>
  <c r="X765" i="5"/>
  <c r="X766" i="5"/>
  <c r="X767" i="5"/>
  <c r="X768" i="5"/>
  <c r="X769" i="5"/>
  <c r="X770" i="5"/>
  <c r="X771" i="5"/>
  <c r="X772" i="5"/>
  <c r="X773" i="5"/>
  <c r="X774" i="5"/>
  <c r="X775" i="5"/>
  <c r="X776" i="5"/>
  <c r="X777" i="5"/>
  <c r="X778" i="5"/>
  <c r="X779" i="5"/>
  <c r="X780" i="5"/>
  <c r="X781" i="5"/>
  <c r="X782" i="5"/>
  <c r="X783" i="5"/>
  <c r="X784" i="5"/>
  <c r="X785" i="5"/>
  <c r="X786" i="5"/>
  <c r="X787" i="5"/>
  <c r="X788" i="5"/>
  <c r="X789" i="5"/>
  <c r="AA2" i="5"/>
  <c r="Z2" i="5"/>
  <c r="Y2" i="5"/>
  <c r="X2" i="5"/>
  <c r="W3" i="5"/>
  <c r="W4" i="5"/>
  <c r="W5" i="5"/>
  <c r="W6" i="5"/>
  <c r="W7" i="5"/>
  <c r="W8" i="5"/>
  <c r="W9" i="5"/>
  <c r="W10" i="5"/>
  <c r="W11" i="5"/>
  <c r="W12" i="5"/>
  <c r="W13" i="5"/>
  <c r="W14" i="5"/>
  <c r="W15" i="5"/>
  <c r="W16" i="5"/>
  <c r="W17" i="5"/>
  <c r="W18" i="5"/>
  <c r="W19" i="5"/>
  <c r="W20" i="5"/>
  <c r="W21" i="5"/>
  <c r="W22" i="5"/>
  <c r="W23" i="5"/>
  <c r="W24" i="5"/>
  <c r="W25" i="5"/>
  <c r="W26" i="5"/>
  <c r="W27" i="5"/>
  <c r="W28" i="5"/>
  <c r="W29" i="5"/>
  <c r="W30" i="5"/>
  <c r="W31" i="5"/>
  <c r="W32" i="5"/>
  <c r="W33" i="5"/>
  <c r="W34" i="5"/>
  <c r="W35" i="5"/>
  <c r="W36" i="5"/>
  <c r="W37" i="5"/>
  <c r="W38" i="5"/>
  <c r="W39" i="5"/>
  <c r="W40" i="5"/>
  <c r="W41" i="5"/>
  <c r="W42" i="5"/>
  <c r="W43" i="5"/>
  <c r="W44" i="5"/>
  <c r="W45" i="5"/>
  <c r="W46" i="5"/>
  <c r="W47" i="5"/>
  <c r="W48" i="5"/>
  <c r="W49" i="5"/>
  <c r="W50" i="5"/>
  <c r="W51" i="5"/>
  <c r="W52" i="5"/>
  <c r="W53" i="5"/>
  <c r="W54" i="5"/>
  <c r="W55" i="5"/>
  <c r="W56" i="5"/>
  <c r="W57" i="5"/>
  <c r="W58" i="5"/>
  <c r="W59" i="5"/>
  <c r="W60" i="5"/>
  <c r="W61" i="5"/>
  <c r="W62" i="5"/>
  <c r="W63" i="5"/>
  <c r="W64" i="5"/>
  <c r="W65" i="5"/>
  <c r="W66" i="5"/>
  <c r="W67" i="5"/>
  <c r="W68" i="5"/>
  <c r="W69" i="5"/>
  <c r="W70" i="5"/>
  <c r="W71" i="5"/>
  <c r="W72" i="5"/>
  <c r="W73" i="5"/>
  <c r="W74" i="5"/>
  <c r="W75" i="5"/>
  <c r="W76" i="5"/>
  <c r="W77" i="5"/>
  <c r="W78" i="5"/>
  <c r="W79" i="5"/>
  <c r="W80" i="5"/>
  <c r="W81" i="5"/>
  <c r="W82" i="5"/>
  <c r="W83" i="5"/>
  <c r="W84" i="5"/>
  <c r="W85" i="5"/>
  <c r="W86" i="5"/>
  <c r="W87" i="5"/>
  <c r="W88" i="5"/>
  <c r="W89" i="5"/>
  <c r="W90" i="5"/>
  <c r="W91" i="5"/>
  <c r="W92" i="5"/>
  <c r="W93" i="5"/>
  <c r="W94" i="5"/>
  <c r="W95" i="5"/>
  <c r="W96" i="5"/>
  <c r="W97" i="5"/>
  <c r="W98" i="5"/>
  <c r="W99" i="5"/>
  <c r="W100" i="5"/>
  <c r="W101" i="5"/>
  <c r="W102" i="5"/>
  <c r="W103" i="5"/>
  <c r="W104" i="5"/>
  <c r="W105" i="5"/>
  <c r="W106" i="5"/>
  <c r="W107" i="5"/>
  <c r="W108" i="5"/>
  <c r="W109" i="5"/>
  <c r="W110" i="5"/>
  <c r="W111" i="5"/>
  <c r="W112" i="5"/>
  <c r="W113" i="5"/>
  <c r="W114" i="5"/>
  <c r="W115" i="5"/>
  <c r="W116" i="5"/>
  <c r="W117" i="5"/>
  <c r="W118" i="5"/>
  <c r="W119" i="5"/>
  <c r="W120" i="5"/>
  <c r="W121" i="5"/>
  <c r="W122" i="5"/>
  <c r="W123" i="5"/>
  <c r="W124" i="5"/>
  <c r="W125" i="5"/>
  <c r="W126" i="5"/>
  <c r="W127" i="5"/>
  <c r="W128" i="5"/>
  <c r="W129" i="5"/>
  <c r="W130" i="5"/>
  <c r="W131" i="5"/>
  <c r="W132" i="5"/>
  <c r="W133" i="5"/>
  <c r="W134" i="5"/>
  <c r="W135" i="5"/>
  <c r="W136" i="5"/>
  <c r="W137" i="5"/>
  <c r="W138" i="5"/>
  <c r="W139" i="5"/>
  <c r="W140" i="5"/>
  <c r="W141" i="5"/>
  <c r="W142" i="5"/>
  <c r="W143" i="5"/>
  <c r="W144" i="5"/>
  <c r="W145" i="5"/>
  <c r="W146" i="5"/>
  <c r="W147" i="5"/>
  <c r="W148" i="5"/>
  <c r="W149" i="5"/>
  <c r="W150" i="5"/>
  <c r="W151" i="5"/>
  <c r="W152" i="5"/>
  <c r="W153" i="5"/>
  <c r="W154" i="5"/>
  <c r="W155" i="5"/>
  <c r="W156" i="5"/>
  <c r="W157" i="5"/>
  <c r="W158" i="5"/>
  <c r="W159" i="5"/>
  <c r="W160" i="5"/>
  <c r="W161" i="5"/>
  <c r="W162" i="5"/>
  <c r="W163" i="5"/>
  <c r="W164" i="5"/>
  <c r="W165" i="5"/>
  <c r="W166" i="5"/>
  <c r="W167" i="5"/>
  <c r="W168" i="5"/>
  <c r="W169" i="5"/>
  <c r="W170" i="5"/>
  <c r="W171" i="5"/>
  <c r="W172" i="5"/>
  <c r="W173" i="5"/>
  <c r="W174" i="5"/>
  <c r="W175" i="5"/>
  <c r="W176" i="5"/>
  <c r="W177" i="5"/>
  <c r="W178" i="5"/>
  <c r="W179" i="5"/>
  <c r="W180" i="5"/>
  <c r="W181" i="5"/>
  <c r="W182" i="5"/>
  <c r="W183" i="5"/>
  <c r="W184" i="5"/>
  <c r="W185" i="5"/>
  <c r="W186" i="5"/>
  <c r="W187" i="5"/>
  <c r="W188" i="5"/>
  <c r="W189" i="5"/>
  <c r="W190" i="5"/>
  <c r="W191" i="5"/>
  <c r="W192" i="5"/>
  <c r="W193" i="5"/>
  <c r="W194" i="5"/>
  <c r="W195" i="5"/>
  <c r="W196" i="5"/>
  <c r="W197" i="5"/>
  <c r="W198" i="5"/>
  <c r="W199" i="5"/>
  <c r="W200" i="5"/>
  <c r="W201" i="5"/>
  <c r="W202" i="5"/>
  <c r="W203" i="5"/>
  <c r="W204" i="5"/>
  <c r="W205" i="5"/>
  <c r="W206" i="5"/>
  <c r="W207" i="5"/>
  <c r="W208" i="5"/>
  <c r="W209" i="5"/>
  <c r="W210" i="5"/>
  <c r="W211" i="5"/>
  <c r="W212" i="5"/>
  <c r="W213" i="5"/>
  <c r="W214" i="5"/>
  <c r="W215" i="5"/>
  <c r="W216" i="5"/>
  <c r="W217" i="5"/>
  <c r="W218" i="5"/>
  <c r="W219" i="5"/>
  <c r="W220" i="5"/>
  <c r="W221" i="5"/>
  <c r="W222" i="5"/>
  <c r="W223" i="5"/>
  <c r="W224" i="5"/>
  <c r="W225" i="5"/>
  <c r="W226" i="5"/>
  <c r="W227" i="5"/>
  <c r="W228" i="5"/>
  <c r="W229" i="5"/>
  <c r="W230" i="5"/>
  <c r="W231" i="5"/>
  <c r="W232" i="5"/>
  <c r="W233" i="5"/>
  <c r="W234" i="5"/>
  <c r="W235" i="5"/>
  <c r="W236" i="5"/>
  <c r="W237" i="5"/>
  <c r="W238" i="5"/>
  <c r="W239" i="5"/>
  <c r="W240" i="5"/>
  <c r="W241" i="5"/>
  <c r="W242" i="5"/>
  <c r="W243" i="5"/>
  <c r="W244" i="5"/>
  <c r="W245" i="5"/>
  <c r="W246" i="5"/>
  <c r="W247" i="5"/>
  <c r="W248" i="5"/>
  <c r="W249" i="5"/>
  <c r="W250" i="5"/>
  <c r="W251" i="5"/>
  <c r="W252" i="5"/>
  <c r="W253" i="5"/>
  <c r="W254" i="5"/>
  <c r="W255" i="5"/>
  <c r="W256" i="5"/>
  <c r="W257" i="5"/>
  <c r="W258" i="5"/>
  <c r="W259" i="5"/>
  <c r="W260" i="5"/>
  <c r="W261" i="5"/>
  <c r="W262" i="5"/>
  <c r="W263" i="5"/>
  <c r="W264" i="5"/>
  <c r="W265" i="5"/>
  <c r="W266" i="5"/>
  <c r="W267" i="5"/>
  <c r="W268" i="5"/>
  <c r="W269" i="5"/>
  <c r="W270" i="5"/>
  <c r="W271" i="5"/>
  <c r="W272" i="5"/>
  <c r="W273" i="5"/>
  <c r="W274" i="5"/>
  <c r="W275" i="5"/>
  <c r="W276" i="5"/>
  <c r="W277" i="5"/>
  <c r="W278" i="5"/>
  <c r="W279" i="5"/>
  <c r="W280" i="5"/>
  <c r="W281" i="5"/>
  <c r="W282" i="5"/>
  <c r="W283" i="5"/>
  <c r="W284" i="5"/>
  <c r="W285" i="5"/>
  <c r="W286" i="5"/>
  <c r="W287" i="5"/>
  <c r="W288" i="5"/>
  <c r="W289" i="5"/>
  <c r="W290" i="5"/>
  <c r="W291" i="5"/>
  <c r="W292" i="5"/>
  <c r="W293" i="5"/>
  <c r="W294" i="5"/>
  <c r="W295" i="5"/>
  <c r="W296" i="5"/>
  <c r="W297" i="5"/>
  <c r="W298" i="5"/>
  <c r="W299" i="5"/>
  <c r="W300" i="5"/>
  <c r="W301" i="5"/>
  <c r="W302" i="5"/>
  <c r="W303" i="5"/>
  <c r="W304" i="5"/>
  <c r="W305" i="5"/>
  <c r="W306" i="5"/>
  <c r="W307" i="5"/>
  <c r="W308" i="5"/>
  <c r="W309" i="5"/>
  <c r="W310" i="5"/>
  <c r="W311" i="5"/>
  <c r="W312" i="5"/>
  <c r="W313" i="5"/>
  <c r="W314" i="5"/>
  <c r="W315" i="5"/>
  <c r="W316" i="5"/>
  <c r="W317" i="5"/>
  <c r="W318" i="5"/>
  <c r="W319" i="5"/>
  <c r="W320" i="5"/>
  <c r="W321" i="5"/>
  <c r="W322" i="5"/>
  <c r="W323" i="5"/>
  <c r="W324" i="5"/>
  <c r="W325" i="5"/>
  <c r="W326" i="5"/>
  <c r="W327" i="5"/>
  <c r="W328" i="5"/>
  <c r="W329" i="5"/>
  <c r="W330" i="5"/>
  <c r="W331" i="5"/>
  <c r="W332" i="5"/>
  <c r="W333" i="5"/>
  <c r="W334" i="5"/>
  <c r="W335" i="5"/>
  <c r="W336" i="5"/>
  <c r="W337" i="5"/>
  <c r="W338" i="5"/>
  <c r="W339" i="5"/>
  <c r="W340" i="5"/>
  <c r="W341" i="5"/>
  <c r="W342" i="5"/>
  <c r="W343" i="5"/>
  <c r="W344" i="5"/>
  <c r="W345" i="5"/>
  <c r="W346" i="5"/>
  <c r="W347" i="5"/>
  <c r="W348" i="5"/>
  <c r="W349" i="5"/>
  <c r="W350" i="5"/>
  <c r="W351" i="5"/>
  <c r="W352" i="5"/>
  <c r="W353" i="5"/>
  <c r="W354" i="5"/>
  <c r="W355" i="5"/>
  <c r="W356" i="5"/>
  <c r="W357" i="5"/>
  <c r="W358" i="5"/>
  <c r="W359" i="5"/>
  <c r="W360" i="5"/>
  <c r="W361" i="5"/>
  <c r="W362" i="5"/>
  <c r="W363" i="5"/>
  <c r="W364" i="5"/>
  <c r="W365" i="5"/>
  <c r="W366" i="5"/>
  <c r="W367" i="5"/>
  <c r="W368" i="5"/>
  <c r="W369" i="5"/>
  <c r="W370" i="5"/>
  <c r="W371" i="5"/>
  <c r="W372" i="5"/>
  <c r="W373" i="5"/>
  <c r="W374" i="5"/>
  <c r="W375" i="5"/>
  <c r="W376" i="5"/>
  <c r="W377" i="5"/>
  <c r="W378" i="5"/>
  <c r="W379" i="5"/>
  <c r="W380" i="5"/>
  <c r="W381" i="5"/>
  <c r="W382" i="5"/>
  <c r="W383" i="5"/>
  <c r="W384" i="5"/>
  <c r="W385" i="5"/>
  <c r="W386" i="5"/>
  <c r="W387" i="5"/>
  <c r="W388" i="5"/>
  <c r="W389" i="5"/>
  <c r="W390" i="5"/>
  <c r="W391" i="5"/>
  <c r="W392" i="5"/>
  <c r="W393" i="5"/>
  <c r="W394" i="5"/>
  <c r="W395" i="5"/>
  <c r="W396" i="5"/>
  <c r="W397" i="5"/>
  <c r="W398" i="5"/>
  <c r="W399" i="5"/>
  <c r="W400" i="5"/>
  <c r="W401" i="5"/>
  <c r="W402" i="5"/>
  <c r="W403" i="5"/>
  <c r="W404" i="5"/>
  <c r="W405" i="5"/>
  <c r="W406" i="5"/>
  <c r="W407" i="5"/>
  <c r="W408" i="5"/>
  <c r="W409" i="5"/>
  <c r="W410" i="5"/>
  <c r="W411" i="5"/>
  <c r="W412" i="5"/>
  <c r="W413" i="5"/>
  <c r="W414" i="5"/>
  <c r="W415" i="5"/>
  <c r="W416" i="5"/>
  <c r="W417" i="5"/>
  <c r="W418" i="5"/>
  <c r="W419" i="5"/>
  <c r="W420" i="5"/>
  <c r="W421" i="5"/>
  <c r="W422" i="5"/>
  <c r="W423" i="5"/>
  <c r="W424" i="5"/>
  <c r="W425" i="5"/>
  <c r="W426" i="5"/>
  <c r="W427" i="5"/>
  <c r="W428" i="5"/>
  <c r="W429" i="5"/>
  <c r="W430" i="5"/>
  <c r="W431" i="5"/>
  <c r="W432" i="5"/>
  <c r="W433" i="5"/>
  <c r="W434" i="5"/>
  <c r="W435" i="5"/>
  <c r="W436" i="5"/>
  <c r="W437" i="5"/>
  <c r="W438" i="5"/>
  <c r="W439" i="5"/>
  <c r="W440" i="5"/>
  <c r="W441" i="5"/>
  <c r="W442" i="5"/>
  <c r="W443" i="5"/>
  <c r="W444" i="5"/>
  <c r="W445" i="5"/>
  <c r="W446" i="5"/>
  <c r="W447" i="5"/>
  <c r="W448" i="5"/>
  <c r="W449" i="5"/>
  <c r="W450" i="5"/>
  <c r="W451" i="5"/>
  <c r="W452" i="5"/>
  <c r="W453" i="5"/>
  <c r="W454" i="5"/>
  <c r="W455" i="5"/>
  <c r="W456" i="5"/>
  <c r="W457" i="5"/>
  <c r="W458" i="5"/>
  <c r="W459" i="5"/>
  <c r="W460" i="5"/>
  <c r="W461" i="5"/>
  <c r="W462" i="5"/>
  <c r="W463" i="5"/>
  <c r="W464" i="5"/>
  <c r="W465" i="5"/>
  <c r="W466" i="5"/>
  <c r="W467" i="5"/>
  <c r="W468" i="5"/>
  <c r="W469" i="5"/>
  <c r="W470" i="5"/>
  <c r="W471" i="5"/>
  <c r="W472" i="5"/>
  <c r="W473" i="5"/>
  <c r="W474" i="5"/>
  <c r="W475" i="5"/>
  <c r="W476" i="5"/>
  <c r="W477" i="5"/>
  <c r="W478" i="5"/>
  <c r="W479" i="5"/>
  <c r="W480" i="5"/>
  <c r="W481" i="5"/>
  <c r="W482" i="5"/>
  <c r="W483" i="5"/>
  <c r="W484" i="5"/>
  <c r="W485" i="5"/>
  <c r="W486" i="5"/>
  <c r="W487" i="5"/>
  <c r="W488" i="5"/>
  <c r="W489" i="5"/>
  <c r="W490" i="5"/>
  <c r="W491" i="5"/>
  <c r="W492" i="5"/>
  <c r="W493" i="5"/>
  <c r="W494" i="5"/>
  <c r="W495" i="5"/>
  <c r="W496" i="5"/>
  <c r="W497" i="5"/>
  <c r="W498" i="5"/>
  <c r="W499" i="5"/>
  <c r="W500" i="5"/>
  <c r="W501" i="5"/>
  <c r="W502" i="5"/>
  <c r="W503" i="5"/>
  <c r="W504" i="5"/>
  <c r="W505" i="5"/>
  <c r="W506" i="5"/>
  <c r="W507" i="5"/>
  <c r="W508" i="5"/>
  <c r="W509" i="5"/>
  <c r="W510" i="5"/>
  <c r="W511" i="5"/>
  <c r="W512" i="5"/>
  <c r="W513" i="5"/>
  <c r="W514" i="5"/>
  <c r="W515" i="5"/>
  <c r="W516" i="5"/>
  <c r="W517" i="5"/>
  <c r="W518" i="5"/>
  <c r="W519" i="5"/>
  <c r="W520" i="5"/>
  <c r="W521" i="5"/>
  <c r="W522" i="5"/>
  <c r="W523" i="5"/>
  <c r="W524" i="5"/>
  <c r="W525" i="5"/>
  <c r="W526" i="5"/>
  <c r="W527" i="5"/>
  <c r="W528" i="5"/>
  <c r="W529" i="5"/>
  <c r="W530" i="5"/>
  <c r="W531" i="5"/>
  <c r="W532" i="5"/>
  <c r="W533" i="5"/>
  <c r="W534" i="5"/>
  <c r="W535" i="5"/>
  <c r="W536" i="5"/>
  <c r="W537" i="5"/>
  <c r="W538" i="5"/>
  <c r="W539" i="5"/>
  <c r="W540" i="5"/>
  <c r="W541" i="5"/>
  <c r="W542" i="5"/>
  <c r="W543" i="5"/>
  <c r="W544" i="5"/>
  <c r="W545" i="5"/>
  <c r="W546" i="5"/>
  <c r="W547" i="5"/>
  <c r="W548" i="5"/>
  <c r="W549" i="5"/>
  <c r="W550" i="5"/>
  <c r="W551" i="5"/>
  <c r="W552" i="5"/>
  <c r="W553" i="5"/>
  <c r="W554" i="5"/>
  <c r="W555" i="5"/>
  <c r="W556" i="5"/>
  <c r="W557" i="5"/>
  <c r="W558" i="5"/>
  <c r="W559" i="5"/>
  <c r="W560" i="5"/>
  <c r="W561" i="5"/>
  <c r="W562" i="5"/>
  <c r="W563" i="5"/>
  <c r="W564" i="5"/>
  <c r="W565" i="5"/>
  <c r="W566" i="5"/>
  <c r="W567" i="5"/>
  <c r="W568" i="5"/>
  <c r="W569" i="5"/>
  <c r="W570" i="5"/>
  <c r="W571" i="5"/>
  <c r="W572" i="5"/>
  <c r="W573" i="5"/>
  <c r="W574" i="5"/>
  <c r="W575" i="5"/>
  <c r="W576" i="5"/>
  <c r="W577" i="5"/>
  <c r="W578" i="5"/>
  <c r="W579" i="5"/>
  <c r="W580" i="5"/>
  <c r="W581" i="5"/>
  <c r="W582" i="5"/>
  <c r="W583" i="5"/>
  <c r="W584" i="5"/>
  <c r="W585" i="5"/>
  <c r="W586" i="5"/>
  <c r="W587" i="5"/>
  <c r="W588" i="5"/>
  <c r="W589" i="5"/>
  <c r="W590" i="5"/>
  <c r="W591" i="5"/>
  <c r="W592" i="5"/>
  <c r="W593" i="5"/>
  <c r="W594" i="5"/>
  <c r="W595" i="5"/>
  <c r="W596" i="5"/>
  <c r="W597" i="5"/>
  <c r="W598" i="5"/>
  <c r="W599" i="5"/>
  <c r="W600" i="5"/>
  <c r="W601" i="5"/>
  <c r="W602" i="5"/>
  <c r="W603" i="5"/>
  <c r="W604" i="5"/>
  <c r="W605" i="5"/>
  <c r="W606" i="5"/>
  <c r="W607" i="5"/>
  <c r="W608" i="5"/>
  <c r="W609" i="5"/>
  <c r="W610" i="5"/>
  <c r="W611" i="5"/>
  <c r="W612" i="5"/>
  <c r="W613" i="5"/>
  <c r="W614" i="5"/>
  <c r="W615" i="5"/>
  <c r="W616" i="5"/>
  <c r="W617" i="5"/>
  <c r="W618" i="5"/>
  <c r="W619" i="5"/>
  <c r="W620" i="5"/>
  <c r="W621" i="5"/>
  <c r="W622" i="5"/>
  <c r="W623" i="5"/>
  <c r="W624" i="5"/>
  <c r="W625" i="5"/>
  <c r="W626" i="5"/>
  <c r="W627" i="5"/>
  <c r="W628" i="5"/>
  <c r="W629" i="5"/>
  <c r="W630" i="5"/>
  <c r="W631" i="5"/>
  <c r="W632" i="5"/>
  <c r="W633" i="5"/>
  <c r="W634" i="5"/>
  <c r="W635" i="5"/>
  <c r="W636" i="5"/>
  <c r="W637" i="5"/>
  <c r="W638" i="5"/>
  <c r="W639" i="5"/>
  <c r="W640" i="5"/>
  <c r="W641" i="5"/>
  <c r="W642" i="5"/>
  <c r="W643" i="5"/>
  <c r="W644" i="5"/>
  <c r="W645" i="5"/>
  <c r="W646" i="5"/>
  <c r="W647" i="5"/>
  <c r="W648" i="5"/>
  <c r="W649" i="5"/>
  <c r="W650" i="5"/>
  <c r="W651" i="5"/>
  <c r="W652" i="5"/>
  <c r="W653" i="5"/>
  <c r="W654" i="5"/>
  <c r="W655" i="5"/>
  <c r="W656" i="5"/>
  <c r="W657" i="5"/>
  <c r="W658" i="5"/>
  <c r="W659" i="5"/>
  <c r="W660" i="5"/>
  <c r="W661" i="5"/>
  <c r="W662" i="5"/>
  <c r="W663" i="5"/>
  <c r="W664" i="5"/>
  <c r="W665" i="5"/>
  <c r="W666" i="5"/>
  <c r="W667" i="5"/>
  <c r="W668" i="5"/>
  <c r="W669" i="5"/>
  <c r="W670" i="5"/>
  <c r="W671" i="5"/>
  <c r="W672" i="5"/>
  <c r="W673" i="5"/>
  <c r="W674" i="5"/>
  <c r="W675" i="5"/>
  <c r="W676" i="5"/>
  <c r="W677" i="5"/>
  <c r="W678" i="5"/>
  <c r="W679" i="5"/>
  <c r="W680" i="5"/>
  <c r="W681" i="5"/>
  <c r="W682" i="5"/>
  <c r="W683" i="5"/>
  <c r="W684" i="5"/>
  <c r="W685" i="5"/>
  <c r="W686" i="5"/>
  <c r="W687" i="5"/>
  <c r="W688" i="5"/>
  <c r="W689" i="5"/>
  <c r="W690" i="5"/>
  <c r="W691" i="5"/>
  <c r="W692" i="5"/>
  <c r="W693" i="5"/>
  <c r="W694" i="5"/>
  <c r="W695" i="5"/>
  <c r="W696" i="5"/>
  <c r="W697" i="5"/>
  <c r="W698" i="5"/>
  <c r="W699" i="5"/>
  <c r="W700" i="5"/>
  <c r="W701" i="5"/>
  <c r="W702" i="5"/>
  <c r="W703" i="5"/>
  <c r="W704" i="5"/>
  <c r="W705" i="5"/>
  <c r="W706" i="5"/>
  <c r="W707" i="5"/>
  <c r="W708" i="5"/>
  <c r="W709" i="5"/>
  <c r="W710" i="5"/>
  <c r="W711" i="5"/>
  <c r="W712" i="5"/>
  <c r="W713" i="5"/>
  <c r="W714" i="5"/>
  <c r="W715" i="5"/>
  <c r="W716" i="5"/>
  <c r="W717" i="5"/>
  <c r="W718" i="5"/>
  <c r="W719" i="5"/>
  <c r="W720" i="5"/>
  <c r="W721" i="5"/>
  <c r="W722" i="5"/>
  <c r="W723" i="5"/>
  <c r="W724" i="5"/>
  <c r="W725" i="5"/>
  <c r="W726" i="5"/>
  <c r="W727" i="5"/>
  <c r="W728" i="5"/>
  <c r="W729" i="5"/>
  <c r="W730" i="5"/>
  <c r="W731" i="5"/>
  <c r="W732" i="5"/>
  <c r="W733" i="5"/>
  <c r="W734" i="5"/>
  <c r="W735" i="5"/>
  <c r="W736" i="5"/>
  <c r="W737" i="5"/>
  <c r="W738" i="5"/>
  <c r="W739" i="5"/>
  <c r="W740" i="5"/>
  <c r="W741" i="5"/>
  <c r="W742" i="5"/>
  <c r="W743" i="5"/>
  <c r="W744" i="5"/>
  <c r="W745" i="5"/>
  <c r="W746" i="5"/>
  <c r="W747" i="5"/>
  <c r="W748" i="5"/>
  <c r="W749" i="5"/>
  <c r="W750" i="5"/>
  <c r="W751" i="5"/>
  <c r="W752" i="5"/>
  <c r="W753" i="5"/>
  <c r="W754" i="5"/>
  <c r="W755" i="5"/>
  <c r="W756" i="5"/>
  <c r="W757" i="5"/>
  <c r="W758" i="5"/>
  <c r="W759" i="5"/>
  <c r="W760" i="5"/>
  <c r="W761" i="5"/>
  <c r="W762" i="5"/>
  <c r="W763" i="5"/>
  <c r="W764" i="5"/>
  <c r="W765" i="5"/>
  <c r="W766" i="5"/>
  <c r="W767" i="5"/>
  <c r="W768" i="5"/>
  <c r="W769" i="5"/>
  <c r="W770" i="5"/>
  <c r="W771" i="5"/>
  <c r="W772" i="5"/>
  <c r="W773" i="5"/>
  <c r="W774" i="5"/>
  <c r="W775" i="5"/>
  <c r="W776" i="5"/>
  <c r="W777" i="5"/>
  <c r="W778" i="5"/>
  <c r="W779" i="5"/>
  <c r="W780" i="5"/>
  <c r="W781" i="5"/>
  <c r="W782" i="5"/>
  <c r="W783" i="5"/>
  <c r="W784" i="5"/>
  <c r="W785" i="5"/>
  <c r="W786" i="5"/>
  <c r="W787" i="5"/>
  <c r="W788" i="5"/>
  <c r="W789" i="5"/>
  <c r="V3" i="5"/>
  <c r="V4" i="5"/>
  <c r="V5" i="5"/>
  <c r="V6" i="5"/>
  <c r="V7" i="5"/>
  <c r="V8" i="5"/>
  <c r="V9" i="5"/>
  <c r="V10" i="5"/>
  <c r="V11" i="5"/>
  <c r="V12" i="5"/>
  <c r="V13" i="5"/>
  <c r="V14" i="5"/>
  <c r="V15" i="5"/>
  <c r="V16" i="5"/>
  <c r="V17" i="5"/>
  <c r="V18" i="5"/>
  <c r="V19" i="5"/>
  <c r="V20" i="5"/>
  <c r="V21" i="5"/>
  <c r="V22" i="5"/>
  <c r="V23" i="5"/>
  <c r="V24" i="5"/>
  <c r="V25" i="5"/>
  <c r="V26" i="5"/>
  <c r="V27" i="5"/>
  <c r="V28" i="5"/>
  <c r="V29" i="5"/>
  <c r="V30" i="5"/>
  <c r="V31" i="5"/>
  <c r="V32" i="5"/>
  <c r="V33" i="5"/>
  <c r="V34" i="5"/>
  <c r="V35" i="5"/>
  <c r="V36" i="5"/>
  <c r="V37" i="5"/>
  <c r="V38" i="5"/>
  <c r="V39" i="5"/>
  <c r="V40" i="5"/>
  <c r="V41" i="5"/>
  <c r="V42" i="5"/>
  <c r="V43" i="5"/>
  <c r="V44" i="5"/>
  <c r="V45" i="5"/>
  <c r="V46" i="5"/>
  <c r="V47" i="5"/>
  <c r="V48" i="5"/>
  <c r="V49" i="5"/>
  <c r="V50" i="5"/>
  <c r="V51" i="5"/>
  <c r="V52" i="5"/>
  <c r="V53" i="5"/>
  <c r="V54" i="5"/>
  <c r="V55" i="5"/>
  <c r="V56" i="5"/>
  <c r="V57" i="5"/>
  <c r="V58" i="5"/>
  <c r="V59" i="5"/>
  <c r="V60" i="5"/>
  <c r="V61" i="5"/>
  <c r="V62" i="5"/>
  <c r="V63" i="5"/>
  <c r="V64" i="5"/>
  <c r="V65" i="5"/>
  <c r="V66" i="5"/>
  <c r="V67" i="5"/>
  <c r="V68" i="5"/>
  <c r="V69" i="5"/>
  <c r="V70" i="5"/>
  <c r="V71" i="5"/>
  <c r="V72" i="5"/>
  <c r="V73" i="5"/>
  <c r="V74" i="5"/>
  <c r="V75" i="5"/>
  <c r="V76" i="5"/>
  <c r="V77" i="5"/>
  <c r="V78" i="5"/>
  <c r="V79" i="5"/>
  <c r="V80" i="5"/>
  <c r="V81" i="5"/>
  <c r="V82" i="5"/>
  <c r="V83" i="5"/>
  <c r="V84" i="5"/>
  <c r="V85" i="5"/>
  <c r="V86" i="5"/>
  <c r="V87" i="5"/>
  <c r="V88" i="5"/>
  <c r="V89" i="5"/>
  <c r="V90" i="5"/>
  <c r="V91" i="5"/>
  <c r="V92" i="5"/>
  <c r="V93" i="5"/>
  <c r="V94" i="5"/>
  <c r="V95" i="5"/>
  <c r="V96" i="5"/>
  <c r="V97" i="5"/>
  <c r="V98" i="5"/>
  <c r="V99" i="5"/>
  <c r="V100" i="5"/>
  <c r="V101" i="5"/>
  <c r="V102" i="5"/>
  <c r="V103" i="5"/>
  <c r="V104" i="5"/>
  <c r="V105" i="5"/>
  <c r="V106" i="5"/>
  <c r="V107" i="5"/>
  <c r="V108" i="5"/>
  <c r="V109" i="5"/>
  <c r="V110" i="5"/>
  <c r="V111" i="5"/>
  <c r="V112" i="5"/>
  <c r="V113" i="5"/>
  <c r="V114" i="5"/>
  <c r="V115" i="5"/>
  <c r="V116" i="5"/>
  <c r="V117" i="5"/>
  <c r="V118" i="5"/>
  <c r="V119" i="5"/>
  <c r="V120" i="5"/>
  <c r="V121" i="5"/>
  <c r="V122" i="5"/>
  <c r="V123" i="5"/>
  <c r="V124" i="5"/>
  <c r="V125" i="5"/>
  <c r="V126" i="5"/>
  <c r="V127" i="5"/>
  <c r="V128" i="5"/>
  <c r="V129" i="5"/>
  <c r="V130" i="5"/>
  <c r="V131" i="5"/>
  <c r="V132" i="5"/>
  <c r="V133" i="5"/>
  <c r="V134" i="5"/>
  <c r="V135" i="5"/>
  <c r="V136" i="5"/>
  <c r="V137" i="5"/>
  <c r="V138" i="5"/>
  <c r="V139" i="5"/>
  <c r="V140" i="5"/>
  <c r="V141" i="5"/>
  <c r="V142" i="5"/>
  <c r="V143" i="5"/>
  <c r="V144" i="5"/>
  <c r="V145" i="5"/>
  <c r="V146" i="5"/>
  <c r="V147" i="5"/>
  <c r="V148" i="5"/>
  <c r="V149" i="5"/>
  <c r="V150" i="5"/>
  <c r="V151" i="5"/>
  <c r="V152" i="5"/>
  <c r="V153" i="5"/>
  <c r="V154" i="5"/>
  <c r="V155" i="5"/>
  <c r="V156" i="5"/>
  <c r="V157" i="5"/>
  <c r="V158" i="5"/>
  <c r="V159" i="5"/>
  <c r="V160" i="5"/>
  <c r="V161" i="5"/>
  <c r="V162" i="5"/>
  <c r="V163" i="5"/>
  <c r="V164" i="5"/>
  <c r="V165" i="5"/>
  <c r="V166" i="5"/>
  <c r="V167" i="5"/>
  <c r="V168" i="5"/>
  <c r="V169" i="5"/>
  <c r="V170" i="5"/>
  <c r="V171" i="5"/>
  <c r="V172" i="5"/>
  <c r="V173" i="5"/>
  <c r="V174" i="5"/>
  <c r="V175" i="5"/>
  <c r="V176" i="5"/>
  <c r="V177" i="5"/>
  <c r="V178" i="5"/>
  <c r="V179" i="5"/>
  <c r="V180" i="5"/>
  <c r="V181" i="5"/>
  <c r="V182" i="5"/>
  <c r="V183" i="5"/>
  <c r="V184" i="5"/>
  <c r="V185" i="5"/>
  <c r="V186" i="5"/>
  <c r="V187" i="5"/>
  <c r="V188" i="5"/>
  <c r="V189" i="5"/>
  <c r="V190" i="5"/>
  <c r="V191" i="5"/>
  <c r="V192" i="5"/>
  <c r="V193" i="5"/>
  <c r="V194" i="5"/>
  <c r="V195" i="5"/>
  <c r="V196" i="5"/>
  <c r="V197" i="5"/>
  <c r="V198" i="5"/>
  <c r="V199" i="5"/>
  <c r="V200" i="5"/>
  <c r="V201" i="5"/>
  <c r="V202" i="5"/>
  <c r="V203" i="5"/>
  <c r="V204" i="5"/>
  <c r="V205" i="5"/>
  <c r="V206" i="5"/>
  <c r="V207" i="5"/>
  <c r="V208" i="5"/>
  <c r="V209" i="5"/>
  <c r="V210" i="5"/>
  <c r="V211" i="5"/>
  <c r="V212" i="5"/>
  <c r="V213" i="5"/>
  <c r="V214" i="5"/>
  <c r="V215" i="5"/>
  <c r="V216" i="5"/>
  <c r="V217" i="5"/>
  <c r="V218" i="5"/>
  <c r="V219" i="5"/>
  <c r="V220" i="5"/>
  <c r="V221" i="5"/>
  <c r="V222" i="5"/>
  <c r="V223" i="5"/>
  <c r="V224" i="5"/>
  <c r="V225" i="5"/>
  <c r="V226" i="5"/>
  <c r="V227" i="5"/>
  <c r="V228" i="5"/>
  <c r="V229" i="5"/>
  <c r="V230" i="5"/>
  <c r="V231" i="5"/>
  <c r="V232" i="5"/>
  <c r="V233" i="5"/>
  <c r="V234" i="5"/>
  <c r="V235" i="5"/>
  <c r="V236" i="5"/>
  <c r="V237" i="5"/>
  <c r="V238" i="5"/>
  <c r="V239" i="5"/>
  <c r="V240" i="5"/>
  <c r="V241" i="5"/>
  <c r="V242" i="5"/>
  <c r="V243" i="5"/>
  <c r="V244" i="5"/>
  <c r="V245" i="5"/>
  <c r="V246" i="5"/>
  <c r="V247" i="5"/>
  <c r="V248" i="5"/>
  <c r="V249" i="5"/>
  <c r="V250" i="5"/>
  <c r="V251" i="5"/>
  <c r="V252" i="5"/>
  <c r="V253" i="5"/>
  <c r="V254" i="5"/>
  <c r="V255" i="5"/>
  <c r="V256" i="5"/>
  <c r="V257" i="5"/>
  <c r="V258" i="5"/>
  <c r="V259" i="5"/>
  <c r="V260" i="5"/>
  <c r="V261" i="5"/>
  <c r="V262" i="5"/>
  <c r="V263" i="5"/>
  <c r="V264" i="5"/>
  <c r="V265" i="5"/>
  <c r="V266" i="5"/>
  <c r="V267" i="5"/>
  <c r="V268" i="5"/>
  <c r="V269" i="5"/>
  <c r="V270" i="5"/>
  <c r="V271" i="5"/>
  <c r="V272" i="5"/>
  <c r="V273" i="5"/>
  <c r="V274" i="5"/>
  <c r="V275" i="5"/>
  <c r="V276" i="5"/>
  <c r="V277" i="5"/>
  <c r="V278" i="5"/>
  <c r="V279" i="5"/>
  <c r="V280" i="5"/>
  <c r="V281" i="5"/>
  <c r="V282" i="5"/>
  <c r="V283" i="5"/>
  <c r="V284" i="5"/>
  <c r="V285" i="5"/>
  <c r="V286" i="5"/>
  <c r="V287" i="5"/>
  <c r="V288" i="5"/>
  <c r="V289" i="5"/>
  <c r="V290" i="5"/>
  <c r="V291" i="5"/>
  <c r="V292" i="5"/>
  <c r="V293" i="5"/>
  <c r="V294" i="5"/>
  <c r="V295" i="5"/>
  <c r="V296" i="5"/>
  <c r="V297" i="5"/>
  <c r="V298" i="5"/>
  <c r="V299" i="5"/>
  <c r="V300" i="5"/>
  <c r="V301" i="5"/>
  <c r="V302" i="5"/>
  <c r="V303" i="5"/>
  <c r="V304" i="5"/>
  <c r="V305" i="5"/>
  <c r="V306" i="5"/>
  <c r="V307" i="5"/>
  <c r="V308" i="5"/>
  <c r="V309" i="5"/>
  <c r="V310" i="5"/>
  <c r="V311" i="5"/>
  <c r="V312" i="5"/>
  <c r="V313" i="5"/>
  <c r="V314" i="5"/>
  <c r="V315" i="5"/>
  <c r="V316" i="5"/>
  <c r="V317" i="5"/>
  <c r="V318" i="5"/>
  <c r="V319" i="5"/>
  <c r="V320" i="5"/>
  <c r="V321" i="5"/>
  <c r="V322" i="5"/>
  <c r="V323" i="5"/>
  <c r="V324" i="5"/>
  <c r="V325" i="5"/>
  <c r="V326" i="5"/>
  <c r="V327" i="5"/>
  <c r="V328" i="5"/>
  <c r="V329" i="5"/>
  <c r="V330" i="5"/>
  <c r="V331" i="5"/>
  <c r="V332" i="5"/>
  <c r="V333" i="5"/>
  <c r="V334" i="5"/>
  <c r="V335" i="5"/>
  <c r="V336" i="5"/>
  <c r="V337" i="5"/>
  <c r="V338" i="5"/>
  <c r="V339" i="5"/>
  <c r="V340" i="5"/>
  <c r="V341" i="5"/>
  <c r="V342" i="5"/>
  <c r="V343" i="5"/>
  <c r="V344" i="5"/>
  <c r="V345" i="5"/>
  <c r="V346" i="5"/>
  <c r="V347" i="5"/>
  <c r="V348" i="5"/>
  <c r="V349" i="5"/>
  <c r="V350" i="5"/>
  <c r="V351" i="5"/>
  <c r="V352" i="5"/>
  <c r="V353" i="5"/>
  <c r="V354" i="5"/>
  <c r="V355" i="5"/>
  <c r="V356" i="5"/>
  <c r="V357" i="5"/>
  <c r="V358" i="5"/>
  <c r="V359" i="5"/>
  <c r="V360" i="5"/>
  <c r="V361" i="5"/>
  <c r="V362" i="5"/>
  <c r="V363" i="5"/>
  <c r="V364" i="5"/>
  <c r="V365" i="5"/>
  <c r="V366" i="5"/>
  <c r="V367" i="5"/>
  <c r="V368" i="5"/>
  <c r="V369" i="5"/>
  <c r="V370" i="5"/>
  <c r="V371" i="5"/>
  <c r="V372" i="5"/>
  <c r="V373" i="5"/>
  <c r="V374" i="5"/>
  <c r="V375" i="5"/>
  <c r="V376" i="5"/>
  <c r="V377" i="5"/>
  <c r="V378" i="5"/>
  <c r="V379" i="5"/>
  <c r="V380" i="5"/>
  <c r="V381" i="5"/>
  <c r="V382" i="5"/>
  <c r="V383" i="5"/>
  <c r="V384" i="5"/>
  <c r="V385" i="5"/>
  <c r="V386" i="5"/>
  <c r="V387" i="5"/>
  <c r="V388" i="5"/>
  <c r="V389" i="5"/>
  <c r="V390" i="5"/>
  <c r="V391" i="5"/>
  <c r="V392" i="5"/>
  <c r="V393" i="5"/>
  <c r="V394" i="5"/>
  <c r="V395" i="5"/>
  <c r="V396" i="5"/>
  <c r="V397" i="5"/>
  <c r="V398" i="5"/>
  <c r="V399" i="5"/>
  <c r="V400" i="5"/>
  <c r="V401" i="5"/>
  <c r="V402" i="5"/>
  <c r="V403" i="5"/>
  <c r="V404" i="5"/>
  <c r="V405" i="5"/>
  <c r="V406" i="5"/>
  <c r="V407" i="5"/>
  <c r="V408" i="5"/>
  <c r="V409" i="5"/>
  <c r="V410" i="5"/>
  <c r="V411" i="5"/>
  <c r="V412" i="5"/>
  <c r="V413" i="5"/>
  <c r="V414" i="5"/>
  <c r="V415" i="5"/>
  <c r="V416" i="5"/>
  <c r="V417" i="5"/>
  <c r="V418" i="5"/>
  <c r="V419" i="5"/>
  <c r="V420" i="5"/>
  <c r="V421" i="5"/>
  <c r="V422" i="5"/>
  <c r="V423" i="5"/>
  <c r="V424" i="5"/>
  <c r="V425" i="5"/>
  <c r="V426" i="5"/>
  <c r="V427" i="5"/>
  <c r="V428" i="5"/>
  <c r="V429" i="5"/>
  <c r="V430" i="5"/>
  <c r="V431" i="5"/>
  <c r="V432" i="5"/>
  <c r="V433" i="5"/>
  <c r="V434" i="5"/>
  <c r="V435" i="5"/>
  <c r="V436" i="5"/>
  <c r="V437" i="5"/>
  <c r="V438" i="5"/>
  <c r="V439" i="5"/>
  <c r="V440" i="5"/>
  <c r="V441" i="5"/>
  <c r="V442" i="5"/>
  <c r="V443" i="5"/>
  <c r="V444" i="5"/>
  <c r="V445" i="5"/>
  <c r="V446" i="5"/>
  <c r="V447" i="5"/>
  <c r="V448" i="5"/>
  <c r="V449" i="5"/>
  <c r="V450" i="5"/>
  <c r="V451" i="5"/>
  <c r="V452" i="5"/>
  <c r="V453" i="5"/>
  <c r="V454" i="5"/>
  <c r="V455" i="5"/>
  <c r="V456" i="5"/>
  <c r="V457" i="5"/>
  <c r="V458" i="5"/>
  <c r="V459" i="5"/>
  <c r="V460" i="5"/>
  <c r="V461" i="5"/>
  <c r="V462" i="5"/>
  <c r="V463" i="5"/>
  <c r="V464" i="5"/>
  <c r="V465" i="5"/>
  <c r="V466" i="5"/>
  <c r="V467" i="5"/>
  <c r="V468" i="5"/>
  <c r="V469" i="5"/>
  <c r="V470" i="5"/>
  <c r="V471" i="5"/>
  <c r="V472" i="5"/>
  <c r="V473" i="5"/>
  <c r="V474" i="5"/>
  <c r="V475" i="5"/>
  <c r="V476" i="5"/>
  <c r="V477" i="5"/>
  <c r="V478" i="5"/>
  <c r="V479" i="5"/>
  <c r="V480" i="5"/>
  <c r="V481" i="5"/>
  <c r="V482" i="5"/>
  <c r="V483" i="5"/>
  <c r="V484" i="5"/>
  <c r="V485" i="5"/>
  <c r="V486" i="5"/>
  <c r="V487" i="5"/>
  <c r="V488" i="5"/>
  <c r="V489" i="5"/>
  <c r="V490" i="5"/>
  <c r="V491" i="5"/>
  <c r="V492" i="5"/>
  <c r="V493" i="5"/>
  <c r="V494" i="5"/>
  <c r="V495" i="5"/>
  <c r="V496" i="5"/>
  <c r="V497" i="5"/>
  <c r="V498" i="5"/>
  <c r="V499" i="5"/>
  <c r="V500" i="5"/>
  <c r="V501" i="5"/>
  <c r="V502" i="5"/>
  <c r="V503" i="5"/>
  <c r="V504" i="5"/>
  <c r="V505" i="5"/>
  <c r="V506" i="5"/>
  <c r="V507" i="5"/>
  <c r="V508" i="5"/>
  <c r="V509" i="5"/>
  <c r="V510" i="5"/>
  <c r="V511" i="5"/>
  <c r="V512" i="5"/>
  <c r="V513" i="5"/>
  <c r="V514" i="5"/>
  <c r="V515" i="5"/>
  <c r="V516" i="5"/>
  <c r="V517" i="5"/>
  <c r="V518" i="5"/>
  <c r="V519" i="5"/>
  <c r="V520" i="5"/>
  <c r="V521" i="5"/>
  <c r="V522" i="5"/>
  <c r="V523" i="5"/>
  <c r="V524" i="5"/>
  <c r="V525" i="5"/>
  <c r="V526" i="5"/>
  <c r="V527" i="5"/>
  <c r="V528" i="5"/>
  <c r="V529" i="5"/>
  <c r="V530" i="5"/>
  <c r="V531" i="5"/>
  <c r="V532" i="5"/>
  <c r="V533" i="5"/>
  <c r="V534" i="5"/>
  <c r="V535" i="5"/>
  <c r="V536" i="5"/>
  <c r="V537" i="5"/>
  <c r="V538" i="5"/>
  <c r="V539" i="5"/>
  <c r="V540" i="5"/>
  <c r="V541" i="5"/>
  <c r="V542" i="5"/>
  <c r="V543" i="5"/>
  <c r="V544" i="5"/>
  <c r="V545" i="5"/>
  <c r="V546" i="5"/>
  <c r="V547" i="5"/>
  <c r="V548" i="5"/>
  <c r="V549" i="5"/>
  <c r="V550" i="5"/>
  <c r="V551" i="5"/>
  <c r="V552" i="5"/>
  <c r="V553" i="5"/>
  <c r="V554" i="5"/>
  <c r="V555" i="5"/>
  <c r="V556" i="5"/>
  <c r="V557" i="5"/>
  <c r="V558" i="5"/>
  <c r="V559" i="5"/>
  <c r="V560" i="5"/>
  <c r="V561" i="5"/>
  <c r="V562" i="5"/>
  <c r="V563" i="5"/>
  <c r="V564" i="5"/>
  <c r="V565" i="5"/>
  <c r="V566" i="5"/>
  <c r="V567" i="5"/>
  <c r="V568" i="5"/>
  <c r="V569" i="5"/>
  <c r="V570" i="5"/>
  <c r="V571" i="5"/>
  <c r="V572" i="5"/>
  <c r="V573" i="5"/>
  <c r="V574" i="5"/>
  <c r="V575" i="5"/>
  <c r="V576" i="5"/>
  <c r="V577" i="5"/>
  <c r="V578" i="5"/>
  <c r="V579" i="5"/>
  <c r="V580" i="5"/>
  <c r="V581" i="5"/>
  <c r="V582" i="5"/>
  <c r="V583" i="5"/>
  <c r="V584" i="5"/>
  <c r="V585" i="5"/>
  <c r="V586" i="5"/>
  <c r="V587" i="5"/>
  <c r="V588" i="5"/>
  <c r="V589" i="5"/>
  <c r="V590" i="5"/>
  <c r="V591" i="5"/>
  <c r="V592" i="5"/>
  <c r="V593" i="5"/>
  <c r="V594" i="5"/>
  <c r="V595" i="5"/>
  <c r="V596" i="5"/>
  <c r="V597" i="5"/>
  <c r="V598" i="5"/>
  <c r="V599" i="5"/>
  <c r="V600" i="5"/>
  <c r="V601" i="5"/>
  <c r="V602" i="5"/>
  <c r="V603" i="5"/>
  <c r="V604" i="5"/>
  <c r="V605" i="5"/>
  <c r="V606" i="5"/>
  <c r="V607" i="5"/>
  <c r="V608" i="5"/>
  <c r="V609" i="5"/>
  <c r="V610" i="5"/>
  <c r="V611" i="5"/>
  <c r="V612" i="5"/>
  <c r="V613" i="5"/>
  <c r="V614" i="5"/>
  <c r="V615" i="5"/>
  <c r="V616" i="5"/>
  <c r="V617" i="5"/>
  <c r="V618" i="5"/>
  <c r="V619" i="5"/>
  <c r="V620" i="5"/>
  <c r="V621" i="5"/>
  <c r="V622" i="5"/>
  <c r="V623" i="5"/>
  <c r="V624" i="5"/>
  <c r="V625" i="5"/>
  <c r="V626" i="5"/>
  <c r="V627" i="5"/>
  <c r="V628" i="5"/>
  <c r="V629" i="5"/>
  <c r="V630" i="5"/>
  <c r="V631" i="5"/>
  <c r="V632" i="5"/>
  <c r="V633" i="5"/>
  <c r="V634" i="5"/>
  <c r="V635" i="5"/>
  <c r="V636" i="5"/>
  <c r="V637" i="5"/>
  <c r="V638" i="5"/>
  <c r="V639" i="5"/>
  <c r="V640" i="5"/>
  <c r="V641" i="5"/>
  <c r="V642" i="5"/>
  <c r="V643" i="5"/>
  <c r="V644" i="5"/>
  <c r="V645" i="5"/>
  <c r="V646" i="5"/>
  <c r="V647" i="5"/>
  <c r="V648" i="5"/>
  <c r="V649" i="5"/>
  <c r="V650" i="5"/>
  <c r="V651" i="5"/>
  <c r="V652" i="5"/>
  <c r="V653" i="5"/>
  <c r="V654" i="5"/>
  <c r="V655" i="5"/>
  <c r="V656" i="5"/>
  <c r="V657" i="5"/>
  <c r="V658" i="5"/>
  <c r="V659" i="5"/>
  <c r="V660" i="5"/>
  <c r="V661" i="5"/>
  <c r="V662" i="5"/>
  <c r="V663" i="5"/>
  <c r="V664" i="5"/>
  <c r="V665" i="5"/>
  <c r="V666" i="5"/>
  <c r="V667" i="5"/>
  <c r="V668" i="5"/>
  <c r="V669" i="5"/>
  <c r="V670" i="5"/>
  <c r="V671" i="5"/>
  <c r="V672" i="5"/>
  <c r="V673" i="5"/>
  <c r="V674" i="5"/>
  <c r="V675" i="5"/>
  <c r="V676" i="5"/>
  <c r="V677" i="5"/>
  <c r="V678" i="5"/>
  <c r="V679" i="5"/>
  <c r="V680" i="5"/>
  <c r="V681" i="5"/>
  <c r="V682" i="5"/>
  <c r="V683" i="5"/>
  <c r="V684" i="5"/>
  <c r="V685" i="5"/>
  <c r="V686" i="5"/>
  <c r="V687" i="5"/>
  <c r="V688" i="5"/>
  <c r="V689" i="5"/>
  <c r="V690" i="5"/>
  <c r="V691" i="5"/>
  <c r="V692" i="5"/>
  <c r="V693" i="5"/>
  <c r="V694" i="5"/>
  <c r="V695" i="5"/>
  <c r="V696" i="5"/>
  <c r="V697" i="5"/>
  <c r="V698" i="5"/>
  <c r="V699" i="5"/>
  <c r="V700" i="5"/>
  <c r="V701" i="5"/>
  <c r="V702" i="5"/>
  <c r="V703" i="5"/>
  <c r="V704" i="5"/>
  <c r="V705" i="5"/>
  <c r="V706" i="5"/>
  <c r="V707" i="5"/>
  <c r="V708" i="5"/>
  <c r="V709" i="5"/>
  <c r="V710" i="5"/>
  <c r="V711" i="5"/>
  <c r="V712" i="5"/>
  <c r="V713" i="5"/>
  <c r="V714" i="5"/>
  <c r="V715" i="5"/>
  <c r="V716" i="5"/>
  <c r="V717" i="5"/>
  <c r="V718" i="5"/>
  <c r="V719" i="5"/>
  <c r="V720" i="5"/>
  <c r="V721" i="5"/>
  <c r="V722" i="5"/>
  <c r="V723" i="5"/>
  <c r="V724" i="5"/>
  <c r="V725" i="5"/>
  <c r="V726" i="5"/>
  <c r="V727" i="5"/>
  <c r="V728" i="5"/>
  <c r="V729" i="5"/>
  <c r="V730" i="5"/>
  <c r="V731" i="5"/>
  <c r="V732" i="5"/>
  <c r="V733" i="5"/>
  <c r="V734" i="5"/>
  <c r="V735" i="5"/>
  <c r="V736" i="5"/>
  <c r="V737" i="5"/>
  <c r="V738" i="5"/>
  <c r="V739" i="5"/>
  <c r="V740" i="5"/>
  <c r="V741" i="5"/>
  <c r="V742" i="5"/>
  <c r="V743" i="5"/>
  <c r="V744" i="5"/>
  <c r="V745" i="5"/>
  <c r="V746" i="5"/>
  <c r="V747" i="5"/>
  <c r="V748" i="5"/>
  <c r="V749" i="5"/>
  <c r="V750" i="5"/>
  <c r="V751" i="5"/>
  <c r="V752" i="5"/>
  <c r="V753" i="5"/>
  <c r="V754" i="5"/>
  <c r="V755" i="5"/>
  <c r="V756" i="5"/>
  <c r="V757" i="5"/>
  <c r="V758" i="5"/>
  <c r="V759" i="5"/>
  <c r="V760" i="5"/>
  <c r="V761" i="5"/>
  <c r="V762" i="5"/>
  <c r="V763" i="5"/>
  <c r="V764" i="5"/>
  <c r="V765" i="5"/>
  <c r="V766" i="5"/>
  <c r="V767" i="5"/>
  <c r="V768" i="5"/>
  <c r="V769" i="5"/>
  <c r="V770" i="5"/>
  <c r="V771" i="5"/>
  <c r="V772" i="5"/>
  <c r="V773" i="5"/>
  <c r="V774" i="5"/>
  <c r="V775" i="5"/>
  <c r="V776" i="5"/>
  <c r="V777" i="5"/>
  <c r="V778" i="5"/>
  <c r="V779" i="5"/>
  <c r="V780" i="5"/>
  <c r="V781" i="5"/>
  <c r="V782" i="5"/>
  <c r="V783" i="5"/>
  <c r="V784" i="5"/>
  <c r="V785" i="5"/>
  <c r="V786" i="5"/>
  <c r="V787" i="5"/>
  <c r="V788" i="5"/>
  <c r="V789" i="5"/>
  <c r="U3" i="5"/>
  <c r="U4" i="5"/>
  <c r="U5" i="5"/>
  <c r="U6" i="5"/>
  <c r="U7" i="5"/>
  <c r="U8" i="5"/>
  <c r="U9" i="5"/>
  <c r="U10" i="5"/>
  <c r="U11" i="5"/>
  <c r="U12" i="5"/>
  <c r="U13" i="5"/>
  <c r="U14" i="5"/>
  <c r="U15" i="5"/>
  <c r="U16" i="5"/>
  <c r="U17" i="5"/>
  <c r="U18" i="5"/>
  <c r="U19" i="5"/>
  <c r="U20" i="5"/>
  <c r="U21" i="5"/>
  <c r="U22" i="5"/>
  <c r="U23" i="5"/>
  <c r="U24" i="5"/>
  <c r="U25" i="5"/>
  <c r="U26" i="5"/>
  <c r="U27" i="5"/>
  <c r="U28" i="5"/>
  <c r="U29" i="5"/>
  <c r="U30" i="5"/>
  <c r="U31" i="5"/>
  <c r="U32" i="5"/>
  <c r="U33" i="5"/>
  <c r="U34" i="5"/>
  <c r="U35" i="5"/>
  <c r="U36" i="5"/>
  <c r="U37" i="5"/>
  <c r="U38" i="5"/>
  <c r="U39" i="5"/>
  <c r="U40" i="5"/>
  <c r="U41" i="5"/>
  <c r="U42" i="5"/>
  <c r="U43" i="5"/>
  <c r="U44" i="5"/>
  <c r="U45" i="5"/>
  <c r="U46" i="5"/>
  <c r="U47" i="5"/>
  <c r="U48" i="5"/>
  <c r="U49" i="5"/>
  <c r="U50" i="5"/>
  <c r="U51" i="5"/>
  <c r="U52" i="5"/>
  <c r="U53" i="5"/>
  <c r="U54" i="5"/>
  <c r="U55" i="5"/>
  <c r="U56" i="5"/>
  <c r="U57" i="5"/>
  <c r="U58" i="5"/>
  <c r="U59" i="5"/>
  <c r="U60" i="5"/>
  <c r="U61" i="5"/>
  <c r="U62" i="5"/>
  <c r="U63" i="5"/>
  <c r="U64" i="5"/>
  <c r="U65" i="5"/>
  <c r="U66" i="5"/>
  <c r="U67" i="5"/>
  <c r="U68" i="5"/>
  <c r="U69" i="5"/>
  <c r="U70" i="5"/>
  <c r="U71" i="5"/>
  <c r="U72" i="5"/>
  <c r="U73" i="5"/>
  <c r="U74" i="5"/>
  <c r="U75" i="5"/>
  <c r="U76" i="5"/>
  <c r="U77" i="5"/>
  <c r="U78" i="5"/>
  <c r="U79" i="5"/>
  <c r="U80" i="5"/>
  <c r="U81" i="5"/>
  <c r="U82" i="5"/>
  <c r="U83" i="5"/>
  <c r="U84" i="5"/>
  <c r="U85" i="5"/>
  <c r="U86" i="5"/>
  <c r="U87" i="5"/>
  <c r="U88" i="5"/>
  <c r="U89" i="5"/>
  <c r="U90" i="5"/>
  <c r="U91" i="5"/>
  <c r="U92" i="5"/>
  <c r="U93" i="5"/>
  <c r="U94" i="5"/>
  <c r="U95" i="5"/>
  <c r="U96" i="5"/>
  <c r="U97" i="5"/>
  <c r="U98" i="5"/>
  <c r="U99" i="5"/>
  <c r="U100" i="5"/>
  <c r="U101" i="5"/>
  <c r="U102" i="5"/>
  <c r="U103" i="5"/>
  <c r="U104" i="5"/>
  <c r="U105" i="5"/>
  <c r="U106" i="5"/>
  <c r="U107" i="5"/>
  <c r="U108" i="5"/>
  <c r="U109" i="5"/>
  <c r="U110" i="5"/>
  <c r="U111" i="5"/>
  <c r="U112" i="5"/>
  <c r="U113" i="5"/>
  <c r="U114" i="5"/>
  <c r="U115" i="5"/>
  <c r="U116" i="5"/>
  <c r="U117" i="5"/>
  <c r="U118" i="5"/>
  <c r="U119" i="5"/>
  <c r="U120" i="5"/>
  <c r="U121" i="5"/>
  <c r="U122" i="5"/>
  <c r="U123" i="5"/>
  <c r="U124" i="5"/>
  <c r="U125" i="5"/>
  <c r="U126" i="5"/>
  <c r="U127" i="5"/>
  <c r="U128" i="5"/>
  <c r="U129" i="5"/>
  <c r="U130" i="5"/>
  <c r="U131" i="5"/>
  <c r="U132" i="5"/>
  <c r="U133" i="5"/>
  <c r="U134" i="5"/>
  <c r="U135" i="5"/>
  <c r="U136" i="5"/>
  <c r="U137" i="5"/>
  <c r="U138" i="5"/>
  <c r="U139" i="5"/>
  <c r="U140" i="5"/>
  <c r="U141" i="5"/>
  <c r="U142" i="5"/>
  <c r="U143" i="5"/>
  <c r="U144" i="5"/>
  <c r="U145" i="5"/>
  <c r="U146" i="5"/>
  <c r="U147" i="5"/>
  <c r="U148" i="5"/>
  <c r="U149" i="5"/>
  <c r="U150" i="5"/>
  <c r="U151" i="5"/>
  <c r="U152" i="5"/>
  <c r="U153" i="5"/>
  <c r="U154" i="5"/>
  <c r="U155" i="5"/>
  <c r="U156" i="5"/>
  <c r="U157" i="5"/>
  <c r="U158" i="5"/>
  <c r="U159" i="5"/>
  <c r="U160" i="5"/>
  <c r="U161" i="5"/>
  <c r="U162" i="5"/>
  <c r="U163" i="5"/>
  <c r="U164" i="5"/>
  <c r="U165" i="5"/>
  <c r="U166" i="5"/>
  <c r="U167" i="5"/>
  <c r="U168" i="5"/>
  <c r="U169" i="5"/>
  <c r="U170" i="5"/>
  <c r="U171" i="5"/>
  <c r="U172" i="5"/>
  <c r="U173" i="5"/>
  <c r="U174" i="5"/>
  <c r="U175" i="5"/>
  <c r="U176" i="5"/>
  <c r="U177" i="5"/>
  <c r="U178" i="5"/>
  <c r="U179" i="5"/>
  <c r="U180" i="5"/>
  <c r="U181" i="5"/>
  <c r="U182" i="5"/>
  <c r="U183" i="5"/>
  <c r="U184" i="5"/>
  <c r="U185" i="5"/>
  <c r="U186" i="5"/>
  <c r="U187" i="5"/>
  <c r="U188" i="5"/>
  <c r="U189" i="5"/>
  <c r="U190" i="5"/>
  <c r="U191" i="5"/>
  <c r="U192" i="5"/>
  <c r="U193" i="5"/>
  <c r="U194" i="5"/>
  <c r="U195" i="5"/>
  <c r="U196" i="5"/>
  <c r="U197" i="5"/>
  <c r="U198" i="5"/>
  <c r="U199" i="5"/>
  <c r="U200" i="5"/>
  <c r="U201" i="5"/>
  <c r="U202" i="5"/>
  <c r="U203" i="5"/>
  <c r="U204" i="5"/>
  <c r="U205" i="5"/>
  <c r="U206" i="5"/>
  <c r="U207" i="5"/>
  <c r="U208" i="5"/>
  <c r="U209" i="5"/>
  <c r="U210" i="5"/>
  <c r="U211" i="5"/>
  <c r="U212" i="5"/>
  <c r="U213" i="5"/>
  <c r="U214" i="5"/>
  <c r="U215" i="5"/>
  <c r="U216" i="5"/>
  <c r="U217" i="5"/>
  <c r="U218" i="5"/>
  <c r="U219" i="5"/>
  <c r="U220" i="5"/>
  <c r="U221" i="5"/>
  <c r="U222" i="5"/>
  <c r="U223" i="5"/>
  <c r="U224" i="5"/>
  <c r="U225" i="5"/>
  <c r="U226" i="5"/>
  <c r="U227" i="5"/>
  <c r="U228" i="5"/>
  <c r="U229" i="5"/>
  <c r="U230" i="5"/>
  <c r="U231" i="5"/>
  <c r="U232" i="5"/>
  <c r="U233" i="5"/>
  <c r="U234" i="5"/>
  <c r="U235" i="5"/>
  <c r="U236" i="5"/>
  <c r="U237" i="5"/>
  <c r="U238" i="5"/>
  <c r="U239" i="5"/>
  <c r="U240" i="5"/>
  <c r="U241" i="5"/>
  <c r="U242" i="5"/>
  <c r="U243" i="5"/>
  <c r="U244" i="5"/>
  <c r="U245" i="5"/>
  <c r="U246" i="5"/>
  <c r="U247" i="5"/>
  <c r="U248" i="5"/>
  <c r="U249" i="5"/>
  <c r="U250" i="5"/>
  <c r="U251" i="5"/>
  <c r="U252" i="5"/>
  <c r="U253" i="5"/>
  <c r="U254" i="5"/>
  <c r="U255" i="5"/>
  <c r="U256" i="5"/>
  <c r="U257" i="5"/>
  <c r="U258" i="5"/>
  <c r="U259" i="5"/>
  <c r="U260" i="5"/>
  <c r="U261" i="5"/>
  <c r="U262" i="5"/>
  <c r="U263" i="5"/>
  <c r="U264" i="5"/>
  <c r="U265" i="5"/>
  <c r="U266" i="5"/>
  <c r="U267" i="5"/>
  <c r="U268" i="5"/>
  <c r="U269" i="5"/>
  <c r="U270" i="5"/>
  <c r="U271" i="5"/>
  <c r="U272" i="5"/>
  <c r="U273" i="5"/>
  <c r="U274" i="5"/>
  <c r="U275" i="5"/>
  <c r="U276" i="5"/>
  <c r="U277" i="5"/>
  <c r="U278" i="5"/>
  <c r="U279" i="5"/>
  <c r="U280" i="5"/>
  <c r="U281" i="5"/>
  <c r="U282" i="5"/>
  <c r="U283" i="5"/>
  <c r="U284" i="5"/>
  <c r="U285" i="5"/>
  <c r="U286" i="5"/>
  <c r="U287" i="5"/>
  <c r="U288" i="5"/>
  <c r="U289" i="5"/>
  <c r="U290" i="5"/>
  <c r="U291" i="5"/>
  <c r="U292" i="5"/>
  <c r="U293" i="5"/>
  <c r="U294" i="5"/>
  <c r="U295" i="5"/>
  <c r="U296" i="5"/>
  <c r="U297" i="5"/>
  <c r="U298" i="5"/>
  <c r="U299" i="5"/>
  <c r="U300" i="5"/>
  <c r="U301" i="5"/>
  <c r="U302" i="5"/>
  <c r="U303" i="5"/>
  <c r="U304" i="5"/>
  <c r="U305" i="5"/>
  <c r="U306" i="5"/>
  <c r="U307" i="5"/>
  <c r="U308" i="5"/>
  <c r="U309" i="5"/>
  <c r="U310" i="5"/>
  <c r="U311" i="5"/>
  <c r="U312" i="5"/>
  <c r="U313" i="5"/>
  <c r="U314" i="5"/>
  <c r="U315" i="5"/>
  <c r="U316" i="5"/>
  <c r="U317" i="5"/>
  <c r="U318" i="5"/>
  <c r="U319" i="5"/>
  <c r="U320" i="5"/>
  <c r="U321" i="5"/>
  <c r="U322" i="5"/>
  <c r="U323" i="5"/>
  <c r="U324" i="5"/>
  <c r="U325" i="5"/>
  <c r="U326" i="5"/>
  <c r="U327" i="5"/>
  <c r="U328" i="5"/>
  <c r="U329" i="5"/>
  <c r="U330" i="5"/>
  <c r="U331" i="5"/>
  <c r="U332" i="5"/>
  <c r="U333" i="5"/>
  <c r="U334" i="5"/>
  <c r="U335" i="5"/>
  <c r="U336" i="5"/>
  <c r="U337" i="5"/>
  <c r="U338" i="5"/>
  <c r="U339" i="5"/>
  <c r="U340" i="5"/>
  <c r="U341" i="5"/>
  <c r="U342" i="5"/>
  <c r="U343" i="5"/>
  <c r="U344" i="5"/>
  <c r="U345" i="5"/>
  <c r="U346" i="5"/>
  <c r="U347" i="5"/>
  <c r="U348" i="5"/>
  <c r="U349" i="5"/>
  <c r="U350" i="5"/>
  <c r="U351" i="5"/>
  <c r="U352" i="5"/>
  <c r="U353" i="5"/>
  <c r="U354" i="5"/>
  <c r="U355" i="5"/>
  <c r="U356" i="5"/>
  <c r="U357" i="5"/>
  <c r="U358" i="5"/>
  <c r="U359" i="5"/>
  <c r="U360" i="5"/>
  <c r="U361" i="5"/>
  <c r="U362" i="5"/>
  <c r="U363" i="5"/>
  <c r="U364" i="5"/>
  <c r="U365" i="5"/>
  <c r="U366" i="5"/>
  <c r="U367" i="5"/>
  <c r="U368" i="5"/>
  <c r="U369" i="5"/>
  <c r="U370" i="5"/>
  <c r="U371" i="5"/>
  <c r="U372" i="5"/>
  <c r="U373" i="5"/>
  <c r="U374" i="5"/>
  <c r="U375" i="5"/>
  <c r="U376" i="5"/>
  <c r="U377" i="5"/>
  <c r="U378" i="5"/>
  <c r="U379" i="5"/>
  <c r="U380" i="5"/>
  <c r="U381" i="5"/>
  <c r="U382" i="5"/>
  <c r="U383" i="5"/>
  <c r="U384" i="5"/>
  <c r="U385" i="5"/>
  <c r="U386" i="5"/>
  <c r="U387" i="5"/>
  <c r="U388" i="5"/>
  <c r="U389" i="5"/>
  <c r="U390" i="5"/>
  <c r="U391" i="5"/>
  <c r="U392" i="5"/>
  <c r="U393" i="5"/>
  <c r="U394" i="5"/>
  <c r="U395" i="5"/>
  <c r="U396" i="5"/>
  <c r="U397" i="5"/>
  <c r="U398" i="5"/>
  <c r="U399" i="5"/>
  <c r="U400" i="5"/>
  <c r="U401" i="5"/>
  <c r="U402" i="5"/>
  <c r="U403" i="5"/>
  <c r="U404" i="5"/>
  <c r="U405" i="5"/>
  <c r="U406" i="5"/>
  <c r="U407" i="5"/>
  <c r="U408" i="5"/>
  <c r="U409" i="5"/>
  <c r="U410" i="5"/>
  <c r="U411" i="5"/>
  <c r="U412" i="5"/>
  <c r="U413" i="5"/>
  <c r="U414" i="5"/>
  <c r="U415" i="5"/>
  <c r="U416" i="5"/>
  <c r="U417" i="5"/>
  <c r="U418" i="5"/>
  <c r="U419" i="5"/>
  <c r="U420" i="5"/>
  <c r="U421" i="5"/>
  <c r="U422" i="5"/>
  <c r="U423" i="5"/>
  <c r="U424" i="5"/>
  <c r="U425" i="5"/>
  <c r="U426" i="5"/>
  <c r="U427" i="5"/>
  <c r="U428" i="5"/>
  <c r="U429" i="5"/>
  <c r="U430" i="5"/>
  <c r="U431" i="5"/>
  <c r="U432" i="5"/>
  <c r="U433" i="5"/>
  <c r="U434" i="5"/>
  <c r="U435" i="5"/>
  <c r="U436" i="5"/>
  <c r="U437" i="5"/>
  <c r="U438" i="5"/>
  <c r="U439" i="5"/>
  <c r="U440" i="5"/>
  <c r="U441" i="5"/>
  <c r="U442" i="5"/>
  <c r="U443" i="5"/>
  <c r="U444" i="5"/>
  <c r="U445" i="5"/>
  <c r="U446" i="5"/>
  <c r="U447" i="5"/>
  <c r="U448" i="5"/>
  <c r="U449" i="5"/>
  <c r="U450" i="5"/>
  <c r="U451" i="5"/>
  <c r="U452" i="5"/>
  <c r="U453" i="5"/>
  <c r="U454" i="5"/>
  <c r="U455" i="5"/>
  <c r="U456" i="5"/>
  <c r="U457" i="5"/>
  <c r="U458" i="5"/>
  <c r="U459" i="5"/>
  <c r="U460" i="5"/>
  <c r="U461" i="5"/>
  <c r="U462" i="5"/>
  <c r="U463" i="5"/>
  <c r="U464" i="5"/>
  <c r="U465" i="5"/>
  <c r="U466" i="5"/>
  <c r="U467" i="5"/>
  <c r="U468" i="5"/>
  <c r="U469" i="5"/>
  <c r="U470" i="5"/>
  <c r="U471" i="5"/>
  <c r="U472" i="5"/>
  <c r="U473" i="5"/>
  <c r="U474" i="5"/>
  <c r="U475" i="5"/>
  <c r="U476" i="5"/>
  <c r="U477" i="5"/>
  <c r="U478" i="5"/>
  <c r="U479" i="5"/>
  <c r="U480" i="5"/>
  <c r="U481" i="5"/>
  <c r="U482" i="5"/>
  <c r="U483" i="5"/>
  <c r="U484" i="5"/>
  <c r="U485" i="5"/>
  <c r="U486" i="5"/>
  <c r="U487" i="5"/>
  <c r="U488" i="5"/>
  <c r="U489" i="5"/>
  <c r="U490" i="5"/>
  <c r="U491" i="5"/>
  <c r="U492" i="5"/>
  <c r="U493" i="5"/>
  <c r="U494" i="5"/>
  <c r="U495" i="5"/>
  <c r="U496" i="5"/>
  <c r="U497" i="5"/>
  <c r="U498" i="5"/>
  <c r="U499" i="5"/>
  <c r="U500" i="5"/>
  <c r="U501" i="5"/>
  <c r="U502" i="5"/>
  <c r="U503" i="5"/>
  <c r="U504" i="5"/>
  <c r="U505" i="5"/>
  <c r="U506" i="5"/>
  <c r="U507" i="5"/>
  <c r="U508" i="5"/>
  <c r="U509" i="5"/>
  <c r="U510" i="5"/>
  <c r="U511" i="5"/>
  <c r="U512" i="5"/>
  <c r="U513" i="5"/>
  <c r="U514" i="5"/>
  <c r="U515" i="5"/>
  <c r="U516" i="5"/>
  <c r="U517" i="5"/>
  <c r="U518" i="5"/>
  <c r="U519" i="5"/>
  <c r="U520" i="5"/>
  <c r="U521" i="5"/>
  <c r="U522" i="5"/>
  <c r="U523" i="5"/>
  <c r="U524" i="5"/>
  <c r="U525" i="5"/>
  <c r="U526" i="5"/>
  <c r="U527" i="5"/>
  <c r="U528" i="5"/>
  <c r="U529" i="5"/>
  <c r="U530" i="5"/>
  <c r="U531" i="5"/>
  <c r="U532" i="5"/>
  <c r="U533" i="5"/>
  <c r="U534" i="5"/>
  <c r="U535" i="5"/>
  <c r="U536" i="5"/>
  <c r="U537" i="5"/>
  <c r="U538" i="5"/>
  <c r="U539" i="5"/>
  <c r="U540" i="5"/>
  <c r="U541" i="5"/>
  <c r="U542" i="5"/>
  <c r="U543" i="5"/>
  <c r="U544" i="5"/>
  <c r="U545" i="5"/>
  <c r="U546" i="5"/>
  <c r="U547" i="5"/>
  <c r="U548" i="5"/>
  <c r="U549" i="5"/>
  <c r="U550" i="5"/>
  <c r="U551" i="5"/>
  <c r="U552" i="5"/>
  <c r="U553" i="5"/>
  <c r="U554" i="5"/>
  <c r="U555" i="5"/>
  <c r="U556" i="5"/>
  <c r="U557" i="5"/>
  <c r="U558" i="5"/>
  <c r="U559" i="5"/>
  <c r="U560" i="5"/>
  <c r="U561" i="5"/>
  <c r="U562" i="5"/>
  <c r="U563" i="5"/>
  <c r="U564" i="5"/>
  <c r="U565" i="5"/>
  <c r="U566" i="5"/>
  <c r="U567" i="5"/>
  <c r="U568" i="5"/>
  <c r="U569" i="5"/>
  <c r="U570" i="5"/>
  <c r="U571" i="5"/>
  <c r="U572" i="5"/>
  <c r="U573" i="5"/>
  <c r="U574" i="5"/>
  <c r="U575" i="5"/>
  <c r="U576" i="5"/>
  <c r="U577" i="5"/>
  <c r="U578" i="5"/>
  <c r="U579" i="5"/>
  <c r="U580" i="5"/>
  <c r="U581" i="5"/>
  <c r="U582" i="5"/>
  <c r="U583" i="5"/>
  <c r="U584" i="5"/>
  <c r="U585" i="5"/>
  <c r="U586" i="5"/>
  <c r="U587" i="5"/>
  <c r="U588" i="5"/>
  <c r="U589" i="5"/>
  <c r="U590" i="5"/>
  <c r="U591" i="5"/>
  <c r="U592" i="5"/>
  <c r="U593" i="5"/>
  <c r="U594" i="5"/>
  <c r="U595" i="5"/>
  <c r="U596" i="5"/>
  <c r="U597" i="5"/>
  <c r="U598" i="5"/>
  <c r="U599" i="5"/>
  <c r="U600" i="5"/>
  <c r="U601" i="5"/>
  <c r="U602" i="5"/>
  <c r="U603" i="5"/>
  <c r="U604" i="5"/>
  <c r="U605" i="5"/>
  <c r="U606" i="5"/>
  <c r="U607" i="5"/>
  <c r="U608" i="5"/>
  <c r="U609" i="5"/>
  <c r="U610" i="5"/>
  <c r="U611" i="5"/>
  <c r="U612" i="5"/>
  <c r="U613" i="5"/>
  <c r="U614" i="5"/>
  <c r="U615" i="5"/>
  <c r="U616" i="5"/>
  <c r="U617" i="5"/>
  <c r="U618" i="5"/>
  <c r="U619" i="5"/>
  <c r="U620" i="5"/>
  <c r="U621" i="5"/>
  <c r="U622" i="5"/>
  <c r="U623" i="5"/>
  <c r="U624" i="5"/>
  <c r="U625" i="5"/>
  <c r="U626" i="5"/>
  <c r="U627" i="5"/>
  <c r="U628" i="5"/>
  <c r="U629" i="5"/>
  <c r="U630" i="5"/>
  <c r="U631" i="5"/>
  <c r="U632" i="5"/>
  <c r="U633" i="5"/>
  <c r="U634" i="5"/>
  <c r="U635" i="5"/>
  <c r="U636" i="5"/>
  <c r="U637" i="5"/>
  <c r="U638" i="5"/>
  <c r="U639" i="5"/>
  <c r="U640" i="5"/>
  <c r="U641" i="5"/>
  <c r="U642" i="5"/>
  <c r="U643" i="5"/>
  <c r="U644" i="5"/>
  <c r="U645" i="5"/>
  <c r="U646" i="5"/>
  <c r="U647" i="5"/>
  <c r="U648" i="5"/>
  <c r="U649" i="5"/>
  <c r="U650" i="5"/>
  <c r="U651" i="5"/>
  <c r="U652" i="5"/>
  <c r="U653" i="5"/>
  <c r="U654" i="5"/>
  <c r="U655" i="5"/>
  <c r="U656" i="5"/>
  <c r="U657" i="5"/>
  <c r="U658" i="5"/>
  <c r="U659" i="5"/>
  <c r="U660" i="5"/>
  <c r="U661" i="5"/>
  <c r="U662" i="5"/>
  <c r="U663" i="5"/>
  <c r="U664" i="5"/>
  <c r="U665" i="5"/>
  <c r="U666" i="5"/>
  <c r="U667" i="5"/>
  <c r="U668" i="5"/>
  <c r="U669" i="5"/>
  <c r="U670" i="5"/>
  <c r="U671" i="5"/>
  <c r="U672" i="5"/>
  <c r="U673" i="5"/>
  <c r="U674" i="5"/>
  <c r="U675" i="5"/>
  <c r="U676" i="5"/>
  <c r="U677" i="5"/>
  <c r="U678" i="5"/>
  <c r="U679" i="5"/>
  <c r="U680" i="5"/>
  <c r="U681" i="5"/>
  <c r="U682" i="5"/>
  <c r="U683" i="5"/>
  <c r="U684" i="5"/>
  <c r="U685" i="5"/>
  <c r="U686" i="5"/>
  <c r="U687" i="5"/>
  <c r="U688" i="5"/>
  <c r="U689" i="5"/>
  <c r="U690" i="5"/>
  <c r="U691" i="5"/>
  <c r="U692" i="5"/>
  <c r="U693" i="5"/>
  <c r="U694" i="5"/>
  <c r="U695" i="5"/>
  <c r="U696" i="5"/>
  <c r="U697" i="5"/>
  <c r="U698" i="5"/>
  <c r="U699" i="5"/>
  <c r="U700" i="5"/>
  <c r="U701" i="5"/>
  <c r="U702" i="5"/>
  <c r="U703" i="5"/>
  <c r="U704" i="5"/>
  <c r="U705" i="5"/>
  <c r="U706" i="5"/>
  <c r="U707" i="5"/>
  <c r="U708" i="5"/>
  <c r="U709" i="5"/>
  <c r="U710" i="5"/>
  <c r="U711" i="5"/>
  <c r="U712" i="5"/>
  <c r="U713" i="5"/>
  <c r="U714" i="5"/>
  <c r="U715" i="5"/>
  <c r="U716" i="5"/>
  <c r="U717" i="5"/>
  <c r="U718" i="5"/>
  <c r="U719" i="5"/>
  <c r="U720" i="5"/>
  <c r="U721" i="5"/>
  <c r="U722" i="5"/>
  <c r="U723" i="5"/>
  <c r="U724" i="5"/>
  <c r="U725" i="5"/>
  <c r="U726" i="5"/>
  <c r="U727" i="5"/>
  <c r="U728" i="5"/>
  <c r="U729" i="5"/>
  <c r="U730" i="5"/>
  <c r="U731" i="5"/>
  <c r="U732" i="5"/>
  <c r="U733" i="5"/>
  <c r="U734" i="5"/>
  <c r="U735" i="5"/>
  <c r="U736" i="5"/>
  <c r="U737" i="5"/>
  <c r="U738" i="5"/>
  <c r="U739" i="5"/>
  <c r="U740" i="5"/>
  <c r="U741" i="5"/>
  <c r="U742" i="5"/>
  <c r="U743" i="5"/>
  <c r="U744" i="5"/>
  <c r="U745" i="5"/>
  <c r="U746" i="5"/>
  <c r="U747" i="5"/>
  <c r="U748" i="5"/>
  <c r="U749" i="5"/>
  <c r="U750" i="5"/>
  <c r="U751" i="5"/>
  <c r="U752" i="5"/>
  <c r="U753" i="5"/>
  <c r="U754" i="5"/>
  <c r="U755" i="5"/>
  <c r="U756" i="5"/>
  <c r="U757" i="5"/>
  <c r="U758" i="5"/>
  <c r="U759" i="5"/>
  <c r="U760" i="5"/>
  <c r="U761" i="5"/>
  <c r="U762" i="5"/>
  <c r="U763" i="5"/>
  <c r="U764" i="5"/>
  <c r="U765" i="5"/>
  <c r="U766" i="5"/>
  <c r="U767" i="5"/>
  <c r="U768" i="5"/>
  <c r="U769" i="5"/>
  <c r="U770" i="5"/>
  <c r="U771" i="5"/>
  <c r="U772" i="5"/>
  <c r="U773" i="5"/>
  <c r="U774" i="5"/>
  <c r="U775" i="5"/>
  <c r="U776" i="5"/>
  <c r="U777" i="5"/>
  <c r="U778" i="5"/>
  <c r="U779" i="5"/>
  <c r="U780" i="5"/>
  <c r="U781" i="5"/>
  <c r="U782" i="5"/>
  <c r="U783" i="5"/>
  <c r="U784" i="5"/>
  <c r="U785" i="5"/>
  <c r="U786" i="5"/>
  <c r="U787" i="5"/>
  <c r="U788" i="5"/>
  <c r="U789" i="5"/>
  <c r="T3" i="5"/>
  <c r="T4" i="5"/>
  <c r="T5" i="5"/>
  <c r="T6" i="5"/>
  <c r="T7" i="5"/>
  <c r="T8" i="5"/>
  <c r="T9" i="5"/>
  <c r="T10" i="5"/>
  <c r="T11" i="5"/>
  <c r="T12" i="5"/>
  <c r="T13" i="5"/>
  <c r="T14" i="5"/>
  <c r="T15" i="5"/>
  <c r="T16" i="5"/>
  <c r="T17" i="5"/>
  <c r="T18" i="5"/>
  <c r="T19" i="5"/>
  <c r="T20" i="5"/>
  <c r="T21" i="5"/>
  <c r="T22" i="5"/>
  <c r="T23" i="5"/>
  <c r="T24" i="5"/>
  <c r="T25" i="5"/>
  <c r="T26" i="5"/>
  <c r="T27" i="5"/>
  <c r="T28" i="5"/>
  <c r="T29" i="5"/>
  <c r="T30" i="5"/>
  <c r="T31" i="5"/>
  <c r="T32" i="5"/>
  <c r="T33" i="5"/>
  <c r="T34" i="5"/>
  <c r="T35" i="5"/>
  <c r="T36" i="5"/>
  <c r="T37" i="5"/>
  <c r="T38" i="5"/>
  <c r="T39" i="5"/>
  <c r="T40" i="5"/>
  <c r="T41" i="5"/>
  <c r="T42" i="5"/>
  <c r="T43" i="5"/>
  <c r="T44" i="5"/>
  <c r="T45" i="5"/>
  <c r="T46" i="5"/>
  <c r="T47" i="5"/>
  <c r="T48" i="5"/>
  <c r="T49" i="5"/>
  <c r="T50" i="5"/>
  <c r="T51" i="5"/>
  <c r="T52" i="5"/>
  <c r="T53" i="5"/>
  <c r="T54" i="5"/>
  <c r="T55" i="5"/>
  <c r="T56" i="5"/>
  <c r="T57" i="5"/>
  <c r="T58" i="5"/>
  <c r="T59" i="5"/>
  <c r="T60" i="5"/>
  <c r="T61" i="5"/>
  <c r="T62" i="5"/>
  <c r="T63" i="5"/>
  <c r="T64" i="5"/>
  <c r="T65" i="5"/>
  <c r="T66" i="5"/>
  <c r="T67" i="5"/>
  <c r="T68" i="5"/>
  <c r="T69" i="5"/>
  <c r="T70" i="5"/>
  <c r="T71" i="5"/>
  <c r="T72" i="5"/>
  <c r="T73" i="5"/>
  <c r="T74" i="5"/>
  <c r="T75" i="5"/>
  <c r="T76" i="5"/>
  <c r="T77" i="5"/>
  <c r="T78" i="5"/>
  <c r="T79" i="5"/>
  <c r="T80" i="5"/>
  <c r="T81" i="5"/>
  <c r="T82" i="5"/>
  <c r="T83" i="5"/>
  <c r="T84" i="5"/>
  <c r="T85" i="5"/>
  <c r="T86" i="5"/>
  <c r="T87" i="5"/>
  <c r="T88" i="5"/>
  <c r="T89" i="5"/>
  <c r="T90" i="5"/>
  <c r="T91" i="5"/>
  <c r="T92" i="5"/>
  <c r="T93" i="5"/>
  <c r="T94" i="5"/>
  <c r="T95" i="5"/>
  <c r="T96" i="5"/>
  <c r="T97" i="5"/>
  <c r="T98" i="5"/>
  <c r="T99" i="5"/>
  <c r="T100" i="5"/>
  <c r="T101" i="5"/>
  <c r="T102" i="5"/>
  <c r="T103" i="5"/>
  <c r="T104" i="5"/>
  <c r="T105" i="5"/>
  <c r="T106" i="5"/>
  <c r="T107" i="5"/>
  <c r="T108" i="5"/>
  <c r="T109" i="5"/>
  <c r="T110" i="5"/>
  <c r="T111" i="5"/>
  <c r="T112" i="5"/>
  <c r="T113" i="5"/>
  <c r="T114" i="5"/>
  <c r="T115" i="5"/>
  <c r="T116" i="5"/>
  <c r="T117" i="5"/>
  <c r="T118" i="5"/>
  <c r="T119" i="5"/>
  <c r="T120" i="5"/>
  <c r="T121" i="5"/>
  <c r="T122" i="5"/>
  <c r="T123" i="5"/>
  <c r="T124" i="5"/>
  <c r="T125" i="5"/>
  <c r="T126" i="5"/>
  <c r="T127" i="5"/>
  <c r="T128" i="5"/>
  <c r="T129" i="5"/>
  <c r="T130" i="5"/>
  <c r="T131" i="5"/>
  <c r="T132" i="5"/>
  <c r="T133" i="5"/>
  <c r="T134" i="5"/>
  <c r="T135" i="5"/>
  <c r="T136" i="5"/>
  <c r="T137" i="5"/>
  <c r="T138" i="5"/>
  <c r="T139" i="5"/>
  <c r="T140" i="5"/>
  <c r="T141" i="5"/>
  <c r="T142" i="5"/>
  <c r="T143" i="5"/>
  <c r="T144" i="5"/>
  <c r="T145" i="5"/>
  <c r="T146" i="5"/>
  <c r="T147" i="5"/>
  <c r="T148" i="5"/>
  <c r="T149" i="5"/>
  <c r="T150" i="5"/>
  <c r="T151" i="5"/>
  <c r="T152" i="5"/>
  <c r="T153" i="5"/>
  <c r="T154" i="5"/>
  <c r="T155" i="5"/>
  <c r="T156" i="5"/>
  <c r="T157" i="5"/>
  <c r="T158" i="5"/>
  <c r="T159" i="5"/>
  <c r="T160" i="5"/>
  <c r="T161" i="5"/>
  <c r="T162" i="5"/>
  <c r="T163" i="5"/>
  <c r="T164" i="5"/>
  <c r="T165" i="5"/>
  <c r="T166" i="5"/>
  <c r="T167" i="5"/>
  <c r="T168" i="5"/>
  <c r="T169" i="5"/>
  <c r="T170" i="5"/>
  <c r="T171" i="5"/>
  <c r="T172" i="5"/>
  <c r="T173" i="5"/>
  <c r="T174" i="5"/>
  <c r="T175" i="5"/>
  <c r="T176" i="5"/>
  <c r="T177" i="5"/>
  <c r="T178" i="5"/>
  <c r="T179" i="5"/>
  <c r="T180" i="5"/>
  <c r="T181" i="5"/>
  <c r="T182" i="5"/>
  <c r="T183" i="5"/>
  <c r="T184" i="5"/>
  <c r="T185" i="5"/>
  <c r="T186" i="5"/>
  <c r="T187" i="5"/>
  <c r="T188" i="5"/>
  <c r="T189" i="5"/>
  <c r="T190" i="5"/>
  <c r="T191" i="5"/>
  <c r="T192" i="5"/>
  <c r="T193" i="5"/>
  <c r="T194" i="5"/>
  <c r="T195" i="5"/>
  <c r="T196" i="5"/>
  <c r="T197" i="5"/>
  <c r="T198" i="5"/>
  <c r="T199" i="5"/>
  <c r="T200" i="5"/>
  <c r="T201" i="5"/>
  <c r="T202" i="5"/>
  <c r="T203" i="5"/>
  <c r="T204" i="5"/>
  <c r="T205" i="5"/>
  <c r="T206" i="5"/>
  <c r="T207" i="5"/>
  <c r="T208" i="5"/>
  <c r="T209" i="5"/>
  <c r="T210" i="5"/>
  <c r="T211" i="5"/>
  <c r="T212" i="5"/>
  <c r="T213" i="5"/>
  <c r="T214" i="5"/>
  <c r="T215" i="5"/>
  <c r="T216" i="5"/>
  <c r="T217" i="5"/>
  <c r="T218" i="5"/>
  <c r="T219" i="5"/>
  <c r="T220" i="5"/>
  <c r="T221" i="5"/>
  <c r="T222" i="5"/>
  <c r="T223" i="5"/>
  <c r="T224" i="5"/>
  <c r="T225" i="5"/>
  <c r="T226" i="5"/>
  <c r="T227" i="5"/>
  <c r="T228" i="5"/>
  <c r="T229" i="5"/>
  <c r="T230" i="5"/>
  <c r="T231" i="5"/>
  <c r="T232" i="5"/>
  <c r="T233" i="5"/>
  <c r="T234" i="5"/>
  <c r="T235" i="5"/>
  <c r="T236" i="5"/>
  <c r="T237" i="5"/>
  <c r="T238" i="5"/>
  <c r="T239" i="5"/>
  <c r="T240" i="5"/>
  <c r="T241" i="5"/>
  <c r="T242" i="5"/>
  <c r="T243" i="5"/>
  <c r="T244" i="5"/>
  <c r="T245" i="5"/>
  <c r="T246" i="5"/>
  <c r="T247" i="5"/>
  <c r="T248" i="5"/>
  <c r="T249" i="5"/>
  <c r="T250" i="5"/>
  <c r="T251" i="5"/>
  <c r="T252" i="5"/>
  <c r="T253" i="5"/>
  <c r="T254" i="5"/>
  <c r="T255" i="5"/>
  <c r="T256" i="5"/>
  <c r="T257" i="5"/>
  <c r="T258" i="5"/>
  <c r="T259" i="5"/>
  <c r="T260" i="5"/>
  <c r="T261" i="5"/>
  <c r="T262" i="5"/>
  <c r="T263" i="5"/>
  <c r="T264" i="5"/>
  <c r="T265" i="5"/>
  <c r="T266" i="5"/>
  <c r="T267" i="5"/>
  <c r="T268" i="5"/>
  <c r="T269" i="5"/>
  <c r="T270" i="5"/>
  <c r="T271" i="5"/>
  <c r="T272" i="5"/>
  <c r="T273" i="5"/>
  <c r="T274" i="5"/>
  <c r="T275" i="5"/>
  <c r="T276" i="5"/>
  <c r="T277" i="5"/>
  <c r="T278" i="5"/>
  <c r="T279" i="5"/>
  <c r="T280" i="5"/>
  <c r="T281" i="5"/>
  <c r="T282" i="5"/>
  <c r="T283" i="5"/>
  <c r="T284" i="5"/>
  <c r="T285" i="5"/>
  <c r="T286" i="5"/>
  <c r="T287" i="5"/>
  <c r="T288" i="5"/>
  <c r="T289" i="5"/>
  <c r="T290" i="5"/>
  <c r="T291" i="5"/>
  <c r="T292" i="5"/>
  <c r="T293" i="5"/>
  <c r="T294" i="5"/>
  <c r="T295" i="5"/>
  <c r="T296" i="5"/>
  <c r="T297" i="5"/>
  <c r="T298" i="5"/>
  <c r="T299" i="5"/>
  <c r="T300" i="5"/>
  <c r="T301" i="5"/>
  <c r="T302" i="5"/>
  <c r="T303" i="5"/>
  <c r="T304" i="5"/>
  <c r="T305" i="5"/>
  <c r="T306" i="5"/>
  <c r="T307" i="5"/>
  <c r="T308" i="5"/>
  <c r="T309" i="5"/>
  <c r="T310" i="5"/>
  <c r="T311" i="5"/>
  <c r="T312" i="5"/>
  <c r="T313" i="5"/>
  <c r="T314" i="5"/>
  <c r="T315" i="5"/>
  <c r="T316" i="5"/>
  <c r="T317" i="5"/>
  <c r="T318" i="5"/>
  <c r="T319" i="5"/>
  <c r="T320" i="5"/>
  <c r="T321" i="5"/>
  <c r="T322" i="5"/>
  <c r="T323" i="5"/>
  <c r="T324" i="5"/>
  <c r="T325" i="5"/>
  <c r="T326" i="5"/>
  <c r="T327" i="5"/>
  <c r="T328" i="5"/>
  <c r="T329" i="5"/>
  <c r="T330" i="5"/>
  <c r="T331" i="5"/>
  <c r="T332" i="5"/>
  <c r="T333" i="5"/>
  <c r="T334" i="5"/>
  <c r="T335" i="5"/>
  <c r="T336" i="5"/>
  <c r="T337" i="5"/>
  <c r="T338" i="5"/>
  <c r="T339" i="5"/>
  <c r="T340" i="5"/>
  <c r="T341" i="5"/>
  <c r="T342" i="5"/>
  <c r="T343" i="5"/>
  <c r="T344" i="5"/>
  <c r="T345" i="5"/>
  <c r="T346" i="5"/>
  <c r="T347" i="5"/>
  <c r="T348" i="5"/>
  <c r="T349" i="5"/>
  <c r="T350" i="5"/>
  <c r="T351" i="5"/>
  <c r="T352" i="5"/>
  <c r="T353" i="5"/>
  <c r="T354" i="5"/>
  <c r="T355" i="5"/>
  <c r="T356" i="5"/>
  <c r="T357" i="5"/>
  <c r="T358" i="5"/>
  <c r="T359" i="5"/>
  <c r="T360" i="5"/>
  <c r="T361" i="5"/>
  <c r="T362" i="5"/>
  <c r="T363" i="5"/>
  <c r="T364" i="5"/>
  <c r="T365" i="5"/>
  <c r="T366" i="5"/>
  <c r="T367" i="5"/>
  <c r="T368" i="5"/>
  <c r="T369" i="5"/>
  <c r="T370" i="5"/>
  <c r="T371" i="5"/>
  <c r="T372" i="5"/>
  <c r="T373" i="5"/>
  <c r="T374" i="5"/>
  <c r="T375" i="5"/>
  <c r="T376" i="5"/>
  <c r="T377" i="5"/>
  <c r="T378" i="5"/>
  <c r="T379" i="5"/>
  <c r="T380" i="5"/>
  <c r="T381" i="5"/>
  <c r="T382" i="5"/>
  <c r="T383" i="5"/>
  <c r="T384" i="5"/>
  <c r="T385" i="5"/>
  <c r="T386" i="5"/>
  <c r="T387" i="5"/>
  <c r="T388" i="5"/>
  <c r="T389" i="5"/>
  <c r="T390" i="5"/>
  <c r="T391" i="5"/>
  <c r="T392" i="5"/>
  <c r="T393" i="5"/>
  <c r="T394" i="5"/>
  <c r="T395" i="5"/>
  <c r="T396" i="5"/>
  <c r="T397" i="5"/>
  <c r="T398" i="5"/>
  <c r="T399" i="5"/>
  <c r="T400" i="5"/>
  <c r="T401" i="5"/>
  <c r="T402" i="5"/>
  <c r="T403" i="5"/>
  <c r="T404" i="5"/>
  <c r="T405" i="5"/>
  <c r="T406" i="5"/>
  <c r="T407" i="5"/>
  <c r="T408" i="5"/>
  <c r="T409" i="5"/>
  <c r="T410" i="5"/>
  <c r="T411" i="5"/>
  <c r="T412" i="5"/>
  <c r="T413" i="5"/>
  <c r="T414" i="5"/>
  <c r="T415" i="5"/>
  <c r="T416" i="5"/>
  <c r="T417" i="5"/>
  <c r="T418" i="5"/>
  <c r="T419" i="5"/>
  <c r="T420" i="5"/>
  <c r="T421" i="5"/>
  <c r="T422" i="5"/>
  <c r="T423" i="5"/>
  <c r="T424" i="5"/>
  <c r="T425" i="5"/>
  <c r="T426" i="5"/>
  <c r="T427" i="5"/>
  <c r="T428" i="5"/>
  <c r="T429" i="5"/>
  <c r="T430" i="5"/>
  <c r="T431" i="5"/>
  <c r="T432" i="5"/>
  <c r="T433" i="5"/>
  <c r="T434" i="5"/>
  <c r="T435" i="5"/>
  <c r="T436" i="5"/>
  <c r="T437" i="5"/>
  <c r="T438" i="5"/>
  <c r="T439" i="5"/>
  <c r="T440" i="5"/>
  <c r="T441" i="5"/>
  <c r="T442" i="5"/>
  <c r="T443" i="5"/>
  <c r="T444" i="5"/>
  <c r="T445" i="5"/>
  <c r="T446" i="5"/>
  <c r="T447" i="5"/>
  <c r="T448" i="5"/>
  <c r="T449" i="5"/>
  <c r="T450" i="5"/>
  <c r="T451" i="5"/>
  <c r="T452" i="5"/>
  <c r="T453" i="5"/>
  <c r="T454" i="5"/>
  <c r="T455" i="5"/>
  <c r="T456" i="5"/>
  <c r="T457" i="5"/>
  <c r="T458" i="5"/>
  <c r="T459" i="5"/>
  <c r="T460" i="5"/>
  <c r="T461" i="5"/>
  <c r="T462" i="5"/>
  <c r="T463" i="5"/>
  <c r="T464" i="5"/>
  <c r="T465" i="5"/>
  <c r="T466" i="5"/>
  <c r="T467" i="5"/>
  <c r="T468" i="5"/>
  <c r="T469" i="5"/>
  <c r="T470" i="5"/>
  <c r="T471" i="5"/>
  <c r="T472" i="5"/>
  <c r="T473" i="5"/>
  <c r="T474" i="5"/>
  <c r="T475" i="5"/>
  <c r="T476" i="5"/>
  <c r="T477" i="5"/>
  <c r="T478" i="5"/>
  <c r="T479" i="5"/>
  <c r="T480" i="5"/>
  <c r="T481" i="5"/>
  <c r="T482" i="5"/>
  <c r="T483" i="5"/>
  <c r="T484" i="5"/>
  <c r="T485" i="5"/>
  <c r="T486" i="5"/>
  <c r="T487" i="5"/>
  <c r="T488" i="5"/>
  <c r="T489" i="5"/>
  <c r="T490" i="5"/>
  <c r="T491" i="5"/>
  <c r="T492" i="5"/>
  <c r="T493" i="5"/>
  <c r="T494" i="5"/>
  <c r="T495" i="5"/>
  <c r="T496" i="5"/>
  <c r="T497" i="5"/>
  <c r="T498" i="5"/>
  <c r="T499" i="5"/>
  <c r="T500" i="5"/>
  <c r="T501" i="5"/>
  <c r="T502" i="5"/>
  <c r="T503" i="5"/>
  <c r="T504" i="5"/>
  <c r="T505" i="5"/>
  <c r="T506" i="5"/>
  <c r="T507" i="5"/>
  <c r="T508" i="5"/>
  <c r="T509" i="5"/>
  <c r="T510" i="5"/>
  <c r="T511" i="5"/>
  <c r="T512" i="5"/>
  <c r="T513" i="5"/>
  <c r="T514" i="5"/>
  <c r="T515" i="5"/>
  <c r="T516" i="5"/>
  <c r="T517" i="5"/>
  <c r="T518" i="5"/>
  <c r="T519" i="5"/>
  <c r="T520" i="5"/>
  <c r="T521" i="5"/>
  <c r="T522" i="5"/>
  <c r="T523" i="5"/>
  <c r="T524" i="5"/>
  <c r="T525" i="5"/>
  <c r="T526" i="5"/>
  <c r="T527" i="5"/>
  <c r="T528" i="5"/>
  <c r="T529" i="5"/>
  <c r="T530" i="5"/>
  <c r="T531" i="5"/>
  <c r="T532" i="5"/>
  <c r="T533" i="5"/>
  <c r="T534" i="5"/>
  <c r="T535" i="5"/>
  <c r="T536" i="5"/>
  <c r="T537" i="5"/>
  <c r="T538" i="5"/>
  <c r="T539" i="5"/>
  <c r="T540" i="5"/>
  <c r="T541" i="5"/>
  <c r="T542" i="5"/>
  <c r="T543" i="5"/>
  <c r="T544" i="5"/>
  <c r="T545" i="5"/>
  <c r="T546" i="5"/>
  <c r="T547" i="5"/>
  <c r="T548" i="5"/>
  <c r="T549" i="5"/>
  <c r="T550" i="5"/>
  <c r="T551" i="5"/>
  <c r="T552" i="5"/>
  <c r="T553" i="5"/>
  <c r="T554" i="5"/>
  <c r="T555" i="5"/>
  <c r="T556" i="5"/>
  <c r="T557" i="5"/>
  <c r="T558" i="5"/>
  <c r="T559" i="5"/>
  <c r="T560" i="5"/>
  <c r="T561" i="5"/>
  <c r="T562" i="5"/>
  <c r="T563" i="5"/>
  <c r="T564" i="5"/>
  <c r="T565" i="5"/>
  <c r="T566" i="5"/>
  <c r="T567" i="5"/>
  <c r="T568" i="5"/>
  <c r="T569" i="5"/>
  <c r="T570" i="5"/>
  <c r="T571" i="5"/>
  <c r="T572" i="5"/>
  <c r="T573" i="5"/>
  <c r="T574" i="5"/>
  <c r="T575" i="5"/>
  <c r="T576" i="5"/>
  <c r="T577" i="5"/>
  <c r="T578" i="5"/>
  <c r="T579" i="5"/>
  <c r="T580" i="5"/>
  <c r="T581" i="5"/>
  <c r="T582" i="5"/>
  <c r="T583" i="5"/>
  <c r="T584" i="5"/>
  <c r="T585" i="5"/>
  <c r="T586" i="5"/>
  <c r="T587" i="5"/>
  <c r="T588" i="5"/>
  <c r="T589" i="5"/>
  <c r="T590" i="5"/>
  <c r="T591" i="5"/>
  <c r="T592" i="5"/>
  <c r="T593" i="5"/>
  <c r="T594" i="5"/>
  <c r="T595" i="5"/>
  <c r="T596" i="5"/>
  <c r="T597" i="5"/>
  <c r="T598" i="5"/>
  <c r="T599" i="5"/>
  <c r="T600" i="5"/>
  <c r="T601" i="5"/>
  <c r="T602" i="5"/>
  <c r="T603" i="5"/>
  <c r="T604" i="5"/>
  <c r="T605" i="5"/>
  <c r="T606" i="5"/>
  <c r="T607" i="5"/>
  <c r="T608" i="5"/>
  <c r="T609" i="5"/>
  <c r="T610" i="5"/>
  <c r="T611" i="5"/>
  <c r="T612" i="5"/>
  <c r="T613" i="5"/>
  <c r="T614" i="5"/>
  <c r="T615" i="5"/>
  <c r="T616" i="5"/>
  <c r="T617" i="5"/>
  <c r="T618" i="5"/>
  <c r="T619" i="5"/>
  <c r="T620" i="5"/>
  <c r="T621" i="5"/>
  <c r="T622" i="5"/>
  <c r="T623" i="5"/>
  <c r="T624" i="5"/>
  <c r="T625" i="5"/>
  <c r="T626" i="5"/>
  <c r="T627" i="5"/>
  <c r="T628" i="5"/>
  <c r="T629" i="5"/>
  <c r="T630" i="5"/>
  <c r="T631" i="5"/>
  <c r="T632" i="5"/>
  <c r="T633" i="5"/>
  <c r="T634" i="5"/>
  <c r="T635" i="5"/>
  <c r="T636" i="5"/>
  <c r="T637" i="5"/>
  <c r="T638" i="5"/>
  <c r="T639" i="5"/>
  <c r="T640" i="5"/>
  <c r="T641" i="5"/>
  <c r="T642" i="5"/>
  <c r="T643" i="5"/>
  <c r="T644" i="5"/>
  <c r="T645" i="5"/>
  <c r="T646" i="5"/>
  <c r="T647" i="5"/>
  <c r="T648" i="5"/>
  <c r="T649" i="5"/>
  <c r="T650" i="5"/>
  <c r="T651" i="5"/>
  <c r="T652" i="5"/>
  <c r="T653" i="5"/>
  <c r="T654" i="5"/>
  <c r="T655" i="5"/>
  <c r="T656" i="5"/>
  <c r="T657" i="5"/>
  <c r="T658" i="5"/>
  <c r="T659" i="5"/>
  <c r="T660" i="5"/>
  <c r="T661" i="5"/>
  <c r="T662" i="5"/>
  <c r="T663" i="5"/>
  <c r="T664" i="5"/>
  <c r="T665" i="5"/>
  <c r="T666" i="5"/>
  <c r="T667" i="5"/>
  <c r="T668" i="5"/>
  <c r="T669" i="5"/>
  <c r="T670" i="5"/>
  <c r="T671" i="5"/>
  <c r="T672" i="5"/>
  <c r="T673" i="5"/>
  <c r="T674" i="5"/>
  <c r="T675" i="5"/>
  <c r="T676" i="5"/>
  <c r="T677" i="5"/>
  <c r="T678" i="5"/>
  <c r="T679" i="5"/>
  <c r="T680" i="5"/>
  <c r="T681" i="5"/>
  <c r="T682" i="5"/>
  <c r="T683" i="5"/>
  <c r="T684" i="5"/>
  <c r="T685" i="5"/>
  <c r="T686" i="5"/>
  <c r="T687" i="5"/>
  <c r="T688" i="5"/>
  <c r="T689" i="5"/>
  <c r="T690" i="5"/>
  <c r="T691" i="5"/>
  <c r="T692" i="5"/>
  <c r="T693" i="5"/>
  <c r="T694" i="5"/>
  <c r="T695" i="5"/>
  <c r="T696" i="5"/>
  <c r="T697" i="5"/>
  <c r="T698" i="5"/>
  <c r="T699" i="5"/>
  <c r="T700" i="5"/>
  <c r="T701" i="5"/>
  <c r="T702" i="5"/>
  <c r="T703" i="5"/>
  <c r="T704" i="5"/>
  <c r="T705" i="5"/>
  <c r="T706" i="5"/>
  <c r="T707" i="5"/>
  <c r="T708" i="5"/>
  <c r="T709" i="5"/>
  <c r="T710" i="5"/>
  <c r="T711" i="5"/>
  <c r="T712" i="5"/>
  <c r="T713" i="5"/>
  <c r="T714" i="5"/>
  <c r="T715" i="5"/>
  <c r="T716" i="5"/>
  <c r="T717" i="5"/>
  <c r="T718" i="5"/>
  <c r="T719" i="5"/>
  <c r="T720" i="5"/>
  <c r="T721" i="5"/>
  <c r="T722" i="5"/>
  <c r="T723" i="5"/>
  <c r="T724" i="5"/>
  <c r="T725" i="5"/>
  <c r="T726" i="5"/>
  <c r="T727" i="5"/>
  <c r="T728" i="5"/>
  <c r="T729" i="5"/>
  <c r="T730" i="5"/>
  <c r="T731" i="5"/>
  <c r="T732" i="5"/>
  <c r="T733" i="5"/>
  <c r="T734" i="5"/>
  <c r="T735" i="5"/>
  <c r="T736" i="5"/>
  <c r="T737" i="5"/>
  <c r="T738" i="5"/>
  <c r="T739" i="5"/>
  <c r="T740" i="5"/>
  <c r="T741" i="5"/>
  <c r="T742" i="5"/>
  <c r="T743" i="5"/>
  <c r="T744" i="5"/>
  <c r="T745" i="5"/>
  <c r="T746" i="5"/>
  <c r="T747" i="5"/>
  <c r="T748" i="5"/>
  <c r="T749" i="5"/>
  <c r="T750" i="5"/>
  <c r="T751" i="5"/>
  <c r="T752" i="5"/>
  <c r="T753" i="5"/>
  <c r="T754" i="5"/>
  <c r="T755" i="5"/>
  <c r="T756" i="5"/>
  <c r="T757" i="5"/>
  <c r="T758" i="5"/>
  <c r="T759" i="5"/>
  <c r="T760" i="5"/>
  <c r="T761" i="5"/>
  <c r="T762" i="5"/>
  <c r="T763" i="5"/>
  <c r="T764" i="5"/>
  <c r="T765" i="5"/>
  <c r="T766" i="5"/>
  <c r="T767" i="5"/>
  <c r="T768" i="5"/>
  <c r="T769" i="5"/>
  <c r="T770" i="5"/>
  <c r="T771" i="5"/>
  <c r="T772" i="5"/>
  <c r="T773" i="5"/>
  <c r="T774" i="5"/>
  <c r="T775" i="5"/>
  <c r="T776" i="5"/>
  <c r="T777" i="5"/>
  <c r="T778" i="5"/>
  <c r="T779" i="5"/>
  <c r="T780" i="5"/>
  <c r="T781" i="5"/>
  <c r="T782" i="5"/>
  <c r="T783" i="5"/>
  <c r="T784" i="5"/>
  <c r="T785" i="5"/>
  <c r="T786" i="5"/>
  <c r="T787" i="5"/>
  <c r="T788" i="5"/>
  <c r="T789" i="5"/>
  <c r="S3" i="5"/>
  <c r="S4" i="5"/>
  <c r="S5" i="5"/>
  <c r="S6" i="5"/>
  <c r="S7" i="5"/>
  <c r="S8" i="5"/>
  <c r="S9" i="5"/>
  <c r="S10" i="5"/>
  <c r="S11" i="5"/>
  <c r="S12" i="5"/>
  <c r="S13" i="5"/>
  <c r="S14" i="5"/>
  <c r="S15" i="5"/>
  <c r="S16" i="5"/>
  <c r="S17" i="5"/>
  <c r="S18" i="5"/>
  <c r="S19" i="5"/>
  <c r="S20" i="5"/>
  <c r="S21" i="5"/>
  <c r="S22" i="5"/>
  <c r="S23" i="5"/>
  <c r="S24" i="5"/>
  <c r="S25" i="5"/>
  <c r="S26" i="5"/>
  <c r="S27" i="5"/>
  <c r="S28" i="5"/>
  <c r="S29" i="5"/>
  <c r="S30" i="5"/>
  <c r="S31" i="5"/>
  <c r="S32" i="5"/>
  <c r="S33" i="5"/>
  <c r="S34" i="5"/>
  <c r="S35" i="5"/>
  <c r="S36" i="5"/>
  <c r="S37" i="5"/>
  <c r="S38" i="5"/>
  <c r="S39" i="5"/>
  <c r="S40" i="5"/>
  <c r="S41" i="5"/>
  <c r="S42" i="5"/>
  <c r="S43" i="5"/>
  <c r="S44" i="5"/>
  <c r="S45" i="5"/>
  <c r="S46" i="5"/>
  <c r="S47" i="5"/>
  <c r="S48" i="5"/>
  <c r="S49" i="5"/>
  <c r="S50" i="5"/>
  <c r="S51" i="5"/>
  <c r="S52" i="5"/>
  <c r="S53" i="5"/>
  <c r="S54" i="5"/>
  <c r="S55" i="5"/>
  <c r="S56" i="5"/>
  <c r="S57" i="5"/>
  <c r="S58" i="5"/>
  <c r="S59" i="5"/>
  <c r="S60" i="5"/>
  <c r="S61" i="5"/>
  <c r="S62" i="5"/>
  <c r="S63" i="5"/>
  <c r="S64" i="5"/>
  <c r="S65" i="5"/>
  <c r="S66" i="5"/>
  <c r="S67" i="5"/>
  <c r="S68" i="5"/>
  <c r="S69" i="5"/>
  <c r="S70" i="5"/>
  <c r="S71" i="5"/>
  <c r="S72" i="5"/>
  <c r="S73" i="5"/>
  <c r="S74" i="5"/>
  <c r="S75" i="5"/>
  <c r="S76" i="5"/>
  <c r="S77" i="5"/>
  <c r="S78" i="5"/>
  <c r="S79" i="5"/>
  <c r="S80" i="5"/>
  <c r="S81" i="5"/>
  <c r="S82" i="5"/>
  <c r="S83" i="5"/>
  <c r="S84" i="5"/>
  <c r="S85" i="5"/>
  <c r="S86" i="5"/>
  <c r="S87" i="5"/>
  <c r="S88" i="5"/>
  <c r="S89" i="5"/>
  <c r="S90" i="5"/>
  <c r="S91" i="5"/>
  <c r="S92" i="5"/>
  <c r="S93" i="5"/>
  <c r="S94" i="5"/>
  <c r="S95" i="5"/>
  <c r="S96" i="5"/>
  <c r="S97" i="5"/>
  <c r="S98" i="5"/>
  <c r="S99" i="5"/>
  <c r="S100" i="5"/>
  <c r="S101" i="5"/>
  <c r="S102" i="5"/>
  <c r="S103" i="5"/>
  <c r="S104" i="5"/>
  <c r="S105" i="5"/>
  <c r="S106" i="5"/>
  <c r="S107" i="5"/>
  <c r="S108" i="5"/>
  <c r="S109" i="5"/>
  <c r="S110" i="5"/>
  <c r="S111" i="5"/>
  <c r="S112" i="5"/>
  <c r="S113" i="5"/>
  <c r="S114" i="5"/>
  <c r="S115" i="5"/>
  <c r="S116" i="5"/>
  <c r="S117" i="5"/>
  <c r="S118" i="5"/>
  <c r="S119" i="5"/>
  <c r="S120" i="5"/>
  <c r="S121" i="5"/>
  <c r="S122" i="5"/>
  <c r="S123" i="5"/>
  <c r="S124" i="5"/>
  <c r="S125" i="5"/>
  <c r="S126" i="5"/>
  <c r="S127" i="5"/>
  <c r="S128" i="5"/>
  <c r="S129" i="5"/>
  <c r="S130" i="5"/>
  <c r="S131" i="5"/>
  <c r="S132" i="5"/>
  <c r="S133" i="5"/>
  <c r="S134" i="5"/>
  <c r="S135" i="5"/>
  <c r="S136" i="5"/>
  <c r="S137" i="5"/>
  <c r="S138" i="5"/>
  <c r="S139" i="5"/>
  <c r="S140" i="5"/>
  <c r="S141" i="5"/>
  <c r="S142" i="5"/>
  <c r="S143" i="5"/>
  <c r="S144" i="5"/>
  <c r="S145" i="5"/>
  <c r="S146" i="5"/>
  <c r="S147" i="5"/>
  <c r="S148" i="5"/>
  <c r="S149" i="5"/>
  <c r="S150" i="5"/>
  <c r="S151" i="5"/>
  <c r="S152" i="5"/>
  <c r="S153" i="5"/>
  <c r="S154" i="5"/>
  <c r="S155" i="5"/>
  <c r="S156" i="5"/>
  <c r="S157" i="5"/>
  <c r="S158" i="5"/>
  <c r="S159" i="5"/>
  <c r="S160" i="5"/>
  <c r="S161" i="5"/>
  <c r="S162" i="5"/>
  <c r="S163" i="5"/>
  <c r="S164" i="5"/>
  <c r="S165" i="5"/>
  <c r="S166" i="5"/>
  <c r="S167" i="5"/>
  <c r="S168" i="5"/>
  <c r="S169" i="5"/>
  <c r="S170" i="5"/>
  <c r="S171" i="5"/>
  <c r="S172" i="5"/>
  <c r="S173" i="5"/>
  <c r="S174" i="5"/>
  <c r="S175" i="5"/>
  <c r="S176" i="5"/>
  <c r="S177" i="5"/>
  <c r="S178" i="5"/>
  <c r="S179" i="5"/>
  <c r="S180" i="5"/>
  <c r="S181" i="5"/>
  <c r="S182" i="5"/>
  <c r="S183" i="5"/>
  <c r="S184" i="5"/>
  <c r="S185" i="5"/>
  <c r="S186" i="5"/>
  <c r="S187" i="5"/>
  <c r="S188" i="5"/>
  <c r="S189" i="5"/>
  <c r="S190" i="5"/>
  <c r="S191" i="5"/>
  <c r="S192" i="5"/>
  <c r="S193" i="5"/>
  <c r="S194" i="5"/>
  <c r="S195" i="5"/>
  <c r="S196" i="5"/>
  <c r="S197" i="5"/>
  <c r="S198" i="5"/>
  <c r="S199" i="5"/>
  <c r="S200" i="5"/>
  <c r="S201" i="5"/>
  <c r="S202" i="5"/>
  <c r="S203" i="5"/>
  <c r="S204" i="5"/>
  <c r="S205" i="5"/>
  <c r="S206" i="5"/>
  <c r="S207" i="5"/>
  <c r="S208" i="5"/>
  <c r="S209" i="5"/>
  <c r="S210" i="5"/>
  <c r="S211" i="5"/>
  <c r="S212" i="5"/>
  <c r="S213" i="5"/>
  <c r="S214" i="5"/>
  <c r="S215" i="5"/>
  <c r="S216" i="5"/>
  <c r="S217" i="5"/>
  <c r="S218" i="5"/>
  <c r="S219" i="5"/>
  <c r="S220" i="5"/>
  <c r="S221" i="5"/>
  <c r="S222" i="5"/>
  <c r="S223" i="5"/>
  <c r="S224" i="5"/>
  <c r="S225" i="5"/>
  <c r="S226" i="5"/>
  <c r="S227" i="5"/>
  <c r="S228" i="5"/>
  <c r="S229" i="5"/>
  <c r="S230" i="5"/>
  <c r="S231" i="5"/>
  <c r="S232" i="5"/>
  <c r="S233" i="5"/>
  <c r="S234" i="5"/>
  <c r="S235" i="5"/>
  <c r="S236" i="5"/>
  <c r="S237" i="5"/>
  <c r="S238" i="5"/>
  <c r="S239" i="5"/>
  <c r="S240" i="5"/>
  <c r="S241" i="5"/>
  <c r="S242" i="5"/>
  <c r="S243" i="5"/>
  <c r="S244" i="5"/>
  <c r="S245" i="5"/>
  <c r="S246" i="5"/>
  <c r="S247" i="5"/>
  <c r="S248" i="5"/>
  <c r="S249" i="5"/>
  <c r="S250" i="5"/>
  <c r="S251" i="5"/>
  <c r="S252" i="5"/>
  <c r="S253" i="5"/>
  <c r="S254" i="5"/>
  <c r="S255" i="5"/>
  <c r="S256" i="5"/>
  <c r="S257" i="5"/>
  <c r="S258" i="5"/>
  <c r="S259" i="5"/>
  <c r="S260" i="5"/>
  <c r="S261" i="5"/>
  <c r="S262" i="5"/>
  <c r="S263" i="5"/>
  <c r="S264" i="5"/>
  <c r="S265" i="5"/>
  <c r="S266" i="5"/>
  <c r="S267" i="5"/>
  <c r="S268" i="5"/>
  <c r="S269" i="5"/>
  <c r="S270" i="5"/>
  <c r="S271" i="5"/>
  <c r="S272" i="5"/>
  <c r="S273" i="5"/>
  <c r="S274" i="5"/>
  <c r="S275" i="5"/>
  <c r="S276" i="5"/>
  <c r="S277" i="5"/>
  <c r="S278" i="5"/>
  <c r="S279" i="5"/>
  <c r="S280" i="5"/>
  <c r="S281" i="5"/>
  <c r="S282" i="5"/>
  <c r="S283" i="5"/>
  <c r="S284" i="5"/>
  <c r="S285" i="5"/>
  <c r="S286" i="5"/>
  <c r="S287" i="5"/>
  <c r="S288" i="5"/>
  <c r="S289" i="5"/>
  <c r="S290" i="5"/>
  <c r="S291" i="5"/>
  <c r="S292" i="5"/>
  <c r="S293" i="5"/>
  <c r="S294" i="5"/>
  <c r="S295" i="5"/>
  <c r="S296" i="5"/>
  <c r="S297" i="5"/>
  <c r="S298" i="5"/>
  <c r="S299" i="5"/>
  <c r="S300" i="5"/>
  <c r="S301" i="5"/>
  <c r="S302" i="5"/>
  <c r="S303" i="5"/>
  <c r="S304" i="5"/>
  <c r="S305" i="5"/>
  <c r="S306" i="5"/>
  <c r="S307" i="5"/>
  <c r="S308" i="5"/>
  <c r="S309" i="5"/>
  <c r="S310" i="5"/>
  <c r="S311" i="5"/>
  <c r="S312" i="5"/>
  <c r="S313" i="5"/>
  <c r="S314" i="5"/>
  <c r="S315" i="5"/>
  <c r="S316" i="5"/>
  <c r="S317" i="5"/>
  <c r="S318" i="5"/>
  <c r="S319" i="5"/>
  <c r="S320" i="5"/>
  <c r="S321" i="5"/>
  <c r="S322" i="5"/>
  <c r="S323" i="5"/>
  <c r="S324" i="5"/>
  <c r="S325" i="5"/>
  <c r="S326" i="5"/>
  <c r="S327" i="5"/>
  <c r="S328" i="5"/>
  <c r="S329" i="5"/>
  <c r="S330" i="5"/>
  <c r="S331" i="5"/>
  <c r="S332" i="5"/>
  <c r="S333" i="5"/>
  <c r="S334" i="5"/>
  <c r="S335" i="5"/>
  <c r="S336" i="5"/>
  <c r="S337" i="5"/>
  <c r="S338" i="5"/>
  <c r="S339" i="5"/>
  <c r="S340" i="5"/>
  <c r="S341" i="5"/>
  <c r="S342" i="5"/>
  <c r="S343" i="5"/>
  <c r="S344" i="5"/>
  <c r="S345" i="5"/>
  <c r="S346" i="5"/>
  <c r="S347" i="5"/>
  <c r="S348" i="5"/>
  <c r="S349" i="5"/>
  <c r="S350" i="5"/>
  <c r="S351" i="5"/>
  <c r="S352" i="5"/>
  <c r="S353" i="5"/>
  <c r="S354" i="5"/>
  <c r="S355" i="5"/>
  <c r="S356" i="5"/>
  <c r="S357" i="5"/>
  <c r="S358" i="5"/>
  <c r="S359" i="5"/>
  <c r="S360" i="5"/>
  <c r="S361" i="5"/>
  <c r="S362" i="5"/>
  <c r="S363" i="5"/>
  <c r="S364" i="5"/>
  <c r="S365" i="5"/>
  <c r="S366" i="5"/>
  <c r="S367" i="5"/>
  <c r="S368" i="5"/>
  <c r="S369" i="5"/>
  <c r="S370" i="5"/>
  <c r="S371" i="5"/>
  <c r="S372" i="5"/>
  <c r="S373" i="5"/>
  <c r="S374" i="5"/>
  <c r="S375" i="5"/>
  <c r="S376" i="5"/>
  <c r="S377" i="5"/>
  <c r="S378" i="5"/>
  <c r="S379" i="5"/>
  <c r="S380" i="5"/>
  <c r="S381" i="5"/>
  <c r="S382" i="5"/>
  <c r="S383" i="5"/>
  <c r="S384" i="5"/>
  <c r="S385" i="5"/>
  <c r="S386" i="5"/>
  <c r="S387" i="5"/>
  <c r="S388" i="5"/>
  <c r="S389" i="5"/>
  <c r="S390" i="5"/>
  <c r="S391" i="5"/>
  <c r="S392" i="5"/>
  <c r="S393" i="5"/>
  <c r="S394" i="5"/>
  <c r="S395" i="5"/>
  <c r="S396" i="5"/>
  <c r="S397" i="5"/>
  <c r="S398" i="5"/>
  <c r="S399" i="5"/>
  <c r="S400" i="5"/>
  <c r="S401" i="5"/>
  <c r="S402" i="5"/>
  <c r="S403" i="5"/>
  <c r="S404" i="5"/>
  <c r="S405" i="5"/>
  <c r="S406" i="5"/>
  <c r="S407" i="5"/>
  <c r="S408" i="5"/>
  <c r="S409" i="5"/>
  <c r="S410" i="5"/>
  <c r="S411" i="5"/>
  <c r="S412" i="5"/>
  <c r="S413" i="5"/>
  <c r="S414" i="5"/>
  <c r="S415" i="5"/>
  <c r="S416" i="5"/>
  <c r="S417" i="5"/>
  <c r="S418" i="5"/>
  <c r="S419" i="5"/>
  <c r="S420" i="5"/>
  <c r="S421" i="5"/>
  <c r="S422" i="5"/>
  <c r="S423" i="5"/>
  <c r="S424" i="5"/>
  <c r="S425" i="5"/>
  <c r="S426" i="5"/>
  <c r="S427" i="5"/>
  <c r="S428" i="5"/>
  <c r="S429" i="5"/>
  <c r="S430" i="5"/>
  <c r="S431" i="5"/>
  <c r="S432" i="5"/>
  <c r="S433" i="5"/>
  <c r="S434" i="5"/>
  <c r="S435" i="5"/>
  <c r="S436" i="5"/>
  <c r="S437" i="5"/>
  <c r="S438" i="5"/>
  <c r="S439" i="5"/>
  <c r="S440" i="5"/>
  <c r="S441" i="5"/>
  <c r="S442" i="5"/>
  <c r="S443" i="5"/>
  <c r="S444" i="5"/>
  <c r="S445" i="5"/>
  <c r="S446" i="5"/>
  <c r="S447" i="5"/>
  <c r="S448" i="5"/>
  <c r="S449" i="5"/>
  <c r="S450" i="5"/>
  <c r="S451" i="5"/>
  <c r="S452" i="5"/>
  <c r="S453" i="5"/>
  <c r="S454" i="5"/>
  <c r="S455" i="5"/>
  <c r="S456" i="5"/>
  <c r="S457" i="5"/>
  <c r="S458" i="5"/>
  <c r="S459" i="5"/>
  <c r="S460" i="5"/>
  <c r="S461" i="5"/>
  <c r="S462" i="5"/>
  <c r="S463" i="5"/>
  <c r="S464" i="5"/>
  <c r="S465" i="5"/>
  <c r="S466" i="5"/>
  <c r="S467" i="5"/>
  <c r="S468" i="5"/>
  <c r="S469" i="5"/>
  <c r="S470" i="5"/>
  <c r="S471" i="5"/>
  <c r="S472" i="5"/>
  <c r="S473" i="5"/>
  <c r="S474" i="5"/>
  <c r="S475" i="5"/>
  <c r="S476" i="5"/>
  <c r="S477" i="5"/>
  <c r="S478" i="5"/>
  <c r="S479" i="5"/>
  <c r="S480" i="5"/>
  <c r="S481" i="5"/>
  <c r="S482" i="5"/>
  <c r="S483" i="5"/>
  <c r="S484" i="5"/>
  <c r="S485" i="5"/>
  <c r="S486" i="5"/>
  <c r="S487" i="5"/>
  <c r="S488" i="5"/>
  <c r="S489" i="5"/>
  <c r="S490" i="5"/>
  <c r="S491" i="5"/>
  <c r="S492" i="5"/>
  <c r="S493" i="5"/>
  <c r="S494" i="5"/>
  <c r="S495" i="5"/>
  <c r="S496" i="5"/>
  <c r="S497" i="5"/>
  <c r="S498" i="5"/>
  <c r="S499" i="5"/>
  <c r="S500" i="5"/>
  <c r="S501" i="5"/>
  <c r="S502" i="5"/>
  <c r="S503" i="5"/>
  <c r="S504" i="5"/>
  <c r="S505" i="5"/>
  <c r="S506" i="5"/>
  <c r="S507" i="5"/>
  <c r="S508" i="5"/>
  <c r="S509" i="5"/>
  <c r="S510" i="5"/>
  <c r="S511" i="5"/>
  <c r="S512" i="5"/>
  <c r="S513" i="5"/>
  <c r="S514" i="5"/>
  <c r="S515" i="5"/>
  <c r="S516" i="5"/>
  <c r="S517" i="5"/>
  <c r="S518" i="5"/>
  <c r="S519" i="5"/>
  <c r="S520" i="5"/>
  <c r="S521" i="5"/>
  <c r="S522" i="5"/>
  <c r="S523" i="5"/>
  <c r="S524" i="5"/>
  <c r="S525" i="5"/>
  <c r="S526" i="5"/>
  <c r="S527" i="5"/>
  <c r="S528" i="5"/>
  <c r="S529" i="5"/>
  <c r="S530" i="5"/>
  <c r="S531" i="5"/>
  <c r="S532" i="5"/>
  <c r="S533" i="5"/>
  <c r="S534" i="5"/>
  <c r="S535" i="5"/>
  <c r="S536" i="5"/>
  <c r="S537" i="5"/>
  <c r="S538" i="5"/>
  <c r="S539" i="5"/>
  <c r="S540" i="5"/>
  <c r="S541" i="5"/>
  <c r="S542" i="5"/>
  <c r="S543" i="5"/>
  <c r="S544" i="5"/>
  <c r="S545" i="5"/>
  <c r="S546" i="5"/>
  <c r="S547" i="5"/>
  <c r="S548" i="5"/>
  <c r="S549" i="5"/>
  <c r="S550" i="5"/>
  <c r="S551" i="5"/>
  <c r="S552" i="5"/>
  <c r="S553" i="5"/>
  <c r="S554" i="5"/>
  <c r="S555" i="5"/>
  <c r="S556" i="5"/>
  <c r="S557" i="5"/>
  <c r="S558" i="5"/>
  <c r="S559" i="5"/>
  <c r="S560" i="5"/>
  <c r="S561" i="5"/>
  <c r="S562" i="5"/>
  <c r="S563" i="5"/>
  <c r="S564" i="5"/>
  <c r="S565" i="5"/>
  <c r="S566" i="5"/>
  <c r="S567" i="5"/>
  <c r="S568" i="5"/>
  <c r="S569" i="5"/>
  <c r="S570" i="5"/>
  <c r="S571" i="5"/>
  <c r="S572" i="5"/>
  <c r="S573" i="5"/>
  <c r="S574" i="5"/>
  <c r="S575" i="5"/>
  <c r="S576" i="5"/>
  <c r="S577" i="5"/>
  <c r="S578" i="5"/>
  <c r="S579" i="5"/>
  <c r="S580" i="5"/>
  <c r="S581" i="5"/>
  <c r="S582" i="5"/>
  <c r="S583" i="5"/>
  <c r="S584" i="5"/>
  <c r="S585" i="5"/>
  <c r="S586" i="5"/>
  <c r="S587" i="5"/>
  <c r="S588" i="5"/>
  <c r="S589" i="5"/>
  <c r="S590" i="5"/>
  <c r="S591" i="5"/>
  <c r="S592" i="5"/>
  <c r="S593" i="5"/>
  <c r="S594" i="5"/>
  <c r="S595" i="5"/>
  <c r="S596" i="5"/>
  <c r="S597" i="5"/>
  <c r="S598" i="5"/>
  <c r="S599" i="5"/>
  <c r="S600" i="5"/>
  <c r="S601" i="5"/>
  <c r="S602" i="5"/>
  <c r="S603" i="5"/>
  <c r="S604" i="5"/>
  <c r="S605" i="5"/>
  <c r="S606" i="5"/>
  <c r="S607" i="5"/>
  <c r="S608" i="5"/>
  <c r="S609" i="5"/>
  <c r="S610" i="5"/>
  <c r="S611" i="5"/>
  <c r="S612" i="5"/>
  <c r="S613" i="5"/>
  <c r="S614" i="5"/>
  <c r="S615" i="5"/>
  <c r="S616" i="5"/>
  <c r="S617" i="5"/>
  <c r="S618" i="5"/>
  <c r="S619" i="5"/>
  <c r="S620" i="5"/>
  <c r="S621" i="5"/>
  <c r="S622" i="5"/>
  <c r="S623" i="5"/>
  <c r="S624" i="5"/>
  <c r="S625" i="5"/>
  <c r="S626" i="5"/>
  <c r="S627" i="5"/>
  <c r="S628" i="5"/>
  <c r="S629" i="5"/>
  <c r="S630" i="5"/>
  <c r="S631" i="5"/>
  <c r="S632" i="5"/>
  <c r="S633" i="5"/>
  <c r="S634" i="5"/>
  <c r="S635" i="5"/>
  <c r="S636" i="5"/>
  <c r="S637" i="5"/>
  <c r="S638" i="5"/>
  <c r="S639" i="5"/>
  <c r="S640" i="5"/>
  <c r="S641" i="5"/>
  <c r="S642" i="5"/>
  <c r="S643" i="5"/>
  <c r="S644" i="5"/>
  <c r="S645" i="5"/>
  <c r="S646" i="5"/>
  <c r="S647" i="5"/>
  <c r="S648" i="5"/>
  <c r="S649" i="5"/>
  <c r="S650" i="5"/>
  <c r="S651" i="5"/>
  <c r="S652" i="5"/>
  <c r="S653" i="5"/>
  <c r="S654" i="5"/>
  <c r="S655" i="5"/>
  <c r="S656" i="5"/>
  <c r="S657" i="5"/>
  <c r="S658" i="5"/>
  <c r="S659" i="5"/>
  <c r="S660" i="5"/>
  <c r="S661" i="5"/>
  <c r="S662" i="5"/>
  <c r="S663" i="5"/>
  <c r="S664" i="5"/>
  <c r="S665" i="5"/>
  <c r="S666" i="5"/>
  <c r="S667" i="5"/>
  <c r="S668" i="5"/>
  <c r="S669" i="5"/>
  <c r="S670" i="5"/>
  <c r="S671" i="5"/>
  <c r="S672" i="5"/>
  <c r="S673" i="5"/>
  <c r="S674" i="5"/>
  <c r="S675" i="5"/>
  <c r="S676" i="5"/>
  <c r="S677" i="5"/>
  <c r="S678" i="5"/>
  <c r="S679" i="5"/>
  <c r="S680" i="5"/>
  <c r="S681" i="5"/>
  <c r="S682" i="5"/>
  <c r="S683" i="5"/>
  <c r="S684" i="5"/>
  <c r="S685" i="5"/>
  <c r="S686" i="5"/>
  <c r="S687" i="5"/>
  <c r="S688" i="5"/>
  <c r="S689" i="5"/>
  <c r="S690" i="5"/>
  <c r="S691" i="5"/>
  <c r="S692" i="5"/>
  <c r="S693" i="5"/>
  <c r="S694" i="5"/>
  <c r="S695" i="5"/>
  <c r="S696" i="5"/>
  <c r="S697" i="5"/>
  <c r="S698" i="5"/>
  <c r="S699" i="5"/>
  <c r="S700" i="5"/>
  <c r="S701" i="5"/>
  <c r="S702" i="5"/>
  <c r="S703" i="5"/>
  <c r="S704" i="5"/>
  <c r="S705" i="5"/>
  <c r="S706" i="5"/>
  <c r="S707" i="5"/>
  <c r="S708" i="5"/>
  <c r="S709" i="5"/>
  <c r="S710" i="5"/>
  <c r="S711" i="5"/>
  <c r="S712" i="5"/>
  <c r="S713" i="5"/>
  <c r="S714" i="5"/>
  <c r="S715" i="5"/>
  <c r="S716" i="5"/>
  <c r="S717" i="5"/>
  <c r="S718" i="5"/>
  <c r="S719" i="5"/>
  <c r="S720" i="5"/>
  <c r="S721" i="5"/>
  <c r="S722" i="5"/>
  <c r="S723" i="5"/>
  <c r="S724" i="5"/>
  <c r="S725" i="5"/>
  <c r="S726" i="5"/>
  <c r="S727" i="5"/>
  <c r="S728" i="5"/>
  <c r="S729" i="5"/>
  <c r="S730" i="5"/>
  <c r="S731" i="5"/>
  <c r="S732" i="5"/>
  <c r="S733" i="5"/>
  <c r="S734" i="5"/>
  <c r="S735" i="5"/>
  <c r="S736" i="5"/>
  <c r="S737" i="5"/>
  <c r="S738" i="5"/>
  <c r="S739" i="5"/>
  <c r="S740" i="5"/>
  <c r="S741" i="5"/>
  <c r="S742" i="5"/>
  <c r="S743" i="5"/>
  <c r="S744" i="5"/>
  <c r="S745" i="5"/>
  <c r="S746" i="5"/>
  <c r="S747" i="5"/>
  <c r="S748" i="5"/>
  <c r="S749" i="5"/>
  <c r="S750" i="5"/>
  <c r="S751" i="5"/>
  <c r="S752" i="5"/>
  <c r="S753" i="5"/>
  <c r="S754" i="5"/>
  <c r="S755" i="5"/>
  <c r="S756" i="5"/>
  <c r="S757" i="5"/>
  <c r="S758" i="5"/>
  <c r="S759" i="5"/>
  <c r="S760" i="5"/>
  <c r="S761" i="5"/>
  <c r="S762" i="5"/>
  <c r="S763" i="5"/>
  <c r="S764" i="5"/>
  <c r="S765" i="5"/>
  <c r="S766" i="5"/>
  <c r="S767" i="5"/>
  <c r="S768" i="5"/>
  <c r="S769" i="5"/>
  <c r="S770" i="5"/>
  <c r="S771" i="5"/>
  <c r="S772" i="5"/>
  <c r="S773" i="5"/>
  <c r="S774" i="5"/>
  <c r="S775" i="5"/>
  <c r="S776" i="5"/>
  <c r="S777" i="5"/>
  <c r="S778" i="5"/>
  <c r="S779" i="5"/>
  <c r="S780" i="5"/>
  <c r="S781" i="5"/>
  <c r="S782" i="5"/>
  <c r="S783" i="5"/>
  <c r="S784" i="5"/>
  <c r="S785" i="5"/>
  <c r="S786" i="5"/>
  <c r="S787" i="5"/>
  <c r="S788" i="5"/>
  <c r="S789" i="5"/>
  <c r="R3" i="5"/>
  <c r="R4" i="5"/>
  <c r="R5" i="5"/>
  <c r="R6" i="5"/>
  <c r="R7" i="5"/>
  <c r="R8" i="5"/>
  <c r="R9" i="5"/>
  <c r="R10" i="5"/>
  <c r="R11" i="5"/>
  <c r="R12" i="5"/>
  <c r="R13" i="5"/>
  <c r="R14" i="5"/>
  <c r="R15" i="5"/>
  <c r="R16" i="5"/>
  <c r="R17" i="5"/>
  <c r="R18" i="5"/>
  <c r="R19" i="5"/>
  <c r="R20" i="5"/>
  <c r="R21" i="5"/>
  <c r="R22" i="5"/>
  <c r="R23" i="5"/>
  <c r="R24" i="5"/>
  <c r="R25" i="5"/>
  <c r="R26" i="5"/>
  <c r="R27" i="5"/>
  <c r="R28" i="5"/>
  <c r="R29" i="5"/>
  <c r="R30" i="5"/>
  <c r="R31" i="5"/>
  <c r="R32" i="5"/>
  <c r="R33" i="5"/>
  <c r="R34" i="5"/>
  <c r="R35" i="5"/>
  <c r="R36" i="5"/>
  <c r="R37" i="5"/>
  <c r="R38" i="5"/>
  <c r="R39" i="5"/>
  <c r="R40" i="5"/>
  <c r="R41" i="5"/>
  <c r="R42" i="5"/>
  <c r="R43" i="5"/>
  <c r="R44" i="5"/>
  <c r="R45" i="5"/>
  <c r="R46" i="5"/>
  <c r="R47" i="5"/>
  <c r="R48" i="5"/>
  <c r="R49" i="5"/>
  <c r="R50" i="5"/>
  <c r="R51" i="5"/>
  <c r="R52" i="5"/>
  <c r="R53" i="5"/>
  <c r="R54" i="5"/>
  <c r="R55" i="5"/>
  <c r="R56" i="5"/>
  <c r="R57" i="5"/>
  <c r="R58" i="5"/>
  <c r="R59" i="5"/>
  <c r="R60" i="5"/>
  <c r="R61" i="5"/>
  <c r="R62" i="5"/>
  <c r="R63" i="5"/>
  <c r="R64" i="5"/>
  <c r="R65" i="5"/>
  <c r="R66" i="5"/>
  <c r="R67" i="5"/>
  <c r="R68" i="5"/>
  <c r="R69" i="5"/>
  <c r="R70" i="5"/>
  <c r="R71" i="5"/>
  <c r="R72" i="5"/>
  <c r="R73" i="5"/>
  <c r="R74" i="5"/>
  <c r="R75" i="5"/>
  <c r="R76" i="5"/>
  <c r="R77" i="5"/>
  <c r="R78" i="5"/>
  <c r="R79" i="5"/>
  <c r="R80" i="5"/>
  <c r="R81" i="5"/>
  <c r="R82" i="5"/>
  <c r="R83" i="5"/>
  <c r="R84" i="5"/>
  <c r="R85" i="5"/>
  <c r="R86" i="5"/>
  <c r="R87" i="5"/>
  <c r="R88" i="5"/>
  <c r="R89" i="5"/>
  <c r="R90" i="5"/>
  <c r="R91" i="5"/>
  <c r="R92" i="5"/>
  <c r="R93" i="5"/>
  <c r="R94" i="5"/>
  <c r="R95" i="5"/>
  <c r="R96" i="5"/>
  <c r="R97" i="5"/>
  <c r="R98" i="5"/>
  <c r="R99" i="5"/>
  <c r="R100" i="5"/>
  <c r="R101" i="5"/>
  <c r="R102" i="5"/>
  <c r="R103" i="5"/>
  <c r="R104" i="5"/>
  <c r="R105" i="5"/>
  <c r="R106" i="5"/>
  <c r="R107" i="5"/>
  <c r="R108" i="5"/>
  <c r="R109" i="5"/>
  <c r="R110" i="5"/>
  <c r="R111" i="5"/>
  <c r="R112" i="5"/>
  <c r="R113" i="5"/>
  <c r="R114" i="5"/>
  <c r="R115" i="5"/>
  <c r="R116" i="5"/>
  <c r="R117" i="5"/>
  <c r="R118" i="5"/>
  <c r="R119" i="5"/>
  <c r="R120" i="5"/>
  <c r="R121" i="5"/>
  <c r="R122" i="5"/>
  <c r="R123" i="5"/>
  <c r="R124" i="5"/>
  <c r="R125" i="5"/>
  <c r="R126" i="5"/>
  <c r="R127" i="5"/>
  <c r="R128" i="5"/>
  <c r="R129" i="5"/>
  <c r="R130" i="5"/>
  <c r="R131" i="5"/>
  <c r="R132" i="5"/>
  <c r="R133" i="5"/>
  <c r="R134" i="5"/>
  <c r="R135" i="5"/>
  <c r="R136" i="5"/>
  <c r="R137" i="5"/>
  <c r="R138" i="5"/>
  <c r="R139" i="5"/>
  <c r="R140" i="5"/>
  <c r="R141" i="5"/>
  <c r="R142" i="5"/>
  <c r="R143" i="5"/>
  <c r="R144" i="5"/>
  <c r="R145" i="5"/>
  <c r="R146" i="5"/>
  <c r="R147" i="5"/>
  <c r="R148" i="5"/>
  <c r="R149" i="5"/>
  <c r="R150" i="5"/>
  <c r="R151" i="5"/>
  <c r="R152" i="5"/>
  <c r="R153" i="5"/>
  <c r="R154" i="5"/>
  <c r="R155" i="5"/>
  <c r="R156" i="5"/>
  <c r="R157" i="5"/>
  <c r="R158" i="5"/>
  <c r="R159" i="5"/>
  <c r="R160" i="5"/>
  <c r="R161" i="5"/>
  <c r="R162" i="5"/>
  <c r="R163" i="5"/>
  <c r="R164" i="5"/>
  <c r="R165" i="5"/>
  <c r="R166" i="5"/>
  <c r="R167" i="5"/>
  <c r="R168" i="5"/>
  <c r="R169" i="5"/>
  <c r="R170" i="5"/>
  <c r="R171" i="5"/>
  <c r="R172" i="5"/>
  <c r="R173" i="5"/>
  <c r="R174" i="5"/>
  <c r="R175" i="5"/>
  <c r="R176" i="5"/>
  <c r="R177" i="5"/>
  <c r="R178" i="5"/>
  <c r="R179" i="5"/>
  <c r="R180" i="5"/>
  <c r="R181" i="5"/>
  <c r="R182" i="5"/>
  <c r="R183" i="5"/>
  <c r="R184" i="5"/>
  <c r="R185" i="5"/>
  <c r="R186" i="5"/>
  <c r="R187" i="5"/>
  <c r="R188" i="5"/>
  <c r="R189" i="5"/>
  <c r="R190" i="5"/>
  <c r="R191" i="5"/>
  <c r="R192" i="5"/>
  <c r="R193" i="5"/>
  <c r="R194" i="5"/>
  <c r="R195" i="5"/>
  <c r="R196" i="5"/>
  <c r="R197" i="5"/>
  <c r="R198" i="5"/>
  <c r="R199" i="5"/>
  <c r="R200" i="5"/>
  <c r="R201" i="5"/>
  <c r="R202" i="5"/>
  <c r="R203" i="5"/>
  <c r="R204" i="5"/>
  <c r="R205" i="5"/>
  <c r="R206" i="5"/>
  <c r="R207" i="5"/>
  <c r="R208" i="5"/>
  <c r="R209" i="5"/>
  <c r="R210" i="5"/>
  <c r="R211" i="5"/>
  <c r="R212" i="5"/>
  <c r="R213" i="5"/>
  <c r="R214" i="5"/>
  <c r="R215" i="5"/>
  <c r="R216" i="5"/>
  <c r="R217" i="5"/>
  <c r="R218" i="5"/>
  <c r="R219" i="5"/>
  <c r="R220" i="5"/>
  <c r="R221" i="5"/>
  <c r="R222" i="5"/>
  <c r="R223" i="5"/>
  <c r="R224" i="5"/>
  <c r="R225" i="5"/>
  <c r="R226" i="5"/>
  <c r="R227" i="5"/>
  <c r="R228" i="5"/>
  <c r="R229" i="5"/>
  <c r="R230" i="5"/>
  <c r="R231" i="5"/>
  <c r="R232" i="5"/>
  <c r="R233" i="5"/>
  <c r="R234" i="5"/>
  <c r="R235" i="5"/>
  <c r="R236" i="5"/>
  <c r="R237" i="5"/>
  <c r="R238" i="5"/>
  <c r="R239" i="5"/>
  <c r="R240" i="5"/>
  <c r="R241" i="5"/>
  <c r="R242" i="5"/>
  <c r="R243" i="5"/>
  <c r="R244" i="5"/>
  <c r="R245" i="5"/>
  <c r="R246" i="5"/>
  <c r="R247" i="5"/>
  <c r="R248" i="5"/>
  <c r="R249" i="5"/>
  <c r="R250" i="5"/>
  <c r="R251" i="5"/>
  <c r="R252" i="5"/>
  <c r="R253" i="5"/>
  <c r="R254" i="5"/>
  <c r="R255" i="5"/>
  <c r="R256" i="5"/>
  <c r="R257" i="5"/>
  <c r="R258" i="5"/>
  <c r="R259" i="5"/>
  <c r="R260" i="5"/>
  <c r="R261" i="5"/>
  <c r="R262" i="5"/>
  <c r="R263" i="5"/>
  <c r="R264" i="5"/>
  <c r="R265" i="5"/>
  <c r="R266" i="5"/>
  <c r="R267" i="5"/>
  <c r="R268" i="5"/>
  <c r="R269" i="5"/>
  <c r="R270" i="5"/>
  <c r="R271" i="5"/>
  <c r="R272" i="5"/>
  <c r="R273" i="5"/>
  <c r="R274" i="5"/>
  <c r="R275" i="5"/>
  <c r="R276" i="5"/>
  <c r="R277" i="5"/>
  <c r="R278" i="5"/>
  <c r="R279" i="5"/>
  <c r="R280" i="5"/>
  <c r="R281" i="5"/>
  <c r="R282" i="5"/>
  <c r="R283" i="5"/>
  <c r="R284" i="5"/>
  <c r="R285" i="5"/>
  <c r="R286" i="5"/>
  <c r="R287" i="5"/>
  <c r="R288" i="5"/>
  <c r="R289" i="5"/>
  <c r="R290" i="5"/>
  <c r="R291" i="5"/>
  <c r="R292" i="5"/>
  <c r="R293" i="5"/>
  <c r="R294" i="5"/>
  <c r="R295" i="5"/>
  <c r="R296" i="5"/>
  <c r="R297" i="5"/>
  <c r="R298" i="5"/>
  <c r="R299" i="5"/>
  <c r="R300" i="5"/>
  <c r="R301" i="5"/>
  <c r="R302" i="5"/>
  <c r="R303" i="5"/>
  <c r="R304" i="5"/>
  <c r="R305" i="5"/>
  <c r="R306" i="5"/>
  <c r="R307" i="5"/>
  <c r="R308" i="5"/>
  <c r="R309" i="5"/>
  <c r="R310" i="5"/>
  <c r="R311" i="5"/>
  <c r="R312" i="5"/>
  <c r="R313" i="5"/>
  <c r="R314" i="5"/>
  <c r="R315" i="5"/>
  <c r="R316" i="5"/>
  <c r="R317" i="5"/>
  <c r="R318" i="5"/>
  <c r="R319" i="5"/>
  <c r="R320" i="5"/>
  <c r="R321" i="5"/>
  <c r="R322" i="5"/>
  <c r="R323" i="5"/>
  <c r="R324" i="5"/>
  <c r="R325" i="5"/>
  <c r="R326" i="5"/>
  <c r="R327" i="5"/>
  <c r="R328" i="5"/>
  <c r="R329" i="5"/>
  <c r="R330" i="5"/>
  <c r="R331" i="5"/>
  <c r="R332" i="5"/>
  <c r="R333" i="5"/>
  <c r="R334" i="5"/>
  <c r="R335" i="5"/>
  <c r="R336" i="5"/>
  <c r="R337" i="5"/>
  <c r="R338" i="5"/>
  <c r="R339" i="5"/>
  <c r="R340" i="5"/>
  <c r="R341" i="5"/>
  <c r="R342" i="5"/>
  <c r="R343" i="5"/>
  <c r="R344" i="5"/>
  <c r="R345" i="5"/>
  <c r="R346" i="5"/>
  <c r="R347" i="5"/>
  <c r="R348" i="5"/>
  <c r="R349" i="5"/>
  <c r="R350" i="5"/>
  <c r="R351" i="5"/>
  <c r="R352" i="5"/>
  <c r="R353" i="5"/>
  <c r="R354" i="5"/>
  <c r="R355" i="5"/>
  <c r="R356" i="5"/>
  <c r="R357" i="5"/>
  <c r="R358" i="5"/>
  <c r="R359" i="5"/>
  <c r="R360" i="5"/>
  <c r="R361" i="5"/>
  <c r="R362" i="5"/>
  <c r="R363" i="5"/>
  <c r="R364" i="5"/>
  <c r="R365" i="5"/>
  <c r="R366" i="5"/>
  <c r="R367" i="5"/>
  <c r="R368" i="5"/>
  <c r="R369" i="5"/>
  <c r="R370" i="5"/>
  <c r="R371" i="5"/>
  <c r="R372" i="5"/>
  <c r="R373" i="5"/>
  <c r="R374" i="5"/>
  <c r="R375" i="5"/>
  <c r="R376" i="5"/>
  <c r="R377" i="5"/>
  <c r="R378" i="5"/>
  <c r="R379" i="5"/>
  <c r="R380" i="5"/>
  <c r="R381" i="5"/>
  <c r="R382" i="5"/>
  <c r="R383" i="5"/>
  <c r="R384" i="5"/>
  <c r="R385" i="5"/>
  <c r="R386" i="5"/>
  <c r="R387" i="5"/>
  <c r="R388" i="5"/>
  <c r="R389" i="5"/>
  <c r="R390" i="5"/>
  <c r="R391" i="5"/>
  <c r="R392" i="5"/>
  <c r="R393" i="5"/>
  <c r="R394" i="5"/>
  <c r="R395" i="5"/>
  <c r="R396" i="5"/>
  <c r="R397" i="5"/>
  <c r="R398" i="5"/>
  <c r="R399" i="5"/>
  <c r="R400" i="5"/>
  <c r="R401" i="5"/>
  <c r="R402" i="5"/>
  <c r="R403" i="5"/>
  <c r="R404" i="5"/>
  <c r="R405" i="5"/>
  <c r="R406" i="5"/>
  <c r="R407" i="5"/>
  <c r="R408" i="5"/>
  <c r="R409" i="5"/>
  <c r="R410" i="5"/>
  <c r="R411" i="5"/>
  <c r="R412" i="5"/>
  <c r="R413" i="5"/>
  <c r="R414" i="5"/>
  <c r="R415" i="5"/>
  <c r="R416" i="5"/>
  <c r="R417" i="5"/>
  <c r="R418" i="5"/>
  <c r="R419" i="5"/>
  <c r="R420" i="5"/>
  <c r="R421" i="5"/>
  <c r="R422" i="5"/>
  <c r="R423" i="5"/>
  <c r="R424" i="5"/>
  <c r="R425" i="5"/>
  <c r="R426" i="5"/>
  <c r="R427" i="5"/>
  <c r="R428" i="5"/>
  <c r="R429" i="5"/>
  <c r="R430" i="5"/>
  <c r="R431" i="5"/>
  <c r="R432" i="5"/>
  <c r="R433" i="5"/>
  <c r="R434" i="5"/>
  <c r="R435" i="5"/>
  <c r="R436" i="5"/>
  <c r="R437" i="5"/>
  <c r="R438" i="5"/>
  <c r="R439" i="5"/>
  <c r="R440" i="5"/>
  <c r="R441" i="5"/>
  <c r="R442" i="5"/>
  <c r="R443" i="5"/>
  <c r="R444" i="5"/>
  <c r="R445" i="5"/>
  <c r="R446" i="5"/>
  <c r="R447" i="5"/>
  <c r="R448" i="5"/>
  <c r="R449" i="5"/>
  <c r="R450" i="5"/>
  <c r="R451" i="5"/>
  <c r="R452" i="5"/>
  <c r="R453" i="5"/>
  <c r="R454" i="5"/>
  <c r="R455" i="5"/>
  <c r="R456" i="5"/>
  <c r="R457" i="5"/>
  <c r="R458" i="5"/>
  <c r="R459" i="5"/>
  <c r="R460" i="5"/>
  <c r="R461" i="5"/>
  <c r="R462" i="5"/>
  <c r="R463" i="5"/>
  <c r="R464" i="5"/>
  <c r="R465" i="5"/>
  <c r="R466" i="5"/>
  <c r="R467" i="5"/>
  <c r="R468" i="5"/>
  <c r="R469" i="5"/>
  <c r="R470" i="5"/>
  <c r="R471" i="5"/>
  <c r="R472" i="5"/>
  <c r="R473" i="5"/>
  <c r="R474" i="5"/>
  <c r="R475" i="5"/>
  <c r="R476" i="5"/>
  <c r="R477" i="5"/>
  <c r="R478" i="5"/>
  <c r="R479" i="5"/>
  <c r="R480" i="5"/>
  <c r="R481" i="5"/>
  <c r="R482" i="5"/>
  <c r="R483" i="5"/>
  <c r="R484" i="5"/>
  <c r="R485" i="5"/>
  <c r="R486" i="5"/>
  <c r="R487" i="5"/>
  <c r="R488" i="5"/>
  <c r="R489" i="5"/>
  <c r="R490" i="5"/>
  <c r="R491" i="5"/>
  <c r="R492" i="5"/>
  <c r="R493" i="5"/>
  <c r="R494" i="5"/>
  <c r="R495" i="5"/>
  <c r="R496" i="5"/>
  <c r="R497" i="5"/>
  <c r="R498" i="5"/>
  <c r="R499" i="5"/>
  <c r="R500" i="5"/>
  <c r="R501" i="5"/>
  <c r="R502" i="5"/>
  <c r="R503" i="5"/>
  <c r="R504" i="5"/>
  <c r="R505" i="5"/>
  <c r="R506" i="5"/>
  <c r="R507" i="5"/>
  <c r="R508" i="5"/>
  <c r="R509" i="5"/>
  <c r="R510" i="5"/>
  <c r="R511" i="5"/>
  <c r="R512" i="5"/>
  <c r="R513" i="5"/>
  <c r="R514" i="5"/>
  <c r="R515" i="5"/>
  <c r="R516" i="5"/>
  <c r="R517" i="5"/>
  <c r="R518" i="5"/>
  <c r="R519" i="5"/>
  <c r="R520" i="5"/>
  <c r="R521" i="5"/>
  <c r="R522" i="5"/>
  <c r="R523" i="5"/>
  <c r="R524" i="5"/>
  <c r="R525" i="5"/>
  <c r="R526" i="5"/>
  <c r="R527" i="5"/>
  <c r="R528" i="5"/>
  <c r="R529" i="5"/>
  <c r="R530" i="5"/>
  <c r="R531" i="5"/>
  <c r="R532" i="5"/>
  <c r="R533" i="5"/>
  <c r="R534" i="5"/>
  <c r="R535" i="5"/>
  <c r="R536" i="5"/>
  <c r="R537" i="5"/>
  <c r="R538" i="5"/>
  <c r="R539" i="5"/>
  <c r="R540" i="5"/>
  <c r="R541" i="5"/>
  <c r="R542" i="5"/>
  <c r="R543" i="5"/>
  <c r="R544" i="5"/>
  <c r="R545" i="5"/>
  <c r="R546" i="5"/>
  <c r="R547" i="5"/>
  <c r="R548" i="5"/>
  <c r="R549" i="5"/>
  <c r="R550" i="5"/>
  <c r="R551" i="5"/>
  <c r="R552" i="5"/>
  <c r="R553" i="5"/>
  <c r="R554" i="5"/>
  <c r="R555" i="5"/>
  <c r="R556" i="5"/>
  <c r="R557" i="5"/>
  <c r="R558" i="5"/>
  <c r="R559" i="5"/>
  <c r="R560" i="5"/>
  <c r="R561" i="5"/>
  <c r="R562" i="5"/>
  <c r="R563" i="5"/>
  <c r="R564" i="5"/>
  <c r="R565" i="5"/>
  <c r="R566" i="5"/>
  <c r="R567" i="5"/>
  <c r="R568" i="5"/>
  <c r="R569" i="5"/>
  <c r="R570" i="5"/>
  <c r="R571" i="5"/>
  <c r="R572" i="5"/>
  <c r="R573" i="5"/>
  <c r="R574" i="5"/>
  <c r="R575" i="5"/>
  <c r="R576" i="5"/>
  <c r="R577" i="5"/>
  <c r="R578" i="5"/>
  <c r="R579" i="5"/>
  <c r="R580" i="5"/>
  <c r="R581" i="5"/>
  <c r="R582" i="5"/>
  <c r="R583" i="5"/>
  <c r="R584" i="5"/>
  <c r="R585" i="5"/>
  <c r="R586" i="5"/>
  <c r="R587" i="5"/>
  <c r="R588" i="5"/>
  <c r="R589" i="5"/>
  <c r="R590" i="5"/>
  <c r="R591" i="5"/>
  <c r="R592" i="5"/>
  <c r="R593" i="5"/>
  <c r="R594" i="5"/>
  <c r="R595" i="5"/>
  <c r="R596" i="5"/>
  <c r="R597" i="5"/>
  <c r="R598" i="5"/>
  <c r="R599" i="5"/>
  <c r="R600" i="5"/>
  <c r="R601" i="5"/>
  <c r="R602" i="5"/>
  <c r="R603" i="5"/>
  <c r="R604" i="5"/>
  <c r="R605" i="5"/>
  <c r="R606" i="5"/>
  <c r="R607" i="5"/>
  <c r="R608" i="5"/>
  <c r="R609" i="5"/>
  <c r="R610" i="5"/>
  <c r="R611" i="5"/>
  <c r="R612" i="5"/>
  <c r="R613" i="5"/>
  <c r="R614" i="5"/>
  <c r="R615" i="5"/>
  <c r="R616" i="5"/>
  <c r="R617" i="5"/>
  <c r="R618" i="5"/>
  <c r="R619" i="5"/>
  <c r="R620" i="5"/>
  <c r="R621" i="5"/>
  <c r="R622" i="5"/>
  <c r="R623" i="5"/>
  <c r="R624" i="5"/>
  <c r="R625" i="5"/>
  <c r="R626" i="5"/>
  <c r="R627" i="5"/>
  <c r="R628" i="5"/>
  <c r="R629" i="5"/>
  <c r="R630" i="5"/>
  <c r="R631" i="5"/>
  <c r="R632" i="5"/>
  <c r="R633" i="5"/>
  <c r="R634" i="5"/>
  <c r="R635" i="5"/>
  <c r="R636" i="5"/>
  <c r="R637" i="5"/>
  <c r="R638" i="5"/>
  <c r="R639" i="5"/>
  <c r="R640" i="5"/>
  <c r="R641" i="5"/>
  <c r="R642" i="5"/>
  <c r="R643" i="5"/>
  <c r="R644" i="5"/>
  <c r="R645" i="5"/>
  <c r="R646" i="5"/>
  <c r="R647" i="5"/>
  <c r="R648" i="5"/>
  <c r="R649" i="5"/>
  <c r="R650" i="5"/>
  <c r="R651" i="5"/>
  <c r="R652" i="5"/>
  <c r="R653" i="5"/>
  <c r="R654" i="5"/>
  <c r="R655" i="5"/>
  <c r="R656" i="5"/>
  <c r="R657" i="5"/>
  <c r="R658" i="5"/>
  <c r="R659" i="5"/>
  <c r="R660" i="5"/>
  <c r="R661" i="5"/>
  <c r="R662" i="5"/>
  <c r="R663" i="5"/>
  <c r="R664" i="5"/>
  <c r="R665" i="5"/>
  <c r="R666" i="5"/>
  <c r="R667" i="5"/>
  <c r="R668" i="5"/>
  <c r="R669" i="5"/>
  <c r="R670" i="5"/>
  <c r="R671" i="5"/>
  <c r="R672" i="5"/>
  <c r="R673" i="5"/>
  <c r="R674" i="5"/>
  <c r="R675" i="5"/>
  <c r="R676" i="5"/>
  <c r="R677" i="5"/>
  <c r="R678" i="5"/>
  <c r="R679" i="5"/>
  <c r="R680" i="5"/>
  <c r="R681" i="5"/>
  <c r="R682" i="5"/>
  <c r="R683" i="5"/>
  <c r="R684" i="5"/>
  <c r="R685" i="5"/>
  <c r="R686" i="5"/>
  <c r="R687" i="5"/>
  <c r="R688" i="5"/>
  <c r="R689" i="5"/>
  <c r="R690" i="5"/>
  <c r="R691" i="5"/>
  <c r="R692" i="5"/>
  <c r="R693" i="5"/>
  <c r="R694" i="5"/>
  <c r="R695" i="5"/>
  <c r="R696" i="5"/>
  <c r="R697" i="5"/>
  <c r="R698" i="5"/>
  <c r="R699" i="5"/>
  <c r="R700" i="5"/>
  <c r="R701" i="5"/>
  <c r="R702" i="5"/>
  <c r="R703" i="5"/>
  <c r="R704" i="5"/>
  <c r="R705" i="5"/>
  <c r="R706" i="5"/>
  <c r="R707" i="5"/>
  <c r="R708" i="5"/>
  <c r="R709" i="5"/>
  <c r="R710" i="5"/>
  <c r="R711" i="5"/>
  <c r="R712" i="5"/>
  <c r="R713" i="5"/>
  <c r="R714" i="5"/>
  <c r="R715" i="5"/>
  <c r="R716" i="5"/>
  <c r="R717" i="5"/>
  <c r="R718" i="5"/>
  <c r="R719" i="5"/>
  <c r="R720" i="5"/>
  <c r="R721" i="5"/>
  <c r="R722" i="5"/>
  <c r="R723" i="5"/>
  <c r="R724" i="5"/>
  <c r="R725" i="5"/>
  <c r="R726" i="5"/>
  <c r="R727" i="5"/>
  <c r="R728" i="5"/>
  <c r="R729" i="5"/>
  <c r="R730" i="5"/>
  <c r="R731" i="5"/>
  <c r="R732" i="5"/>
  <c r="R733" i="5"/>
  <c r="R734" i="5"/>
  <c r="R735" i="5"/>
  <c r="R736" i="5"/>
  <c r="R737" i="5"/>
  <c r="R738" i="5"/>
  <c r="R739" i="5"/>
  <c r="R740" i="5"/>
  <c r="R741" i="5"/>
  <c r="R742" i="5"/>
  <c r="R743" i="5"/>
  <c r="R744" i="5"/>
  <c r="R745" i="5"/>
  <c r="R746" i="5"/>
  <c r="R747" i="5"/>
  <c r="R748" i="5"/>
  <c r="R749" i="5"/>
  <c r="R750" i="5"/>
  <c r="R751" i="5"/>
  <c r="R752" i="5"/>
  <c r="R753" i="5"/>
  <c r="R754" i="5"/>
  <c r="R755" i="5"/>
  <c r="R756" i="5"/>
  <c r="R757" i="5"/>
  <c r="R758" i="5"/>
  <c r="R759" i="5"/>
  <c r="R760" i="5"/>
  <c r="R761" i="5"/>
  <c r="R762" i="5"/>
  <c r="R763" i="5"/>
  <c r="R764" i="5"/>
  <c r="R765" i="5"/>
  <c r="R766" i="5"/>
  <c r="R767" i="5"/>
  <c r="R768" i="5"/>
  <c r="R769" i="5"/>
  <c r="R770" i="5"/>
  <c r="R771" i="5"/>
  <c r="R772" i="5"/>
  <c r="R773" i="5"/>
  <c r="R774" i="5"/>
  <c r="R775" i="5"/>
  <c r="R776" i="5"/>
  <c r="R777" i="5"/>
  <c r="R778" i="5"/>
  <c r="R779" i="5"/>
  <c r="R780" i="5"/>
  <c r="R781" i="5"/>
  <c r="R782" i="5"/>
  <c r="R783" i="5"/>
  <c r="R784" i="5"/>
  <c r="R785" i="5"/>
  <c r="R786" i="5"/>
  <c r="R787" i="5"/>
  <c r="R788" i="5"/>
  <c r="R789" i="5"/>
  <c r="W2" i="5"/>
  <c r="U2" i="5"/>
  <c r="S2" i="5"/>
  <c r="V2" i="5"/>
  <c r="T2" i="5"/>
  <c r="R2" i="5"/>
  <c r="U3" i="6"/>
  <c r="U4" i="6"/>
  <c r="U5" i="6"/>
  <c r="U6" i="6"/>
  <c r="U7" i="6"/>
  <c r="U8" i="6"/>
  <c r="U9" i="6"/>
  <c r="U10" i="6"/>
  <c r="U11" i="6"/>
  <c r="U12" i="6"/>
  <c r="U13" i="6"/>
  <c r="U14" i="6"/>
  <c r="U15" i="6"/>
  <c r="U16" i="6"/>
  <c r="U17" i="6"/>
  <c r="U18" i="6"/>
  <c r="U19" i="6"/>
  <c r="U20" i="6"/>
  <c r="U21" i="6"/>
  <c r="U22" i="6"/>
  <c r="U23" i="6"/>
  <c r="U24" i="6"/>
  <c r="U25" i="6"/>
  <c r="U26" i="6"/>
  <c r="U27" i="6"/>
  <c r="U28" i="6"/>
  <c r="U29" i="6"/>
  <c r="U30" i="6"/>
  <c r="U31" i="6"/>
  <c r="U32" i="6"/>
  <c r="U33" i="6"/>
  <c r="U34" i="6"/>
  <c r="U35" i="6"/>
  <c r="U36" i="6"/>
  <c r="U37" i="6"/>
  <c r="U38" i="6"/>
  <c r="U39" i="6"/>
  <c r="U40" i="6"/>
  <c r="U41" i="6"/>
  <c r="U42" i="6"/>
  <c r="U43" i="6"/>
  <c r="U44" i="6"/>
  <c r="U45" i="6"/>
  <c r="U46" i="6"/>
  <c r="U47" i="6"/>
  <c r="U48" i="6"/>
  <c r="U49" i="6"/>
  <c r="U50" i="6"/>
  <c r="U51" i="6"/>
  <c r="U52" i="6"/>
  <c r="U53" i="6"/>
  <c r="U54" i="6"/>
  <c r="U55" i="6"/>
  <c r="U56" i="6"/>
  <c r="U57" i="6"/>
  <c r="U58" i="6"/>
  <c r="U59" i="6"/>
  <c r="U60" i="6"/>
  <c r="U61" i="6"/>
  <c r="U62" i="6"/>
  <c r="U63" i="6"/>
  <c r="U64" i="6"/>
  <c r="U65" i="6"/>
  <c r="U66" i="6"/>
  <c r="U67" i="6"/>
  <c r="U68" i="6"/>
  <c r="U69" i="6"/>
  <c r="U70" i="6"/>
  <c r="U71" i="6"/>
  <c r="U72" i="6"/>
  <c r="U73" i="6"/>
  <c r="U74" i="6"/>
  <c r="U75" i="6"/>
  <c r="U76" i="6"/>
  <c r="U77" i="6"/>
  <c r="U78" i="6"/>
  <c r="U79" i="6"/>
  <c r="U80" i="6"/>
  <c r="U81" i="6"/>
  <c r="U82" i="6"/>
  <c r="U83" i="6"/>
  <c r="U84" i="6"/>
  <c r="U85" i="6"/>
  <c r="U86" i="6"/>
  <c r="U87" i="6"/>
  <c r="U88" i="6"/>
  <c r="U89" i="6"/>
  <c r="U90" i="6"/>
  <c r="U91" i="6"/>
  <c r="U92" i="6"/>
  <c r="U93" i="6"/>
  <c r="U94" i="6"/>
  <c r="U95" i="6"/>
  <c r="U96" i="6"/>
  <c r="U97" i="6"/>
  <c r="U98" i="6"/>
  <c r="U99" i="6"/>
  <c r="U100" i="6"/>
  <c r="U101" i="6"/>
  <c r="U102" i="6"/>
  <c r="U103" i="6"/>
  <c r="U104" i="6"/>
  <c r="U105" i="6"/>
  <c r="U106" i="6"/>
  <c r="U107" i="6"/>
  <c r="U108" i="6"/>
  <c r="U109" i="6"/>
  <c r="U110" i="6"/>
  <c r="U111" i="6"/>
  <c r="U112" i="6"/>
  <c r="U113" i="6"/>
  <c r="U114" i="6"/>
  <c r="U115" i="6"/>
  <c r="U116" i="6"/>
  <c r="U117" i="6"/>
  <c r="U118" i="6"/>
  <c r="U119" i="6"/>
  <c r="U120" i="6"/>
  <c r="U121" i="6"/>
  <c r="U122" i="6"/>
  <c r="U123" i="6"/>
  <c r="U124" i="6"/>
  <c r="U125" i="6"/>
  <c r="U126" i="6"/>
  <c r="U127" i="6"/>
  <c r="U128" i="6"/>
  <c r="U129" i="6"/>
  <c r="U130" i="6"/>
  <c r="U131" i="6"/>
  <c r="U132" i="6"/>
  <c r="U133" i="6"/>
  <c r="U134" i="6"/>
  <c r="U135" i="6"/>
  <c r="U136" i="6"/>
  <c r="U137" i="6"/>
  <c r="U138" i="6"/>
  <c r="U139" i="6"/>
  <c r="U140" i="6"/>
  <c r="U141" i="6"/>
  <c r="U142" i="6"/>
  <c r="U143" i="6"/>
  <c r="U144" i="6"/>
  <c r="U145" i="6"/>
  <c r="U146" i="6"/>
  <c r="U147" i="6"/>
  <c r="U148" i="6"/>
  <c r="U149" i="6"/>
  <c r="U150" i="6"/>
  <c r="U151" i="6"/>
  <c r="U152" i="6"/>
  <c r="U153" i="6"/>
  <c r="U154" i="6"/>
  <c r="U155" i="6"/>
  <c r="U156" i="6"/>
  <c r="U157" i="6"/>
  <c r="U158" i="6"/>
  <c r="U159" i="6"/>
  <c r="U160" i="6"/>
  <c r="U161" i="6"/>
  <c r="U162" i="6"/>
  <c r="U163" i="6"/>
  <c r="U164" i="6"/>
  <c r="U165" i="6"/>
  <c r="U166" i="6"/>
  <c r="U167" i="6"/>
  <c r="U168" i="6"/>
  <c r="U169" i="6"/>
  <c r="U170" i="6"/>
  <c r="U171" i="6"/>
  <c r="U172" i="6"/>
  <c r="U173" i="6"/>
  <c r="U174" i="6"/>
  <c r="U175" i="6"/>
  <c r="U176" i="6"/>
  <c r="U177" i="6"/>
  <c r="U178" i="6"/>
  <c r="U179" i="6"/>
  <c r="U180" i="6"/>
  <c r="U181" i="6"/>
  <c r="U182" i="6"/>
  <c r="U183" i="6"/>
  <c r="U184" i="6"/>
  <c r="U185" i="6"/>
  <c r="U186" i="6"/>
  <c r="U187" i="6"/>
  <c r="U188" i="6"/>
  <c r="U189" i="6"/>
  <c r="U190" i="6"/>
  <c r="U191" i="6"/>
  <c r="U192" i="6"/>
  <c r="U193" i="6"/>
  <c r="U194" i="6"/>
  <c r="U195" i="6"/>
  <c r="U196" i="6"/>
  <c r="U197" i="6"/>
  <c r="U198" i="6"/>
  <c r="U199" i="6"/>
  <c r="U200" i="6"/>
  <c r="U201" i="6"/>
  <c r="U202" i="6"/>
  <c r="U203" i="6"/>
  <c r="U204" i="6"/>
  <c r="U205" i="6"/>
  <c r="U206" i="6"/>
  <c r="U207" i="6"/>
  <c r="U208" i="6"/>
  <c r="U209" i="6"/>
  <c r="U210" i="6"/>
  <c r="U211" i="6"/>
  <c r="U212" i="6"/>
  <c r="U213" i="6"/>
  <c r="U214" i="6"/>
  <c r="U215" i="6"/>
  <c r="U216" i="6"/>
  <c r="U217" i="6"/>
  <c r="U218" i="6"/>
  <c r="U219" i="6"/>
  <c r="U220" i="6"/>
  <c r="U221" i="6"/>
  <c r="U222" i="6"/>
  <c r="U223" i="6"/>
  <c r="U224" i="6"/>
  <c r="U225" i="6"/>
  <c r="U226" i="6"/>
  <c r="U227" i="6"/>
  <c r="U228" i="6"/>
  <c r="U229" i="6"/>
  <c r="U230" i="6"/>
  <c r="U231" i="6"/>
  <c r="U232" i="6"/>
  <c r="U233" i="6"/>
  <c r="U234" i="6"/>
  <c r="U235" i="6"/>
  <c r="U236" i="6"/>
  <c r="U237" i="6"/>
  <c r="U238" i="6"/>
  <c r="U239" i="6"/>
  <c r="U240" i="6"/>
  <c r="U241" i="6"/>
  <c r="U242" i="6"/>
  <c r="U243" i="6"/>
  <c r="U244" i="6"/>
  <c r="U245" i="6"/>
  <c r="U246" i="6"/>
  <c r="U247" i="6"/>
  <c r="U248" i="6"/>
  <c r="U249" i="6"/>
  <c r="U250" i="6"/>
  <c r="U251" i="6"/>
  <c r="U252" i="6"/>
  <c r="U253" i="6"/>
  <c r="U254" i="6"/>
  <c r="U255" i="6"/>
  <c r="U256" i="6"/>
  <c r="U257" i="6"/>
  <c r="U258" i="6"/>
  <c r="U259" i="6"/>
  <c r="U260" i="6"/>
  <c r="U261" i="6"/>
  <c r="U262" i="6"/>
  <c r="U263" i="6"/>
  <c r="U264" i="6"/>
  <c r="U265" i="6"/>
  <c r="U266" i="6"/>
  <c r="U267" i="6"/>
  <c r="U268" i="6"/>
  <c r="U269" i="6"/>
  <c r="U270" i="6"/>
  <c r="U271" i="6"/>
  <c r="U272" i="6"/>
  <c r="U273" i="6"/>
  <c r="U274" i="6"/>
  <c r="U275" i="6"/>
  <c r="U276" i="6"/>
  <c r="U277" i="6"/>
  <c r="U278" i="6"/>
  <c r="U279" i="6"/>
  <c r="U280" i="6"/>
  <c r="U281" i="6"/>
  <c r="U282" i="6"/>
  <c r="U283" i="6"/>
  <c r="U284" i="6"/>
  <c r="U285" i="6"/>
  <c r="U286" i="6"/>
  <c r="U287" i="6"/>
  <c r="U288" i="6"/>
  <c r="U289" i="6"/>
  <c r="U290" i="6"/>
  <c r="U291" i="6"/>
  <c r="U292" i="6"/>
  <c r="U293" i="6"/>
  <c r="U294" i="6"/>
  <c r="U295" i="6"/>
  <c r="U296" i="6"/>
  <c r="U297" i="6"/>
  <c r="U298" i="6"/>
  <c r="U299" i="6"/>
  <c r="U300" i="6"/>
  <c r="U301" i="6"/>
  <c r="U302" i="6"/>
  <c r="U303" i="6"/>
  <c r="U304" i="6"/>
  <c r="U305" i="6"/>
  <c r="U306" i="6"/>
  <c r="U307" i="6"/>
  <c r="U308" i="6"/>
  <c r="U309" i="6"/>
  <c r="U310" i="6"/>
  <c r="U311" i="6"/>
  <c r="U312" i="6"/>
  <c r="U313" i="6"/>
  <c r="U314" i="6"/>
  <c r="U315" i="6"/>
  <c r="U316" i="6"/>
  <c r="U317" i="6"/>
  <c r="U318" i="6"/>
  <c r="U319" i="6"/>
  <c r="U320" i="6"/>
  <c r="U321" i="6"/>
  <c r="U322" i="6"/>
  <c r="U323" i="6"/>
  <c r="U324" i="6"/>
  <c r="U325" i="6"/>
  <c r="U326" i="6"/>
  <c r="U327" i="6"/>
  <c r="U328" i="6"/>
  <c r="U329" i="6"/>
  <c r="U330" i="6"/>
  <c r="U331" i="6"/>
  <c r="U332" i="6"/>
  <c r="U333" i="6"/>
  <c r="U334" i="6"/>
  <c r="U335" i="6"/>
  <c r="U336" i="6"/>
  <c r="U337" i="6"/>
  <c r="U338" i="6"/>
  <c r="U339" i="6"/>
  <c r="U340" i="6"/>
  <c r="U341" i="6"/>
  <c r="U342" i="6"/>
  <c r="U343" i="6"/>
  <c r="U344" i="6"/>
  <c r="U345" i="6"/>
  <c r="U346" i="6"/>
  <c r="U347" i="6"/>
  <c r="U348" i="6"/>
  <c r="U349" i="6"/>
  <c r="U350" i="6"/>
  <c r="U351" i="6"/>
  <c r="U352" i="6"/>
  <c r="U353" i="6"/>
  <c r="U354" i="6"/>
  <c r="U355" i="6"/>
  <c r="U356" i="6"/>
  <c r="U357" i="6"/>
  <c r="U358" i="6"/>
  <c r="U359" i="6"/>
  <c r="U360" i="6"/>
  <c r="U361" i="6"/>
  <c r="U362" i="6"/>
  <c r="U363" i="6"/>
  <c r="U364" i="6"/>
  <c r="U365" i="6"/>
  <c r="U366" i="6"/>
  <c r="U367" i="6"/>
  <c r="U368" i="6"/>
  <c r="U369" i="6"/>
  <c r="U370" i="6"/>
  <c r="U371" i="6"/>
  <c r="U372" i="6"/>
  <c r="U373" i="6"/>
  <c r="U374" i="6"/>
  <c r="U375" i="6"/>
  <c r="U376" i="6"/>
  <c r="U377" i="6"/>
  <c r="U378" i="6"/>
  <c r="U379" i="6"/>
  <c r="U380" i="6"/>
  <c r="U381" i="6"/>
  <c r="U382" i="6"/>
  <c r="U383" i="6"/>
  <c r="U384" i="6"/>
  <c r="U385" i="6"/>
  <c r="U386" i="6"/>
  <c r="U387" i="6"/>
  <c r="U388" i="6"/>
  <c r="U389" i="6"/>
  <c r="U390" i="6"/>
  <c r="U391" i="6"/>
  <c r="U392" i="6"/>
  <c r="U393" i="6"/>
  <c r="U394" i="6"/>
  <c r="U395" i="6"/>
  <c r="U396" i="6"/>
  <c r="U397" i="6"/>
  <c r="U398" i="6"/>
  <c r="U399" i="6"/>
  <c r="U400" i="6"/>
  <c r="U401" i="6"/>
  <c r="U402" i="6"/>
  <c r="U403" i="6"/>
  <c r="U404" i="6"/>
  <c r="U405" i="6"/>
  <c r="U406" i="6"/>
  <c r="U407" i="6"/>
  <c r="U408" i="6"/>
  <c r="U409" i="6"/>
  <c r="U410" i="6"/>
  <c r="U411" i="6"/>
  <c r="U412" i="6"/>
  <c r="U413" i="6"/>
  <c r="U414" i="6"/>
  <c r="U415" i="6"/>
  <c r="U416" i="6"/>
  <c r="U417" i="6"/>
  <c r="U418" i="6"/>
  <c r="U419" i="6"/>
  <c r="U420" i="6"/>
  <c r="U421" i="6"/>
  <c r="U422" i="6"/>
  <c r="U423" i="6"/>
  <c r="U424" i="6"/>
  <c r="U425" i="6"/>
  <c r="U426" i="6"/>
  <c r="U427" i="6"/>
  <c r="U428" i="6"/>
  <c r="U429" i="6"/>
  <c r="U430" i="6"/>
  <c r="U431" i="6"/>
  <c r="U432" i="6"/>
  <c r="U433" i="6"/>
  <c r="U434" i="6"/>
  <c r="U435" i="6"/>
  <c r="U436" i="6"/>
  <c r="U437" i="6"/>
  <c r="U438" i="6"/>
  <c r="U439" i="6"/>
  <c r="U440" i="6"/>
  <c r="U441" i="6"/>
  <c r="U442" i="6"/>
  <c r="U443" i="6"/>
  <c r="U444" i="6"/>
  <c r="U445" i="6"/>
  <c r="U446" i="6"/>
  <c r="U447" i="6"/>
  <c r="U448" i="6"/>
  <c r="U449" i="6"/>
  <c r="U450" i="6"/>
  <c r="U451" i="6"/>
  <c r="U452" i="6"/>
  <c r="U453" i="6"/>
  <c r="U454" i="6"/>
  <c r="U455" i="6"/>
  <c r="U456" i="6"/>
  <c r="U457" i="6"/>
  <c r="U458" i="6"/>
  <c r="U459" i="6"/>
  <c r="U460" i="6"/>
  <c r="U461" i="6"/>
  <c r="U462" i="6"/>
  <c r="U463" i="6"/>
  <c r="U464" i="6"/>
  <c r="U465" i="6"/>
  <c r="U466" i="6"/>
  <c r="U467" i="6"/>
  <c r="U468" i="6"/>
  <c r="U469" i="6"/>
  <c r="U470" i="6"/>
  <c r="U471" i="6"/>
  <c r="U472" i="6"/>
  <c r="U473" i="6"/>
  <c r="U474" i="6"/>
  <c r="U475" i="6"/>
  <c r="U476" i="6"/>
  <c r="U477" i="6"/>
  <c r="U478" i="6"/>
  <c r="U479" i="6"/>
  <c r="U480" i="6"/>
  <c r="U481" i="6"/>
  <c r="U482" i="6"/>
  <c r="U483" i="6"/>
  <c r="U484" i="6"/>
  <c r="U485" i="6"/>
  <c r="U486" i="6"/>
  <c r="U487" i="6"/>
  <c r="U488" i="6"/>
  <c r="U489" i="6"/>
  <c r="U490" i="6"/>
  <c r="U491" i="6"/>
  <c r="U492" i="6"/>
  <c r="U493" i="6"/>
  <c r="U494" i="6"/>
  <c r="U495" i="6"/>
  <c r="U496" i="6"/>
  <c r="U497" i="6"/>
  <c r="U498" i="6"/>
  <c r="U499" i="6"/>
  <c r="U500" i="6"/>
  <c r="U501" i="6"/>
  <c r="U502" i="6"/>
  <c r="U503" i="6"/>
  <c r="U504" i="6"/>
  <c r="U505" i="6"/>
  <c r="U506" i="6"/>
  <c r="U507" i="6"/>
  <c r="U508" i="6"/>
  <c r="U509" i="6"/>
  <c r="U510" i="6"/>
  <c r="U511" i="6"/>
  <c r="U512" i="6"/>
  <c r="U513" i="6"/>
  <c r="U514" i="6"/>
  <c r="U515" i="6"/>
  <c r="U516" i="6"/>
  <c r="U517" i="6"/>
  <c r="U518" i="6"/>
  <c r="U519" i="6"/>
  <c r="U520" i="6"/>
  <c r="U521" i="6"/>
  <c r="U522" i="6"/>
  <c r="U523" i="6"/>
  <c r="U524" i="6"/>
  <c r="U525" i="6"/>
  <c r="U526" i="6"/>
  <c r="U527" i="6"/>
  <c r="U528" i="6"/>
  <c r="U529" i="6"/>
  <c r="U530" i="6"/>
  <c r="U531" i="6"/>
  <c r="U532" i="6"/>
  <c r="U533" i="6"/>
  <c r="U534" i="6"/>
  <c r="U535" i="6"/>
  <c r="U536" i="6"/>
  <c r="U537" i="6"/>
  <c r="U538" i="6"/>
  <c r="U539" i="6"/>
  <c r="U540" i="6"/>
  <c r="U541" i="6"/>
  <c r="U542" i="6"/>
  <c r="U543" i="6"/>
  <c r="U544" i="6"/>
  <c r="U545" i="6"/>
  <c r="U546" i="6"/>
  <c r="U547" i="6"/>
  <c r="U548" i="6"/>
  <c r="U549" i="6"/>
  <c r="U550" i="6"/>
  <c r="U551" i="6"/>
  <c r="U552" i="6"/>
  <c r="U553" i="6"/>
  <c r="U554" i="6"/>
  <c r="U555" i="6"/>
  <c r="U556" i="6"/>
  <c r="U557" i="6"/>
  <c r="U558" i="6"/>
  <c r="U559" i="6"/>
  <c r="U560" i="6"/>
  <c r="U561" i="6"/>
  <c r="U562" i="6"/>
  <c r="U563" i="6"/>
  <c r="U564" i="6"/>
  <c r="U565" i="6"/>
  <c r="U566" i="6"/>
  <c r="U567" i="6"/>
  <c r="U568" i="6"/>
  <c r="U569" i="6"/>
  <c r="U570" i="6"/>
  <c r="U571" i="6"/>
  <c r="U572" i="6"/>
  <c r="U573" i="6"/>
  <c r="U574" i="6"/>
  <c r="U575" i="6"/>
  <c r="U576" i="6"/>
  <c r="U577" i="6"/>
  <c r="U578" i="6"/>
  <c r="U579" i="6"/>
  <c r="U580" i="6"/>
  <c r="U581" i="6"/>
  <c r="U582" i="6"/>
  <c r="U583" i="6"/>
  <c r="U584" i="6"/>
  <c r="U585" i="6"/>
  <c r="U586" i="6"/>
  <c r="U587" i="6"/>
  <c r="U588" i="6"/>
  <c r="U589" i="6"/>
  <c r="U590" i="6"/>
  <c r="U591" i="6"/>
  <c r="U592" i="6"/>
  <c r="U593" i="6"/>
  <c r="U594" i="6"/>
  <c r="U595" i="6"/>
  <c r="U596" i="6"/>
  <c r="U597" i="6"/>
  <c r="U598" i="6"/>
  <c r="U599" i="6"/>
  <c r="U600" i="6"/>
  <c r="U601" i="6"/>
  <c r="U602" i="6"/>
  <c r="U603" i="6"/>
  <c r="U604" i="6"/>
  <c r="U605" i="6"/>
  <c r="U606" i="6"/>
  <c r="U607" i="6"/>
  <c r="U608" i="6"/>
  <c r="U609" i="6"/>
  <c r="U610" i="6"/>
  <c r="U611" i="6"/>
  <c r="U612" i="6"/>
  <c r="U613" i="6"/>
  <c r="U614" i="6"/>
  <c r="U615" i="6"/>
  <c r="U616" i="6"/>
  <c r="U617" i="6"/>
  <c r="U618" i="6"/>
  <c r="U619" i="6"/>
  <c r="U620" i="6"/>
  <c r="U621" i="6"/>
  <c r="U622" i="6"/>
  <c r="U623" i="6"/>
  <c r="U624" i="6"/>
  <c r="U625" i="6"/>
  <c r="U626" i="6"/>
  <c r="U627" i="6"/>
  <c r="U628" i="6"/>
  <c r="U629" i="6"/>
  <c r="U630" i="6"/>
  <c r="U631" i="6"/>
  <c r="U632" i="6"/>
  <c r="U633" i="6"/>
  <c r="U634" i="6"/>
  <c r="U635" i="6"/>
  <c r="U636" i="6"/>
  <c r="U637" i="6"/>
  <c r="U638" i="6"/>
  <c r="U639" i="6"/>
  <c r="U640" i="6"/>
  <c r="U641" i="6"/>
  <c r="U642" i="6"/>
  <c r="U643" i="6"/>
  <c r="U644" i="6"/>
  <c r="U645" i="6"/>
  <c r="U646" i="6"/>
  <c r="U647" i="6"/>
  <c r="U648" i="6"/>
  <c r="U649" i="6"/>
  <c r="U650" i="6"/>
  <c r="U651" i="6"/>
  <c r="U652" i="6"/>
  <c r="U653" i="6"/>
  <c r="U654" i="6"/>
  <c r="U655" i="6"/>
  <c r="U656" i="6"/>
  <c r="U657" i="6"/>
  <c r="U658" i="6"/>
  <c r="U659" i="6"/>
  <c r="U660" i="6"/>
  <c r="U661" i="6"/>
  <c r="U662" i="6"/>
  <c r="U663" i="6"/>
  <c r="U664" i="6"/>
  <c r="U665" i="6"/>
  <c r="U666" i="6"/>
  <c r="U667" i="6"/>
  <c r="U668" i="6"/>
  <c r="U669" i="6"/>
  <c r="U670" i="6"/>
  <c r="U671" i="6"/>
  <c r="U672" i="6"/>
  <c r="U673" i="6"/>
  <c r="U674" i="6"/>
  <c r="U675" i="6"/>
  <c r="U676" i="6"/>
  <c r="U677" i="6"/>
  <c r="U678" i="6"/>
  <c r="U679" i="6"/>
  <c r="U680" i="6"/>
  <c r="U681" i="6"/>
  <c r="U682" i="6"/>
  <c r="U683" i="6"/>
  <c r="U684" i="6"/>
  <c r="U685" i="6"/>
  <c r="U686" i="6"/>
  <c r="U687" i="6"/>
  <c r="U688" i="6"/>
  <c r="U689" i="6"/>
  <c r="U690" i="6"/>
  <c r="U691" i="6"/>
  <c r="U692" i="6"/>
  <c r="U693" i="6"/>
  <c r="U694" i="6"/>
  <c r="U695" i="6"/>
  <c r="U696" i="6"/>
  <c r="U697" i="6"/>
  <c r="U698" i="6"/>
  <c r="U699" i="6"/>
  <c r="U700" i="6"/>
  <c r="U701" i="6"/>
  <c r="U702" i="6"/>
  <c r="U703" i="6"/>
  <c r="U704" i="6"/>
  <c r="U705" i="6"/>
  <c r="U706" i="6"/>
  <c r="U707" i="6"/>
  <c r="U708" i="6"/>
  <c r="U709" i="6"/>
  <c r="U710" i="6"/>
  <c r="U711" i="6"/>
  <c r="U712" i="6"/>
  <c r="U713" i="6"/>
  <c r="U714" i="6"/>
  <c r="U715" i="6"/>
  <c r="U716" i="6"/>
  <c r="U717" i="6"/>
  <c r="U718" i="6"/>
  <c r="U719" i="6"/>
  <c r="U720" i="6"/>
  <c r="U721" i="6"/>
  <c r="U722" i="6"/>
  <c r="U723" i="6"/>
  <c r="U724" i="6"/>
  <c r="U725" i="6"/>
  <c r="U726" i="6"/>
  <c r="U727" i="6"/>
  <c r="U728" i="6"/>
  <c r="U729" i="6"/>
  <c r="U730" i="6"/>
  <c r="U731" i="6"/>
  <c r="U732" i="6"/>
  <c r="U733" i="6"/>
  <c r="U734" i="6"/>
  <c r="U735" i="6"/>
  <c r="U736" i="6"/>
  <c r="U737" i="6"/>
  <c r="U738" i="6"/>
  <c r="U739" i="6"/>
  <c r="U740" i="6"/>
  <c r="U741" i="6"/>
  <c r="U742" i="6"/>
  <c r="U743" i="6"/>
  <c r="U744" i="6"/>
  <c r="U745" i="6"/>
  <c r="U746" i="6"/>
  <c r="U747" i="6"/>
  <c r="U748" i="6"/>
  <c r="U749" i="6"/>
  <c r="U750" i="6"/>
  <c r="U751" i="6"/>
  <c r="U752" i="6"/>
  <c r="U753" i="6"/>
  <c r="U754" i="6"/>
  <c r="U755" i="6"/>
  <c r="U756" i="6"/>
  <c r="U757" i="6"/>
  <c r="U758" i="6"/>
  <c r="U759" i="6"/>
  <c r="U760" i="6"/>
  <c r="U761" i="6"/>
  <c r="U762" i="6"/>
  <c r="U763" i="6"/>
  <c r="U764" i="6"/>
  <c r="U765" i="6"/>
  <c r="U766" i="6"/>
  <c r="U767" i="6"/>
  <c r="U768" i="6"/>
  <c r="U769" i="6"/>
  <c r="U770" i="6"/>
  <c r="U771" i="6"/>
  <c r="U772" i="6"/>
  <c r="U773" i="6"/>
  <c r="U774" i="6"/>
  <c r="U775" i="6"/>
  <c r="U776" i="6"/>
  <c r="U777" i="6"/>
  <c r="U778" i="6"/>
  <c r="U779" i="6"/>
  <c r="U780" i="6"/>
  <c r="U781" i="6"/>
  <c r="U782" i="6"/>
  <c r="U783" i="6"/>
  <c r="U784" i="6"/>
  <c r="U785" i="6"/>
  <c r="U786" i="6"/>
  <c r="U787" i="6"/>
  <c r="U788" i="6"/>
  <c r="U789" i="6"/>
  <c r="U790" i="6"/>
  <c r="U791" i="6"/>
  <c r="U2" i="6"/>
  <c r="T3" i="6"/>
  <c r="T4" i="6"/>
  <c r="T5" i="6"/>
  <c r="T6" i="6"/>
  <c r="T7" i="6"/>
  <c r="T8" i="6"/>
  <c r="T9" i="6"/>
  <c r="T10" i="6"/>
  <c r="T11" i="6"/>
  <c r="T12" i="6"/>
  <c r="T13" i="6"/>
  <c r="T14" i="6"/>
  <c r="T15" i="6"/>
  <c r="T16" i="6"/>
  <c r="T17" i="6"/>
  <c r="T18" i="6"/>
  <c r="T19" i="6"/>
  <c r="T20" i="6"/>
  <c r="T21" i="6"/>
  <c r="T22" i="6"/>
  <c r="T23" i="6"/>
  <c r="T24" i="6"/>
  <c r="T25" i="6"/>
  <c r="T26" i="6"/>
  <c r="T27" i="6"/>
  <c r="T28" i="6"/>
  <c r="T29" i="6"/>
  <c r="T30" i="6"/>
  <c r="T31" i="6"/>
  <c r="T32" i="6"/>
  <c r="T33" i="6"/>
  <c r="T34" i="6"/>
  <c r="T35" i="6"/>
  <c r="T36" i="6"/>
  <c r="T37" i="6"/>
  <c r="T38" i="6"/>
  <c r="T39" i="6"/>
  <c r="T40" i="6"/>
  <c r="T41" i="6"/>
  <c r="T42" i="6"/>
  <c r="T43" i="6"/>
  <c r="T44" i="6"/>
  <c r="T45" i="6"/>
  <c r="T46" i="6"/>
  <c r="T47" i="6"/>
  <c r="T48" i="6"/>
  <c r="T49" i="6"/>
  <c r="T50" i="6"/>
  <c r="T51" i="6"/>
  <c r="T52" i="6"/>
  <c r="T53" i="6"/>
  <c r="T54" i="6"/>
  <c r="T55" i="6"/>
  <c r="T56" i="6"/>
  <c r="T57" i="6"/>
  <c r="T58" i="6"/>
  <c r="T59" i="6"/>
  <c r="T60" i="6"/>
  <c r="T61" i="6"/>
  <c r="T62" i="6"/>
  <c r="T63" i="6"/>
  <c r="T64" i="6"/>
  <c r="T65" i="6"/>
  <c r="T66" i="6"/>
  <c r="T67" i="6"/>
  <c r="T68" i="6"/>
  <c r="T69" i="6"/>
  <c r="T70" i="6"/>
  <c r="T71" i="6"/>
  <c r="T72" i="6"/>
  <c r="T73" i="6"/>
  <c r="T74" i="6"/>
  <c r="T75" i="6"/>
  <c r="T76" i="6"/>
  <c r="T77" i="6"/>
  <c r="T78" i="6"/>
  <c r="T79" i="6"/>
  <c r="T80" i="6"/>
  <c r="T81" i="6"/>
  <c r="T82" i="6"/>
  <c r="T83" i="6"/>
  <c r="T84" i="6"/>
  <c r="T85" i="6"/>
  <c r="T86" i="6"/>
  <c r="T87" i="6"/>
  <c r="T88" i="6"/>
  <c r="T89" i="6"/>
  <c r="T90" i="6"/>
  <c r="T91" i="6"/>
  <c r="T92" i="6"/>
  <c r="T93" i="6"/>
  <c r="T94" i="6"/>
  <c r="T95" i="6"/>
  <c r="T96" i="6"/>
  <c r="T97" i="6"/>
  <c r="T98" i="6"/>
  <c r="T99" i="6"/>
  <c r="T100" i="6"/>
  <c r="T101" i="6"/>
  <c r="T102" i="6"/>
  <c r="T103" i="6"/>
  <c r="T104" i="6"/>
  <c r="T105" i="6"/>
  <c r="T106" i="6"/>
  <c r="T107" i="6"/>
  <c r="T108" i="6"/>
  <c r="T109" i="6"/>
  <c r="T110" i="6"/>
  <c r="T111" i="6"/>
  <c r="T112" i="6"/>
  <c r="T113" i="6"/>
  <c r="T114" i="6"/>
  <c r="T115" i="6"/>
  <c r="T116" i="6"/>
  <c r="T117" i="6"/>
  <c r="T118" i="6"/>
  <c r="T119" i="6"/>
  <c r="T120" i="6"/>
  <c r="T121" i="6"/>
  <c r="T122" i="6"/>
  <c r="T123" i="6"/>
  <c r="T124" i="6"/>
  <c r="T125" i="6"/>
  <c r="T126" i="6"/>
  <c r="T127" i="6"/>
  <c r="T128" i="6"/>
  <c r="T129" i="6"/>
  <c r="T130" i="6"/>
  <c r="T131" i="6"/>
  <c r="T132" i="6"/>
  <c r="T133" i="6"/>
  <c r="T134" i="6"/>
  <c r="T135" i="6"/>
  <c r="T136" i="6"/>
  <c r="T137" i="6"/>
  <c r="T138" i="6"/>
  <c r="T139" i="6"/>
  <c r="T140" i="6"/>
  <c r="T141" i="6"/>
  <c r="T142" i="6"/>
  <c r="T143" i="6"/>
  <c r="T144" i="6"/>
  <c r="T145" i="6"/>
  <c r="T146" i="6"/>
  <c r="T147" i="6"/>
  <c r="T148" i="6"/>
  <c r="T149" i="6"/>
  <c r="T150" i="6"/>
  <c r="T151" i="6"/>
  <c r="T152" i="6"/>
  <c r="T153" i="6"/>
  <c r="T154" i="6"/>
  <c r="T155" i="6"/>
  <c r="T156" i="6"/>
  <c r="T157" i="6"/>
  <c r="T158" i="6"/>
  <c r="T159" i="6"/>
  <c r="T160" i="6"/>
  <c r="T161" i="6"/>
  <c r="T162" i="6"/>
  <c r="T163" i="6"/>
  <c r="T164" i="6"/>
  <c r="T165" i="6"/>
  <c r="T166" i="6"/>
  <c r="T167" i="6"/>
  <c r="T168" i="6"/>
  <c r="T169" i="6"/>
  <c r="T170" i="6"/>
  <c r="T171" i="6"/>
  <c r="T172" i="6"/>
  <c r="T173" i="6"/>
  <c r="T174" i="6"/>
  <c r="T175" i="6"/>
  <c r="T176" i="6"/>
  <c r="T177" i="6"/>
  <c r="T178" i="6"/>
  <c r="T179" i="6"/>
  <c r="T180" i="6"/>
  <c r="T181" i="6"/>
  <c r="T182" i="6"/>
  <c r="T183" i="6"/>
  <c r="T184" i="6"/>
  <c r="T185" i="6"/>
  <c r="T186" i="6"/>
  <c r="T187" i="6"/>
  <c r="T188" i="6"/>
  <c r="T189" i="6"/>
  <c r="T190" i="6"/>
  <c r="T191" i="6"/>
  <c r="T192" i="6"/>
  <c r="T193" i="6"/>
  <c r="T194" i="6"/>
  <c r="T195" i="6"/>
  <c r="T196" i="6"/>
  <c r="T197" i="6"/>
  <c r="T198" i="6"/>
  <c r="T199" i="6"/>
  <c r="T200" i="6"/>
  <c r="T201" i="6"/>
  <c r="T202" i="6"/>
  <c r="T203" i="6"/>
  <c r="T204" i="6"/>
  <c r="T205" i="6"/>
  <c r="T206" i="6"/>
  <c r="T207" i="6"/>
  <c r="T208" i="6"/>
  <c r="T209" i="6"/>
  <c r="T210" i="6"/>
  <c r="T211" i="6"/>
  <c r="T212" i="6"/>
  <c r="T213" i="6"/>
  <c r="T214" i="6"/>
  <c r="T215" i="6"/>
  <c r="T216" i="6"/>
  <c r="T217" i="6"/>
  <c r="T218" i="6"/>
  <c r="T219" i="6"/>
  <c r="T220" i="6"/>
  <c r="T221" i="6"/>
  <c r="T222" i="6"/>
  <c r="T223" i="6"/>
  <c r="T224" i="6"/>
  <c r="T225" i="6"/>
  <c r="T226" i="6"/>
  <c r="T227" i="6"/>
  <c r="T228" i="6"/>
  <c r="T229" i="6"/>
  <c r="T230" i="6"/>
  <c r="T231" i="6"/>
  <c r="T232" i="6"/>
  <c r="T233" i="6"/>
  <c r="T234" i="6"/>
  <c r="T235" i="6"/>
  <c r="T236" i="6"/>
  <c r="T237" i="6"/>
  <c r="T238" i="6"/>
  <c r="T239" i="6"/>
  <c r="T240" i="6"/>
  <c r="T241" i="6"/>
  <c r="T242" i="6"/>
  <c r="T243" i="6"/>
  <c r="T244" i="6"/>
  <c r="T245" i="6"/>
  <c r="T246" i="6"/>
  <c r="T247" i="6"/>
  <c r="T248" i="6"/>
  <c r="T249" i="6"/>
  <c r="T250" i="6"/>
  <c r="T251" i="6"/>
  <c r="T252" i="6"/>
  <c r="T253" i="6"/>
  <c r="T254" i="6"/>
  <c r="T255" i="6"/>
  <c r="T256" i="6"/>
  <c r="T257" i="6"/>
  <c r="T258" i="6"/>
  <c r="T259" i="6"/>
  <c r="T260" i="6"/>
  <c r="T261" i="6"/>
  <c r="T262" i="6"/>
  <c r="T263" i="6"/>
  <c r="T264" i="6"/>
  <c r="T265" i="6"/>
  <c r="T266" i="6"/>
  <c r="T267" i="6"/>
  <c r="T268" i="6"/>
  <c r="T269" i="6"/>
  <c r="T270" i="6"/>
  <c r="T271" i="6"/>
  <c r="T272" i="6"/>
  <c r="T273" i="6"/>
  <c r="T274" i="6"/>
  <c r="T275" i="6"/>
  <c r="T276" i="6"/>
  <c r="T277" i="6"/>
  <c r="T278" i="6"/>
  <c r="T279" i="6"/>
  <c r="T280" i="6"/>
  <c r="T281" i="6"/>
  <c r="T282" i="6"/>
  <c r="T283" i="6"/>
  <c r="T284" i="6"/>
  <c r="T285" i="6"/>
  <c r="T286" i="6"/>
  <c r="T287" i="6"/>
  <c r="T288" i="6"/>
  <c r="T289" i="6"/>
  <c r="T290" i="6"/>
  <c r="T291" i="6"/>
  <c r="T292" i="6"/>
  <c r="T293" i="6"/>
  <c r="T294" i="6"/>
  <c r="T295" i="6"/>
  <c r="T296" i="6"/>
  <c r="T297" i="6"/>
  <c r="T298" i="6"/>
  <c r="T299" i="6"/>
  <c r="T300" i="6"/>
  <c r="T301" i="6"/>
  <c r="T302" i="6"/>
  <c r="T303" i="6"/>
  <c r="T304" i="6"/>
  <c r="T305" i="6"/>
  <c r="T306" i="6"/>
  <c r="T307" i="6"/>
  <c r="T308" i="6"/>
  <c r="T309" i="6"/>
  <c r="T310" i="6"/>
  <c r="T311" i="6"/>
  <c r="T312" i="6"/>
  <c r="T313" i="6"/>
  <c r="T314" i="6"/>
  <c r="T315" i="6"/>
  <c r="T316" i="6"/>
  <c r="T317" i="6"/>
  <c r="T318" i="6"/>
  <c r="T319" i="6"/>
  <c r="T320" i="6"/>
  <c r="T321" i="6"/>
  <c r="T322" i="6"/>
  <c r="T323" i="6"/>
  <c r="T324" i="6"/>
  <c r="T325" i="6"/>
  <c r="T326" i="6"/>
  <c r="T327" i="6"/>
  <c r="T328" i="6"/>
  <c r="T329" i="6"/>
  <c r="T330" i="6"/>
  <c r="T331" i="6"/>
  <c r="T332" i="6"/>
  <c r="T333" i="6"/>
  <c r="T334" i="6"/>
  <c r="T335" i="6"/>
  <c r="T336" i="6"/>
  <c r="T337" i="6"/>
  <c r="T338" i="6"/>
  <c r="T339" i="6"/>
  <c r="T340" i="6"/>
  <c r="T341" i="6"/>
  <c r="T342" i="6"/>
  <c r="T343" i="6"/>
  <c r="T344" i="6"/>
  <c r="T345" i="6"/>
  <c r="T346" i="6"/>
  <c r="T347" i="6"/>
  <c r="T348" i="6"/>
  <c r="T349" i="6"/>
  <c r="T350" i="6"/>
  <c r="T351" i="6"/>
  <c r="T352" i="6"/>
  <c r="T353" i="6"/>
  <c r="T354" i="6"/>
  <c r="T355" i="6"/>
  <c r="T356" i="6"/>
  <c r="T357" i="6"/>
  <c r="T358" i="6"/>
  <c r="T359" i="6"/>
  <c r="T360" i="6"/>
  <c r="T361" i="6"/>
  <c r="T362" i="6"/>
  <c r="T363" i="6"/>
  <c r="T364" i="6"/>
  <c r="T365" i="6"/>
  <c r="T366" i="6"/>
  <c r="T367" i="6"/>
  <c r="T368" i="6"/>
  <c r="T369" i="6"/>
  <c r="T370" i="6"/>
  <c r="T371" i="6"/>
  <c r="T372" i="6"/>
  <c r="T373" i="6"/>
  <c r="T374" i="6"/>
  <c r="T375" i="6"/>
  <c r="T376" i="6"/>
  <c r="T377" i="6"/>
  <c r="T378" i="6"/>
  <c r="T379" i="6"/>
  <c r="T380" i="6"/>
  <c r="T381" i="6"/>
  <c r="T382" i="6"/>
  <c r="T383" i="6"/>
  <c r="T384" i="6"/>
  <c r="T385" i="6"/>
  <c r="T386" i="6"/>
  <c r="T387" i="6"/>
  <c r="T388" i="6"/>
  <c r="T389" i="6"/>
  <c r="T390" i="6"/>
  <c r="T391" i="6"/>
  <c r="T392" i="6"/>
  <c r="T393" i="6"/>
  <c r="T394" i="6"/>
  <c r="T395" i="6"/>
  <c r="T396" i="6"/>
  <c r="T397" i="6"/>
  <c r="T398" i="6"/>
  <c r="T399" i="6"/>
  <c r="T400" i="6"/>
  <c r="T401" i="6"/>
  <c r="T402" i="6"/>
  <c r="T403" i="6"/>
  <c r="T404" i="6"/>
  <c r="T405" i="6"/>
  <c r="T406" i="6"/>
  <c r="T407" i="6"/>
  <c r="T408" i="6"/>
  <c r="T409" i="6"/>
  <c r="T410" i="6"/>
  <c r="T411" i="6"/>
  <c r="T412" i="6"/>
  <c r="T413" i="6"/>
  <c r="T414" i="6"/>
  <c r="T415" i="6"/>
  <c r="T416" i="6"/>
  <c r="T417" i="6"/>
  <c r="T418" i="6"/>
  <c r="T419" i="6"/>
  <c r="T420" i="6"/>
  <c r="T421" i="6"/>
  <c r="T422" i="6"/>
  <c r="T423" i="6"/>
  <c r="T424" i="6"/>
  <c r="T425" i="6"/>
  <c r="T426" i="6"/>
  <c r="T427" i="6"/>
  <c r="T428" i="6"/>
  <c r="T429" i="6"/>
  <c r="T430" i="6"/>
  <c r="T431" i="6"/>
  <c r="T432" i="6"/>
  <c r="T433" i="6"/>
  <c r="T434" i="6"/>
  <c r="T435" i="6"/>
  <c r="T436" i="6"/>
  <c r="T437" i="6"/>
  <c r="T438" i="6"/>
  <c r="T439" i="6"/>
  <c r="T440" i="6"/>
  <c r="T441" i="6"/>
  <c r="T442" i="6"/>
  <c r="T443" i="6"/>
  <c r="T444" i="6"/>
  <c r="T445" i="6"/>
  <c r="T446" i="6"/>
  <c r="T447" i="6"/>
  <c r="T448" i="6"/>
  <c r="T449" i="6"/>
  <c r="T450" i="6"/>
  <c r="T451" i="6"/>
  <c r="T452" i="6"/>
  <c r="T453" i="6"/>
  <c r="T454" i="6"/>
  <c r="T455" i="6"/>
  <c r="T456" i="6"/>
  <c r="T457" i="6"/>
  <c r="T458" i="6"/>
  <c r="T459" i="6"/>
  <c r="T460" i="6"/>
  <c r="T461" i="6"/>
  <c r="T462" i="6"/>
  <c r="T463" i="6"/>
  <c r="T464" i="6"/>
  <c r="T465" i="6"/>
  <c r="T466" i="6"/>
  <c r="T467" i="6"/>
  <c r="T468" i="6"/>
  <c r="T469" i="6"/>
  <c r="T470" i="6"/>
  <c r="T471" i="6"/>
  <c r="T472" i="6"/>
  <c r="T473" i="6"/>
  <c r="T474" i="6"/>
  <c r="T475" i="6"/>
  <c r="T476" i="6"/>
  <c r="T477" i="6"/>
  <c r="T478" i="6"/>
  <c r="T479" i="6"/>
  <c r="T480" i="6"/>
  <c r="T481" i="6"/>
  <c r="T482" i="6"/>
  <c r="T483" i="6"/>
  <c r="T484" i="6"/>
  <c r="T485" i="6"/>
  <c r="T486" i="6"/>
  <c r="T487" i="6"/>
  <c r="T488" i="6"/>
  <c r="T489" i="6"/>
  <c r="T490" i="6"/>
  <c r="T491" i="6"/>
  <c r="T492" i="6"/>
  <c r="T493" i="6"/>
  <c r="T494" i="6"/>
  <c r="T495" i="6"/>
  <c r="T496" i="6"/>
  <c r="T497" i="6"/>
  <c r="T498" i="6"/>
  <c r="T499" i="6"/>
  <c r="T500" i="6"/>
  <c r="T501" i="6"/>
  <c r="T502" i="6"/>
  <c r="T503" i="6"/>
  <c r="T504" i="6"/>
  <c r="T505" i="6"/>
  <c r="T506" i="6"/>
  <c r="T507" i="6"/>
  <c r="T508" i="6"/>
  <c r="T509" i="6"/>
  <c r="T510" i="6"/>
  <c r="T511" i="6"/>
  <c r="T512" i="6"/>
  <c r="T513" i="6"/>
  <c r="T514" i="6"/>
  <c r="T515" i="6"/>
  <c r="T516" i="6"/>
  <c r="T517" i="6"/>
  <c r="T518" i="6"/>
  <c r="T519" i="6"/>
  <c r="T520" i="6"/>
  <c r="T521" i="6"/>
  <c r="T522" i="6"/>
  <c r="T523" i="6"/>
  <c r="T524" i="6"/>
  <c r="T525" i="6"/>
  <c r="T526" i="6"/>
  <c r="T527" i="6"/>
  <c r="T528" i="6"/>
  <c r="T529" i="6"/>
  <c r="T530" i="6"/>
  <c r="T531" i="6"/>
  <c r="T532" i="6"/>
  <c r="T533" i="6"/>
  <c r="T534" i="6"/>
  <c r="T535" i="6"/>
  <c r="T536" i="6"/>
  <c r="T537" i="6"/>
  <c r="T538" i="6"/>
  <c r="T539" i="6"/>
  <c r="T540" i="6"/>
  <c r="T541" i="6"/>
  <c r="T542" i="6"/>
  <c r="T543" i="6"/>
  <c r="T544" i="6"/>
  <c r="T545" i="6"/>
  <c r="T546" i="6"/>
  <c r="T547" i="6"/>
  <c r="T548" i="6"/>
  <c r="T549" i="6"/>
  <c r="T550" i="6"/>
  <c r="T551" i="6"/>
  <c r="T552" i="6"/>
  <c r="T553" i="6"/>
  <c r="T554" i="6"/>
  <c r="T555" i="6"/>
  <c r="T556" i="6"/>
  <c r="T557" i="6"/>
  <c r="T558" i="6"/>
  <c r="T559" i="6"/>
  <c r="T560" i="6"/>
  <c r="T561" i="6"/>
  <c r="T562" i="6"/>
  <c r="T563" i="6"/>
  <c r="T564" i="6"/>
  <c r="T565" i="6"/>
  <c r="T566" i="6"/>
  <c r="T567" i="6"/>
  <c r="T568" i="6"/>
  <c r="T569" i="6"/>
  <c r="T570" i="6"/>
  <c r="T571" i="6"/>
  <c r="T572" i="6"/>
  <c r="T573" i="6"/>
  <c r="T574" i="6"/>
  <c r="T575" i="6"/>
  <c r="T576" i="6"/>
  <c r="T577" i="6"/>
  <c r="T578" i="6"/>
  <c r="T579" i="6"/>
  <c r="T580" i="6"/>
  <c r="T581" i="6"/>
  <c r="T582" i="6"/>
  <c r="T583" i="6"/>
  <c r="T584" i="6"/>
  <c r="T585" i="6"/>
  <c r="T586" i="6"/>
  <c r="T587" i="6"/>
  <c r="T588" i="6"/>
  <c r="T589" i="6"/>
  <c r="T590" i="6"/>
  <c r="T591" i="6"/>
  <c r="T592" i="6"/>
  <c r="T593" i="6"/>
  <c r="T594" i="6"/>
  <c r="T595" i="6"/>
  <c r="T596" i="6"/>
  <c r="T597" i="6"/>
  <c r="T598" i="6"/>
  <c r="T599" i="6"/>
  <c r="T600" i="6"/>
  <c r="T601" i="6"/>
  <c r="T602" i="6"/>
  <c r="T603" i="6"/>
  <c r="T604" i="6"/>
  <c r="T605" i="6"/>
  <c r="T606" i="6"/>
  <c r="T607" i="6"/>
  <c r="T608" i="6"/>
  <c r="T609" i="6"/>
  <c r="T610" i="6"/>
  <c r="T611" i="6"/>
  <c r="T612" i="6"/>
  <c r="T613" i="6"/>
  <c r="T614" i="6"/>
  <c r="T615" i="6"/>
  <c r="T616" i="6"/>
  <c r="T617" i="6"/>
  <c r="T618" i="6"/>
  <c r="T619" i="6"/>
  <c r="T620" i="6"/>
  <c r="T621" i="6"/>
  <c r="T622" i="6"/>
  <c r="T623" i="6"/>
  <c r="T624" i="6"/>
  <c r="T625" i="6"/>
  <c r="T626" i="6"/>
  <c r="T627" i="6"/>
  <c r="T628" i="6"/>
  <c r="T629" i="6"/>
  <c r="T630" i="6"/>
  <c r="T631" i="6"/>
  <c r="T632" i="6"/>
  <c r="T633" i="6"/>
  <c r="T634" i="6"/>
  <c r="T635" i="6"/>
  <c r="T636" i="6"/>
  <c r="T637" i="6"/>
  <c r="T638" i="6"/>
  <c r="T639" i="6"/>
  <c r="T640" i="6"/>
  <c r="T641" i="6"/>
  <c r="T642" i="6"/>
  <c r="T643" i="6"/>
  <c r="T644" i="6"/>
  <c r="T645" i="6"/>
  <c r="T646" i="6"/>
  <c r="T647" i="6"/>
  <c r="T648" i="6"/>
  <c r="T649" i="6"/>
  <c r="T650" i="6"/>
  <c r="T651" i="6"/>
  <c r="T652" i="6"/>
  <c r="T653" i="6"/>
  <c r="T654" i="6"/>
  <c r="T655" i="6"/>
  <c r="T656" i="6"/>
  <c r="T657" i="6"/>
  <c r="T658" i="6"/>
  <c r="T659" i="6"/>
  <c r="T660" i="6"/>
  <c r="T661" i="6"/>
  <c r="T662" i="6"/>
  <c r="T663" i="6"/>
  <c r="T664" i="6"/>
  <c r="T665" i="6"/>
  <c r="T666" i="6"/>
  <c r="T667" i="6"/>
  <c r="T668" i="6"/>
  <c r="T669" i="6"/>
  <c r="T670" i="6"/>
  <c r="T671" i="6"/>
  <c r="T672" i="6"/>
  <c r="T673" i="6"/>
  <c r="T674" i="6"/>
  <c r="T675" i="6"/>
  <c r="T676" i="6"/>
  <c r="T677" i="6"/>
  <c r="T678" i="6"/>
  <c r="T679" i="6"/>
  <c r="T680" i="6"/>
  <c r="T681" i="6"/>
  <c r="T682" i="6"/>
  <c r="T683" i="6"/>
  <c r="T684" i="6"/>
  <c r="T685" i="6"/>
  <c r="T686" i="6"/>
  <c r="T687" i="6"/>
  <c r="T688" i="6"/>
  <c r="T689" i="6"/>
  <c r="T690" i="6"/>
  <c r="T691" i="6"/>
  <c r="T692" i="6"/>
  <c r="T693" i="6"/>
  <c r="T694" i="6"/>
  <c r="T695" i="6"/>
  <c r="T696" i="6"/>
  <c r="T697" i="6"/>
  <c r="T698" i="6"/>
  <c r="T699" i="6"/>
  <c r="T700" i="6"/>
  <c r="T701" i="6"/>
  <c r="T702" i="6"/>
  <c r="T703" i="6"/>
  <c r="T704" i="6"/>
  <c r="T705" i="6"/>
  <c r="T706" i="6"/>
  <c r="T707" i="6"/>
  <c r="T708" i="6"/>
  <c r="T709" i="6"/>
  <c r="T710" i="6"/>
  <c r="T711" i="6"/>
  <c r="T712" i="6"/>
  <c r="T713" i="6"/>
  <c r="T714" i="6"/>
  <c r="T715" i="6"/>
  <c r="T716" i="6"/>
  <c r="T717" i="6"/>
  <c r="T718" i="6"/>
  <c r="T719" i="6"/>
  <c r="T720" i="6"/>
  <c r="T721" i="6"/>
  <c r="T722" i="6"/>
  <c r="T723" i="6"/>
  <c r="T724" i="6"/>
  <c r="T725" i="6"/>
  <c r="T726" i="6"/>
  <c r="T727" i="6"/>
  <c r="T728" i="6"/>
  <c r="T729" i="6"/>
  <c r="T730" i="6"/>
  <c r="T731" i="6"/>
  <c r="T732" i="6"/>
  <c r="T733" i="6"/>
  <c r="T734" i="6"/>
  <c r="T735" i="6"/>
  <c r="T736" i="6"/>
  <c r="T737" i="6"/>
  <c r="T738" i="6"/>
  <c r="T739" i="6"/>
  <c r="T740" i="6"/>
  <c r="T741" i="6"/>
  <c r="T742" i="6"/>
  <c r="T743" i="6"/>
  <c r="T744" i="6"/>
  <c r="T745" i="6"/>
  <c r="T746" i="6"/>
  <c r="T747" i="6"/>
  <c r="T748" i="6"/>
  <c r="T749" i="6"/>
  <c r="T750" i="6"/>
  <c r="T751" i="6"/>
  <c r="T752" i="6"/>
  <c r="T753" i="6"/>
  <c r="T754" i="6"/>
  <c r="T755" i="6"/>
  <c r="T756" i="6"/>
  <c r="T757" i="6"/>
  <c r="T758" i="6"/>
  <c r="T759" i="6"/>
  <c r="T760" i="6"/>
  <c r="T761" i="6"/>
  <c r="T762" i="6"/>
  <c r="T763" i="6"/>
  <c r="T764" i="6"/>
  <c r="T765" i="6"/>
  <c r="T766" i="6"/>
  <c r="T767" i="6"/>
  <c r="T768" i="6"/>
  <c r="T769" i="6"/>
  <c r="T770" i="6"/>
  <c r="T771" i="6"/>
  <c r="T772" i="6"/>
  <c r="T773" i="6"/>
  <c r="T774" i="6"/>
  <c r="T775" i="6"/>
  <c r="T776" i="6"/>
  <c r="T777" i="6"/>
  <c r="T778" i="6"/>
  <c r="T779" i="6"/>
  <c r="T780" i="6"/>
  <c r="T781" i="6"/>
  <c r="T782" i="6"/>
  <c r="T783" i="6"/>
  <c r="T784" i="6"/>
  <c r="T785" i="6"/>
  <c r="T786" i="6"/>
  <c r="T787" i="6"/>
  <c r="T788" i="6"/>
  <c r="T789" i="6"/>
  <c r="T790" i="6"/>
  <c r="T791" i="6"/>
  <c r="S3" i="6"/>
  <c r="S4" i="6"/>
  <c r="S5" i="6"/>
  <c r="S6" i="6"/>
  <c r="S7" i="6"/>
  <c r="S8" i="6"/>
  <c r="S9" i="6"/>
  <c r="S10" i="6"/>
  <c r="S11" i="6"/>
  <c r="S12" i="6"/>
  <c r="S13" i="6"/>
  <c r="S14" i="6"/>
  <c r="S15" i="6"/>
  <c r="S16" i="6"/>
  <c r="S17" i="6"/>
  <c r="S18" i="6"/>
  <c r="S19" i="6"/>
  <c r="S20" i="6"/>
  <c r="S21" i="6"/>
  <c r="S22" i="6"/>
  <c r="S23" i="6"/>
  <c r="S24" i="6"/>
  <c r="S25" i="6"/>
  <c r="S26" i="6"/>
  <c r="S27" i="6"/>
  <c r="S28" i="6"/>
  <c r="S29" i="6"/>
  <c r="S30" i="6"/>
  <c r="S31" i="6"/>
  <c r="S32" i="6"/>
  <c r="S33" i="6"/>
  <c r="S34" i="6"/>
  <c r="S35" i="6"/>
  <c r="S36" i="6"/>
  <c r="S37" i="6"/>
  <c r="S38" i="6"/>
  <c r="S39" i="6"/>
  <c r="S40" i="6"/>
  <c r="S41" i="6"/>
  <c r="S42" i="6"/>
  <c r="S43" i="6"/>
  <c r="S44" i="6"/>
  <c r="S45" i="6"/>
  <c r="S46" i="6"/>
  <c r="S47" i="6"/>
  <c r="S48" i="6"/>
  <c r="S49" i="6"/>
  <c r="S50" i="6"/>
  <c r="S51" i="6"/>
  <c r="S52" i="6"/>
  <c r="S53" i="6"/>
  <c r="S54" i="6"/>
  <c r="S55" i="6"/>
  <c r="S56" i="6"/>
  <c r="S57" i="6"/>
  <c r="S58" i="6"/>
  <c r="S59" i="6"/>
  <c r="S60" i="6"/>
  <c r="S61" i="6"/>
  <c r="S62" i="6"/>
  <c r="S63" i="6"/>
  <c r="S64" i="6"/>
  <c r="S65" i="6"/>
  <c r="S66" i="6"/>
  <c r="S67" i="6"/>
  <c r="S68" i="6"/>
  <c r="S69" i="6"/>
  <c r="S70" i="6"/>
  <c r="S71" i="6"/>
  <c r="S72" i="6"/>
  <c r="S73" i="6"/>
  <c r="S74" i="6"/>
  <c r="S75" i="6"/>
  <c r="S76" i="6"/>
  <c r="S77" i="6"/>
  <c r="S78" i="6"/>
  <c r="S79" i="6"/>
  <c r="S80" i="6"/>
  <c r="S81" i="6"/>
  <c r="S82" i="6"/>
  <c r="S83" i="6"/>
  <c r="S84" i="6"/>
  <c r="S85" i="6"/>
  <c r="S86" i="6"/>
  <c r="S87" i="6"/>
  <c r="S88" i="6"/>
  <c r="S89" i="6"/>
  <c r="S90" i="6"/>
  <c r="S91" i="6"/>
  <c r="S92" i="6"/>
  <c r="S93" i="6"/>
  <c r="S94" i="6"/>
  <c r="S95" i="6"/>
  <c r="S96" i="6"/>
  <c r="S97" i="6"/>
  <c r="S98" i="6"/>
  <c r="S99" i="6"/>
  <c r="S100" i="6"/>
  <c r="S101" i="6"/>
  <c r="S102" i="6"/>
  <c r="S103" i="6"/>
  <c r="S104" i="6"/>
  <c r="S105" i="6"/>
  <c r="S106" i="6"/>
  <c r="S107" i="6"/>
  <c r="S108" i="6"/>
  <c r="S109" i="6"/>
  <c r="S110" i="6"/>
  <c r="S111" i="6"/>
  <c r="S112" i="6"/>
  <c r="S113" i="6"/>
  <c r="S114" i="6"/>
  <c r="S115" i="6"/>
  <c r="S116" i="6"/>
  <c r="S117" i="6"/>
  <c r="S118" i="6"/>
  <c r="S119" i="6"/>
  <c r="S120" i="6"/>
  <c r="S121" i="6"/>
  <c r="S122" i="6"/>
  <c r="S123" i="6"/>
  <c r="S124" i="6"/>
  <c r="S125" i="6"/>
  <c r="S126" i="6"/>
  <c r="S127" i="6"/>
  <c r="S128" i="6"/>
  <c r="S129" i="6"/>
  <c r="S130" i="6"/>
  <c r="S131" i="6"/>
  <c r="S132" i="6"/>
  <c r="S133" i="6"/>
  <c r="S134" i="6"/>
  <c r="S135" i="6"/>
  <c r="S136" i="6"/>
  <c r="S137" i="6"/>
  <c r="S138" i="6"/>
  <c r="S139" i="6"/>
  <c r="S140" i="6"/>
  <c r="S141" i="6"/>
  <c r="S142" i="6"/>
  <c r="S143" i="6"/>
  <c r="S144" i="6"/>
  <c r="S145" i="6"/>
  <c r="S146" i="6"/>
  <c r="S147" i="6"/>
  <c r="S148" i="6"/>
  <c r="S149" i="6"/>
  <c r="S150" i="6"/>
  <c r="S151" i="6"/>
  <c r="S152" i="6"/>
  <c r="S153" i="6"/>
  <c r="S154" i="6"/>
  <c r="S155" i="6"/>
  <c r="S156" i="6"/>
  <c r="S157" i="6"/>
  <c r="S158" i="6"/>
  <c r="S159" i="6"/>
  <c r="S160" i="6"/>
  <c r="S161" i="6"/>
  <c r="S162" i="6"/>
  <c r="S163" i="6"/>
  <c r="S164" i="6"/>
  <c r="S165" i="6"/>
  <c r="S166" i="6"/>
  <c r="S167" i="6"/>
  <c r="S168" i="6"/>
  <c r="S169" i="6"/>
  <c r="S170" i="6"/>
  <c r="S171" i="6"/>
  <c r="S172" i="6"/>
  <c r="S173" i="6"/>
  <c r="S174" i="6"/>
  <c r="S175" i="6"/>
  <c r="S176" i="6"/>
  <c r="S177" i="6"/>
  <c r="S178" i="6"/>
  <c r="S179" i="6"/>
  <c r="S180" i="6"/>
  <c r="S181" i="6"/>
  <c r="S182" i="6"/>
  <c r="S183" i="6"/>
  <c r="S184" i="6"/>
  <c r="S185" i="6"/>
  <c r="S186" i="6"/>
  <c r="S187" i="6"/>
  <c r="S188" i="6"/>
  <c r="S189" i="6"/>
  <c r="S190" i="6"/>
  <c r="S191" i="6"/>
  <c r="S192" i="6"/>
  <c r="S193" i="6"/>
  <c r="S194" i="6"/>
  <c r="S195" i="6"/>
  <c r="S196" i="6"/>
  <c r="S197" i="6"/>
  <c r="S198" i="6"/>
  <c r="S199" i="6"/>
  <c r="S200" i="6"/>
  <c r="S201" i="6"/>
  <c r="S202" i="6"/>
  <c r="S203" i="6"/>
  <c r="S204" i="6"/>
  <c r="S205" i="6"/>
  <c r="S206" i="6"/>
  <c r="S207" i="6"/>
  <c r="S208" i="6"/>
  <c r="S209" i="6"/>
  <c r="S210" i="6"/>
  <c r="S211" i="6"/>
  <c r="S212" i="6"/>
  <c r="S213" i="6"/>
  <c r="S214" i="6"/>
  <c r="S215" i="6"/>
  <c r="S216" i="6"/>
  <c r="S217" i="6"/>
  <c r="S218" i="6"/>
  <c r="S219" i="6"/>
  <c r="S220" i="6"/>
  <c r="S221" i="6"/>
  <c r="S222" i="6"/>
  <c r="S223" i="6"/>
  <c r="S224" i="6"/>
  <c r="S225" i="6"/>
  <c r="S226" i="6"/>
  <c r="S227" i="6"/>
  <c r="S228" i="6"/>
  <c r="S229" i="6"/>
  <c r="S230" i="6"/>
  <c r="S231" i="6"/>
  <c r="S232" i="6"/>
  <c r="S233" i="6"/>
  <c r="S234" i="6"/>
  <c r="S235" i="6"/>
  <c r="S236" i="6"/>
  <c r="S237" i="6"/>
  <c r="S238" i="6"/>
  <c r="S239" i="6"/>
  <c r="S240" i="6"/>
  <c r="S241" i="6"/>
  <c r="S242" i="6"/>
  <c r="S243" i="6"/>
  <c r="S244" i="6"/>
  <c r="S245" i="6"/>
  <c r="S246" i="6"/>
  <c r="S247" i="6"/>
  <c r="S248" i="6"/>
  <c r="S249" i="6"/>
  <c r="S250" i="6"/>
  <c r="S251" i="6"/>
  <c r="S252" i="6"/>
  <c r="S253" i="6"/>
  <c r="S254" i="6"/>
  <c r="S255" i="6"/>
  <c r="S256" i="6"/>
  <c r="S257" i="6"/>
  <c r="S258" i="6"/>
  <c r="S259" i="6"/>
  <c r="S260" i="6"/>
  <c r="S261" i="6"/>
  <c r="S262" i="6"/>
  <c r="S263" i="6"/>
  <c r="S264" i="6"/>
  <c r="S265" i="6"/>
  <c r="S266" i="6"/>
  <c r="S267" i="6"/>
  <c r="S268" i="6"/>
  <c r="S269" i="6"/>
  <c r="S270" i="6"/>
  <c r="S271" i="6"/>
  <c r="S272" i="6"/>
  <c r="S273" i="6"/>
  <c r="S274" i="6"/>
  <c r="S275" i="6"/>
  <c r="S276" i="6"/>
  <c r="S277" i="6"/>
  <c r="S278" i="6"/>
  <c r="S279" i="6"/>
  <c r="S280" i="6"/>
  <c r="S281" i="6"/>
  <c r="S282" i="6"/>
  <c r="S283" i="6"/>
  <c r="S284" i="6"/>
  <c r="S285" i="6"/>
  <c r="S286" i="6"/>
  <c r="S287" i="6"/>
  <c r="S288" i="6"/>
  <c r="S289" i="6"/>
  <c r="S290" i="6"/>
  <c r="S291" i="6"/>
  <c r="S292" i="6"/>
  <c r="S293" i="6"/>
  <c r="S294" i="6"/>
  <c r="S295" i="6"/>
  <c r="S296" i="6"/>
  <c r="S297" i="6"/>
  <c r="S298" i="6"/>
  <c r="S299" i="6"/>
  <c r="S300" i="6"/>
  <c r="S301" i="6"/>
  <c r="S302" i="6"/>
  <c r="S303" i="6"/>
  <c r="S304" i="6"/>
  <c r="S305" i="6"/>
  <c r="S306" i="6"/>
  <c r="S307" i="6"/>
  <c r="S308" i="6"/>
  <c r="S309" i="6"/>
  <c r="S310" i="6"/>
  <c r="S311" i="6"/>
  <c r="S312" i="6"/>
  <c r="S313" i="6"/>
  <c r="S314" i="6"/>
  <c r="S315" i="6"/>
  <c r="S316" i="6"/>
  <c r="S317" i="6"/>
  <c r="S318" i="6"/>
  <c r="S319" i="6"/>
  <c r="S320" i="6"/>
  <c r="S321" i="6"/>
  <c r="S322" i="6"/>
  <c r="S323" i="6"/>
  <c r="S324" i="6"/>
  <c r="S325" i="6"/>
  <c r="S326" i="6"/>
  <c r="S327" i="6"/>
  <c r="S328" i="6"/>
  <c r="S329" i="6"/>
  <c r="S330" i="6"/>
  <c r="S331" i="6"/>
  <c r="S332" i="6"/>
  <c r="S333" i="6"/>
  <c r="S334" i="6"/>
  <c r="S335" i="6"/>
  <c r="S336" i="6"/>
  <c r="S337" i="6"/>
  <c r="S338" i="6"/>
  <c r="S339" i="6"/>
  <c r="S340" i="6"/>
  <c r="S341" i="6"/>
  <c r="S342" i="6"/>
  <c r="S343" i="6"/>
  <c r="S344" i="6"/>
  <c r="S345" i="6"/>
  <c r="S346" i="6"/>
  <c r="S347" i="6"/>
  <c r="S348" i="6"/>
  <c r="S349" i="6"/>
  <c r="S350" i="6"/>
  <c r="S351" i="6"/>
  <c r="S352" i="6"/>
  <c r="S353" i="6"/>
  <c r="S354" i="6"/>
  <c r="S355" i="6"/>
  <c r="S356" i="6"/>
  <c r="S357" i="6"/>
  <c r="S358" i="6"/>
  <c r="S359" i="6"/>
  <c r="S360" i="6"/>
  <c r="S361" i="6"/>
  <c r="S362" i="6"/>
  <c r="S363" i="6"/>
  <c r="S364" i="6"/>
  <c r="S365" i="6"/>
  <c r="S366" i="6"/>
  <c r="S367" i="6"/>
  <c r="S368" i="6"/>
  <c r="S369" i="6"/>
  <c r="S370" i="6"/>
  <c r="S371" i="6"/>
  <c r="S372" i="6"/>
  <c r="S373" i="6"/>
  <c r="S374" i="6"/>
  <c r="S375" i="6"/>
  <c r="S376" i="6"/>
  <c r="S377" i="6"/>
  <c r="S378" i="6"/>
  <c r="S379" i="6"/>
  <c r="S380" i="6"/>
  <c r="S381" i="6"/>
  <c r="S382" i="6"/>
  <c r="S383" i="6"/>
  <c r="S384" i="6"/>
  <c r="S385" i="6"/>
  <c r="S386" i="6"/>
  <c r="S387" i="6"/>
  <c r="S388" i="6"/>
  <c r="S389" i="6"/>
  <c r="S390" i="6"/>
  <c r="S391" i="6"/>
  <c r="S392" i="6"/>
  <c r="S393" i="6"/>
  <c r="S394" i="6"/>
  <c r="S395" i="6"/>
  <c r="S396" i="6"/>
  <c r="S397" i="6"/>
  <c r="S398" i="6"/>
  <c r="S399" i="6"/>
  <c r="S400" i="6"/>
  <c r="S401" i="6"/>
  <c r="S402" i="6"/>
  <c r="S403" i="6"/>
  <c r="S404" i="6"/>
  <c r="S405" i="6"/>
  <c r="S406" i="6"/>
  <c r="S407" i="6"/>
  <c r="S408" i="6"/>
  <c r="S409" i="6"/>
  <c r="S410" i="6"/>
  <c r="S411" i="6"/>
  <c r="S412" i="6"/>
  <c r="S413" i="6"/>
  <c r="S414" i="6"/>
  <c r="S415" i="6"/>
  <c r="S416" i="6"/>
  <c r="S417" i="6"/>
  <c r="S418" i="6"/>
  <c r="S419" i="6"/>
  <c r="S420" i="6"/>
  <c r="S421" i="6"/>
  <c r="S422" i="6"/>
  <c r="S423" i="6"/>
  <c r="S424" i="6"/>
  <c r="S425" i="6"/>
  <c r="S426" i="6"/>
  <c r="S427" i="6"/>
  <c r="S428" i="6"/>
  <c r="S429" i="6"/>
  <c r="S430" i="6"/>
  <c r="S431" i="6"/>
  <c r="S432" i="6"/>
  <c r="S433" i="6"/>
  <c r="S434" i="6"/>
  <c r="S435" i="6"/>
  <c r="S436" i="6"/>
  <c r="S437" i="6"/>
  <c r="S438" i="6"/>
  <c r="S439" i="6"/>
  <c r="S440" i="6"/>
  <c r="S441" i="6"/>
  <c r="S442" i="6"/>
  <c r="S443" i="6"/>
  <c r="S444" i="6"/>
  <c r="S445" i="6"/>
  <c r="S446" i="6"/>
  <c r="S447" i="6"/>
  <c r="S448" i="6"/>
  <c r="S449" i="6"/>
  <c r="S450" i="6"/>
  <c r="S451" i="6"/>
  <c r="S452" i="6"/>
  <c r="S453" i="6"/>
  <c r="S454" i="6"/>
  <c r="S455" i="6"/>
  <c r="S456" i="6"/>
  <c r="S457" i="6"/>
  <c r="S458" i="6"/>
  <c r="S459" i="6"/>
  <c r="S460" i="6"/>
  <c r="S461" i="6"/>
  <c r="S462" i="6"/>
  <c r="S463" i="6"/>
  <c r="S464" i="6"/>
  <c r="S465" i="6"/>
  <c r="S466" i="6"/>
  <c r="S467" i="6"/>
  <c r="S468" i="6"/>
  <c r="S469" i="6"/>
  <c r="S470" i="6"/>
  <c r="S471" i="6"/>
  <c r="S472" i="6"/>
  <c r="S473" i="6"/>
  <c r="S474" i="6"/>
  <c r="S475" i="6"/>
  <c r="S476" i="6"/>
  <c r="S477" i="6"/>
  <c r="S478" i="6"/>
  <c r="S479" i="6"/>
  <c r="S480" i="6"/>
  <c r="S481" i="6"/>
  <c r="S482" i="6"/>
  <c r="S483" i="6"/>
  <c r="S484" i="6"/>
  <c r="S485" i="6"/>
  <c r="S486" i="6"/>
  <c r="S487" i="6"/>
  <c r="S488" i="6"/>
  <c r="S489" i="6"/>
  <c r="S490" i="6"/>
  <c r="S491" i="6"/>
  <c r="S492" i="6"/>
  <c r="S493" i="6"/>
  <c r="S494" i="6"/>
  <c r="S495" i="6"/>
  <c r="S496" i="6"/>
  <c r="S497" i="6"/>
  <c r="S498" i="6"/>
  <c r="S499" i="6"/>
  <c r="S500" i="6"/>
  <c r="S501" i="6"/>
  <c r="S502" i="6"/>
  <c r="S503" i="6"/>
  <c r="S504" i="6"/>
  <c r="S505" i="6"/>
  <c r="S506" i="6"/>
  <c r="S507" i="6"/>
  <c r="S508" i="6"/>
  <c r="S509" i="6"/>
  <c r="S510" i="6"/>
  <c r="S511" i="6"/>
  <c r="S512" i="6"/>
  <c r="S513" i="6"/>
  <c r="S514" i="6"/>
  <c r="S515" i="6"/>
  <c r="S516" i="6"/>
  <c r="S517" i="6"/>
  <c r="S518" i="6"/>
  <c r="S519" i="6"/>
  <c r="S520" i="6"/>
  <c r="S521" i="6"/>
  <c r="S522" i="6"/>
  <c r="S523" i="6"/>
  <c r="S524" i="6"/>
  <c r="S525" i="6"/>
  <c r="S526" i="6"/>
  <c r="S527" i="6"/>
  <c r="S528" i="6"/>
  <c r="S529" i="6"/>
  <c r="S530" i="6"/>
  <c r="S531" i="6"/>
  <c r="S532" i="6"/>
  <c r="S533" i="6"/>
  <c r="S534" i="6"/>
  <c r="S535" i="6"/>
  <c r="S536" i="6"/>
  <c r="S537" i="6"/>
  <c r="S538" i="6"/>
  <c r="S539" i="6"/>
  <c r="S540" i="6"/>
  <c r="S541" i="6"/>
  <c r="S542" i="6"/>
  <c r="S543" i="6"/>
  <c r="S544" i="6"/>
  <c r="S545" i="6"/>
  <c r="S546" i="6"/>
  <c r="S547" i="6"/>
  <c r="S548" i="6"/>
  <c r="S549" i="6"/>
  <c r="S550" i="6"/>
  <c r="S551" i="6"/>
  <c r="S552" i="6"/>
  <c r="S553" i="6"/>
  <c r="S554" i="6"/>
  <c r="S555" i="6"/>
  <c r="S556" i="6"/>
  <c r="S557" i="6"/>
  <c r="S558" i="6"/>
  <c r="S559" i="6"/>
  <c r="S560" i="6"/>
  <c r="S561" i="6"/>
  <c r="S562" i="6"/>
  <c r="S563" i="6"/>
  <c r="S564" i="6"/>
  <c r="S565" i="6"/>
  <c r="S566" i="6"/>
  <c r="S567" i="6"/>
  <c r="S568" i="6"/>
  <c r="S569" i="6"/>
  <c r="S570" i="6"/>
  <c r="S571" i="6"/>
  <c r="S572" i="6"/>
  <c r="S573" i="6"/>
  <c r="S574" i="6"/>
  <c r="S575" i="6"/>
  <c r="S576" i="6"/>
  <c r="S577" i="6"/>
  <c r="S578" i="6"/>
  <c r="S579" i="6"/>
  <c r="S580" i="6"/>
  <c r="S581" i="6"/>
  <c r="S582" i="6"/>
  <c r="S583" i="6"/>
  <c r="S584" i="6"/>
  <c r="S585" i="6"/>
  <c r="S586" i="6"/>
  <c r="S587" i="6"/>
  <c r="S588" i="6"/>
  <c r="S589" i="6"/>
  <c r="S590" i="6"/>
  <c r="S591" i="6"/>
  <c r="S592" i="6"/>
  <c r="S593" i="6"/>
  <c r="S594" i="6"/>
  <c r="S595" i="6"/>
  <c r="S596" i="6"/>
  <c r="S597" i="6"/>
  <c r="S598" i="6"/>
  <c r="S599" i="6"/>
  <c r="S600" i="6"/>
  <c r="S601" i="6"/>
  <c r="S602" i="6"/>
  <c r="S603" i="6"/>
  <c r="S604" i="6"/>
  <c r="S605" i="6"/>
  <c r="S606" i="6"/>
  <c r="S607" i="6"/>
  <c r="S608" i="6"/>
  <c r="S609" i="6"/>
  <c r="S610" i="6"/>
  <c r="S611" i="6"/>
  <c r="S612" i="6"/>
  <c r="S613" i="6"/>
  <c r="S614" i="6"/>
  <c r="S615" i="6"/>
  <c r="S616" i="6"/>
  <c r="S617" i="6"/>
  <c r="S618" i="6"/>
  <c r="S619" i="6"/>
  <c r="S620" i="6"/>
  <c r="S621" i="6"/>
  <c r="S622" i="6"/>
  <c r="S623" i="6"/>
  <c r="S624" i="6"/>
  <c r="S625" i="6"/>
  <c r="S626" i="6"/>
  <c r="S627" i="6"/>
  <c r="S628" i="6"/>
  <c r="S629" i="6"/>
  <c r="S630" i="6"/>
  <c r="S631" i="6"/>
  <c r="S632" i="6"/>
  <c r="S633" i="6"/>
  <c r="S634" i="6"/>
  <c r="S635" i="6"/>
  <c r="S636" i="6"/>
  <c r="S637" i="6"/>
  <c r="S638" i="6"/>
  <c r="S639" i="6"/>
  <c r="S640" i="6"/>
  <c r="S641" i="6"/>
  <c r="S642" i="6"/>
  <c r="S643" i="6"/>
  <c r="S644" i="6"/>
  <c r="S645" i="6"/>
  <c r="S646" i="6"/>
  <c r="S647" i="6"/>
  <c r="S648" i="6"/>
  <c r="S649" i="6"/>
  <c r="S650" i="6"/>
  <c r="S651" i="6"/>
  <c r="S652" i="6"/>
  <c r="S653" i="6"/>
  <c r="S654" i="6"/>
  <c r="S655" i="6"/>
  <c r="S656" i="6"/>
  <c r="S657" i="6"/>
  <c r="S658" i="6"/>
  <c r="S659" i="6"/>
  <c r="S660" i="6"/>
  <c r="S661" i="6"/>
  <c r="S662" i="6"/>
  <c r="S663" i="6"/>
  <c r="S664" i="6"/>
  <c r="S665" i="6"/>
  <c r="S666" i="6"/>
  <c r="S667" i="6"/>
  <c r="S668" i="6"/>
  <c r="S669" i="6"/>
  <c r="S670" i="6"/>
  <c r="S671" i="6"/>
  <c r="S672" i="6"/>
  <c r="S673" i="6"/>
  <c r="S674" i="6"/>
  <c r="S675" i="6"/>
  <c r="S676" i="6"/>
  <c r="S677" i="6"/>
  <c r="S678" i="6"/>
  <c r="S679" i="6"/>
  <c r="S680" i="6"/>
  <c r="S681" i="6"/>
  <c r="S682" i="6"/>
  <c r="S683" i="6"/>
  <c r="S684" i="6"/>
  <c r="S685" i="6"/>
  <c r="S686" i="6"/>
  <c r="S687" i="6"/>
  <c r="S688" i="6"/>
  <c r="S689" i="6"/>
  <c r="S690" i="6"/>
  <c r="S691" i="6"/>
  <c r="S692" i="6"/>
  <c r="S693" i="6"/>
  <c r="S694" i="6"/>
  <c r="S695" i="6"/>
  <c r="S696" i="6"/>
  <c r="S697" i="6"/>
  <c r="S698" i="6"/>
  <c r="S699" i="6"/>
  <c r="S700" i="6"/>
  <c r="S701" i="6"/>
  <c r="S702" i="6"/>
  <c r="S703" i="6"/>
  <c r="S704" i="6"/>
  <c r="S705" i="6"/>
  <c r="S706" i="6"/>
  <c r="S707" i="6"/>
  <c r="S708" i="6"/>
  <c r="S709" i="6"/>
  <c r="S710" i="6"/>
  <c r="S711" i="6"/>
  <c r="S712" i="6"/>
  <c r="S713" i="6"/>
  <c r="S714" i="6"/>
  <c r="S715" i="6"/>
  <c r="S716" i="6"/>
  <c r="S717" i="6"/>
  <c r="S718" i="6"/>
  <c r="S719" i="6"/>
  <c r="S720" i="6"/>
  <c r="S721" i="6"/>
  <c r="S722" i="6"/>
  <c r="S723" i="6"/>
  <c r="S724" i="6"/>
  <c r="S725" i="6"/>
  <c r="S726" i="6"/>
  <c r="S727" i="6"/>
  <c r="S728" i="6"/>
  <c r="S729" i="6"/>
  <c r="S730" i="6"/>
  <c r="S731" i="6"/>
  <c r="S732" i="6"/>
  <c r="S733" i="6"/>
  <c r="S734" i="6"/>
  <c r="S735" i="6"/>
  <c r="S736" i="6"/>
  <c r="S737" i="6"/>
  <c r="S738" i="6"/>
  <c r="S739" i="6"/>
  <c r="S740" i="6"/>
  <c r="S741" i="6"/>
  <c r="S742" i="6"/>
  <c r="S743" i="6"/>
  <c r="S744" i="6"/>
  <c r="S745" i="6"/>
  <c r="S746" i="6"/>
  <c r="S747" i="6"/>
  <c r="S748" i="6"/>
  <c r="S749" i="6"/>
  <c r="S750" i="6"/>
  <c r="S751" i="6"/>
  <c r="S752" i="6"/>
  <c r="S753" i="6"/>
  <c r="S754" i="6"/>
  <c r="S755" i="6"/>
  <c r="S756" i="6"/>
  <c r="S757" i="6"/>
  <c r="S758" i="6"/>
  <c r="S759" i="6"/>
  <c r="S760" i="6"/>
  <c r="S761" i="6"/>
  <c r="S762" i="6"/>
  <c r="S763" i="6"/>
  <c r="S764" i="6"/>
  <c r="S765" i="6"/>
  <c r="S766" i="6"/>
  <c r="S767" i="6"/>
  <c r="S768" i="6"/>
  <c r="S769" i="6"/>
  <c r="S770" i="6"/>
  <c r="S771" i="6"/>
  <c r="S772" i="6"/>
  <c r="S773" i="6"/>
  <c r="S774" i="6"/>
  <c r="S775" i="6"/>
  <c r="S776" i="6"/>
  <c r="S777" i="6"/>
  <c r="S778" i="6"/>
  <c r="S779" i="6"/>
  <c r="S780" i="6"/>
  <c r="S781" i="6"/>
  <c r="S782" i="6"/>
  <c r="S783" i="6"/>
  <c r="S784" i="6"/>
  <c r="S785" i="6"/>
  <c r="S786" i="6"/>
  <c r="S787" i="6"/>
  <c r="S788" i="6"/>
  <c r="S789" i="6"/>
  <c r="S790" i="6"/>
  <c r="S791" i="6"/>
  <c r="R3" i="6"/>
  <c r="R4" i="6"/>
  <c r="R5" i="6"/>
  <c r="R6" i="6"/>
  <c r="R7" i="6"/>
  <c r="R8" i="6"/>
  <c r="R9" i="6"/>
  <c r="R10" i="6"/>
  <c r="R11" i="6"/>
  <c r="R12" i="6"/>
  <c r="R13" i="6"/>
  <c r="R14" i="6"/>
  <c r="R15" i="6"/>
  <c r="R16" i="6"/>
  <c r="R17" i="6"/>
  <c r="R18" i="6"/>
  <c r="R19" i="6"/>
  <c r="R20" i="6"/>
  <c r="R21" i="6"/>
  <c r="R22" i="6"/>
  <c r="R23" i="6"/>
  <c r="R24" i="6"/>
  <c r="R25" i="6"/>
  <c r="R26" i="6"/>
  <c r="R27" i="6"/>
  <c r="R28" i="6"/>
  <c r="R29" i="6"/>
  <c r="R30" i="6"/>
  <c r="R31" i="6"/>
  <c r="R32" i="6"/>
  <c r="R33" i="6"/>
  <c r="R34" i="6"/>
  <c r="R35" i="6"/>
  <c r="R36" i="6"/>
  <c r="R37" i="6"/>
  <c r="R38" i="6"/>
  <c r="R39" i="6"/>
  <c r="R40" i="6"/>
  <c r="R41" i="6"/>
  <c r="R42" i="6"/>
  <c r="R43" i="6"/>
  <c r="R44" i="6"/>
  <c r="R45" i="6"/>
  <c r="R46" i="6"/>
  <c r="R47" i="6"/>
  <c r="R48" i="6"/>
  <c r="R49" i="6"/>
  <c r="R50" i="6"/>
  <c r="R51" i="6"/>
  <c r="R52" i="6"/>
  <c r="R53" i="6"/>
  <c r="R54" i="6"/>
  <c r="R55" i="6"/>
  <c r="R56" i="6"/>
  <c r="R57" i="6"/>
  <c r="R58" i="6"/>
  <c r="R59" i="6"/>
  <c r="R60" i="6"/>
  <c r="R61" i="6"/>
  <c r="R62" i="6"/>
  <c r="R63" i="6"/>
  <c r="R64" i="6"/>
  <c r="R65" i="6"/>
  <c r="R66" i="6"/>
  <c r="R67" i="6"/>
  <c r="R68" i="6"/>
  <c r="R69" i="6"/>
  <c r="R70" i="6"/>
  <c r="R71" i="6"/>
  <c r="R72" i="6"/>
  <c r="R73" i="6"/>
  <c r="R74" i="6"/>
  <c r="R75" i="6"/>
  <c r="R76" i="6"/>
  <c r="R77" i="6"/>
  <c r="R78" i="6"/>
  <c r="R79" i="6"/>
  <c r="R80" i="6"/>
  <c r="R81" i="6"/>
  <c r="R82" i="6"/>
  <c r="R83" i="6"/>
  <c r="R84" i="6"/>
  <c r="R85" i="6"/>
  <c r="R86" i="6"/>
  <c r="R87" i="6"/>
  <c r="R88" i="6"/>
  <c r="R89" i="6"/>
  <c r="R90" i="6"/>
  <c r="R91" i="6"/>
  <c r="R92" i="6"/>
  <c r="R93" i="6"/>
  <c r="R94" i="6"/>
  <c r="R95" i="6"/>
  <c r="R96" i="6"/>
  <c r="R97" i="6"/>
  <c r="R98" i="6"/>
  <c r="R99" i="6"/>
  <c r="R100" i="6"/>
  <c r="R101" i="6"/>
  <c r="R102" i="6"/>
  <c r="R103" i="6"/>
  <c r="R104" i="6"/>
  <c r="R105" i="6"/>
  <c r="R106" i="6"/>
  <c r="R107" i="6"/>
  <c r="R108" i="6"/>
  <c r="R109" i="6"/>
  <c r="R110" i="6"/>
  <c r="R111" i="6"/>
  <c r="R112" i="6"/>
  <c r="R113" i="6"/>
  <c r="R114" i="6"/>
  <c r="R115" i="6"/>
  <c r="R116" i="6"/>
  <c r="R117" i="6"/>
  <c r="R118" i="6"/>
  <c r="R119" i="6"/>
  <c r="R120" i="6"/>
  <c r="R121" i="6"/>
  <c r="R122" i="6"/>
  <c r="R123" i="6"/>
  <c r="R124" i="6"/>
  <c r="R125" i="6"/>
  <c r="R126" i="6"/>
  <c r="R127" i="6"/>
  <c r="R128" i="6"/>
  <c r="R129" i="6"/>
  <c r="R130" i="6"/>
  <c r="R131" i="6"/>
  <c r="R132" i="6"/>
  <c r="R133" i="6"/>
  <c r="R134" i="6"/>
  <c r="R135" i="6"/>
  <c r="R136" i="6"/>
  <c r="R137" i="6"/>
  <c r="R138" i="6"/>
  <c r="R139" i="6"/>
  <c r="R140" i="6"/>
  <c r="R141" i="6"/>
  <c r="R142" i="6"/>
  <c r="R143" i="6"/>
  <c r="R144" i="6"/>
  <c r="R145" i="6"/>
  <c r="R146" i="6"/>
  <c r="R147" i="6"/>
  <c r="R148" i="6"/>
  <c r="R149" i="6"/>
  <c r="R150" i="6"/>
  <c r="R151" i="6"/>
  <c r="R152" i="6"/>
  <c r="R153" i="6"/>
  <c r="R154" i="6"/>
  <c r="R155" i="6"/>
  <c r="R156" i="6"/>
  <c r="R157" i="6"/>
  <c r="R158" i="6"/>
  <c r="R159" i="6"/>
  <c r="R160" i="6"/>
  <c r="R161" i="6"/>
  <c r="R162" i="6"/>
  <c r="R163" i="6"/>
  <c r="R164" i="6"/>
  <c r="R165" i="6"/>
  <c r="R166" i="6"/>
  <c r="R167" i="6"/>
  <c r="R168" i="6"/>
  <c r="R169" i="6"/>
  <c r="R170" i="6"/>
  <c r="R171" i="6"/>
  <c r="R172" i="6"/>
  <c r="R173" i="6"/>
  <c r="R174" i="6"/>
  <c r="R175" i="6"/>
  <c r="R176" i="6"/>
  <c r="R177" i="6"/>
  <c r="R178" i="6"/>
  <c r="R179" i="6"/>
  <c r="R180" i="6"/>
  <c r="R181" i="6"/>
  <c r="R182" i="6"/>
  <c r="R183" i="6"/>
  <c r="R184" i="6"/>
  <c r="R185" i="6"/>
  <c r="R186" i="6"/>
  <c r="R187" i="6"/>
  <c r="R188" i="6"/>
  <c r="R189" i="6"/>
  <c r="R190" i="6"/>
  <c r="R191" i="6"/>
  <c r="R192" i="6"/>
  <c r="R193" i="6"/>
  <c r="R194" i="6"/>
  <c r="R195" i="6"/>
  <c r="R196" i="6"/>
  <c r="R197" i="6"/>
  <c r="R198" i="6"/>
  <c r="R199" i="6"/>
  <c r="R200" i="6"/>
  <c r="R201" i="6"/>
  <c r="R202" i="6"/>
  <c r="R203" i="6"/>
  <c r="R204" i="6"/>
  <c r="R205" i="6"/>
  <c r="R206" i="6"/>
  <c r="R207" i="6"/>
  <c r="R208" i="6"/>
  <c r="R209" i="6"/>
  <c r="R210" i="6"/>
  <c r="R211" i="6"/>
  <c r="R212" i="6"/>
  <c r="R213" i="6"/>
  <c r="R214" i="6"/>
  <c r="R215" i="6"/>
  <c r="R216" i="6"/>
  <c r="R217" i="6"/>
  <c r="R218" i="6"/>
  <c r="R219" i="6"/>
  <c r="R220" i="6"/>
  <c r="R221" i="6"/>
  <c r="R222" i="6"/>
  <c r="R223" i="6"/>
  <c r="R224" i="6"/>
  <c r="R225" i="6"/>
  <c r="R226" i="6"/>
  <c r="R227" i="6"/>
  <c r="R228" i="6"/>
  <c r="R229" i="6"/>
  <c r="R230" i="6"/>
  <c r="R231" i="6"/>
  <c r="R232" i="6"/>
  <c r="R233" i="6"/>
  <c r="R234" i="6"/>
  <c r="R235" i="6"/>
  <c r="R236" i="6"/>
  <c r="R237" i="6"/>
  <c r="R238" i="6"/>
  <c r="R239" i="6"/>
  <c r="R240" i="6"/>
  <c r="R241" i="6"/>
  <c r="R242" i="6"/>
  <c r="R243" i="6"/>
  <c r="R244" i="6"/>
  <c r="R245" i="6"/>
  <c r="R246" i="6"/>
  <c r="R247" i="6"/>
  <c r="R248" i="6"/>
  <c r="R249" i="6"/>
  <c r="R250" i="6"/>
  <c r="R251" i="6"/>
  <c r="R252" i="6"/>
  <c r="R253" i="6"/>
  <c r="R254" i="6"/>
  <c r="R255" i="6"/>
  <c r="R256" i="6"/>
  <c r="R257" i="6"/>
  <c r="R258" i="6"/>
  <c r="R259" i="6"/>
  <c r="R260" i="6"/>
  <c r="R261" i="6"/>
  <c r="R262" i="6"/>
  <c r="R263" i="6"/>
  <c r="R264" i="6"/>
  <c r="R265" i="6"/>
  <c r="R266" i="6"/>
  <c r="R267" i="6"/>
  <c r="R268" i="6"/>
  <c r="R269" i="6"/>
  <c r="R270" i="6"/>
  <c r="R271" i="6"/>
  <c r="R272" i="6"/>
  <c r="R273" i="6"/>
  <c r="R274" i="6"/>
  <c r="R275" i="6"/>
  <c r="R276" i="6"/>
  <c r="R277" i="6"/>
  <c r="R278" i="6"/>
  <c r="R279" i="6"/>
  <c r="R280" i="6"/>
  <c r="R281" i="6"/>
  <c r="R282" i="6"/>
  <c r="R283" i="6"/>
  <c r="R284" i="6"/>
  <c r="R285" i="6"/>
  <c r="R286" i="6"/>
  <c r="R287" i="6"/>
  <c r="R288" i="6"/>
  <c r="R289" i="6"/>
  <c r="R290" i="6"/>
  <c r="R291" i="6"/>
  <c r="R292" i="6"/>
  <c r="R293" i="6"/>
  <c r="R294" i="6"/>
  <c r="R295" i="6"/>
  <c r="R296" i="6"/>
  <c r="R297" i="6"/>
  <c r="R298" i="6"/>
  <c r="R299" i="6"/>
  <c r="R300" i="6"/>
  <c r="R301" i="6"/>
  <c r="R302" i="6"/>
  <c r="R303" i="6"/>
  <c r="R304" i="6"/>
  <c r="R305" i="6"/>
  <c r="R306" i="6"/>
  <c r="R307" i="6"/>
  <c r="R308" i="6"/>
  <c r="R309" i="6"/>
  <c r="R310" i="6"/>
  <c r="R311" i="6"/>
  <c r="R312" i="6"/>
  <c r="R313" i="6"/>
  <c r="R314" i="6"/>
  <c r="R315" i="6"/>
  <c r="R316" i="6"/>
  <c r="R317" i="6"/>
  <c r="R318" i="6"/>
  <c r="R319" i="6"/>
  <c r="R320" i="6"/>
  <c r="R321" i="6"/>
  <c r="R322" i="6"/>
  <c r="R323" i="6"/>
  <c r="R324" i="6"/>
  <c r="R325" i="6"/>
  <c r="R326" i="6"/>
  <c r="R327" i="6"/>
  <c r="R328" i="6"/>
  <c r="R329" i="6"/>
  <c r="R330" i="6"/>
  <c r="R331" i="6"/>
  <c r="R332" i="6"/>
  <c r="R333" i="6"/>
  <c r="R334" i="6"/>
  <c r="R335" i="6"/>
  <c r="R336" i="6"/>
  <c r="R337" i="6"/>
  <c r="R338" i="6"/>
  <c r="R339" i="6"/>
  <c r="R340" i="6"/>
  <c r="R341" i="6"/>
  <c r="R342" i="6"/>
  <c r="R343" i="6"/>
  <c r="R344" i="6"/>
  <c r="R345" i="6"/>
  <c r="R346" i="6"/>
  <c r="R347" i="6"/>
  <c r="R348" i="6"/>
  <c r="R349" i="6"/>
  <c r="R350" i="6"/>
  <c r="R351" i="6"/>
  <c r="R352" i="6"/>
  <c r="R353" i="6"/>
  <c r="R354" i="6"/>
  <c r="R355" i="6"/>
  <c r="R356" i="6"/>
  <c r="R357" i="6"/>
  <c r="R358" i="6"/>
  <c r="R359" i="6"/>
  <c r="R360" i="6"/>
  <c r="R361" i="6"/>
  <c r="R362" i="6"/>
  <c r="R363" i="6"/>
  <c r="R364" i="6"/>
  <c r="R365" i="6"/>
  <c r="R366" i="6"/>
  <c r="R367" i="6"/>
  <c r="R368" i="6"/>
  <c r="R369" i="6"/>
  <c r="R370" i="6"/>
  <c r="R371" i="6"/>
  <c r="R372" i="6"/>
  <c r="R373" i="6"/>
  <c r="R374" i="6"/>
  <c r="R375" i="6"/>
  <c r="R376" i="6"/>
  <c r="R377" i="6"/>
  <c r="R378" i="6"/>
  <c r="R379" i="6"/>
  <c r="R380" i="6"/>
  <c r="R381" i="6"/>
  <c r="R382" i="6"/>
  <c r="R383" i="6"/>
  <c r="R384" i="6"/>
  <c r="R385" i="6"/>
  <c r="R386" i="6"/>
  <c r="R387" i="6"/>
  <c r="R388" i="6"/>
  <c r="R389" i="6"/>
  <c r="R390" i="6"/>
  <c r="R391" i="6"/>
  <c r="R392" i="6"/>
  <c r="R393" i="6"/>
  <c r="R394" i="6"/>
  <c r="R395" i="6"/>
  <c r="R396" i="6"/>
  <c r="R397" i="6"/>
  <c r="R398" i="6"/>
  <c r="R399" i="6"/>
  <c r="R400" i="6"/>
  <c r="R401" i="6"/>
  <c r="R402" i="6"/>
  <c r="R403" i="6"/>
  <c r="R404" i="6"/>
  <c r="R405" i="6"/>
  <c r="R406" i="6"/>
  <c r="R407" i="6"/>
  <c r="R408" i="6"/>
  <c r="R409" i="6"/>
  <c r="R410" i="6"/>
  <c r="R411" i="6"/>
  <c r="R412" i="6"/>
  <c r="R413" i="6"/>
  <c r="R414" i="6"/>
  <c r="R415" i="6"/>
  <c r="R416" i="6"/>
  <c r="R417" i="6"/>
  <c r="R418" i="6"/>
  <c r="R419" i="6"/>
  <c r="R420" i="6"/>
  <c r="R421" i="6"/>
  <c r="R422" i="6"/>
  <c r="R423" i="6"/>
  <c r="R424" i="6"/>
  <c r="R425" i="6"/>
  <c r="R426" i="6"/>
  <c r="R427" i="6"/>
  <c r="R428" i="6"/>
  <c r="R429" i="6"/>
  <c r="R430" i="6"/>
  <c r="R431" i="6"/>
  <c r="R432" i="6"/>
  <c r="R433" i="6"/>
  <c r="R434" i="6"/>
  <c r="R435" i="6"/>
  <c r="R436" i="6"/>
  <c r="R437" i="6"/>
  <c r="R438" i="6"/>
  <c r="R439" i="6"/>
  <c r="R440" i="6"/>
  <c r="R441" i="6"/>
  <c r="R442" i="6"/>
  <c r="R443" i="6"/>
  <c r="R444" i="6"/>
  <c r="R445" i="6"/>
  <c r="R446" i="6"/>
  <c r="R447" i="6"/>
  <c r="R448" i="6"/>
  <c r="R449" i="6"/>
  <c r="R450" i="6"/>
  <c r="R451" i="6"/>
  <c r="R452" i="6"/>
  <c r="R453" i="6"/>
  <c r="R454" i="6"/>
  <c r="R455" i="6"/>
  <c r="R456" i="6"/>
  <c r="R457" i="6"/>
  <c r="R458" i="6"/>
  <c r="R459" i="6"/>
  <c r="R460" i="6"/>
  <c r="R461" i="6"/>
  <c r="R462" i="6"/>
  <c r="R463" i="6"/>
  <c r="R464" i="6"/>
  <c r="R465" i="6"/>
  <c r="R466" i="6"/>
  <c r="R467" i="6"/>
  <c r="R468" i="6"/>
  <c r="R469" i="6"/>
  <c r="R470" i="6"/>
  <c r="R471" i="6"/>
  <c r="R472" i="6"/>
  <c r="R473" i="6"/>
  <c r="R474" i="6"/>
  <c r="R475" i="6"/>
  <c r="R476" i="6"/>
  <c r="R477" i="6"/>
  <c r="R478" i="6"/>
  <c r="R479" i="6"/>
  <c r="R480" i="6"/>
  <c r="R481" i="6"/>
  <c r="R482" i="6"/>
  <c r="R483" i="6"/>
  <c r="R484" i="6"/>
  <c r="R485" i="6"/>
  <c r="R486" i="6"/>
  <c r="R487" i="6"/>
  <c r="R488" i="6"/>
  <c r="R489" i="6"/>
  <c r="R490" i="6"/>
  <c r="R491" i="6"/>
  <c r="R492" i="6"/>
  <c r="R493" i="6"/>
  <c r="R494" i="6"/>
  <c r="R495" i="6"/>
  <c r="R496" i="6"/>
  <c r="R497" i="6"/>
  <c r="R498" i="6"/>
  <c r="R499" i="6"/>
  <c r="R500" i="6"/>
  <c r="R501" i="6"/>
  <c r="R502" i="6"/>
  <c r="R503" i="6"/>
  <c r="R504" i="6"/>
  <c r="R505" i="6"/>
  <c r="R506" i="6"/>
  <c r="R507" i="6"/>
  <c r="R508" i="6"/>
  <c r="R509" i="6"/>
  <c r="R510" i="6"/>
  <c r="R511" i="6"/>
  <c r="R512" i="6"/>
  <c r="R513" i="6"/>
  <c r="R514" i="6"/>
  <c r="R515" i="6"/>
  <c r="R516" i="6"/>
  <c r="R517" i="6"/>
  <c r="R518" i="6"/>
  <c r="R519" i="6"/>
  <c r="R520" i="6"/>
  <c r="R521" i="6"/>
  <c r="R522" i="6"/>
  <c r="R523" i="6"/>
  <c r="R524" i="6"/>
  <c r="R525" i="6"/>
  <c r="R526" i="6"/>
  <c r="R527" i="6"/>
  <c r="R528" i="6"/>
  <c r="R529" i="6"/>
  <c r="R530" i="6"/>
  <c r="R531" i="6"/>
  <c r="R532" i="6"/>
  <c r="R533" i="6"/>
  <c r="R534" i="6"/>
  <c r="R535" i="6"/>
  <c r="R536" i="6"/>
  <c r="R537" i="6"/>
  <c r="R538" i="6"/>
  <c r="R539" i="6"/>
  <c r="R540" i="6"/>
  <c r="R541" i="6"/>
  <c r="R542" i="6"/>
  <c r="R543" i="6"/>
  <c r="R544" i="6"/>
  <c r="R545" i="6"/>
  <c r="R546" i="6"/>
  <c r="R547" i="6"/>
  <c r="R548" i="6"/>
  <c r="R549" i="6"/>
  <c r="R550" i="6"/>
  <c r="R551" i="6"/>
  <c r="R552" i="6"/>
  <c r="R553" i="6"/>
  <c r="R554" i="6"/>
  <c r="R555" i="6"/>
  <c r="R556" i="6"/>
  <c r="R557" i="6"/>
  <c r="R558" i="6"/>
  <c r="R559" i="6"/>
  <c r="R560" i="6"/>
  <c r="R561" i="6"/>
  <c r="R562" i="6"/>
  <c r="R563" i="6"/>
  <c r="R564" i="6"/>
  <c r="R565" i="6"/>
  <c r="R566" i="6"/>
  <c r="R567" i="6"/>
  <c r="R568" i="6"/>
  <c r="R569" i="6"/>
  <c r="R570" i="6"/>
  <c r="R571" i="6"/>
  <c r="R572" i="6"/>
  <c r="R573" i="6"/>
  <c r="R574" i="6"/>
  <c r="R575" i="6"/>
  <c r="R576" i="6"/>
  <c r="R577" i="6"/>
  <c r="R578" i="6"/>
  <c r="R579" i="6"/>
  <c r="R580" i="6"/>
  <c r="R581" i="6"/>
  <c r="R582" i="6"/>
  <c r="R583" i="6"/>
  <c r="R584" i="6"/>
  <c r="R585" i="6"/>
  <c r="R586" i="6"/>
  <c r="R587" i="6"/>
  <c r="R588" i="6"/>
  <c r="R589" i="6"/>
  <c r="R590" i="6"/>
  <c r="R591" i="6"/>
  <c r="R592" i="6"/>
  <c r="R593" i="6"/>
  <c r="R594" i="6"/>
  <c r="R595" i="6"/>
  <c r="R596" i="6"/>
  <c r="R597" i="6"/>
  <c r="R598" i="6"/>
  <c r="R599" i="6"/>
  <c r="R600" i="6"/>
  <c r="R601" i="6"/>
  <c r="R602" i="6"/>
  <c r="R603" i="6"/>
  <c r="R604" i="6"/>
  <c r="R605" i="6"/>
  <c r="R606" i="6"/>
  <c r="R607" i="6"/>
  <c r="R608" i="6"/>
  <c r="R609" i="6"/>
  <c r="R610" i="6"/>
  <c r="R611" i="6"/>
  <c r="R612" i="6"/>
  <c r="R613" i="6"/>
  <c r="R614" i="6"/>
  <c r="R615" i="6"/>
  <c r="R616" i="6"/>
  <c r="R617" i="6"/>
  <c r="R618" i="6"/>
  <c r="R619" i="6"/>
  <c r="R620" i="6"/>
  <c r="R621" i="6"/>
  <c r="R622" i="6"/>
  <c r="R623" i="6"/>
  <c r="R624" i="6"/>
  <c r="R625" i="6"/>
  <c r="R626" i="6"/>
  <c r="R627" i="6"/>
  <c r="R628" i="6"/>
  <c r="R629" i="6"/>
  <c r="R630" i="6"/>
  <c r="R631" i="6"/>
  <c r="R632" i="6"/>
  <c r="R633" i="6"/>
  <c r="R634" i="6"/>
  <c r="R635" i="6"/>
  <c r="R636" i="6"/>
  <c r="R637" i="6"/>
  <c r="R638" i="6"/>
  <c r="R639" i="6"/>
  <c r="R640" i="6"/>
  <c r="R641" i="6"/>
  <c r="R642" i="6"/>
  <c r="R643" i="6"/>
  <c r="R644" i="6"/>
  <c r="R645" i="6"/>
  <c r="R646" i="6"/>
  <c r="R647" i="6"/>
  <c r="R648" i="6"/>
  <c r="R649" i="6"/>
  <c r="R650" i="6"/>
  <c r="R651" i="6"/>
  <c r="R652" i="6"/>
  <c r="R653" i="6"/>
  <c r="R654" i="6"/>
  <c r="R655" i="6"/>
  <c r="R656" i="6"/>
  <c r="R657" i="6"/>
  <c r="R658" i="6"/>
  <c r="R659" i="6"/>
  <c r="R660" i="6"/>
  <c r="R661" i="6"/>
  <c r="R662" i="6"/>
  <c r="R663" i="6"/>
  <c r="R664" i="6"/>
  <c r="R665" i="6"/>
  <c r="R666" i="6"/>
  <c r="R667" i="6"/>
  <c r="R668" i="6"/>
  <c r="R669" i="6"/>
  <c r="R670" i="6"/>
  <c r="R671" i="6"/>
  <c r="R672" i="6"/>
  <c r="R673" i="6"/>
  <c r="R674" i="6"/>
  <c r="R675" i="6"/>
  <c r="R676" i="6"/>
  <c r="R677" i="6"/>
  <c r="R678" i="6"/>
  <c r="R679" i="6"/>
  <c r="R680" i="6"/>
  <c r="R681" i="6"/>
  <c r="R682" i="6"/>
  <c r="R683" i="6"/>
  <c r="R684" i="6"/>
  <c r="R685" i="6"/>
  <c r="R686" i="6"/>
  <c r="R687" i="6"/>
  <c r="R688" i="6"/>
  <c r="R689" i="6"/>
  <c r="R690" i="6"/>
  <c r="R691" i="6"/>
  <c r="R692" i="6"/>
  <c r="R693" i="6"/>
  <c r="R694" i="6"/>
  <c r="R695" i="6"/>
  <c r="R696" i="6"/>
  <c r="R697" i="6"/>
  <c r="R698" i="6"/>
  <c r="R699" i="6"/>
  <c r="R700" i="6"/>
  <c r="R701" i="6"/>
  <c r="R702" i="6"/>
  <c r="R703" i="6"/>
  <c r="R704" i="6"/>
  <c r="R705" i="6"/>
  <c r="R706" i="6"/>
  <c r="R707" i="6"/>
  <c r="R708" i="6"/>
  <c r="R709" i="6"/>
  <c r="R710" i="6"/>
  <c r="R711" i="6"/>
  <c r="R712" i="6"/>
  <c r="R713" i="6"/>
  <c r="R714" i="6"/>
  <c r="R715" i="6"/>
  <c r="R716" i="6"/>
  <c r="R717" i="6"/>
  <c r="R718" i="6"/>
  <c r="R719" i="6"/>
  <c r="R720" i="6"/>
  <c r="R721" i="6"/>
  <c r="R722" i="6"/>
  <c r="R723" i="6"/>
  <c r="R724" i="6"/>
  <c r="R725" i="6"/>
  <c r="R726" i="6"/>
  <c r="R727" i="6"/>
  <c r="R728" i="6"/>
  <c r="R729" i="6"/>
  <c r="R730" i="6"/>
  <c r="R731" i="6"/>
  <c r="R732" i="6"/>
  <c r="R733" i="6"/>
  <c r="R734" i="6"/>
  <c r="R735" i="6"/>
  <c r="R736" i="6"/>
  <c r="R737" i="6"/>
  <c r="R738" i="6"/>
  <c r="R739" i="6"/>
  <c r="R740" i="6"/>
  <c r="R741" i="6"/>
  <c r="R742" i="6"/>
  <c r="R743" i="6"/>
  <c r="R744" i="6"/>
  <c r="R745" i="6"/>
  <c r="R746" i="6"/>
  <c r="R747" i="6"/>
  <c r="R748" i="6"/>
  <c r="R749" i="6"/>
  <c r="R750" i="6"/>
  <c r="R751" i="6"/>
  <c r="R752" i="6"/>
  <c r="R753" i="6"/>
  <c r="R754" i="6"/>
  <c r="R755" i="6"/>
  <c r="R756" i="6"/>
  <c r="R757" i="6"/>
  <c r="R758" i="6"/>
  <c r="R759" i="6"/>
  <c r="R760" i="6"/>
  <c r="R761" i="6"/>
  <c r="R762" i="6"/>
  <c r="R763" i="6"/>
  <c r="R764" i="6"/>
  <c r="R765" i="6"/>
  <c r="R766" i="6"/>
  <c r="R767" i="6"/>
  <c r="R768" i="6"/>
  <c r="R769" i="6"/>
  <c r="R770" i="6"/>
  <c r="R771" i="6"/>
  <c r="R772" i="6"/>
  <c r="R773" i="6"/>
  <c r="R774" i="6"/>
  <c r="R775" i="6"/>
  <c r="R776" i="6"/>
  <c r="R777" i="6"/>
  <c r="R778" i="6"/>
  <c r="R779" i="6"/>
  <c r="R780" i="6"/>
  <c r="R781" i="6"/>
  <c r="R782" i="6"/>
  <c r="R783" i="6"/>
  <c r="R784" i="6"/>
  <c r="R785" i="6"/>
  <c r="R786" i="6"/>
  <c r="R787" i="6"/>
  <c r="R788" i="6"/>
  <c r="R789" i="6"/>
  <c r="R790" i="6"/>
  <c r="R791" i="6"/>
  <c r="Q3" i="6"/>
  <c r="Q4" i="6"/>
  <c r="Q5" i="6"/>
  <c r="Q6" i="6"/>
  <c r="Q7" i="6"/>
  <c r="Q8" i="6"/>
  <c r="Q9" i="6"/>
  <c r="Q10" i="6"/>
  <c r="Q11" i="6"/>
  <c r="Q12" i="6"/>
  <c r="Q13" i="6"/>
  <c r="Q14" i="6"/>
  <c r="Q15" i="6"/>
  <c r="Q16" i="6"/>
  <c r="Q17" i="6"/>
  <c r="Q18" i="6"/>
  <c r="Q19" i="6"/>
  <c r="Q20" i="6"/>
  <c r="Q21" i="6"/>
  <c r="Q22" i="6"/>
  <c r="Q23" i="6"/>
  <c r="Q24" i="6"/>
  <c r="Q25" i="6"/>
  <c r="Q26" i="6"/>
  <c r="Q27" i="6"/>
  <c r="Q28" i="6"/>
  <c r="Q29" i="6"/>
  <c r="Q30" i="6"/>
  <c r="Q31" i="6"/>
  <c r="Q32" i="6"/>
  <c r="Q33" i="6"/>
  <c r="Q34" i="6"/>
  <c r="Q35" i="6"/>
  <c r="Q36" i="6"/>
  <c r="Q37" i="6"/>
  <c r="Q38" i="6"/>
  <c r="Q39" i="6"/>
  <c r="Q40" i="6"/>
  <c r="Q41" i="6"/>
  <c r="Q42" i="6"/>
  <c r="Q43" i="6"/>
  <c r="Q44" i="6"/>
  <c r="Q45" i="6"/>
  <c r="Q46" i="6"/>
  <c r="Q47" i="6"/>
  <c r="Q48" i="6"/>
  <c r="Q49" i="6"/>
  <c r="Q50" i="6"/>
  <c r="Q51" i="6"/>
  <c r="Q52" i="6"/>
  <c r="Q53" i="6"/>
  <c r="Q54" i="6"/>
  <c r="Q55" i="6"/>
  <c r="Q56" i="6"/>
  <c r="Q57" i="6"/>
  <c r="Q58" i="6"/>
  <c r="Q59" i="6"/>
  <c r="Q60" i="6"/>
  <c r="Q61" i="6"/>
  <c r="Q62" i="6"/>
  <c r="Q63" i="6"/>
  <c r="Q64" i="6"/>
  <c r="Q65" i="6"/>
  <c r="Q66" i="6"/>
  <c r="Q67" i="6"/>
  <c r="Q68" i="6"/>
  <c r="Q69" i="6"/>
  <c r="Q70" i="6"/>
  <c r="Q71" i="6"/>
  <c r="Q72" i="6"/>
  <c r="Q73" i="6"/>
  <c r="Q74" i="6"/>
  <c r="Q75" i="6"/>
  <c r="Q76" i="6"/>
  <c r="Q77" i="6"/>
  <c r="Q78" i="6"/>
  <c r="Q79" i="6"/>
  <c r="Q80" i="6"/>
  <c r="Q81" i="6"/>
  <c r="Q82" i="6"/>
  <c r="Q83" i="6"/>
  <c r="Q84" i="6"/>
  <c r="Q85" i="6"/>
  <c r="Q86" i="6"/>
  <c r="Q87" i="6"/>
  <c r="Q88" i="6"/>
  <c r="Q89" i="6"/>
  <c r="Q90" i="6"/>
  <c r="Q91" i="6"/>
  <c r="Q92" i="6"/>
  <c r="Q93" i="6"/>
  <c r="Q94" i="6"/>
  <c r="Q95" i="6"/>
  <c r="Q96" i="6"/>
  <c r="Q97" i="6"/>
  <c r="Q98" i="6"/>
  <c r="Q99" i="6"/>
  <c r="Q100" i="6"/>
  <c r="Q101" i="6"/>
  <c r="Q102" i="6"/>
  <c r="Q103" i="6"/>
  <c r="Q104" i="6"/>
  <c r="Q105" i="6"/>
  <c r="Q106" i="6"/>
  <c r="Q107" i="6"/>
  <c r="Q108" i="6"/>
  <c r="Q109" i="6"/>
  <c r="Q110" i="6"/>
  <c r="Q111" i="6"/>
  <c r="Q112" i="6"/>
  <c r="Q113" i="6"/>
  <c r="Q114" i="6"/>
  <c r="Q115" i="6"/>
  <c r="Q116" i="6"/>
  <c r="Q117" i="6"/>
  <c r="Q118" i="6"/>
  <c r="Q119" i="6"/>
  <c r="Q120" i="6"/>
  <c r="Q121" i="6"/>
  <c r="Q122" i="6"/>
  <c r="Q123" i="6"/>
  <c r="Q124" i="6"/>
  <c r="Q125" i="6"/>
  <c r="Q126" i="6"/>
  <c r="Q127" i="6"/>
  <c r="Q128" i="6"/>
  <c r="Q129" i="6"/>
  <c r="Q130" i="6"/>
  <c r="Q131" i="6"/>
  <c r="Q132" i="6"/>
  <c r="Q133" i="6"/>
  <c r="Q134" i="6"/>
  <c r="Q135" i="6"/>
  <c r="Q136" i="6"/>
  <c r="Q137" i="6"/>
  <c r="Q138" i="6"/>
  <c r="Q139" i="6"/>
  <c r="Q140" i="6"/>
  <c r="Q141" i="6"/>
  <c r="Q142" i="6"/>
  <c r="Q143" i="6"/>
  <c r="Q144" i="6"/>
  <c r="Q145" i="6"/>
  <c r="Q146" i="6"/>
  <c r="Q147" i="6"/>
  <c r="Q148" i="6"/>
  <c r="Q149" i="6"/>
  <c r="Q150" i="6"/>
  <c r="Q151" i="6"/>
  <c r="Q152" i="6"/>
  <c r="Q153" i="6"/>
  <c r="Q154" i="6"/>
  <c r="Q155" i="6"/>
  <c r="Q156" i="6"/>
  <c r="Q157" i="6"/>
  <c r="Q158" i="6"/>
  <c r="Q159" i="6"/>
  <c r="Q160" i="6"/>
  <c r="Q161" i="6"/>
  <c r="Q162" i="6"/>
  <c r="Q163" i="6"/>
  <c r="Q164" i="6"/>
  <c r="Q165" i="6"/>
  <c r="Q166" i="6"/>
  <c r="Q167" i="6"/>
  <c r="Q168" i="6"/>
  <c r="Q169" i="6"/>
  <c r="Q170" i="6"/>
  <c r="Q171" i="6"/>
  <c r="Q172" i="6"/>
  <c r="Q173" i="6"/>
  <c r="Q174" i="6"/>
  <c r="Q175" i="6"/>
  <c r="Q176" i="6"/>
  <c r="Q177" i="6"/>
  <c r="Q178" i="6"/>
  <c r="Q179" i="6"/>
  <c r="Q180" i="6"/>
  <c r="Q181" i="6"/>
  <c r="Q182" i="6"/>
  <c r="Q183" i="6"/>
  <c r="Q184" i="6"/>
  <c r="Q185" i="6"/>
  <c r="Q186" i="6"/>
  <c r="Q187" i="6"/>
  <c r="Q188" i="6"/>
  <c r="Q189" i="6"/>
  <c r="Q190" i="6"/>
  <c r="Q191" i="6"/>
  <c r="Q192" i="6"/>
  <c r="Q193" i="6"/>
  <c r="Q194" i="6"/>
  <c r="Q195" i="6"/>
  <c r="Q196" i="6"/>
  <c r="Q197" i="6"/>
  <c r="Q198" i="6"/>
  <c r="Q199" i="6"/>
  <c r="Q200" i="6"/>
  <c r="Q201" i="6"/>
  <c r="Q202" i="6"/>
  <c r="Q203" i="6"/>
  <c r="Q204" i="6"/>
  <c r="Q205" i="6"/>
  <c r="Q206" i="6"/>
  <c r="Q207" i="6"/>
  <c r="Q208" i="6"/>
  <c r="Q209" i="6"/>
  <c r="Q210" i="6"/>
  <c r="Q211" i="6"/>
  <c r="Q212" i="6"/>
  <c r="Q213" i="6"/>
  <c r="Q214" i="6"/>
  <c r="Q215" i="6"/>
  <c r="Q216" i="6"/>
  <c r="Q217" i="6"/>
  <c r="Q218" i="6"/>
  <c r="Q219" i="6"/>
  <c r="Q220" i="6"/>
  <c r="Q221" i="6"/>
  <c r="Q222" i="6"/>
  <c r="Q223" i="6"/>
  <c r="Q224" i="6"/>
  <c r="Q225" i="6"/>
  <c r="Q226" i="6"/>
  <c r="Q227" i="6"/>
  <c r="Q228" i="6"/>
  <c r="Q229" i="6"/>
  <c r="Q230" i="6"/>
  <c r="Q231" i="6"/>
  <c r="Q232" i="6"/>
  <c r="Q233" i="6"/>
  <c r="Q234" i="6"/>
  <c r="Q235" i="6"/>
  <c r="Q236" i="6"/>
  <c r="Q237" i="6"/>
  <c r="Q238" i="6"/>
  <c r="Q239" i="6"/>
  <c r="Q240" i="6"/>
  <c r="Q241" i="6"/>
  <c r="Q242" i="6"/>
  <c r="Q243" i="6"/>
  <c r="Q244" i="6"/>
  <c r="Q245" i="6"/>
  <c r="Q246" i="6"/>
  <c r="Q247" i="6"/>
  <c r="Q248" i="6"/>
  <c r="Q249" i="6"/>
  <c r="Q250" i="6"/>
  <c r="Q251" i="6"/>
  <c r="Q252" i="6"/>
  <c r="Q253" i="6"/>
  <c r="Q254" i="6"/>
  <c r="Q255" i="6"/>
  <c r="Q256" i="6"/>
  <c r="Q257" i="6"/>
  <c r="Q258" i="6"/>
  <c r="Q259" i="6"/>
  <c r="Q260" i="6"/>
  <c r="Q261" i="6"/>
  <c r="Q262" i="6"/>
  <c r="Q263" i="6"/>
  <c r="Q264" i="6"/>
  <c r="Q265" i="6"/>
  <c r="Q266" i="6"/>
  <c r="Q267" i="6"/>
  <c r="Q268" i="6"/>
  <c r="Q269" i="6"/>
  <c r="Q270" i="6"/>
  <c r="Q271" i="6"/>
  <c r="Q272" i="6"/>
  <c r="Q273" i="6"/>
  <c r="Q274" i="6"/>
  <c r="Q275" i="6"/>
  <c r="Q276" i="6"/>
  <c r="Q277" i="6"/>
  <c r="Q278" i="6"/>
  <c r="Q279" i="6"/>
  <c r="Q280" i="6"/>
  <c r="Q281" i="6"/>
  <c r="Q282" i="6"/>
  <c r="Q283" i="6"/>
  <c r="Q284" i="6"/>
  <c r="Q285" i="6"/>
  <c r="Q286" i="6"/>
  <c r="Q287" i="6"/>
  <c r="Q288" i="6"/>
  <c r="Q289" i="6"/>
  <c r="Q290" i="6"/>
  <c r="Q291" i="6"/>
  <c r="Q292" i="6"/>
  <c r="Q293" i="6"/>
  <c r="Q294" i="6"/>
  <c r="Q295" i="6"/>
  <c r="Q296" i="6"/>
  <c r="Q297" i="6"/>
  <c r="Q298" i="6"/>
  <c r="Q299" i="6"/>
  <c r="Q300" i="6"/>
  <c r="Q301" i="6"/>
  <c r="Q302" i="6"/>
  <c r="Q303" i="6"/>
  <c r="Q304" i="6"/>
  <c r="Q305" i="6"/>
  <c r="Q306" i="6"/>
  <c r="Q307" i="6"/>
  <c r="Q308" i="6"/>
  <c r="Q309" i="6"/>
  <c r="Q310" i="6"/>
  <c r="Q311" i="6"/>
  <c r="Q312" i="6"/>
  <c r="Q313" i="6"/>
  <c r="Q314" i="6"/>
  <c r="Q315" i="6"/>
  <c r="Q316" i="6"/>
  <c r="Q317" i="6"/>
  <c r="Q318" i="6"/>
  <c r="Q319" i="6"/>
  <c r="Q320" i="6"/>
  <c r="Q321" i="6"/>
  <c r="Q322" i="6"/>
  <c r="Q323" i="6"/>
  <c r="Q324" i="6"/>
  <c r="Q325" i="6"/>
  <c r="Q326" i="6"/>
  <c r="Q327" i="6"/>
  <c r="Q328" i="6"/>
  <c r="Q329" i="6"/>
  <c r="Q330" i="6"/>
  <c r="Q331" i="6"/>
  <c r="Q332" i="6"/>
  <c r="Q333" i="6"/>
  <c r="Q334" i="6"/>
  <c r="Q335" i="6"/>
  <c r="Q336" i="6"/>
  <c r="Q337" i="6"/>
  <c r="Q338" i="6"/>
  <c r="Q339" i="6"/>
  <c r="Q340" i="6"/>
  <c r="Q341" i="6"/>
  <c r="Q342" i="6"/>
  <c r="Q343" i="6"/>
  <c r="Q344" i="6"/>
  <c r="Q345" i="6"/>
  <c r="Q346" i="6"/>
  <c r="Q347" i="6"/>
  <c r="Q348" i="6"/>
  <c r="Q349" i="6"/>
  <c r="Q350" i="6"/>
  <c r="Q351" i="6"/>
  <c r="Q352" i="6"/>
  <c r="Q353" i="6"/>
  <c r="Q354" i="6"/>
  <c r="Q355" i="6"/>
  <c r="Q356" i="6"/>
  <c r="Q357" i="6"/>
  <c r="Q358" i="6"/>
  <c r="Q359" i="6"/>
  <c r="Q360" i="6"/>
  <c r="Q361" i="6"/>
  <c r="Q362" i="6"/>
  <c r="Q363" i="6"/>
  <c r="Q364" i="6"/>
  <c r="Q365" i="6"/>
  <c r="Q366" i="6"/>
  <c r="Q367" i="6"/>
  <c r="Q368" i="6"/>
  <c r="Q369" i="6"/>
  <c r="Q370" i="6"/>
  <c r="Q371" i="6"/>
  <c r="Q372" i="6"/>
  <c r="Q373" i="6"/>
  <c r="Q374" i="6"/>
  <c r="Q375" i="6"/>
  <c r="Q376" i="6"/>
  <c r="Q377" i="6"/>
  <c r="Q378" i="6"/>
  <c r="Q379" i="6"/>
  <c r="Q380" i="6"/>
  <c r="Q381" i="6"/>
  <c r="Q382" i="6"/>
  <c r="Q383" i="6"/>
  <c r="Q384" i="6"/>
  <c r="Q385" i="6"/>
  <c r="Q386" i="6"/>
  <c r="Q387" i="6"/>
  <c r="Q388" i="6"/>
  <c r="Q389" i="6"/>
  <c r="Q390" i="6"/>
  <c r="Q391" i="6"/>
  <c r="Q392" i="6"/>
  <c r="Q393" i="6"/>
  <c r="Q394" i="6"/>
  <c r="Q395" i="6"/>
  <c r="Q396" i="6"/>
  <c r="Q397" i="6"/>
  <c r="Q398" i="6"/>
  <c r="Q399" i="6"/>
  <c r="Q400" i="6"/>
  <c r="Q401" i="6"/>
  <c r="Q402" i="6"/>
  <c r="Q403" i="6"/>
  <c r="Q404" i="6"/>
  <c r="Q405" i="6"/>
  <c r="Q406" i="6"/>
  <c r="Q407" i="6"/>
  <c r="Q408" i="6"/>
  <c r="Q409" i="6"/>
  <c r="Q410" i="6"/>
  <c r="Q411" i="6"/>
  <c r="Q412" i="6"/>
  <c r="Q413" i="6"/>
  <c r="Q414" i="6"/>
  <c r="Q415" i="6"/>
  <c r="Q416" i="6"/>
  <c r="Q417" i="6"/>
  <c r="Q418" i="6"/>
  <c r="Q419" i="6"/>
  <c r="Q420" i="6"/>
  <c r="Q421" i="6"/>
  <c r="Q422" i="6"/>
  <c r="Q423" i="6"/>
  <c r="Q424" i="6"/>
  <c r="Q425" i="6"/>
  <c r="Q426" i="6"/>
  <c r="Q427" i="6"/>
  <c r="Q428" i="6"/>
  <c r="Q429" i="6"/>
  <c r="Q430" i="6"/>
  <c r="Q431" i="6"/>
  <c r="Q432" i="6"/>
  <c r="Q433" i="6"/>
  <c r="Q434" i="6"/>
  <c r="Q435" i="6"/>
  <c r="Q436" i="6"/>
  <c r="Q437" i="6"/>
  <c r="Q438" i="6"/>
  <c r="Q439" i="6"/>
  <c r="Q440" i="6"/>
  <c r="Q441" i="6"/>
  <c r="Q442" i="6"/>
  <c r="Q443" i="6"/>
  <c r="Q444" i="6"/>
  <c r="Q445" i="6"/>
  <c r="Q446" i="6"/>
  <c r="Q447" i="6"/>
  <c r="Q448" i="6"/>
  <c r="Q449" i="6"/>
  <c r="Q450" i="6"/>
  <c r="Q451" i="6"/>
  <c r="Q452" i="6"/>
  <c r="Q453" i="6"/>
  <c r="Q454" i="6"/>
  <c r="Q455" i="6"/>
  <c r="Q456" i="6"/>
  <c r="Q457" i="6"/>
  <c r="Q458" i="6"/>
  <c r="Q459" i="6"/>
  <c r="Q460" i="6"/>
  <c r="Q461" i="6"/>
  <c r="Q462" i="6"/>
  <c r="Q463" i="6"/>
  <c r="Q464" i="6"/>
  <c r="Q465" i="6"/>
  <c r="Q466" i="6"/>
  <c r="Q467" i="6"/>
  <c r="Q468" i="6"/>
  <c r="Q469" i="6"/>
  <c r="Q470" i="6"/>
  <c r="Q471" i="6"/>
  <c r="Q472" i="6"/>
  <c r="Q473" i="6"/>
  <c r="Q474" i="6"/>
  <c r="Q475" i="6"/>
  <c r="Q476" i="6"/>
  <c r="Q477" i="6"/>
  <c r="Q478" i="6"/>
  <c r="Q479" i="6"/>
  <c r="Q480" i="6"/>
  <c r="Q481" i="6"/>
  <c r="Q482" i="6"/>
  <c r="Q483" i="6"/>
  <c r="Q484" i="6"/>
  <c r="Q485" i="6"/>
  <c r="Q486" i="6"/>
  <c r="Q487" i="6"/>
  <c r="Q488" i="6"/>
  <c r="Q489" i="6"/>
  <c r="Q490" i="6"/>
  <c r="Q491" i="6"/>
  <c r="Q492" i="6"/>
  <c r="Q493" i="6"/>
  <c r="Q494" i="6"/>
  <c r="Q495" i="6"/>
  <c r="Q496" i="6"/>
  <c r="Q497" i="6"/>
  <c r="Q498" i="6"/>
  <c r="Q499" i="6"/>
  <c r="Q500" i="6"/>
  <c r="Q501" i="6"/>
  <c r="Q502" i="6"/>
  <c r="Q503" i="6"/>
  <c r="Q504" i="6"/>
  <c r="Q505" i="6"/>
  <c r="Q506" i="6"/>
  <c r="Q507" i="6"/>
  <c r="Q508" i="6"/>
  <c r="Q509" i="6"/>
  <c r="Q510" i="6"/>
  <c r="Q511" i="6"/>
  <c r="Q512" i="6"/>
  <c r="Q513" i="6"/>
  <c r="Q514" i="6"/>
  <c r="Q515" i="6"/>
  <c r="Q516" i="6"/>
  <c r="Q517" i="6"/>
  <c r="Q518" i="6"/>
  <c r="Q519" i="6"/>
  <c r="Q520" i="6"/>
  <c r="Q521" i="6"/>
  <c r="Q522" i="6"/>
  <c r="Q523" i="6"/>
  <c r="Q524" i="6"/>
  <c r="Q525" i="6"/>
  <c r="Q526" i="6"/>
  <c r="Q527" i="6"/>
  <c r="Q528" i="6"/>
  <c r="Q529" i="6"/>
  <c r="Q530" i="6"/>
  <c r="Q531" i="6"/>
  <c r="Q532" i="6"/>
  <c r="Q533" i="6"/>
  <c r="Q534" i="6"/>
  <c r="Q535" i="6"/>
  <c r="Q536" i="6"/>
  <c r="Q537" i="6"/>
  <c r="Q538" i="6"/>
  <c r="Q539" i="6"/>
  <c r="Q540" i="6"/>
  <c r="Q541" i="6"/>
  <c r="Q542" i="6"/>
  <c r="Q543" i="6"/>
  <c r="Q544" i="6"/>
  <c r="Q545" i="6"/>
  <c r="Q546" i="6"/>
  <c r="Q547" i="6"/>
  <c r="Q548" i="6"/>
  <c r="Q549" i="6"/>
  <c r="Q550" i="6"/>
  <c r="Q551" i="6"/>
  <c r="Q552" i="6"/>
  <c r="Q553" i="6"/>
  <c r="Q554" i="6"/>
  <c r="Q555" i="6"/>
  <c r="Q556" i="6"/>
  <c r="Q557" i="6"/>
  <c r="Q558" i="6"/>
  <c r="Q559" i="6"/>
  <c r="Q560" i="6"/>
  <c r="Q561" i="6"/>
  <c r="Q562" i="6"/>
  <c r="Q563" i="6"/>
  <c r="Q564" i="6"/>
  <c r="Q565" i="6"/>
  <c r="Q566" i="6"/>
  <c r="Q567" i="6"/>
  <c r="Q568" i="6"/>
  <c r="Q569" i="6"/>
  <c r="Q570" i="6"/>
  <c r="Q571" i="6"/>
  <c r="Q572" i="6"/>
  <c r="Q573" i="6"/>
  <c r="Q574" i="6"/>
  <c r="Q575" i="6"/>
  <c r="Q576" i="6"/>
  <c r="Q577" i="6"/>
  <c r="Q578" i="6"/>
  <c r="Q579" i="6"/>
  <c r="Q580" i="6"/>
  <c r="Q581" i="6"/>
  <c r="Q582" i="6"/>
  <c r="Q583" i="6"/>
  <c r="Q584" i="6"/>
  <c r="Q585" i="6"/>
  <c r="Q586" i="6"/>
  <c r="Q587" i="6"/>
  <c r="Q588" i="6"/>
  <c r="Q589" i="6"/>
  <c r="Q590" i="6"/>
  <c r="Q591" i="6"/>
  <c r="Q592" i="6"/>
  <c r="Q593" i="6"/>
  <c r="Q594" i="6"/>
  <c r="Q595" i="6"/>
  <c r="Q596" i="6"/>
  <c r="Q597" i="6"/>
  <c r="Q598" i="6"/>
  <c r="Q599" i="6"/>
  <c r="Q600" i="6"/>
  <c r="Q601" i="6"/>
  <c r="Q602" i="6"/>
  <c r="Q603" i="6"/>
  <c r="Q604" i="6"/>
  <c r="Q605" i="6"/>
  <c r="Q606" i="6"/>
  <c r="Q607" i="6"/>
  <c r="Q608" i="6"/>
  <c r="Q609" i="6"/>
  <c r="Q610" i="6"/>
  <c r="Q611" i="6"/>
  <c r="Q612" i="6"/>
  <c r="Q613" i="6"/>
  <c r="Q614" i="6"/>
  <c r="Q615" i="6"/>
  <c r="Q616" i="6"/>
  <c r="Q617" i="6"/>
  <c r="Q618" i="6"/>
  <c r="Q619" i="6"/>
  <c r="Q620" i="6"/>
  <c r="Q621" i="6"/>
  <c r="Q622" i="6"/>
  <c r="Q623" i="6"/>
  <c r="Q624" i="6"/>
  <c r="Q625" i="6"/>
  <c r="Q626" i="6"/>
  <c r="Q627" i="6"/>
  <c r="Q628" i="6"/>
  <c r="Q629" i="6"/>
  <c r="Q630" i="6"/>
  <c r="Q631" i="6"/>
  <c r="Q632" i="6"/>
  <c r="Q633" i="6"/>
  <c r="Q634" i="6"/>
  <c r="Q635" i="6"/>
  <c r="Q636" i="6"/>
  <c r="Q637" i="6"/>
  <c r="Q638" i="6"/>
  <c r="Q639" i="6"/>
  <c r="Q640" i="6"/>
  <c r="Q641" i="6"/>
  <c r="Q642" i="6"/>
  <c r="Q643" i="6"/>
  <c r="Q644" i="6"/>
  <c r="Q645" i="6"/>
  <c r="Q646" i="6"/>
  <c r="Q647" i="6"/>
  <c r="Q648" i="6"/>
  <c r="Q649" i="6"/>
  <c r="Q650" i="6"/>
  <c r="Q651" i="6"/>
  <c r="Q652" i="6"/>
  <c r="Q653" i="6"/>
  <c r="Q654" i="6"/>
  <c r="Q655" i="6"/>
  <c r="Q656" i="6"/>
  <c r="Q657" i="6"/>
  <c r="Q658" i="6"/>
  <c r="Q659" i="6"/>
  <c r="Q660" i="6"/>
  <c r="Q661" i="6"/>
  <c r="Q662" i="6"/>
  <c r="Q663" i="6"/>
  <c r="Q664" i="6"/>
  <c r="Q665" i="6"/>
  <c r="Q666" i="6"/>
  <c r="Q667" i="6"/>
  <c r="Q668" i="6"/>
  <c r="Q669" i="6"/>
  <c r="Q670" i="6"/>
  <c r="Q671" i="6"/>
  <c r="Q672" i="6"/>
  <c r="Q673" i="6"/>
  <c r="Q674" i="6"/>
  <c r="Q675" i="6"/>
  <c r="Q676" i="6"/>
  <c r="Q677" i="6"/>
  <c r="Q678" i="6"/>
  <c r="Q679" i="6"/>
  <c r="Q680" i="6"/>
  <c r="Q681" i="6"/>
  <c r="Q682" i="6"/>
  <c r="Q683" i="6"/>
  <c r="Q684" i="6"/>
  <c r="Q685" i="6"/>
  <c r="Q686" i="6"/>
  <c r="Q687" i="6"/>
  <c r="Q688" i="6"/>
  <c r="Q689" i="6"/>
  <c r="Q690" i="6"/>
  <c r="Q691" i="6"/>
  <c r="Q692" i="6"/>
  <c r="Q693" i="6"/>
  <c r="Q694" i="6"/>
  <c r="Q695" i="6"/>
  <c r="Q696" i="6"/>
  <c r="Q697" i="6"/>
  <c r="Q698" i="6"/>
  <c r="Q699" i="6"/>
  <c r="Q700" i="6"/>
  <c r="Q701" i="6"/>
  <c r="Q702" i="6"/>
  <c r="Q703" i="6"/>
  <c r="Q704" i="6"/>
  <c r="Q705" i="6"/>
  <c r="Q706" i="6"/>
  <c r="Q707" i="6"/>
  <c r="Q708" i="6"/>
  <c r="Q709" i="6"/>
  <c r="Q710" i="6"/>
  <c r="Q711" i="6"/>
  <c r="Q712" i="6"/>
  <c r="Q713" i="6"/>
  <c r="Q714" i="6"/>
  <c r="Q715" i="6"/>
  <c r="Q716" i="6"/>
  <c r="Q717" i="6"/>
  <c r="Q718" i="6"/>
  <c r="Q719" i="6"/>
  <c r="Q720" i="6"/>
  <c r="Q721" i="6"/>
  <c r="Q722" i="6"/>
  <c r="Q723" i="6"/>
  <c r="Q724" i="6"/>
  <c r="Q725" i="6"/>
  <c r="Q726" i="6"/>
  <c r="Q727" i="6"/>
  <c r="Q728" i="6"/>
  <c r="Q729" i="6"/>
  <c r="Q730" i="6"/>
  <c r="Q731" i="6"/>
  <c r="Q732" i="6"/>
  <c r="Q733" i="6"/>
  <c r="Q734" i="6"/>
  <c r="Q735" i="6"/>
  <c r="Q736" i="6"/>
  <c r="Q737" i="6"/>
  <c r="Q738" i="6"/>
  <c r="Q739" i="6"/>
  <c r="Q740" i="6"/>
  <c r="Q741" i="6"/>
  <c r="Q742" i="6"/>
  <c r="Q743" i="6"/>
  <c r="Q744" i="6"/>
  <c r="Q745" i="6"/>
  <c r="Q746" i="6"/>
  <c r="Q747" i="6"/>
  <c r="Q748" i="6"/>
  <c r="Q749" i="6"/>
  <c r="Q750" i="6"/>
  <c r="Q751" i="6"/>
  <c r="Q752" i="6"/>
  <c r="Q753" i="6"/>
  <c r="Q754" i="6"/>
  <c r="Q755" i="6"/>
  <c r="Q756" i="6"/>
  <c r="Q757" i="6"/>
  <c r="Q758" i="6"/>
  <c r="Q759" i="6"/>
  <c r="Q760" i="6"/>
  <c r="Q761" i="6"/>
  <c r="Q762" i="6"/>
  <c r="Q763" i="6"/>
  <c r="Q764" i="6"/>
  <c r="Q765" i="6"/>
  <c r="Q766" i="6"/>
  <c r="Q767" i="6"/>
  <c r="Q768" i="6"/>
  <c r="Q769" i="6"/>
  <c r="Q770" i="6"/>
  <c r="Q771" i="6"/>
  <c r="Q772" i="6"/>
  <c r="Q773" i="6"/>
  <c r="Q774" i="6"/>
  <c r="Q775" i="6"/>
  <c r="Q776" i="6"/>
  <c r="Q777" i="6"/>
  <c r="Q778" i="6"/>
  <c r="Q779" i="6"/>
  <c r="Q780" i="6"/>
  <c r="Q781" i="6"/>
  <c r="Q782" i="6"/>
  <c r="Q783" i="6"/>
  <c r="Q784" i="6"/>
  <c r="Q785" i="6"/>
  <c r="Q786" i="6"/>
  <c r="Q787" i="6"/>
  <c r="Q788" i="6"/>
  <c r="Q789" i="6"/>
  <c r="Q790" i="6"/>
  <c r="Q791" i="6"/>
  <c r="T2" i="6"/>
  <c r="S2" i="6"/>
  <c r="R2" i="6"/>
  <c r="Q2" i="6"/>
  <c r="P3" i="6"/>
  <c r="P4" i="6"/>
  <c r="P5" i="6"/>
  <c r="P6" i="6"/>
  <c r="P7" i="6"/>
  <c r="P8" i="6"/>
  <c r="P9" i="6"/>
  <c r="P10" i="6"/>
  <c r="P11" i="6"/>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P304" i="6"/>
  <c r="P305" i="6"/>
  <c r="P306" i="6"/>
  <c r="P307" i="6"/>
  <c r="P308" i="6"/>
  <c r="P309" i="6"/>
  <c r="P310" i="6"/>
  <c r="P311" i="6"/>
  <c r="P312" i="6"/>
  <c r="P313" i="6"/>
  <c r="P314" i="6"/>
  <c r="P315" i="6"/>
  <c r="P316" i="6"/>
  <c r="P317" i="6"/>
  <c r="P318" i="6"/>
  <c r="P319" i="6"/>
  <c r="P320" i="6"/>
  <c r="P321" i="6"/>
  <c r="P322" i="6"/>
  <c r="P323" i="6"/>
  <c r="P324" i="6"/>
  <c r="P325" i="6"/>
  <c r="P326" i="6"/>
  <c r="P327" i="6"/>
  <c r="P328" i="6"/>
  <c r="P329" i="6"/>
  <c r="P330" i="6"/>
  <c r="P331" i="6"/>
  <c r="P332" i="6"/>
  <c r="P333" i="6"/>
  <c r="P334" i="6"/>
  <c r="P335" i="6"/>
  <c r="P336" i="6"/>
  <c r="P337" i="6"/>
  <c r="P338" i="6"/>
  <c r="P339" i="6"/>
  <c r="P340" i="6"/>
  <c r="P341" i="6"/>
  <c r="P342" i="6"/>
  <c r="P343" i="6"/>
  <c r="P344" i="6"/>
  <c r="P345" i="6"/>
  <c r="P346" i="6"/>
  <c r="P347" i="6"/>
  <c r="P348" i="6"/>
  <c r="P349" i="6"/>
  <c r="P350" i="6"/>
  <c r="P351" i="6"/>
  <c r="P352" i="6"/>
  <c r="P353" i="6"/>
  <c r="P354" i="6"/>
  <c r="P355" i="6"/>
  <c r="P356" i="6"/>
  <c r="P357" i="6"/>
  <c r="P358" i="6"/>
  <c r="P359" i="6"/>
  <c r="P360" i="6"/>
  <c r="P361" i="6"/>
  <c r="P362" i="6"/>
  <c r="P363" i="6"/>
  <c r="P364" i="6"/>
  <c r="P365" i="6"/>
  <c r="P366" i="6"/>
  <c r="P367" i="6"/>
  <c r="P368" i="6"/>
  <c r="P369" i="6"/>
  <c r="P370" i="6"/>
  <c r="P371" i="6"/>
  <c r="P372" i="6"/>
  <c r="P373" i="6"/>
  <c r="P374" i="6"/>
  <c r="P375" i="6"/>
  <c r="P376" i="6"/>
  <c r="P377" i="6"/>
  <c r="P378" i="6"/>
  <c r="P379" i="6"/>
  <c r="P380" i="6"/>
  <c r="P381" i="6"/>
  <c r="P382" i="6"/>
  <c r="P383" i="6"/>
  <c r="P384" i="6"/>
  <c r="P385" i="6"/>
  <c r="P386" i="6"/>
  <c r="P387" i="6"/>
  <c r="P388" i="6"/>
  <c r="P389" i="6"/>
  <c r="P390" i="6"/>
  <c r="P391" i="6"/>
  <c r="P392" i="6"/>
  <c r="P393" i="6"/>
  <c r="P394" i="6"/>
  <c r="P395" i="6"/>
  <c r="P396" i="6"/>
  <c r="P397" i="6"/>
  <c r="P398" i="6"/>
  <c r="P399" i="6"/>
  <c r="P400" i="6"/>
  <c r="P401" i="6"/>
  <c r="P402" i="6"/>
  <c r="P403" i="6"/>
  <c r="P404" i="6"/>
  <c r="P405" i="6"/>
  <c r="P406" i="6"/>
  <c r="P407" i="6"/>
  <c r="P408" i="6"/>
  <c r="P409" i="6"/>
  <c r="P410" i="6"/>
  <c r="P411" i="6"/>
  <c r="P412" i="6"/>
  <c r="P413" i="6"/>
  <c r="P414" i="6"/>
  <c r="P415" i="6"/>
  <c r="P416" i="6"/>
  <c r="P417" i="6"/>
  <c r="P418" i="6"/>
  <c r="P419" i="6"/>
  <c r="P420" i="6"/>
  <c r="P421" i="6"/>
  <c r="P422" i="6"/>
  <c r="P423" i="6"/>
  <c r="P424" i="6"/>
  <c r="P425" i="6"/>
  <c r="P426" i="6"/>
  <c r="P427" i="6"/>
  <c r="P428" i="6"/>
  <c r="P429" i="6"/>
  <c r="P430" i="6"/>
  <c r="P431" i="6"/>
  <c r="P432" i="6"/>
  <c r="P433" i="6"/>
  <c r="P434" i="6"/>
  <c r="P435" i="6"/>
  <c r="P436" i="6"/>
  <c r="P437" i="6"/>
  <c r="P438" i="6"/>
  <c r="P439" i="6"/>
  <c r="P440" i="6"/>
  <c r="P441" i="6"/>
  <c r="P442" i="6"/>
  <c r="P443" i="6"/>
  <c r="P444" i="6"/>
  <c r="P445" i="6"/>
  <c r="P446" i="6"/>
  <c r="P447" i="6"/>
  <c r="P448" i="6"/>
  <c r="P449" i="6"/>
  <c r="P450" i="6"/>
  <c r="P451" i="6"/>
  <c r="P452" i="6"/>
  <c r="P453" i="6"/>
  <c r="P454" i="6"/>
  <c r="P455" i="6"/>
  <c r="P456" i="6"/>
  <c r="P457" i="6"/>
  <c r="P458" i="6"/>
  <c r="P459" i="6"/>
  <c r="P460" i="6"/>
  <c r="P461" i="6"/>
  <c r="P462" i="6"/>
  <c r="P463" i="6"/>
  <c r="P464" i="6"/>
  <c r="P465" i="6"/>
  <c r="P466" i="6"/>
  <c r="P467" i="6"/>
  <c r="P468" i="6"/>
  <c r="P469" i="6"/>
  <c r="P470" i="6"/>
  <c r="P471" i="6"/>
  <c r="P472" i="6"/>
  <c r="P473" i="6"/>
  <c r="P474" i="6"/>
  <c r="P475" i="6"/>
  <c r="P476" i="6"/>
  <c r="P477" i="6"/>
  <c r="P478" i="6"/>
  <c r="P479" i="6"/>
  <c r="P480" i="6"/>
  <c r="P481" i="6"/>
  <c r="P482" i="6"/>
  <c r="P483" i="6"/>
  <c r="P484" i="6"/>
  <c r="P485" i="6"/>
  <c r="P486" i="6"/>
  <c r="P487" i="6"/>
  <c r="P488" i="6"/>
  <c r="P489" i="6"/>
  <c r="P490" i="6"/>
  <c r="P491" i="6"/>
  <c r="P492" i="6"/>
  <c r="P493" i="6"/>
  <c r="P494" i="6"/>
  <c r="P495" i="6"/>
  <c r="P496" i="6"/>
  <c r="P497" i="6"/>
  <c r="P498" i="6"/>
  <c r="P499" i="6"/>
  <c r="P500" i="6"/>
  <c r="P501" i="6"/>
  <c r="P502" i="6"/>
  <c r="P503" i="6"/>
  <c r="P504" i="6"/>
  <c r="P505" i="6"/>
  <c r="P506" i="6"/>
  <c r="P507" i="6"/>
  <c r="P508" i="6"/>
  <c r="P509" i="6"/>
  <c r="P510" i="6"/>
  <c r="P511" i="6"/>
  <c r="P512" i="6"/>
  <c r="P513" i="6"/>
  <c r="P514" i="6"/>
  <c r="P515" i="6"/>
  <c r="P516" i="6"/>
  <c r="P517" i="6"/>
  <c r="P518" i="6"/>
  <c r="P519" i="6"/>
  <c r="P520" i="6"/>
  <c r="P521" i="6"/>
  <c r="P522" i="6"/>
  <c r="P523" i="6"/>
  <c r="P524" i="6"/>
  <c r="P525" i="6"/>
  <c r="P526" i="6"/>
  <c r="P527" i="6"/>
  <c r="P528" i="6"/>
  <c r="P529" i="6"/>
  <c r="P530" i="6"/>
  <c r="P531" i="6"/>
  <c r="P532" i="6"/>
  <c r="P533" i="6"/>
  <c r="P534" i="6"/>
  <c r="P535" i="6"/>
  <c r="P536" i="6"/>
  <c r="P537" i="6"/>
  <c r="P538" i="6"/>
  <c r="P539" i="6"/>
  <c r="P540" i="6"/>
  <c r="P541" i="6"/>
  <c r="P542" i="6"/>
  <c r="P543" i="6"/>
  <c r="P544" i="6"/>
  <c r="P545" i="6"/>
  <c r="P546" i="6"/>
  <c r="P547" i="6"/>
  <c r="P548" i="6"/>
  <c r="P549" i="6"/>
  <c r="P550" i="6"/>
  <c r="P551" i="6"/>
  <c r="P552" i="6"/>
  <c r="P553" i="6"/>
  <c r="P554" i="6"/>
  <c r="P555" i="6"/>
  <c r="P556" i="6"/>
  <c r="P557" i="6"/>
  <c r="P558" i="6"/>
  <c r="P559" i="6"/>
  <c r="P560" i="6"/>
  <c r="P561" i="6"/>
  <c r="P562" i="6"/>
  <c r="P563" i="6"/>
  <c r="P564" i="6"/>
  <c r="P565" i="6"/>
  <c r="P566" i="6"/>
  <c r="P567" i="6"/>
  <c r="P568" i="6"/>
  <c r="P569" i="6"/>
  <c r="P570" i="6"/>
  <c r="P571" i="6"/>
  <c r="P572" i="6"/>
  <c r="P573" i="6"/>
  <c r="P574" i="6"/>
  <c r="P575" i="6"/>
  <c r="P576" i="6"/>
  <c r="P577" i="6"/>
  <c r="P578" i="6"/>
  <c r="P579" i="6"/>
  <c r="P580" i="6"/>
  <c r="P581" i="6"/>
  <c r="P582" i="6"/>
  <c r="P583" i="6"/>
  <c r="P584" i="6"/>
  <c r="P585" i="6"/>
  <c r="P586" i="6"/>
  <c r="P587" i="6"/>
  <c r="P588" i="6"/>
  <c r="P589" i="6"/>
  <c r="P590" i="6"/>
  <c r="P591" i="6"/>
  <c r="P592" i="6"/>
  <c r="P593" i="6"/>
  <c r="P594" i="6"/>
  <c r="P595" i="6"/>
  <c r="P596" i="6"/>
  <c r="P597" i="6"/>
  <c r="P598" i="6"/>
  <c r="P599" i="6"/>
  <c r="P600" i="6"/>
  <c r="P601" i="6"/>
  <c r="P602" i="6"/>
  <c r="P603" i="6"/>
  <c r="P604" i="6"/>
  <c r="P605" i="6"/>
  <c r="P606" i="6"/>
  <c r="P607" i="6"/>
  <c r="P608" i="6"/>
  <c r="P609" i="6"/>
  <c r="P610" i="6"/>
  <c r="P611" i="6"/>
  <c r="P612" i="6"/>
  <c r="P613" i="6"/>
  <c r="P614" i="6"/>
  <c r="P615" i="6"/>
  <c r="P616" i="6"/>
  <c r="P617" i="6"/>
  <c r="P618" i="6"/>
  <c r="P619" i="6"/>
  <c r="P620" i="6"/>
  <c r="P621" i="6"/>
  <c r="P622" i="6"/>
  <c r="P623" i="6"/>
  <c r="P624" i="6"/>
  <c r="P625" i="6"/>
  <c r="P626" i="6"/>
  <c r="P627" i="6"/>
  <c r="P628" i="6"/>
  <c r="P629" i="6"/>
  <c r="P630" i="6"/>
  <c r="P631" i="6"/>
  <c r="P632" i="6"/>
  <c r="P633" i="6"/>
  <c r="P634" i="6"/>
  <c r="P635" i="6"/>
  <c r="P636" i="6"/>
  <c r="P637" i="6"/>
  <c r="P638" i="6"/>
  <c r="P639" i="6"/>
  <c r="P640" i="6"/>
  <c r="P641" i="6"/>
  <c r="P642" i="6"/>
  <c r="P643" i="6"/>
  <c r="P644" i="6"/>
  <c r="P645" i="6"/>
  <c r="P646" i="6"/>
  <c r="P647" i="6"/>
  <c r="P648" i="6"/>
  <c r="P649" i="6"/>
  <c r="P650" i="6"/>
  <c r="P651" i="6"/>
  <c r="P652" i="6"/>
  <c r="P653" i="6"/>
  <c r="P654" i="6"/>
  <c r="P655" i="6"/>
  <c r="P656" i="6"/>
  <c r="P657" i="6"/>
  <c r="P658" i="6"/>
  <c r="P659" i="6"/>
  <c r="P660" i="6"/>
  <c r="P661" i="6"/>
  <c r="P662" i="6"/>
  <c r="P663" i="6"/>
  <c r="P664" i="6"/>
  <c r="P665" i="6"/>
  <c r="P666" i="6"/>
  <c r="P667" i="6"/>
  <c r="P668" i="6"/>
  <c r="P669" i="6"/>
  <c r="P670" i="6"/>
  <c r="P671" i="6"/>
  <c r="P672" i="6"/>
  <c r="P673" i="6"/>
  <c r="P674" i="6"/>
  <c r="P675" i="6"/>
  <c r="P676" i="6"/>
  <c r="P677" i="6"/>
  <c r="P678" i="6"/>
  <c r="P679" i="6"/>
  <c r="P680" i="6"/>
  <c r="P681" i="6"/>
  <c r="P682" i="6"/>
  <c r="P683" i="6"/>
  <c r="P684" i="6"/>
  <c r="P685" i="6"/>
  <c r="P686" i="6"/>
  <c r="P687" i="6"/>
  <c r="P688" i="6"/>
  <c r="P689" i="6"/>
  <c r="P690" i="6"/>
  <c r="P691" i="6"/>
  <c r="P692" i="6"/>
  <c r="P693" i="6"/>
  <c r="P694" i="6"/>
  <c r="P695" i="6"/>
  <c r="P696" i="6"/>
  <c r="P697" i="6"/>
  <c r="P698" i="6"/>
  <c r="P699" i="6"/>
  <c r="P700" i="6"/>
  <c r="P701" i="6"/>
  <c r="P702" i="6"/>
  <c r="P703" i="6"/>
  <c r="P704" i="6"/>
  <c r="P705" i="6"/>
  <c r="P706" i="6"/>
  <c r="P707" i="6"/>
  <c r="P708" i="6"/>
  <c r="P709" i="6"/>
  <c r="P710" i="6"/>
  <c r="P711" i="6"/>
  <c r="P712" i="6"/>
  <c r="P713" i="6"/>
  <c r="P714" i="6"/>
  <c r="P715" i="6"/>
  <c r="P716" i="6"/>
  <c r="P717" i="6"/>
  <c r="P718" i="6"/>
  <c r="P719" i="6"/>
  <c r="P720" i="6"/>
  <c r="P721" i="6"/>
  <c r="P722" i="6"/>
  <c r="P723" i="6"/>
  <c r="P724" i="6"/>
  <c r="P725" i="6"/>
  <c r="P726" i="6"/>
  <c r="P727" i="6"/>
  <c r="P728" i="6"/>
  <c r="P729" i="6"/>
  <c r="P730" i="6"/>
  <c r="P731" i="6"/>
  <c r="P732" i="6"/>
  <c r="P733" i="6"/>
  <c r="P734" i="6"/>
  <c r="P735" i="6"/>
  <c r="P736" i="6"/>
  <c r="P737" i="6"/>
  <c r="P738" i="6"/>
  <c r="P739" i="6"/>
  <c r="P740" i="6"/>
  <c r="P741" i="6"/>
  <c r="P742" i="6"/>
  <c r="P743" i="6"/>
  <c r="P744" i="6"/>
  <c r="P745" i="6"/>
  <c r="P746" i="6"/>
  <c r="P747" i="6"/>
  <c r="P748" i="6"/>
  <c r="P749" i="6"/>
  <c r="P750" i="6"/>
  <c r="P751" i="6"/>
  <c r="P752" i="6"/>
  <c r="P753" i="6"/>
  <c r="P754" i="6"/>
  <c r="P755" i="6"/>
  <c r="P756" i="6"/>
  <c r="P757" i="6"/>
  <c r="P758" i="6"/>
  <c r="P759" i="6"/>
  <c r="P760" i="6"/>
  <c r="P761" i="6"/>
  <c r="P762" i="6"/>
  <c r="P763" i="6"/>
  <c r="P764" i="6"/>
  <c r="P765" i="6"/>
  <c r="P766" i="6"/>
  <c r="P767" i="6"/>
  <c r="P768" i="6"/>
  <c r="P769" i="6"/>
  <c r="P770" i="6"/>
  <c r="P771" i="6"/>
  <c r="P772" i="6"/>
  <c r="P773" i="6"/>
  <c r="P774" i="6"/>
  <c r="P775" i="6"/>
  <c r="P776" i="6"/>
  <c r="P777" i="6"/>
  <c r="P778" i="6"/>
  <c r="P779" i="6"/>
  <c r="P780" i="6"/>
  <c r="P781" i="6"/>
  <c r="P782" i="6"/>
  <c r="P783" i="6"/>
  <c r="P784" i="6"/>
  <c r="P785" i="6"/>
  <c r="P786" i="6"/>
  <c r="P787" i="6"/>
  <c r="P788" i="6"/>
  <c r="P789" i="6"/>
  <c r="P790" i="6"/>
  <c r="P791" i="6"/>
  <c r="O3" i="6"/>
  <c r="O4" i="6"/>
  <c r="O5" i="6"/>
  <c r="O6" i="6"/>
  <c r="O7" i="6"/>
  <c r="O8" i="6"/>
  <c r="O9" i="6"/>
  <c r="O10" i="6"/>
  <c r="O11" i="6"/>
  <c r="O12" i="6"/>
  <c r="O13" i="6"/>
  <c r="O14" i="6"/>
  <c r="O15" i="6"/>
  <c r="O16" i="6"/>
  <c r="O17" i="6"/>
  <c r="O18" i="6"/>
  <c r="O19" i="6"/>
  <c r="O20" i="6"/>
  <c r="O21" i="6"/>
  <c r="O22" i="6"/>
  <c r="O23" i="6"/>
  <c r="O24" i="6"/>
  <c r="O25" i="6"/>
  <c r="O26" i="6"/>
  <c r="O27" i="6"/>
  <c r="O28" i="6"/>
  <c r="O29" i="6"/>
  <c r="O30" i="6"/>
  <c r="O31" i="6"/>
  <c r="O32" i="6"/>
  <c r="O33" i="6"/>
  <c r="O34" i="6"/>
  <c r="O35" i="6"/>
  <c r="O36" i="6"/>
  <c r="O37" i="6"/>
  <c r="O38" i="6"/>
  <c r="O39" i="6"/>
  <c r="O40" i="6"/>
  <c r="O41" i="6"/>
  <c r="O42" i="6"/>
  <c r="O43" i="6"/>
  <c r="O44" i="6"/>
  <c r="O45" i="6"/>
  <c r="O46" i="6"/>
  <c r="O47" i="6"/>
  <c r="O48" i="6"/>
  <c r="O49" i="6"/>
  <c r="O50" i="6"/>
  <c r="O51" i="6"/>
  <c r="O52" i="6"/>
  <c r="O53" i="6"/>
  <c r="O54" i="6"/>
  <c r="O55" i="6"/>
  <c r="O56" i="6"/>
  <c r="O57" i="6"/>
  <c r="O58" i="6"/>
  <c r="O59" i="6"/>
  <c r="O60" i="6"/>
  <c r="O61" i="6"/>
  <c r="O62" i="6"/>
  <c r="O63" i="6"/>
  <c r="O64" i="6"/>
  <c r="O65" i="6"/>
  <c r="O66" i="6"/>
  <c r="O67" i="6"/>
  <c r="O68" i="6"/>
  <c r="O69" i="6"/>
  <c r="O70" i="6"/>
  <c r="O71" i="6"/>
  <c r="O72" i="6"/>
  <c r="O73" i="6"/>
  <c r="O74" i="6"/>
  <c r="O75" i="6"/>
  <c r="O76" i="6"/>
  <c r="O77" i="6"/>
  <c r="O78" i="6"/>
  <c r="O79" i="6"/>
  <c r="O80" i="6"/>
  <c r="O81" i="6"/>
  <c r="O82" i="6"/>
  <c r="O83" i="6"/>
  <c r="O84" i="6"/>
  <c r="O85" i="6"/>
  <c r="O86" i="6"/>
  <c r="O87" i="6"/>
  <c r="O88" i="6"/>
  <c r="O89" i="6"/>
  <c r="O90" i="6"/>
  <c r="O91" i="6"/>
  <c r="O92" i="6"/>
  <c r="O93" i="6"/>
  <c r="O94" i="6"/>
  <c r="O95" i="6"/>
  <c r="O96" i="6"/>
  <c r="O97" i="6"/>
  <c r="O98" i="6"/>
  <c r="O99" i="6"/>
  <c r="O100" i="6"/>
  <c r="O101" i="6"/>
  <c r="O102" i="6"/>
  <c r="O103" i="6"/>
  <c r="O104" i="6"/>
  <c r="O105" i="6"/>
  <c r="O106" i="6"/>
  <c r="O107" i="6"/>
  <c r="O108" i="6"/>
  <c r="O109" i="6"/>
  <c r="O110" i="6"/>
  <c r="O111" i="6"/>
  <c r="O112" i="6"/>
  <c r="O113" i="6"/>
  <c r="O114" i="6"/>
  <c r="O115" i="6"/>
  <c r="O116" i="6"/>
  <c r="O117" i="6"/>
  <c r="O118" i="6"/>
  <c r="O119" i="6"/>
  <c r="O120" i="6"/>
  <c r="O121" i="6"/>
  <c r="O122" i="6"/>
  <c r="O123" i="6"/>
  <c r="O124" i="6"/>
  <c r="O125" i="6"/>
  <c r="O126" i="6"/>
  <c r="O127" i="6"/>
  <c r="O128" i="6"/>
  <c r="O129" i="6"/>
  <c r="O130" i="6"/>
  <c r="O131" i="6"/>
  <c r="O132" i="6"/>
  <c r="O133" i="6"/>
  <c r="O134" i="6"/>
  <c r="O135" i="6"/>
  <c r="O136" i="6"/>
  <c r="O137" i="6"/>
  <c r="O138" i="6"/>
  <c r="O139" i="6"/>
  <c r="O140" i="6"/>
  <c r="O141" i="6"/>
  <c r="O142" i="6"/>
  <c r="O143" i="6"/>
  <c r="O144" i="6"/>
  <c r="O145" i="6"/>
  <c r="O146" i="6"/>
  <c r="O147" i="6"/>
  <c r="O148" i="6"/>
  <c r="O149" i="6"/>
  <c r="O150" i="6"/>
  <c r="O151" i="6"/>
  <c r="O152" i="6"/>
  <c r="O153" i="6"/>
  <c r="O154" i="6"/>
  <c r="O155" i="6"/>
  <c r="O156" i="6"/>
  <c r="O157" i="6"/>
  <c r="O158" i="6"/>
  <c r="O159" i="6"/>
  <c r="O160" i="6"/>
  <c r="O161" i="6"/>
  <c r="O162" i="6"/>
  <c r="O163" i="6"/>
  <c r="O164" i="6"/>
  <c r="O165" i="6"/>
  <c r="O166" i="6"/>
  <c r="O167" i="6"/>
  <c r="O168" i="6"/>
  <c r="O169" i="6"/>
  <c r="O170" i="6"/>
  <c r="O171" i="6"/>
  <c r="O172" i="6"/>
  <c r="O173" i="6"/>
  <c r="O174" i="6"/>
  <c r="O175" i="6"/>
  <c r="O176" i="6"/>
  <c r="O177" i="6"/>
  <c r="O178" i="6"/>
  <c r="O179" i="6"/>
  <c r="O180" i="6"/>
  <c r="O181" i="6"/>
  <c r="O182" i="6"/>
  <c r="O183" i="6"/>
  <c r="O184" i="6"/>
  <c r="O185" i="6"/>
  <c r="O186" i="6"/>
  <c r="O187" i="6"/>
  <c r="O188" i="6"/>
  <c r="O189" i="6"/>
  <c r="O190" i="6"/>
  <c r="O191" i="6"/>
  <c r="O192" i="6"/>
  <c r="O193" i="6"/>
  <c r="O194" i="6"/>
  <c r="O195" i="6"/>
  <c r="O196" i="6"/>
  <c r="O197" i="6"/>
  <c r="O198" i="6"/>
  <c r="O199" i="6"/>
  <c r="O200" i="6"/>
  <c r="O201" i="6"/>
  <c r="O202" i="6"/>
  <c r="O203" i="6"/>
  <c r="O204" i="6"/>
  <c r="O205" i="6"/>
  <c r="O206" i="6"/>
  <c r="O207" i="6"/>
  <c r="O208" i="6"/>
  <c r="O209" i="6"/>
  <c r="O210" i="6"/>
  <c r="O211" i="6"/>
  <c r="O212" i="6"/>
  <c r="O213" i="6"/>
  <c r="O214" i="6"/>
  <c r="O215" i="6"/>
  <c r="O216" i="6"/>
  <c r="O217" i="6"/>
  <c r="O218" i="6"/>
  <c r="O219" i="6"/>
  <c r="O220" i="6"/>
  <c r="O221" i="6"/>
  <c r="O222" i="6"/>
  <c r="O223" i="6"/>
  <c r="O224" i="6"/>
  <c r="O225" i="6"/>
  <c r="O226" i="6"/>
  <c r="O227" i="6"/>
  <c r="O228" i="6"/>
  <c r="O229" i="6"/>
  <c r="O230" i="6"/>
  <c r="O231" i="6"/>
  <c r="O232" i="6"/>
  <c r="O233" i="6"/>
  <c r="O234" i="6"/>
  <c r="O235" i="6"/>
  <c r="O236" i="6"/>
  <c r="O237" i="6"/>
  <c r="O238" i="6"/>
  <c r="O239" i="6"/>
  <c r="O240" i="6"/>
  <c r="O241" i="6"/>
  <c r="O242" i="6"/>
  <c r="O243" i="6"/>
  <c r="O244" i="6"/>
  <c r="O245" i="6"/>
  <c r="O246" i="6"/>
  <c r="O247" i="6"/>
  <c r="O248" i="6"/>
  <c r="O249" i="6"/>
  <c r="O250" i="6"/>
  <c r="O251" i="6"/>
  <c r="O252" i="6"/>
  <c r="O253" i="6"/>
  <c r="O254" i="6"/>
  <c r="O255" i="6"/>
  <c r="O256" i="6"/>
  <c r="O257" i="6"/>
  <c r="O258" i="6"/>
  <c r="O259" i="6"/>
  <c r="O260" i="6"/>
  <c r="O261" i="6"/>
  <c r="O262" i="6"/>
  <c r="O263" i="6"/>
  <c r="O264" i="6"/>
  <c r="O265" i="6"/>
  <c r="O266" i="6"/>
  <c r="O267" i="6"/>
  <c r="O268" i="6"/>
  <c r="O269" i="6"/>
  <c r="O270" i="6"/>
  <c r="O271" i="6"/>
  <c r="O272" i="6"/>
  <c r="O273" i="6"/>
  <c r="O274" i="6"/>
  <c r="O275" i="6"/>
  <c r="O276" i="6"/>
  <c r="O277" i="6"/>
  <c r="O278" i="6"/>
  <c r="O279" i="6"/>
  <c r="O280" i="6"/>
  <c r="O281" i="6"/>
  <c r="O282" i="6"/>
  <c r="O283" i="6"/>
  <c r="O284" i="6"/>
  <c r="O285" i="6"/>
  <c r="O286" i="6"/>
  <c r="O287" i="6"/>
  <c r="O288" i="6"/>
  <c r="O289" i="6"/>
  <c r="O290" i="6"/>
  <c r="O291" i="6"/>
  <c r="O292" i="6"/>
  <c r="O293" i="6"/>
  <c r="O294" i="6"/>
  <c r="O295" i="6"/>
  <c r="O296" i="6"/>
  <c r="O297" i="6"/>
  <c r="O298" i="6"/>
  <c r="O299" i="6"/>
  <c r="O300" i="6"/>
  <c r="O301" i="6"/>
  <c r="O302" i="6"/>
  <c r="O303" i="6"/>
  <c r="O304" i="6"/>
  <c r="O305" i="6"/>
  <c r="O306" i="6"/>
  <c r="O307" i="6"/>
  <c r="O308" i="6"/>
  <c r="O309" i="6"/>
  <c r="O310" i="6"/>
  <c r="O311" i="6"/>
  <c r="O312" i="6"/>
  <c r="O313" i="6"/>
  <c r="O314" i="6"/>
  <c r="O315" i="6"/>
  <c r="O316" i="6"/>
  <c r="O317" i="6"/>
  <c r="O318" i="6"/>
  <c r="O319" i="6"/>
  <c r="O320" i="6"/>
  <c r="O321" i="6"/>
  <c r="O322" i="6"/>
  <c r="O323" i="6"/>
  <c r="O324" i="6"/>
  <c r="O325" i="6"/>
  <c r="O326" i="6"/>
  <c r="O327" i="6"/>
  <c r="O328" i="6"/>
  <c r="O329" i="6"/>
  <c r="O330" i="6"/>
  <c r="O331" i="6"/>
  <c r="O332" i="6"/>
  <c r="O333" i="6"/>
  <c r="O334" i="6"/>
  <c r="O335" i="6"/>
  <c r="O336" i="6"/>
  <c r="O337" i="6"/>
  <c r="O338" i="6"/>
  <c r="O339" i="6"/>
  <c r="O340" i="6"/>
  <c r="O341" i="6"/>
  <c r="O342" i="6"/>
  <c r="O343" i="6"/>
  <c r="O344" i="6"/>
  <c r="O345" i="6"/>
  <c r="O346" i="6"/>
  <c r="O347" i="6"/>
  <c r="O348" i="6"/>
  <c r="O349" i="6"/>
  <c r="O350" i="6"/>
  <c r="O351" i="6"/>
  <c r="O352" i="6"/>
  <c r="O353" i="6"/>
  <c r="O354" i="6"/>
  <c r="O355" i="6"/>
  <c r="O356" i="6"/>
  <c r="O357" i="6"/>
  <c r="O358" i="6"/>
  <c r="O359" i="6"/>
  <c r="O360" i="6"/>
  <c r="O361" i="6"/>
  <c r="O362" i="6"/>
  <c r="O363" i="6"/>
  <c r="O364" i="6"/>
  <c r="O365" i="6"/>
  <c r="O366" i="6"/>
  <c r="O367" i="6"/>
  <c r="O368" i="6"/>
  <c r="O369" i="6"/>
  <c r="O370" i="6"/>
  <c r="O371" i="6"/>
  <c r="O372" i="6"/>
  <c r="O373" i="6"/>
  <c r="O374" i="6"/>
  <c r="O375" i="6"/>
  <c r="O376" i="6"/>
  <c r="O377" i="6"/>
  <c r="O378" i="6"/>
  <c r="O379" i="6"/>
  <c r="O380" i="6"/>
  <c r="O381" i="6"/>
  <c r="O382" i="6"/>
  <c r="O383" i="6"/>
  <c r="O384" i="6"/>
  <c r="O385" i="6"/>
  <c r="O386" i="6"/>
  <c r="O387" i="6"/>
  <c r="O388" i="6"/>
  <c r="O389" i="6"/>
  <c r="O390" i="6"/>
  <c r="O391" i="6"/>
  <c r="O392" i="6"/>
  <c r="O393" i="6"/>
  <c r="O394" i="6"/>
  <c r="O395" i="6"/>
  <c r="O396" i="6"/>
  <c r="O397" i="6"/>
  <c r="O398" i="6"/>
  <c r="O399" i="6"/>
  <c r="O400" i="6"/>
  <c r="O401" i="6"/>
  <c r="O402" i="6"/>
  <c r="O403" i="6"/>
  <c r="O404" i="6"/>
  <c r="O405" i="6"/>
  <c r="O406" i="6"/>
  <c r="O407" i="6"/>
  <c r="O408" i="6"/>
  <c r="O409" i="6"/>
  <c r="O410" i="6"/>
  <c r="O411" i="6"/>
  <c r="O412" i="6"/>
  <c r="O413" i="6"/>
  <c r="O414" i="6"/>
  <c r="O415" i="6"/>
  <c r="O416" i="6"/>
  <c r="O417" i="6"/>
  <c r="O418" i="6"/>
  <c r="O419" i="6"/>
  <c r="O420" i="6"/>
  <c r="O421" i="6"/>
  <c r="O422" i="6"/>
  <c r="O423" i="6"/>
  <c r="O424" i="6"/>
  <c r="O425" i="6"/>
  <c r="O426" i="6"/>
  <c r="O427" i="6"/>
  <c r="O428" i="6"/>
  <c r="O429" i="6"/>
  <c r="O430" i="6"/>
  <c r="O431" i="6"/>
  <c r="O432" i="6"/>
  <c r="O433" i="6"/>
  <c r="O434" i="6"/>
  <c r="O435" i="6"/>
  <c r="O436" i="6"/>
  <c r="O437" i="6"/>
  <c r="O438" i="6"/>
  <c r="O439" i="6"/>
  <c r="O440" i="6"/>
  <c r="O441" i="6"/>
  <c r="O442" i="6"/>
  <c r="O443" i="6"/>
  <c r="O444" i="6"/>
  <c r="O445" i="6"/>
  <c r="O446" i="6"/>
  <c r="O447" i="6"/>
  <c r="O448" i="6"/>
  <c r="O449" i="6"/>
  <c r="O450" i="6"/>
  <c r="O451" i="6"/>
  <c r="O452" i="6"/>
  <c r="O453" i="6"/>
  <c r="O454" i="6"/>
  <c r="O455" i="6"/>
  <c r="O456" i="6"/>
  <c r="O457" i="6"/>
  <c r="O458" i="6"/>
  <c r="O459" i="6"/>
  <c r="O460" i="6"/>
  <c r="O461" i="6"/>
  <c r="O462" i="6"/>
  <c r="O463" i="6"/>
  <c r="O464" i="6"/>
  <c r="O465" i="6"/>
  <c r="O466" i="6"/>
  <c r="O467" i="6"/>
  <c r="O468" i="6"/>
  <c r="O469" i="6"/>
  <c r="O470" i="6"/>
  <c r="O471" i="6"/>
  <c r="O472" i="6"/>
  <c r="O473" i="6"/>
  <c r="O474" i="6"/>
  <c r="O475" i="6"/>
  <c r="O476" i="6"/>
  <c r="O477" i="6"/>
  <c r="O478" i="6"/>
  <c r="O479" i="6"/>
  <c r="O480" i="6"/>
  <c r="O481" i="6"/>
  <c r="O482" i="6"/>
  <c r="O483" i="6"/>
  <c r="O484" i="6"/>
  <c r="O485" i="6"/>
  <c r="O486" i="6"/>
  <c r="O487" i="6"/>
  <c r="O488" i="6"/>
  <c r="O489" i="6"/>
  <c r="O490" i="6"/>
  <c r="O491" i="6"/>
  <c r="O492" i="6"/>
  <c r="O493" i="6"/>
  <c r="O494" i="6"/>
  <c r="O495" i="6"/>
  <c r="O496" i="6"/>
  <c r="O497" i="6"/>
  <c r="O498" i="6"/>
  <c r="O499" i="6"/>
  <c r="O500" i="6"/>
  <c r="O501" i="6"/>
  <c r="O502" i="6"/>
  <c r="O503" i="6"/>
  <c r="O504" i="6"/>
  <c r="O505" i="6"/>
  <c r="O506" i="6"/>
  <c r="O507" i="6"/>
  <c r="O508" i="6"/>
  <c r="O509" i="6"/>
  <c r="O510" i="6"/>
  <c r="O511" i="6"/>
  <c r="O512" i="6"/>
  <c r="O513" i="6"/>
  <c r="O514" i="6"/>
  <c r="O515" i="6"/>
  <c r="O516" i="6"/>
  <c r="O517" i="6"/>
  <c r="O518" i="6"/>
  <c r="O519" i="6"/>
  <c r="O520" i="6"/>
  <c r="O521" i="6"/>
  <c r="O522" i="6"/>
  <c r="O523" i="6"/>
  <c r="O524" i="6"/>
  <c r="O525" i="6"/>
  <c r="O526" i="6"/>
  <c r="O527" i="6"/>
  <c r="O528" i="6"/>
  <c r="O529" i="6"/>
  <c r="O530" i="6"/>
  <c r="O531" i="6"/>
  <c r="O532" i="6"/>
  <c r="O533" i="6"/>
  <c r="O534" i="6"/>
  <c r="O535" i="6"/>
  <c r="O536" i="6"/>
  <c r="O537" i="6"/>
  <c r="O538" i="6"/>
  <c r="O539" i="6"/>
  <c r="O540" i="6"/>
  <c r="O541" i="6"/>
  <c r="O542" i="6"/>
  <c r="O543" i="6"/>
  <c r="O544" i="6"/>
  <c r="O545" i="6"/>
  <c r="O546" i="6"/>
  <c r="O547" i="6"/>
  <c r="O548" i="6"/>
  <c r="O549" i="6"/>
  <c r="O550" i="6"/>
  <c r="O551" i="6"/>
  <c r="O552" i="6"/>
  <c r="O553" i="6"/>
  <c r="O554" i="6"/>
  <c r="O555" i="6"/>
  <c r="O556" i="6"/>
  <c r="O557" i="6"/>
  <c r="O558" i="6"/>
  <c r="O559" i="6"/>
  <c r="O560" i="6"/>
  <c r="O561" i="6"/>
  <c r="O562" i="6"/>
  <c r="O563" i="6"/>
  <c r="O564" i="6"/>
  <c r="O565" i="6"/>
  <c r="O566" i="6"/>
  <c r="O567" i="6"/>
  <c r="O568" i="6"/>
  <c r="O569" i="6"/>
  <c r="O570" i="6"/>
  <c r="O571" i="6"/>
  <c r="O572" i="6"/>
  <c r="O573" i="6"/>
  <c r="O574" i="6"/>
  <c r="O575" i="6"/>
  <c r="O576" i="6"/>
  <c r="O577" i="6"/>
  <c r="O578" i="6"/>
  <c r="O579" i="6"/>
  <c r="O580" i="6"/>
  <c r="O581" i="6"/>
  <c r="O582" i="6"/>
  <c r="O583" i="6"/>
  <c r="O584" i="6"/>
  <c r="O585" i="6"/>
  <c r="O586" i="6"/>
  <c r="O587" i="6"/>
  <c r="O588" i="6"/>
  <c r="O589" i="6"/>
  <c r="O590" i="6"/>
  <c r="O591" i="6"/>
  <c r="O592" i="6"/>
  <c r="O593" i="6"/>
  <c r="O594" i="6"/>
  <c r="O595" i="6"/>
  <c r="O596" i="6"/>
  <c r="O597" i="6"/>
  <c r="O598" i="6"/>
  <c r="O599" i="6"/>
  <c r="O600" i="6"/>
  <c r="O601" i="6"/>
  <c r="O602" i="6"/>
  <c r="O603" i="6"/>
  <c r="O604" i="6"/>
  <c r="O605" i="6"/>
  <c r="O606" i="6"/>
  <c r="O607" i="6"/>
  <c r="O608" i="6"/>
  <c r="O609" i="6"/>
  <c r="O610" i="6"/>
  <c r="O611" i="6"/>
  <c r="O612" i="6"/>
  <c r="O613" i="6"/>
  <c r="O614" i="6"/>
  <c r="O615" i="6"/>
  <c r="O616" i="6"/>
  <c r="O617" i="6"/>
  <c r="O618" i="6"/>
  <c r="O619" i="6"/>
  <c r="O620" i="6"/>
  <c r="O621" i="6"/>
  <c r="O622" i="6"/>
  <c r="O623" i="6"/>
  <c r="O624" i="6"/>
  <c r="O625" i="6"/>
  <c r="O626" i="6"/>
  <c r="O627" i="6"/>
  <c r="O628" i="6"/>
  <c r="O629" i="6"/>
  <c r="O630" i="6"/>
  <c r="O631" i="6"/>
  <c r="O632" i="6"/>
  <c r="O633" i="6"/>
  <c r="O634" i="6"/>
  <c r="O635" i="6"/>
  <c r="O636" i="6"/>
  <c r="O637" i="6"/>
  <c r="O638" i="6"/>
  <c r="O639" i="6"/>
  <c r="O640" i="6"/>
  <c r="O641" i="6"/>
  <c r="O642" i="6"/>
  <c r="O643" i="6"/>
  <c r="O644" i="6"/>
  <c r="O645" i="6"/>
  <c r="O646" i="6"/>
  <c r="O647" i="6"/>
  <c r="O648" i="6"/>
  <c r="O649" i="6"/>
  <c r="O650" i="6"/>
  <c r="O651" i="6"/>
  <c r="O652" i="6"/>
  <c r="O653" i="6"/>
  <c r="O654" i="6"/>
  <c r="O655" i="6"/>
  <c r="O656" i="6"/>
  <c r="O657" i="6"/>
  <c r="O658" i="6"/>
  <c r="O659" i="6"/>
  <c r="O660" i="6"/>
  <c r="O661" i="6"/>
  <c r="O662" i="6"/>
  <c r="O663" i="6"/>
  <c r="O664" i="6"/>
  <c r="O665" i="6"/>
  <c r="O666" i="6"/>
  <c r="O667" i="6"/>
  <c r="O668" i="6"/>
  <c r="O669" i="6"/>
  <c r="O670" i="6"/>
  <c r="O671" i="6"/>
  <c r="O672" i="6"/>
  <c r="O673" i="6"/>
  <c r="O674" i="6"/>
  <c r="O675" i="6"/>
  <c r="O676" i="6"/>
  <c r="O677" i="6"/>
  <c r="O678" i="6"/>
  <c r="O679" i="6"/>
  <c r="O680" i="6"/>
  <c r="O681" i="6"/>
  <c r="O682" i="6"/>
  <c r="O683" i="6"/>
  <c r="O684" i="6"/>
  <c r="O685" i="6"/>
  <c r="O686" i="6"/>
  <c r="O687" i="6"/>
  <c r="O688" i="6"/>
  <c r="O689" i="6"/>
  <c r="O690" i="6"/>
  <c r="O691" i="6"/>
  <c r="O692" i="6"/>
  <c r="O693" i="6"/>
  <c r="O694" i="6"/>
  <c r="O695" i="6"/>
  <c r="O696" i="6"/>
  <c r="O697" i="6"/>
  <c r="O698" i="6"/>
  <c r="O699" i="6"/>
  <c r="O700" i="6"/>
  <c r="O701" i="6"/>
  <c r="O702" i="6"/>
  <c r="O703" i="6"/>
  <c r="O704" i="6"/>
  <c r="O705" i="6"/>
  <c r="O706" i="6"/>
  <c r="O707" i="6"/>
  <c r="O708" i="6"/>
  <c r="O709" i="6"/>
  <c r="O710" i="6"/>
  <c r="O711" i="6"/>
  <c r="O712" i="6"/>
  <c r="O713" i="6"/>
  <c r="O714" i="6"/>
  <c r="O715" i="6"/>
  <c r="O716" i="6"/>
  <c r="O717" i="6"/>
  <c r="O718" i="6"/>
  <c r="O719" i="6"/>
  <c r="O720" i="6"/>
  <c r="O721" i="6"/>
  <c r="O722" i="6"/>
  <c r="O723" i="6"/>
  <c r="O724" i="6"/>
  <c r="O725" i="6"/>
  <c r="O726" i="6"/>
  <c r="O727" i="6"/>
  <c r="O728" i="6"/>
  <c r="O729" i="6"/>
  <c r="O730" i="6"/>
  <c r="O731" i="6"/>
  <c r="O732" i="6"/>
  <c r="O733" i="6"/>
  <c r="O734" i="6"/>
  <c r="O735" i="6"/>
  <c r="O736" i="6"/>
  <c r="O737" i="6"/>
  <c r="O738" i="6"/>
  <c r="O739" i="6"/>
  <c r="O740" i="6"/>
  <c r="O741" i="6"/>
  <c r="O742" i="6"/>
  <c r="O743" i="6"/>
  <c r="O744" i="6"/>
  <c r="O745" i="6"/>
  <c r="O746" i="6"/>
  <c r="O747" i="6"/>
  <c r="O748" i="6"/>
  <c r="O749" i="6"/>
  <c r="O750" i="6"/>
  <c r="O751" i="6"/>
  <c r="O752" i="6"/>
  <c r="O753" i="6"/>
  <c r="O754" i="6"/>
  <c r="O755" i="6"/>
  <c r="O756" i="6"/>
  <c r="O757" i="6"/>
  <c r="O758" i="6"/>
  <c r="O759" i="6"/>
  <c r="O760" i="6"/>
  <c r="O761" i="6"/>
  <c r="O762" i="6"/>
  <c r="O763" i="6"/>
  <c r="O764" i="6"/>
  <c r="O765" i="6"/>
  <c r="O766" i="6"/>
  <c r="O767" i="6"/>
  <c r="O768" i="6"/>
  <c r="O769" i="6"/>
  <c r="O770" i="6"/>
  <c r="O771" i="6"/>
  <c r="O772" i="6"/>
  <c r="O773" i="6"/>
  <c r="O774" i="6"/>
  <c r="O775" i="6"/>
  <c r="O776" i="6"/>
  <c r="O777" i="6"/>
  <c r="O778" i="6"/>
  <c r="O779" i="6"/>
  <c r="O780" i="6"/>
  <c r="O781" i="6"/>
  <c r="O782" i="6"/>
  <c r="O783" i="6"/>
  <c r="O784" i="6"/>
  <c r="O785" i="6"/>
  <c r="O786" i="6"/>
  <c r="O787" i="6"/>
  <c r="O788" i="6"/>
  <c r="O789" i="6"/>
  <c r="O790" i="6"/>
  <c r="O791" i="6"/>
  <c r="N3" i="6"/>
  <c r="N4" i="6"/>
  <c r="N5" i="6"/>
  <c r="N6" i="6"/>
  <c r="N7" i="6"/>
  <c r="N8" i="6"/>
  <c r="N9" i="6"/>
  <c r="N10" i="6"/>
  <c r="N11" i="6"/>
  <c r="N12" i="6"/>
  <c r="N13" i="6"/>
  <c r="N14" i="6"/>
  <c r="N15" i="6"/>
  <c r="N16" i="6"/>
  <c r="N17" i="6"/>
  <c r="N18" i="6"/>
  <c r="N19" i="6"/>
  <c r="N20" i="6"/>
  <c r="N21" i="6"/>
  <c r="N22" i="6"/>
  <c r="N23" i="6"/>
  <c r="N24" i="6"/>
  <c r="N25" i="6"/>
  <c r="N26" i="6"/>
  <c r="N27" i="6"/>
  <c r="N28" i="6"/>
  <c r="N29" i="6"/>
  <c r="N30" i="6"/>
  <c r="N31" i="6"/>
  <c r="N32" i="6"/>
  <c r="N33" i="6"/>
  <c r="N34" i="6"/>
  <c r="N35" i="6"/>
  <c r="N36" i="6"/>
  <c r="N37" i="6"/>
  <c r="N38" i="6"/>
  <c r="N39" i="6"/>
  <c r="N40" i="6"/>
  <c r="N41" i="6"/>
  <c r="N42" i="6"/>
  <c r="N43" i="6"/>
  <c r="N44" i="6"/>
  <c r="N45" i="6"/>
  <c r="N46" i="6"/>
  <c r="N47" i="6"/>
  <c r="N48" i="6"/>
  <c r="N49" i="6"/>
  <c r="N50" i="6"/>
  <c r="N51" i="6"/>
  <c r="N52" i="6"/>
  <c r="N53" i="6"/>
  <c r="N54" i="6"/>
  <c r="N55" i="6"/>
  <c r="N56" i="6"/>
  <c r="N57" i="6"/>
  <c r="N58" i="6"/>
  <c r="N59" i="6"/>
  <c r="N60" i="6"/>
  <c r="N61" i="6"/>
  <c r="N62" i="6"/>
  <c r="N63" i="6"/>
  <c r="N64" i="6"/>
  <c r="N65" i="6"/>
  <c r="N66" i="6"/>
  <c r="N67" i="6"/>
  <c r="N68" i="6"/>
  <c r="N69" i="6"/>
  <c r="N70" i="6"/>
  <c r="N71" i="6"/>
  <c r="N72" i="6"/>
  <c r="N73" i="6"/>
  <c r="N74" i="6"/>
  <c r="N75" i="6"/>
  <c r="N76" i="6"/>
  <c r="N77" i="6"/>
  <c r="N78" i="6"/>
  <c r="N79" i="6"/>
  <c r="N80" i="6"/>
  <c r="N81" i="6"/>
  <c r="N82" i="6"/>
  <c r="N83" i="6"/>
  <c r="N84" i="6"/>
  <c r="N85" i="6"/>
  <c r="N86" i="6"/>
  <c r="N87" i="6"/>
  <c r="N88" i="6"/>
  <c r="N89" i="6"/>
  <c r="N90" i="6"/>
  <c r="N91" i="6"/>
  <c r="N92" i="6"/>
  <c r="N93" i="6"/>
  <c r="N94" i="6"/>
  <c r="N95" i="6"/>
  <c r="N96" i="6"/>
  <c r="N97" i="6"/>
  <c r="N98" i="6"/>
  <c r="N99" i="6"/>
  <c r="N100" i="6"/>
  <c r="N101" i="6"/>
  <c r="N102" i="6"/>
  <c r="N103" i="6"/>
  <c r="N104" i="6"/>
  <c r="N105" i="6"/>
  <c r="N106" i="6"/>
  <c r="N107" i="6"/>
  <c r="N108" i="6"/>
  <c r="N109" i="6"/>
  <c r="N110" i="6"/>
  <c r="N111" i="6"/>
  <c r="N112" i="6"/>
  <c r="N113" i="6"/>
  <c r="N114" i="6"/>
  <c r="N115" i="6"/>
  <c r="N116" i="6"/>
  <c r="N117" i="6"/>
  <c r="N118" i="6"/>
  <c r="N119" i="6"/>
  <c r="N120" i="6"/>
  <c r="N121" i="6"/>
  <c r="N122" i="6"/>
  <c r="N123" i="6"/>
  <c r="N124" i="6"/>
  <c r="N125" i="6"/>
  <c r="N126" i="6"/>
  <c r="N127" i="6"/>
  <c r="N128" i="6"/>
  <c r="N129" i="6"/>
  <c r="N130" i="6"/>
  <c r="N131" i="6"/>
  <c r="N132" i="6"/>
  <c r="N133" i="6"/>
  <c r="N134" i="6"/>
  <c r="N135" i="6"/>
  <c r="N136" i="6"/>
  <c r="N137" i="6"/>
  <c r="N138" i="6"/>
  <c r="N139" i="6"/>
  <c r="N140" i="6"/>
  <c r="N141" i="6"/>
  <c r="N142" i="6"/>
  <c r="N143" i="6"/>
  <c r="N144" i="6"/>
  <c r="N145" i="6"/>
  <c r="N146" i="6"/>
  <c r="N147" i="6"/>
  <c r="N148" i="6"/>
  <c r="N149" i="6"/>
  <c r="N150" i="6"/>
  <c r="N151" i="6"/>
  <c r="N152" i="6"/>
  <c r="N153" i="6"/>
  <c r="N154" i="6"/>
  <c r="N155" i="6"/>
  <c r="N156" i="6"/>
  <c r="N157" i="6"/>
  <c r="N158" i="6"/>
  <c r="N159" i="6"/>
  <c r="N160" i="6"/>
  <c r="N161" i="6"/>
  <c r="N162" i="6"/>
  <c r="N163" i="6"/>
  <c r="N164" i="6"/>
  <c r="N165" i="6"/>
  <c r="N166" i="6"/>
  <c r="N167" i="6"/>
  <c r="N168" i="6"/>
  <c r="N169" i="6"/>
  <c r="N170" i="6"/>
  <c r="N171" i="6"/>
  <c r="N172" i="6"/>
  <c r="N173" i="6"/>
  <c r="N174" i="6"/>
  <c r="N175" i="6"/>
  <c r="N176" i="6"/>
  <c r="N177" i="6"/>
  <c r="N178" i="6"/>
  <c r="N179" i="6"/>
  <c r="N180" i="6"/>
  <c r="N181" i="6"/>
  <c r="N182" i="6"/>
  <c r="N183" i="6"/>
  <c r="N184" i="6"/>
  <c r="N185" i="6"/>
  <c r="N186" i="6"/>
  <c r="N187" i="6"/>
  <c r="N188" i="6"/>
  <c r="N189" i="6"/>
  <c r="N190" i="6"/>
  <c r="N191" i="6"/>
  <c r="N192" i="6"/>
  <c r="N193" i="6"/>
  <c r="N194" i="6"/>
  <c r="N195" i="6"/>
  <c r="N196" i="6"/>
  <c r="N197" i="6"/>
  <c r="N198" i="6"/>
  <c r="N199" i="6"/>
  <c r="N200" i="6"/>
  <c r="N201" i="6"/>
  <c r="N202" i="6"/>
  <c r="N203" i="6"/>
  <c r="N204" i="6"/>
  <c r="N205" i="6"/>
  <c r="N206" i="6"/>
  <c r="N207" i="6"/>
  <c r="N208" i="6"/>
  <c r="N209" i="6"/>
  <c r="N210" i="6"/>
  <c r="N211" i="6"/>
  <c r="N212" i="6"/>
  <c r="N213" i="6"/>
  <c r="N214" i="6"/>
  <c r="N215" i="6"/>
  <c r="N216" i="6"/>
  <c r="N217" i="6"/>
  <c r="N218" i="6"/>
  <c r="N219" i="6"/>
  <c r="N220" i="6"/>
  <c r="N221" i="6"/>
  <c r="N222" i="6"/>
  <c r="N223" i="6"/>
  <c r="N224" i="6"/>
  <c r="N225" i="6"/>
  <c r="N226" i="6"/>
  <c r="N227" i="6"/>
  <c r="N228" i="6"/>
  <c r="N229" i="6"/>
  <c r="N230" i="6"/>
  <c r="N231" i="6"/>
  <c r="N232" i="6"/>
  <c r="N233" i="6"/>
  <c r="N234" i="6"/>
  <c r="N235" i="6"/>
  <c r="N236" i="6"/>
  <c r="N237" i="6"/>
  <c r="N238" i="6"/>
  <c r="N239" i="6"/>
  <c r="N240" i="6"/>
  <c r="N241" i="6"/>
  <c r="N242" i="6"/>
  <c r="N243" i="6"/>
  <c r="N244" i="6"/>
  <c r="N245" i="6"/>
  <c r="N246" i="6"/>
  <c r="N247" i="6"/>
  <c r="N248" i="6"/>
  <c r="N249" i="6"/>
  <c r="N250" i="6"/>
  <c r="N251" i="6"/>
  <c r="N252" i="6"/>
  <c r="N253" i="6"/>
  <c r="N254" i="6"/>
  <c r="N255" i="6"/>
  <c r="N256" i="6"/>
  <c r="N257" i="6"/>
  <c r="N258" i="6"/>
  <c r="N259" i="6"/>
  <c r="N260" i="6"/>
  <c r="N261" i="6"/>
  <c r="N262" i="6"/>
  <c r="N263" i="6"/>
  <c r="N264" i="6"/>
  <c r="N265" i="6"/>
  <c r="N266" i="6"/>
  <c r="N267" i="6"/>
  <c r="N268" i="6"/>
  <c r="N269" i="6"/>
  <c r="N270" i="6"/>
  <c r="N271" i="6"/>
  <c r="N272" i="6"/>
  <c r="N273" i="6"/>
  <c r="N274" i="6"/>
  <c r="N275" i="6"/>
  <c r="N276" i="6"/>
  <c r="N277" i="6"/>
  <c r="N278" i="6"/>
  <c r="N279" i="6"/>
  <c r="N280" i="6"/>
  <c r="N281" i="6"/>
  <c r="N282" i="6"/>
  <c r="N283" i="6"/>
  <c r="N284" i="6"/>
  <c r="N285" i="6"/>
  <c r="N286" i="6"/>
  <c r="N287" i="6"/>
  <c r="N288" i="6"/>
  <c r="N289" i="6"/>
  <c r="N290" i="6"/>
  <c r="N291" i="6"/>
  <c r="N292" i="6"/>
  <c r="N293" i="6"/>
  <c r="N294" i="6"/>
  <c r="N295" i="6"/>
  <c r="N296" i="6"/>
  <c r="N297" i="6"/>
  <c r="N298" i="6"/>
  <c r="N299" i="6"/>
  <c r="N300" i="6"/>
  <c r="N301" i="6"/>
  <c r="N302" i="6"/>
  <c r="N303" i="6"/>
  <c r="N304" i="6"/>
  <c r="N305" i="6"/>
  <c r="N306" i="6"/>
  <c r="N307" i="6"/>
  <c r="N308" i="6"/>
  <c r="N309" i="6"/>
  <c r="N310" i="6"/>
  <c r="N311" i="6"/>
  <c r="N312" i="6"/>
  <c r="N313" i="6"/>
  <c r="N314" i="6"/>
  <c r="N315" i="6"/>
  <c r="N316" i="6"/>
  <c r="N317" i="6"/>
  <c r="N318" i="6"/>
  <c r="N319" i="6"/>
  <c r="N320" i="6"/>
  <c r="N321" i="6"/>
  <c r="N322" i="6"/>
  <c r="N323" i="6"/>
  <c r="N324" i="6"/>
  <c r="N325" i="6"/>
  <c r="N326" i="6"/>
  <c r="N327" i="6"/>
  <c r="N328" i="6"/>
  <c r="N329" i="6"/>
  <c r="N330" i="6"/>
  <c r="N331" i="6"/>
  <c r="N332" i="6"/>
  <c r="N333" i="6"/>
  <c r="N334" i="6"/>
  <c r="N335" i="6"/>
  <c r="N336" i="6"/>
  <c r="N337" i="6"/>
  <c r="N338" i="6"/>
  <c r="N339" i="6"/>
  <c r="N340" i="6"/>
  <c r="N341" i="6"/>
  <c r="N342" i="6"/>
  <c r="N343" i="6"/>
  <c r="N344" i="6"/>
  <c r="N345" i="6"/>
  <c r="N346" i="6"/>
  <c r="N347" i="6"/>
  <c r="N348" i="6"/>
  <c r="N349" i="6"/>
  <c r="N350" i="6"/>
  <c r="N351" i="6"/>
  <c r="N352" i="6"/>
  <c r="N353" i="6"/>
  <c r="N354" i="6"/>
  <c r="N355" i="6"/>
  <c r="N356" i="6"/>
  <c r="N357" i="6"/>
  <c r="N358" i="6"/>
  <c r="N359" i="6"/>
  <c r="N360" i="6"/>
  <c r="N361" i="6"/>
  <c r="N362" i="6"/>
  <c r="N363" i="6"/>
  <c r="N364" i="6"/>
  <c r="N365" i="6"/>
  <c r="N366" i="6"/>
  <c r="N367" i="6"/>
  <c r="N368" i="6"/>
  <c r="N369" i="6"/>
  <c r="N370" i="6"/>
  <c r="N371" i="6"/>
  <c r="N372" i="6"/>
  <c r="N373" i="6"/>
  <c r="N374" i="6"/>
  <c r="N375" i="6"/>
  <c r="N376" i="6"/>
  <c r="N377" i="6"/>
  <c r="N378" i="6"/>
  <c r="N379" i="6"/>
  <c r="N380" i="6"/>
  <c r="N381" i="6"/>
  <c r="N382" i="6"/>
  <c r="N383" i="6"/>
  <c r="N384" i="6"/>
  <c r="N385" i="6"/>
  <c r="N386" i="6"/>
  <c r="N387" i="6"/>
  <c r="N388" i="6"/>
  <c r="N389" i="6"/>
  <c r="N390" i="6"/>
  <c r="N391" i="6"/>
  <c r="N392" i="6"/>
  <c r="N393" i="6"/>
  <c r="N394" i="6"/>
  <c r="N395" i="6"/>
  <c r="N396" i="6"/>
  <c r="N397" i="6"/>
  <c r="N398" i="6"/>
  <c r="N399" i="6"/>
  <c r="N400" i="6"/>
  <c r="N401" i="6"/>
  <c r="N402" i="6"/>
  <c r="N403" i="6"/>
  <c r="N404" i="6"/>
  <c r="N405" i="6"/>
  <c r="N406" i="6"/>
  <c r="N407" i="6"/>
  <c r="N408" i="6"/>
  <c r="N409" i="6"/>
  <c r="N410" i="6"/>
  <c r="N411" i="6"/>
  <c r="N412" i="6"/>
  <c r="N413" i="6"/>
  <c r="N414" i="6"/>
  <c r="N415" i="6"/>
  <c r="N416" i="6"/>
  <c r="N417" i="6"/>
  <c r="N418" i="6"/>
  <c r="N419" i="6"/>
  <c r="N420" i="6"/>
  <c r="N421" i="6"/>
  <c r="N422" i="6"/>
  <c r="N423" i="6"/>
  <c r="N424" i="6"/>
  <c r="N425" i="6"/>
  <c r="N426" i="6"/>
  <c r="N427" i="6"/>
  <c r="N428" i="6"/>
  <c r="N429" i="6"/>
  <c r="N430" i="6"/>
  <c r="N431" i="6"/>
  <c r="N432" i="6"/>
  <c r="N433" i="6"/>
  <c r="N434" i="6"/>
  <c r="N435" i="6"/>
  <c r="N436" i="6"/>
  <c r="N437" i="6"/>
  <c r="N438" i="6"/>
  <c r="N439" i="6"/>
  <c r="N440" i="6"/>
  <c r="N441" i="6"/>
  <c r="N442" i="6"/>
  <c r="N443" i="6"/>
  <c r="N444" i="6"/>
  <c r="N445" i="6"/>
  <c r="N446" i="6"/>
  <c r="N447" i="6"/>
  <c r="N448" i="6"/>
  <c r="N449" i="6"/>
  <c r="N450" i="6"/>
  <c r="N451" i="6"/>
  <c r="N452" i="6"/>
  <c r="N453" i="6"/>
  <c r="N454" i="6"/>
  <c r="N455" i="6"/>
  <c r="N456" i="6"/>
  <c r="N457" i="6"/>
  <c r="N458" i="6"/>
  <c r="N459" i="6"/>
  <c r="N460" i="6"/>
  <c r="N461" i="6"/>
  <c r="N462" i="6"/>
  <c r="N463" i="6"/>
  <c r="N464" i="6"/>
  <c r="N465" i="6"/>
  <c r="N466" i="6"/>
  <c r="N467" i="6"/>
  <c r="N468" i="6"/>
  <c r="N469" i="6"/>
  <c r="N470" i="6"/>
  <c r="N471" i="6"/>
  <c r="N472" i="6"/>
  <c r="N473" i="6"/>
  <c r="N474" i="6"/>
  <c r="N475" i="6"/>
  <c r="N476" i="6"/>
  <c r="N477" i="6"/>
  <c r="N478" i="6"/>
  <c r="N479" i="6"/>
  <c r="N480" i="6"/>
  <c r="N481" i="6"/>
  <c r="N482" i="6"/>
  <c r="N483" i="6"/>
  <c r="N484" i="6"/>
  <c r="N485" i="6"/>
  <c r="N486" i="6"/>
  <c r="N487" i="6"/>
  <c r="N488" i="6"/>
  <c r="N489" i="6"/>
  <c r="N490" i="6"/>
  <c r="N491" i="6"/>
  <c r="N492" i="6"/>
  <c r="N493" i="6"/>
  <c r="N494" i="6"/>
  <c r="N495" i="6"/>
  <c r="N496" i="6"/>
  <c r="N497" i="6"/>
  <c r="N498" i="6"/>
  <c r="N499" i="6"/>
  <c r="N500" i="6"/>
  <c r="N501" i="6"/>
  <c r="N502" i="6"/>
  <c r="N503" i="6"/>
  <c r="N504" i="6"/>
  <c r="N505" i="6"/>
  <c r="N506" i="6"/>
  <c r="N507" i="6"/>
  <c r="N508" i="6"/>
  <c r="N509" i="6"/>
  <c r="N510" i="6"/>
  <c r="N511" i="6"/>
  <c r="N512" i="6"/>
  <c r="N513" i="6"/>
  <c r="N514" i="6"/>
  <c r="N515" i="6"/>
  <c r="N516" i="6"/>
  <c r="N517" i="6"/>
  <c r="N518" i="6"/>
  <c r="N519" i="6"/>
  <c r="N520" i="6"/>
  <c r="N521" i="6"/>
  <c r="N522" i="6"/>
  <c r="N523" i="6"/>
  <c r="N524" i="6"/>
  <c r="N525" i="6"/>
  <c r="N526" i="6"/>
  <c r="N527" i="6"/>
  <c r="N528" i="6"/>
  <c r="N529" i="6"/>
  <c r="N530" i="6"/>
  <c r="N531" i="6"/>
  <c r="N532" i="6"/>
  <c r="N533" i="6"/>
  <c r="N534" i="6"/>
  <c r="N535" i="6"/>
  <c r="N536" i="6"/>
  <c r="N537" i="6"/>
  <c r="N538" i="6"/>
  <c r="N539" i="6"/>
  <c r="N540" i="6"/>
  <c r="N541" i="6"/>
  <c r="N542" i="6"/>
  <c r="N543" i="6"/>
  <c r="N544" i="6"/>
  <c r="N545" i="6"/>
  <c r="N546" i="6"/>
  <c r="N547" i="6"/>
  <c r="N548" i="6"/>
  <c r="N549" i="6"/>
  <c r="N550" i="6"/>
  <c r="N551" i="6"/>
  <c r="N552" i="6"/>
  <c r="N553" i="6"/>
  <c r="N554" i="6"/>
  <c r="N555" i="6"/>
  <c r="N556" i="6"/>
  <c r="N557" i="6"/>
  <c r="N558" i="6"/>
  <c r="N559" i="6"/>
  <c r="N560" i="6"/>
  <c r="N561" i="6"/>
  <c r="N562" i="6"/>
  <c r="N563" i="6"/>
  <c r="N564" i="6"/>
  <c r="N565" i="6"/>
  <c r="N566" i="6"/>
  <c r="N567" i="6"/>
  <c r="N568" i="6"/>
  <c r="N569" i="6"/>
  <c r="N570" i="6"/>
  <c r="N571" i="6"/>
  <c r="N572" i="6"/>
  <c r="N573" i="6"/>
  <c r="N574" i="6"/>
  <c r="N575" i="6"/>
  <c r="N576" i="6"/>
  <c r="N577" i="6"/>
  <c r="N578" i="6"/>
  <c r="N579" i="6"/>
  <c r="N580" i="6"/>
  <c r="N581" i="6"/>
  <c r="N582" i="6"/>
  <c r="N583" i="6"/>
  <c r="N584" i="6"/>
  <c r="N585" i="6"/>
  <c r="N586" i="6"/>
  <c r="N587" i="6"/>
  <c r="N588" i="6"/>
  <c r="N589" i="6"/>
  <c r="N590" i="6"/>
  <c r="N591" i="6"/>
  <c r="N592" i="6"/>
  <c r="N593" i="6"/>
  <c r="N594" i="6"/>
  <c r="N595" i="6"/>
  <c r="N596" i="6"/>
  <c r="N597" i="6"/>
  <c r="N598" i="6"/>
  <c r="N599" i="6"/>
  <c r="N600" i="6"/>
  <c r="N601" i="6"/>
  <c r="N602" i="6"/>
  <c r="N603" i="6"/>
  <c r="N604" i="6"/>
  <c r="N605" i="6"/>
  <c r="N606" i="6"/>
  <c r="N607" i="6"/>
  <c r="N608" i="6"/>
  <c r="N609" i="6"/>
  <c r="N610" i="6"/>
  <c r="N611" i="6"/>
  <c r="N612" i="6"/>
  <c r="N613" i="6"/>
  <c r="N614" i="6"/>
  <c r="N615" i="6"/>
  <c r="N616" i="6"/>
  <c r="N617" i="6"/>
  <c r="N618" i="6"/>
  <c r="N619" i="6"/>
  <c r="N620" i="6"/>
  <c r="N621" i="6"/>
  <c r="N622" i="6"/>
  <c r="N623" i="6"/>
  <c r="N624" i="6"/>
  <c r="N625" i="6"/>
  <c r="N626" i="6"/>
  <c r="N627" i="6"/>
  <c r="N628" i="6"/>
  <c r="N629" i="6"/>
  <c r="N630" i="6"/>
  <c r="N631" i="6"/>
  <c r="N632" i="6"/>
  <c r="N633" i="6"/>
  <c r="N634" i="6"/>
  <c r="N635" i="6"/>
  <c r="N636" i="6"/>
  <c r="N637" i="6"/>
  <c r="N638" i="6"/>
  <c r="N639" i="6"/>
  <c r="N640" i="6"/>
  <c r="N641" i="6"/>
  <c r="N642" i="6"/>
  <c r="N643" i="6"/>
  <c r="N644" i="6"/>
  <c r="N645" i="6"/>
  <c r="N646" i="6"/>
  <c r="N647" i="6"/>
  <c r="N648" i="6"/>
  <c r="N649" i="6"/>
  <c r="N650" i="6"/>
  <c r="N651" i="6"/>
  <c r="N652" i="6"/>
  <c r="N653" i="6"/>
  <c r="N654" i="6"/>
  <c r="N655" i="6"/>
  <c r="N656" i="6"/>
  <c r="N657" i="6"/>
  <c r="N658" i="6"/>
  <c r="N659" i="6"/>
  <c r="N660" i="6"/>
  <c r="N661" i="6"/>
  <c r="N662" i="6"/>
  <c r="N663" i="6"/>
  <c r="N664" i="6"/>
  <c r="N665" i="6"/>
  <c r="N666" i="6"/>
  <c r="N667" i="6"/>
  <c r="N668" i="6"/>
  <c r="N669" i="6"/>
  <c r="N670" i="6"/>
  <c r="N671" i="6"/>
  <c r="N672" i="6"/>
  <c r="N673" i="6"/>
  <c r="N674" i="6"/>
  <c r="N675" i="6"/>
  <c r="N676" i="6"/>
  <c r="N677" i="6"/>
  <c r="N678" i="6"/>
  <c r="N679" i="6"/>
  <c r="N680" i="6"/>
  <c r="N681" i="6"/>
  <c r="N682" i="6"/>
  <c r="N683" i="6"/>
  <c r="N684" i="6"/>
  <c r="N685" i="6"/>
  <c r="N686" i="6"/>
  <c r="N687" i="6"/>
  <c r="N688" i="6"/>
  <c r="N689" i="6"/>
  <c r="N690" i="6"/>
  <c r="N691" i="6"/>
  <c r="N692" i="6"/>
  <c r="N693" i="6"/>
  <c r="N694" i="6"/>
  <c r="N695" i="6"/>
  <c r="N696" i="6"/>
  <c r="N697" i="6"/>
  <c r="N698" i="6"/>
  <c r="N699" i="6"/>
  <c r="N700" i="6"/>
  <c r="N701" i="6"/>
  <c r="N702" i="6"/>
  <c r="N703" i="6"/>
  <c r="N704" i="6"/>
  <c r="N705" i="6"/>
  <c r="N706" i="6"/>
  <c r="N707" i="6"/>
  <c r="N708" i="6"/>
  <c r="N709" i="6"/>
  <c r="N710" i="6"/>
  <c r="N711" i="6"/>
  <c r="N712" i="6"/>
  <c r="N713" i="6"/>
  <c r="N714" i="6"/>
  <c r="N715" i="6"/>
  <c r="N716" i="6"/>
  <c r="N717" i="6"/>
  <c r="N718" i="6"/>
  <c r="N719" i="6"/>
  <c r="N720" i="6"/>
  <c r="N721" i="6"/>
  <c r="N722" i="6"/>
  <c r="N723" i="6"/>
  <c r="N724" i="6"/>
  <c r="N725" i="6"/>
  <c r="N726" i="6"/>
  <c r="N727" i="6"/>
  <c r="N728" i="6"/>
  <c r="N729" i="6"/>
  <c r="N730" i="6"/>
  <c r="N731" i="6"/>
  <c r="N732" i="6"/>
  <c r="N733" i="6"/>
  <c r="N734" i="6"/>
  <c r="N735" i="6"/>
  <c r="N736" i="6"/>
  <c r="N737" i="6"/>
  <c r="N738" i="6"/>
  <c r="N739" i="6"/>
  <c r="N740" i="6"/>
  <c r="N741" i="6"/>
  <c r="N742" i="6"/>
  <c r="N743" i="6"/>
  <c r="N744" i="6"/>
  <c r="N745" i="6"/>
  <c r="N746" i="6"/>
  <c r="N747" i="6"/>
  <c r="N748" i="6"/>
  <c r="N749" i="6"/>
  <c r="N750" i="6"/>
  <c r="N751" i="6"/>
  <c r="N752" i="6"/>
  <c r="N753" i="6"/>
  <c r="N754" i="6"/>
  <c r="N755" i="6"/>
  <c r="N756" i="6"/>
  <c r="N757" i="6"/>
  <c r="N758" i="6"/>
  <c r="N759" i="6"/>
  <c r="N760" i="6"/>
  <c r="N761" i="6"/>
  <c r="N762" i="6"/>
  <c r="N763" i="6"/>
  <c r="N764" i="6"/>
  <c r="N765" i="6"/>
  <c r="N766" i="6"/>
  <c r="N767" i="6"/>
  <c r="N768" i="6"/>
  <c r="N769" i="6"/>
  <c r="N770" i="6"/>
  <c r="N771" i="6"/>
  <c r="N772" i="6"/>
  <c r="N773" i="6"/>
  <c r="N774" i="6"/>
  <c r="N775" i="6"/>
  <c r="N776" i="6"/>
  <c r="N777" i="6"/>
  <c r="N778" i="6"/>
  <c r="N779" i="6"/>
  <c r="N780" i="6"/>
  <c r="N781" i="6"/>
  <c r="N782" i="6"/>
  <c r="N783" i="6"/>
  <c r="N784" i="6"/>
  <c r="N785" i="6"/>
  <c r="N786" i="6"/>
  <c r="N787" i="6"/>
  <c r="N788" i="6"/>
  <c r="N789" i="6"/>
  <c r="N790" i="6"/>
  <c r="N791" i="6"/>
  <c r="M3" i="6"/>
  <c r="M4" i="6"/>
  <c r="M5" i="6"/>
  <c r="M6" i="6"/>
  <c r="M7" i="6"/>
  <c r="M8" i="6"/>
  <c r="M9" i="6"/>
  <c r="M10" i="6"/>
  <c r="M11" i="6"/>
  <c r="M12" i="6"/>
  <c r="M13" i="6"/>
  <c r="M14" i="6"/>
  <c r="M15" i="6"/>
  <c r="M16" i="6"/>
  <c r="M17" i="6"/>
  <c r="M18" i="6"/>
  <c r="M19" i="6"/>
  <c r="M20" i="6"/>
  <c r="M21" i="6"/>
  <c r="M22" i="6"/>
  <c r="M23" i="6"/>
  <c r="M24" i="6"/>
  <c r="M25" i="6"/>
  <c r="M26" i="6"/>
  <c r="M27" i="6"/>
  <c r="M28" i="6"/>
  <c r="M29" i="6"/>
  <c r="M30" i="6"/>
  <c r="M31" i="6"/>
  <c r="M32" i="6"/>
  <c r="M33" i="6"/>
  <c r="M34" i="6"/>
  <c r="M35" i="6"/>
  <c r="M36" i="6"/>
  <c r="M37" i="6"/>
  <c r="M38" i="6"/>
  <c r="M39" i="6"/>
  <c r="M40" i="6"/>
  <c r="M41" i="6"/>
  <c r="M42" i="6"/>
  <c r="M43" i="6"/>
  <c r="M44" i="6"/>
  <c r="M45" i="6"/>
  <c r="M46" i="6"/>
  <c r="M47" i="6"/>
  <c r="M48" i="6"/>
  <c r="M49" i="6"/>
  <c r="M50" i="6"/>
  <c r="M51" i="6"/>
  <c r="M52" i="6"/>
  <c r="M53" i="6"/>
  <c r="M54" i="6"/>
  <c r="M55" i="6"/>
  <c r="M56" i="6"/>
  <c r="M57" i="6"/>
  <c r="M58" i="6"/>
  <c r="M59" i="6"/>
  <c r="M60" i="6"/>
  <c r="M61" i="6"/>
  <c r="M62" i="6"/>
  <c r="M63" i="6"/>
  <c r="M64" i="6"/>
  <c r="M65" i="6"/>
  <c r="M66" i="6"/>
  <c r="M67" i="6"/>
  <c r="M68" i="6"/>
  <c r="M69" i="6"/>
  <c r="M70" i="6"/>
  <c r="M71" i="6"/>
  <c r="M72" i="6"/>
  <c r="M73" i="6"/>
  <c r="M74" i="6"/>
  <c r="M75" i="6"/>
  <c r="M76" i="6"/>
  <c r="M77" i="6"/>
  <c r="M78" i="6"/>
  <c r="M79" i="6"/>
  <c r="M80" i="6"/>
  <c r="M81" i="6"/>
  <c r="M82" i="6"/>
  <c r="M83" i="6"/>
  <c r="M84" i="6"/>
  <c r="M85" i="6"/>
  <c r="M86" i="6"/>
  <c r="M87" i="6"/>
  <c r="M88" i="6"/>
  <c r="M89" i="6"/>
  <c r="M90" i="6"/>
  <c r="M91" i="6"/>
  <c r="M92" i="6"/>
  <c r="M93" i="6"/>
  <c r="M94" i="6"/>
  <c r="M95" i="6"/>
  <c r="M96" i="6"/>
  <c r="M97" i="6"/>
  <c r="M98" i="6"/>
  <c r="M99" i="6"/>
  <c r="M100" i="6"/>
  <c r="M101" i="6"/>
  <c r="M102" i="6"/>
  <c r="M103" i="6"/>
  <c r="M104" i="6"/>
  <c r="M105" i="6"/>
  <c r="M106" i="6"/>
  <c r="M107" i="6"/>
  <c r="M108" i="6"/>
  <c r="M109" i="6"/>
  <c r="M110" i="6"/>
  <c r="M111" i="6"/>
  <c r="M112" i="6"/>
  <c r="M113" i="6"/>
  <c r="M114" i="6"/>
  <c r="M115" i="6"/>
  <c r="M116" i="6"/>
  <c r="M117" i="6"/>
  <c r="M118" i="6"/>
  <c r="M119" i="6"/>
  <c r="M120" i="6"/>
  <c r="M121" i="6"/>
  <c r="M122" i="6"/>
  <c r="M123" i="6"/>
  <c r="M124" i="6"/>
  <c r="M125" i="6"/>
  <c r="M126" i="6"/>
  <c r="M127" i="6"/>
  <c r="M128" i="6"/>
  <c r="M129" i="6"/>
  <c r="M130" i="6"/>
  <c r="M131" i="6"/>
  <c r="M132" i="6"/>
  <c r="M133" i="6"/>
  <c r="M134" i="6"/>
  <c r="M135" i="6"/>
  <c r="M136" i="6"/>
  <c r="M137" i="6"/>
  <c r="M138" i="6"/>
  <c r="M139" i="6"/>
  <c r="M140" i="6"/>
  <c r="M141" i="6"/>
  <c r="M142" i="6"/>
  <c r="M143" i="6"/>
  <c r="M144" i="6"/>
  <c r="M145" i="6"/>
  <c r="M146" i="6"/>
  <c r="M147" i="6"/>
  <c r="M148" i="6"/>
  <c r="M149" i="6"/>
  <c r="M150" i="6"/>
  <c r="M151" i="6"/>
  <c r="M152" i="6"/>
  <c r="M153" i="6"/>
  <c r="M154" i="6"/>
  <c r="M155" i="6"/>
  <c r="M156" i="6"/>
  <c r="M157" i="6"/>
  <c r="M158" i="6"/>
  <c r="M159" i="6"/>
  <c r="M160" i="6"/>
  <c r="M161" i="6"/>
  <c r="M162" i="6"/>
  <c r="M163" i="6"/>
  <c r="M164" i="6"/>
  <c r="M165" i="6"/>
  <c r="M166" i="6"/>
  <c r="M167" i="6"/>
  <c r="M168" i="6"/>
  <c r="M169" i="6"/>
  <c r="M170" i="6"/>
  <c r="M171" i="6"/>
  <c r="M172" i="6"/>
  <c r="M173" i="6"/>
  <c r="M174" i="6"/>
  <c r="M175" i="6"/>
  <c r="M176" i="6"/>
  <c r="M177" i="6"/>
  <c r="M178" i="6"/>
  <c r="M179" i="6"/>
  <c r="M180" i="6"/>
  <c r="M181" i="6"/>
  <c r="M182" i="6"/>
  <c r="M183" i="6"/>
  <c r="M184" i="6"/>
  <c r="M185" i="6"/>
  <c r="M186" i="6"/>
  <c r="M187" i="6"/>
  <c r="M188" i="6"/>
  <c r="M189" i="6"/>
  <c r="M190" i="6"/>
  <c r="M191" i="6"/>
  <c r="M192" i="6"/>
  <c r="M193" i="6"/>
  <c r="M194" i="6"/>
  <c r="M195" i="6"/>
  <c r="M196" i="6"/>
  <c r="M197" i="6"/>
  <c r="M198" i="6"/>
  <c r="M199" i="6"/>
  <c r="M200" i="6"/>
  <c r="M201" i="6"/>
  <c r="M202" i="6"/>
  <c r="M203" i="6"/>
  <c r="M204" i="6"/>
  <c r="M205" i="6"/>
  <c r="M206" i="6"/>
  <c r="M207" i="6"/>
  <c r="M208" i="6"/>
  <c r="M209" i="6"/>
  <c r="M210" i="6"/>
  <c r="M211" i="6"/>
  <c r="M212" i="6"/>
  <c r="M213" i="6"/>
  <c r="M214" i="6"/>
  <c r="M215" i="6"/>
  <c r="M216" i="6"/>
  <c r="M217" i="6"/>
  <c r="M218" i="6"/>
  <c r="M219" i="6"/>
  <c r="M220" i="6"/>
  <c r="M221" i="6"/>
  <c r="M222" i="6"/>
  <c r="M223" i="6"/>
  <c r="M224" i="6"/>
  <c r="M225" i="6"/>
  <c r="M226" i="6"/>
  <c r="M227" i="6"/>
  <c r="M228" i="6"/>
  <c r="M229" i="6"/>
  <c r="M230" i="6"/>
  <c r="M231" i="6"/>
  <c r="M232" i="6"/>
  <c r="M233" i="6"/>
  <c r="M234" i="6"/>
  <c r="M235" i="6"/>
  <c r="M236" i="6"/>
  <c r="M237" i="6"/>
  <c r="M238" i="6"/>
  <c r="M239" i="6"/>
  <c r="M240" i="6"/>
  <c r="M241" i="6"/>
  <c r="M242" i="6"/>
  <c r="M243" i="6"/>
  <c r="M244" i="6"/>
  <c r="M245" i="6"/>
  <c r="M246" i="6"/>
  <c r="M247" i="6"/>
  <c r="M248" i="6"/>
  <c r="M249" i="6"/>
  <c r="M250" i="6"/>
  <c r="M251" i="6"/>
  <c r="M252" i="6"/>
  <c r="M253" i="6"/>
  <c r="M254" i="6"/>
  <c r="M255" i="6"/>
  <c r="M256" i="6"/>
  <c r="M257" i="6"/>
  <c r="M258" i="6"/>
  <c r="M259" i="6"/>
  <c r="M260" i="6"/>
  <c r="M261" i="6"/>
  <c r="M262" i="6"/>
  <c r="M263" i="6"/>
  <c r="M264" i="6"/>
  <c r="M265" i="6"/>
  <c r="M266" i="6"/>
  <c r="M267" i="6"/>
  <c r="M268" i="6"/>
  <c r="M269" i="6"/>
  <c r="M270" i="6"/>
  <c r="M271" i="6"/>
  <c r="M272" i="6"/>
  <c r="M273" i="6"/>
  <c r="M274" i="6"/>
  <c r="M275" i="6"/>
  <c r="M276" i="6"/>
  <c r="M277" i="6"/>
  <c r="M278" i="6"/>
  <c r="M279" i="6"/>
  <c r="M280" i="6"/>
  <c r="M281" i="6"/>
  <c r="M282" i="6"/>
  <c r="M283" i="6"/>
  <c r="M284" i="6"/>
  <c r="M285" i="6"/>
  <c r="M286" i="6"/>
  <c r="M287" i="6"/>
  <c r="M288" i="6"/>
  <c r="M289" i="6"/>
  <c r="M290" i="6"/>
  <c r="M291" i="6"/>
  <c r="M292" i="6"/>
  <c r="M293" i="6"/>
  <c r="M294" i="6"/>
  <c r="M295" i="6"/>
  <c r="M296" i="6"/>
  <c r="M297" i="6"/>
  <c r="M298" i="6"/>
  <c r="M299" i="6"/>
  <c r="M300" i="6"/>
  <c r="M301" i="6"/>
  <c r="M302" i="6"/>
  <c r="M303" i="6"/>
  <c r="M304" i="6"/>
  <c r="M305" i="6"/>
  <c r="M306" i="6"/>
  <c r="M307" i="6"/>
  <c r="M308" i="6"/>
  <c r="M309" i="6"/>
  <c r="M310" i="6"/>
  <c r="M311" i="6"/>
  <c r="M312" i="6"/>
  <c r="M313" i="6"/>
  <c r="M314" i="6"/>
  <c r="M315" i="6"/>
  <c r="M316" i="6"/>
  <c r="M317" i="6"/>
  <c r="M318" i="6"/>
  <c r="M319" i="6"/>
  <c r="M320" i="6"/>
  <c r="M321" i="6"/>
  <c r="M322" i="6"/>
  <c r="M323" i="6"/>
  <c r="M324" i="6"/>
  <c r="M325" i="6"/>
  <c r="M326" i="6"/>
  <c r="M327" i="6"/>
  <c r="M328" i="6"/>
  <c r="M329" i="6"/>
  <c r="M330" i="6"/>
  <c r="M331" i="6"/>
  <c r="M332" i="6"/>
  <c r="M333" i="6"/>
  <c r="M334" i="6"/>
  <c r="M335" i="6"/>
  <c r="M336" i="6"/>
  <c r="M337" i="6"/>
  <c r="M338" i="6"/>
  <c r="M339" i="6"/>
  <c r="M340" i="6"/>
  <c r="M341" i="6"/>
  <c r="M342" i="6"/>
  <c r="M343" i="6"/>
  <c r="M344" i="6"/>
  <c r="M345" i="6"/>
  <c r="M346" i="6"/>
  <c r="M347" i="6"/>
  <c r="M348" i="6"/>
  <c r="M349" i="6"/>
  <c r="M350" i="6"/>
  <c r="M351" i="6"/>
  <c r="M352" i="6"/>
  <c r="M353" i="6"/>
  <c r="M354" i="6"/>
  <c r="M355" i="6"/>
  <c r="M356" i="6"/>
  <c r="M357" i="6"/>
  <c r="M358" i="6"/>
  <c r="M359" i="6"/>
  <c r="M360" i="6"/>
  <c r="M361" i="6"/>
  <c r="M362" i="6"/>
  <c r="M363" i="6"/>
  <c r="M364" i="6"/>
  <c r="M365" i="6"/>
  <c r="M366" i="6"/>
  <c r="M367" i="6"/>
  <c r="M368" i="6"/>
  <c r="M369" i="6"/>
  <c r="M370" i="6"/>
  <c r="M371" i="6"/>
  <c r="M372" i="6"/>
  <c r="M373" i="6"/>
  <c r="M374" i="6"/>
  <c r="M375" i="6"/>
  <c r="M376" i="6"/>
  <c r="M377" i="6"/>
  <c r="M378" i="6"/>
  <c r="M379" i="6"/>
  <c r="M380" i="6"/>
  <c r="M381" i="6"/>
  <c r="M382" i="6"/>
  <c r="M383" i="6"/>
  <c r="M384" i="6"/>
  <c r="M385" i="6"/>
  <c r="M386" i="6"/>
  <c r="M387" i="6"/>
  <c r="M388" i="6"/>
  <c r="M389" i="6"/>
  <c r="M390" i="6"/>
  <c r="M391" i="6"/>
  <c r="M392" i="6"/>
  <c r="M393" i="6"/>
  <c r="M394" i="6"/>
  <c r="M395" i="6"/>
  <c r="M396" i="6"/>
  <c r="M397" i="6"/>
  <c r="M398" i="6"/>
  <c r="M399" i="6"/>
  <c r="M400" i="6"/>
  <c r="M401" i="6"/>
  <c r="M402" i="6"/>
  <c r="M403" i="6"/>
  <c r="M404" i="6"/>
  <c r="M405" i="6"/>
  <c r="M406" i="6"/>
  <c r="M407" i="6"/>
  <c r="M408" i="6"/>
  <c r="M409" i="6"/>
  <c r="M410" i="6"/>
  <c r="M411" i="6"/>
  <c r="M412" i="6"/>
  <c r="M413" i="6"/>
  <c r="M414" i="6"/>
  <c r="M415" i="6"/>
  <c r="M416" i="6"/>
  <c r="M417" i="6"/>
  <c r="M418" i="6"/>
  <c r="M419" i="6"/>
  <c r="M420" i="6"/>
  <c r="M421" i="6"/>
  <c r="M422" i="6"/>
  <c r="M423" i="6"/>
  <c r="M424" i="6"/>
  <c r="M425" i="6"/>
  <c r="M426" i="6"/>
  <c r="M427" i="6"/>
  <c r="M428" i="6"/>
  <c r="M429" i="6"/>
  <c r="M430" i="6"/>
  <c r="M431" i="6"/>
  <c r="M432" i="6"/>
  <c r="M433" i="6"/>
  <c r="M434" i="6"/>
  <c r="M435" i="6"/>
  <c r="M436" i="6"/>
  <c r="M437" i="6"/>
  <c r="M438" i="6"/>
  <c r="M439" i="6"/>
  <c r="M440" i="6"/>
  <c r="M441" i="6"/>
  <c r="M442" i="6"/>
  <c r="M443" i="6"/>
  <c r="M444" i="6"/>
  <c r="M445" i="6"/>
  <c r="M446" i="6"/>
  <c r="M447" i="6"/>
  <c r="M448" i="6"/>
  <c r="M449" i="6"/>
  <c r="M450" i="6"/>
  <c r="M451" i="6"/>
  <c r="M452" i="6"/>
  <c r="M453" i="6"/>
  <c r="M454" i="6"/>
  <c r="M455" i="6"/>
  <c r="M456" i="6"/>
  <c r="M457" i="6"/>
  <c r="M458" i="6"/>
  <c r="M459" i="6"/>
  <c r="M460" i="6"/>
  <c r="M461" i="6"/>
  <c r="M462" i="6"/>
  <c r="M463" i="6"/>
  <c r="M464" i="6"/>
  <c r="M465" i="6"/>
  <c r="M466" i="6"/>
  <c r="M467" i="6"/>
  <c r="M468" i="6"/>
  <c r="M469" i="6"/>
  <c r="M470" i="6"/>
  <c r="M471" i="6"/>
  <c r="M472" i="6"/>
  <c r="M473" i="6"/>
  <c r="M474" i="6"/>
  <c r="M475" i="6"/>
  <c r="M476" i="6"/>
  <c r="M477" i="6"/>
  <c r="M478" i="6"/>
  <c r="M479" i="6"/>
  <c r="M480" i="6"/>
  <c r="M481" i="6"/>
  <c r="M482" i="6"/>
  <c r="M483" i="6"/>
  <c r="M484" i="6"/>
  <c r="M485" i="6"/>
  <c r="M486" i="6"/>
  <c r="M487" i="6"/>
  <c r="M488" i="6"/>
  <c r="M489" i="6"/>
  <c r="M490" i="6"/>
  <c r="M491" i="6"/>
  <c r="M492" i="6"/>
  <c r="M493" i="6"/>
  <c r="M494" i="6"/>
  <c r="M495" i="6"/>
  <c r="M496" i="6"/>
  <c r="M497" i="6"/>
  <c r="M498" i="6"/>
  <c r="M499" i="6"/>
  <c r="M500" i="6"/>
  <c r="M501" i="6"/>
  <c r="M502" i="6"/>
  <c r="M503" i="6"/>
  <c r="M504" i="6"/>
  <c r="M505" i="6"/>
  <c r="M506" i="6"/>
  <c r="M507" i="6"/>
  <c r="M508" i="6"/>
  <c r="M509" i="6"/>
  <c r="M510" i="6"/>
  <c r="M511" i="6"/>
  <c r="M512" i="6"/>
  <c r="M513" i="6"/>
  <c r="M514" i="6"/>
  <c r="M515" i="6"/>
  <c r="M516" i="6"/>
  <c r="M517" i="6"/>
  <c r="M518" i="6"/>
  <c r="M519" i="6"/>
  <c r="M520" i="6"/>
  <c r="M521" i="6"/>
  <c r="M522" i="6"/>
  <c r="M523" i="6"/>
  <c r="M524" i="6"/>
  <c r="M525" i="6"/>
  <c r="M526" i="6"/>
  <c r="M527" i="6"/>
  <c r="M528" i="6"/>
  <c r="M529" i="6"/>
  <c r="M530" i="6"/>
  <c r="M531" i="6"/>
  <c r="M532" i="6"/>
  <c r="M533" i="6"/>
  <c r="M534" i="6"/>
  <c r="M535" i="6"/>
  <c r="M536" i="6"/>
  <c r="M537" i="6"/>
  <c r="M538" i="6"/>
  <c r="M539" i="6"/>
  <c r="M540" i="6"/>
  <c r="M541" i="6"/>
  <c r="M542" i="6"/>
  <c r="M543" i="6"/>
  <c r="M544" i="6"/>
  <c r="M545" i="6"/>
  <c r="M546" i="6"/>
  <c r="M547" i="6"/>
  <c r="M548" i="6"/>
  <c r="M549" i="6"/>
  <c r="M550" i="6"/>
  <c r="M551" i="6"/>
  <c r="M552" i="6"/>
  <c r="M553" i="6"/>
  <c r="M554" i="6"/>
  <c r="M555" i="6"/>
  <c r="M556" i="6"/>
  <c r="M557" i="6"/>
  <c r="M558" i="6"/>
  <c r="M559" i="6"/>
  <c r="M560" i="6"/>
  <c r="M561" i="6"/>
  <c r="M562" i="6"/>
  <c r="M563" i="6"/>
  <c r="M564" i="6"/>
  <c r="M565" i="6"/>
  <c r="M566" i="6"/>
  <c r="M567" i="6"/>
  <c r="M568" i="6"/>
  <c r="M569" i="6"/>
  <c r="M570" i="6"/>
  <c r="M571" i="6"/>
  <c r="M572" i="6"/>
  <c r="M573" i="6"/>
  <c r="M574" i="6"/>
  <c r="M575" i="6"/>
  <c r="M576" i="6"/>
  <c r="M577" i="6"/>
  <c r="M578" i="6"/>
  <c r="M579" i="6"/>
  <c r="M580" i="6"/>
  <c r="M581" i="6"/>
  <c r="M582" i="6"/>
  <c r="M583" i="6"/>
  <c r="M584" i="6"/>
  <c r="M585" i="6"/>
  <c r="M586" i="6"/>
  <c r="M587" i="6"/>
  <c r="M588" i="6"/>
  <c r="M589" i="6"/>
  <c r="M590" i="6"/>
  <c r="M591" i="6"/>
  <c r="M592" i="6"/>
  <c r="M593" i="6"/>
  <c r="M594" i="6"/>
  <c r="M595" i="6"/>
  <c r="M596" i="6"/>
  <c r="M597" i="6"/>
  <c r="M598" i="6"/>
  <c r="M599" i="6"/>
  <c r="M600" i="6"/>
  <c r="M601" i="6"/>
  <c r="M602" i="6"/>
  <c r="M603" i="6"/>
  <c r="M604" i="6"/>
  <c r="M605" i="6"/>
  <c r="M606" i="6"/>
  <c r="M607" i="6"/>
  <c r="M608" i="6"/>
  <c r="M609" i="6"/>
  <c r="M610" i="6"/>
  <c r="M611" i="6"/>
  <c r="M612" i="6"/>
  <c r="M613" i="6"/>
  <c r="M614" i="6"/>
  <c r="M615" i="6"/>
  <c r="M616" i="6"/>
  <c r="M617" i="6"/>
  <c r="M618" i="6"/>
  <c r="M619" i="6"/>
  <c r="M620" i="6"/>
  <c r="M621" i="6"/>
  <c r="M622" i="6"/>
  <c r="M623" i="6"/>
  <c r="M624" i="6"/>
  <c r="M625" i="6"/>
  <c r="M626" i="6"/>
  <c r="M627" i="6"/>
  <c r="M628" i="6"/>
  <c r="M629" i="6"/>
  <c r="M630" i="6"/>
  <c r="M631" i="6"/>
  <c r="M632" i="6"/>
  <c r="M633" i="6"/>
  <c r="M634" i="6"/>
  <c r="M635" i="6"/>
  <c r="M636" i="6"/>
  <c r="M637" i="6"/>
  <c r="M638" i="6"/>
  <c r="M639" i="6"/>
  <c r="M640" i="6"/>
  <c r="M641" i="6"/>
  <c r="M642" i="6"/>
  <c r="M643" i="6"/>
  <c r="M644" i="6"/>
  <c r="M645" i="6"/>
  <c r="M646" i="6"/>
  <c r="M647" i="6"/>
  <c r="M648" i="6"/>
  <c r="M649" i="6"/>
  <c r="M650" i="6"/>
  <c r="M651" i="6"/>
  <c r="M652" i="6"/>
  <c r="M653" i="6"/>
  <c r="M654" i="6"/>
  <c r="M655" i="6"/>
  <c r="M656" i="6"/>
  <c r="M657" i="6"/>
  <c r="M658" i="6"/>
  <c r="M659" i="6"/>
  <c r="M660" i="6"/>
  <c r="M661" i="6"/>
  <c r="M662" i="6"/>
  <c r="M663" i="6"/>
  <c r="M664" i="6"/>
  <c r="M665" i="6"/>
  <c r="M666" i="6"/>
  <c r="M667" i="6"/>
  <c r="M668" i="6"/>
  <c r="M669" i="6"/>
  <c r="M670" i="6"/>
  <c r="M671" i="6"/>
  <c r="M672" i="6"/>
  <c r="M673" i="6"/>
  <c r="M674" i="6"/>
  <c r="M675" i="6"/>
  <c r="M676" i="6"/>
  <c r="M677" i="6"/>
  <c r="M678" i="6"/>
  <c r="M679" i="6"/>
  <c r="M680" i="6"/>
  <c r="M681" i="6"/>
  <c r="M682" i="6"/>
  <c r="M683" i="6"/>
  <c r="M684" i="6"/>
  <c r="M685" i="6"/>
  <c r="M686" i="6"/>
  <c r="M687" i="6"/>
  <c r="M688" i="6"/>
  <c r="M689" i="6"/>
  <c r="M690" i="6"/>
  <c r="M691" i="6"/>
  <c r="M692" i="6"/>
  <c r="M693" i="6"/>
  <c r="M694" i="6"/>
  <c r="M695" i="6"/>
  <c r="M696" i="6"/>
  <c r="M697" i="6"/>
  <c r="M698" i="6"/>
  <c r="M699" i="6"/>
  <c r="M700" i="6"/>
  <c r="M701" i="6"/>
  <c r="M702" i="6"/>
  <c r="M703" i="6"/>
  <c r="M704" i="6"/>
  <c r="M705" i="6"/>
  <c r="M706" i="6"/>
  <c r="M707" i="6"/>
  <c r="M708" i="6"/>
  <c r="M709" i="6"/>
  <c r="M710" i="6"/>
  <c r="M711" i="6"/>
  <c r="M712" i="6"/>
  <c r="M713" i="6"/>
  <c r="M714" i="6"/>
  <c r="M715" i="6"/>
  <c r="M716" i="6"/>
  <c r="M717" i="6"/>
  <c r="M718" i="6"/>
  <c r="M719" i="6"/>
  <c r="M720" i="6"/>
  <c r="M721" i="6"/>
  <c r="M722" i="6"/>
  <c r="M723" i="6"/>
  <c r="M724" i="6"/>
  <c r="M725" i="6"/>
  <c r="M726" i="6"/>
  <c r="M727" i="6"/>
  <c r="M728" i="6"/>
  <c r="M729" i="6"/>
  <c r="M730" i="6"/>
  <c r="M731" i="6"/>
  <c r="M732" i="6"/>
  <c r="M733" i="6"/>
  <c r="M734" i="6"/>
  <c r="M735" i="6"/>
  <c r="M736" i="6"/>
  <c r="M737" i="6"/>
  <c r="M738" i="6"/>
  <c r="M739" i="6"/>
  <c r="M740" i="6"/>
  <c r="M741" i="6"/>
  <c r="M742" i="6"/>
  <c r="M743" i="6"/>
  <c r="M744" i="6"/>
  <c r="M745" i="6"/>
  <c r="M746" i="6"/>
  <c r="M747" i="6"/>
  <c r="M748" i="6"/>
  <c r="M749" i="6"/>
  <c r="M750" i="6"/>
  <c r="M751" i="6"/>
  <c r="M752" i="6"/>
  <c r="M753" i="6"/>
  <c r="M754" i="6"/>
  <c r="M755" i="6"/>
  <c r="M756" i="6"/>
  <c r="M757" i="6"/>
  <c r="M758" i="6"/>
  <c r="M759" i="6"/>
  <c r="M760" i="6"/>
  <c r="M761" i="6"/>
  <c r="M762" i="6"/>
  <c r="M763" i="6"/>
  <c r="M764" i="6"/>
  <c r="M765" i="6"/>
  <c r="M766" i="6"/>
  <c r="M767" i="6"/>
  <c r="M768" i="6"/>
  <c r="M769" i="6"/>
  <c r="M770" i="6"/>
  <c r="M771" i="6"/>
  <c r="M772" i="6"/>
  <c r="M773" i="6"/>
  <c r="M774" i="6"/>
  <c r="M775" i="6"/>
  <c r="M776" i="6"/>
  <c r="M777" i="6"/>
  <c r="M778" i="6"/>
  <c r="M779" i="6"/>
  <c r="M780" i="6"/>
  <c r="M781" i="6"/>
  <c r="M782" i="6"/>
  <c r="M783" i="6"/>
  <c r="M784" i="6"/>
  <c r="M785" i="6"/>
  <c r="M786" i="6"/>
  <c r="M787" i="6"/>
  <c r="M788" i="6"/>
  <c r="M789" i="6"/>
  <c r="M790" i="6"/>
  <c r="M791" i="6"/>
  <c r="L3" i="6"/>
  <c r="L4" i="6"/>
  <c r="L5" i="6"/>
  <c r="L6" i="6"/>
  <c r="L7" i="6"/>
  <c r="L8" i="6"/>
  <c r="L9" i="6"/>
  <c r="L10" i="6"/>
  <c r="L11" i="6"/>
  <c r="L12" i="6"/>
  <c r="L13" i="6"/>
  <c r="L14" i="6"/>
  <c r="L15" i="6"/>
  <c r="L16" i="6"/>
  <c r="L17" i="6"/>
  <c r="L18" i="6"/>
  <c r="L19" i="6"/>
  <c r="L20" i="6"/>
  <c r="L21" i="6"/>
  <c r="L22" i="6"/>
  <c r="L23" i="6"/>
  <c r="L24" i="6"/>
  <c r="L25" i="6"/>
  <c r="L26" i="6"/>
  <c r="L27" i="6"/>
  <c r="L28" i="6"/>
  <c r="L29" i="6"/>
  <c r="L30" i="6"/>
  <c r="L31" i="6"/>
  <c r="L32" i="6"/>
  <c r="L33" i="6"/>
  <c r="L34" i="6"/>
  <c r="L35" i="6"/>
  <c r="L36" i="6"/>
  <c r="L37" i="6"/>
  <c r="L38" i="6"/>
  <c r="L39" i="6"/>
  <c r="L40" i="6"/>
  <c r="L41" i="6"/>
  <c r="L42" i="6"/>
  <c r="L43" i="6"/>
  <c r="L44" i="6"/>
  <c r="L45" i="6"/>
  <c r="L46" i="6"/>
  <c r="L47" i="6"/>
  <c r="L48" i="6"/>
  <c r="L49" i="6"/>
  <c r="L50" i="6"/>
  <c r="L51" i="6"/>
  <c r="L52" i="6"/>
  <c r="L53" i="6"/>
  <c r="L54" i="6"/>
  <c r="L55" i="6"/>
  <c r="L56" i="6"/>
  <c r="L57" i="6"/>
  <c r="L58" i="6"/>
  <c r="L59" i="6"/>
  <c r="L60" i="6"/>
  <c r="L61" i="6"/>
  <c r="L62" i="6"/>
  <c r="L63" i="6"/>
  <c r="L64" i="6"/>
  <c r="L65" i="6"/>
  <c r="L66" i="6"/>
  <c r="L67" i="6"/>
  <c r="L68" i="6"/>
  <c r="L69" i="6"/>
  <c r="L70" i="6"/>
  <c r="L71" i="6"/>
  <c r="L72" i="6"/>
  <c r="L73" i="6"/>
  <c r="L74" i="6"/>
  <c r="L75" i="6"/>
  <c r="L76" i="6"/>
  <c r="L77" i="6"/>
  <c r="L78" i="6"/>
  <c r="L79" i="6"/>
  <c r="L80" i="6"/>
  <c r="L81" i="6"/>
  <c r="L82" i="6"/>
  <c r="L83" i="6"/>
  <c r="L84" i="6"/>
  <c r="L85" i="6"/>
  <c r="L86" i="6"/>
  <c r="L87" i="6"/>
  <c r="L88" i="6"/>
  <c r="L89" i="6"/>
  <c r="L90" i="6"/>
  <c r="L91" i="6"/>
  <c r="L92" i="6"/>
  <c r="L93" i="6"/>
  <c r="L94" i="6"/>
  <c r="L95" i="6"/>
  <c r="L96" i="6"/>
  <c r="L97" i="6"/>
  <c r="L98" i="6"/>
  <c r="L99" i="6"/>
  <c r="L100" i="6"/>
  <c r="L101" i="6"/>
  <c r="L102" i="6"/>
  <c r="L103" i="6"/>
  <c r="L104" i="6"/>
  <c r="L105" i="6"/>
  <c r="L106" i="6"/>
  <c r="L107" i="6"/>
  <c r="L108" i="6"/>
  <c r="L109" i="6"/>
  <c r="L110" i="6"/>
  <c r="L111" i="6"/>
  <c r="L112" i="6"/>
  <c r="L113" i="6"/>
  <c r="L114" i="6"/>
  <c r="L115" i="6"/>
  <c r="L116" i="6"/>
  <c r="L117" i="6"/>
  <c r="L118" i="6"/>
  <c r="L119" i="6"/>
  <c r="L120" i="6"/>
  <c r="L121" i="6"/>
  <c r="L122" i="6"/>
  <c r="L123" i="6"/>
  <c r="L124" i="6"/>
  <c r="L125" i="6"/>
  <c r="L126" i="6"/>
  <c r="L127" i="6"/>
  <c r="L128" i="6"/>
  <c r="L129" i="6"/>
  <c r="L130" i="6"/>
  <c r="L131" i="6"/>
  <c r="L132" i="6"/>
  <c r="L133" i="6"/>
  <c r="L134" i="6"/>
  <c r="L135" i="6"/>
  <c r="L136" i="6"/>
  <c r="L137" i="6"/>
  <c r="L138" i="6"/>
  <c r="L139" i="6"/>
  <c r="L140" i="6"/>
  <c r="L141" i="6"/>
  <c r="L142" i="6"/>
  <c r="L143" i="6"/>
  <c r="L144" i="6"/>
  <c r="L145" i="6"/>
  <c r="L146" i="6"/>
  <c r="L147" i="6"/>
  <c r="L148" i="6"/>
  <c r="L149" i="6"/>
  <c r="L150" i="6"/>
  <c r="L151" i="6"/>
  <c r="L152" i="6"/>
  <c r="L153" i="6"/>
  <c r="L154" i="6"/>
  <c r="L155" i="6"/>
  <c r="L156" i="6"/>
  <c r="L157" i="6"/>
  <c r="L158" i="6"/>
  <c r="L159" i="6"/>
  <c r="L160" i="6"/>
  <c r="L161" i="6"/>
  <c r="L162" i="6"/>
  <c r="L163" i="6"/>
  <c r="L164" i="6"/>
  <c r="L165" i="6"/>
  <c r="L166" i="6"/>
  <c r="L167" i="6"/>
  <c r="L168" i="6"/>
  <c r="L169" i="6"/>
  <c r="L170" i="6"/>
  <c r="L171" i="6"/>
  <c r="L172" i="6"/>
  <c r="L173" i="6"/>
  <c r="L174" i="6"/>
  <c r="L175" i="6"/>
  <c r="L176" i="6"/>
  <c r="L177" i="6"/>
  <c r="L178" i="6"/>
  <c r="L179" i="6"/>
  <c r="L180" i="6"/>
  <c r="L181" i="6"/>
  <c r="L182" i="6"/>
  <c r="L183" i="6"/>
  <c r="L184" i="6"/>
  <c r="L185" i="6"/>
  <c r="L186" i="6"/>
  <c r="L187" i="6"/>
  <c r="L188" i="6"/>
  <c r="L189" i="6"/>
  <c r="L190" i="6"/>
  <c r="L191" i="6"/>
  <c r="L192" i="6"/>
  <c r="L193" i="6"/>
  <c r="L194" i="6"/>
  <c r="L195" i="6"/>
  <c r="L196" i="6"/>
  <c r="L197" i="6"/>
  <c r="L198" i="6"/>
  <c r="L199" i="6"/>
  <c r="L200" i="6"/>
  <c r="L201" i="6"/>
  <c r="L202" i="6"/>
  <c r="L203" i="6"/>
  <c r="L204" i="6"/>
  <c r="L205" i="6"/>
  <c r="L206" i="6"/>
  <c r="L207" i="6"/>
  <c r="L208" i="6"/>
  <c r="L209" i="6"/>
  <c r="L210" i="6"/>
  <c r="L211" i="6"/>
  <c r="L212" i="6"/>
  <c r="L213" i="6"/>
  <c r="L214" i="6"/>
  <c r="L215" i="6"/>
  <c r="L216" i="6"/>
  <c r="L217" i="6"/>
  <c r="L218" i="6"/>
  <c r="L219" i="6"/>
  <c r="L220" i="6"/>
  <c r="L221" i="6"/>
  <c r="L222" i="6"/>
  <c r="L223" i="6"/>
  <c r="L224" i="6"/>
  <c r="L225" i="6"/>
  <c r="L226" i="6"/>
  <c r="L227" i="6"/>
  <c r="L228" i="6"/>
  <c r="L229" i="6"/>
  <c r="L230" i="6"/>
  <c r="L231" i="6"/>
  <c r="L232" i="6"/>
  <c r="L233" i="6"/>
  <c r="L234" i="6"/>
  <c r="L235" i="6"/>
  <c r="L236" i="6"/>
  <c r="L237" i="6"/>
  <c r="L238" i="6"/>
  <c r="L239" i="6"/>
  <c r="L240" i="6"/>
  <c r="L241" i="6"/>
  <c r="L242" i="6"/>
  <c r="L243" i="6"/>
  <c r="L244" i="6"/>
  <c r="L245" i="6"/>
  <c r="L246" i="6"/>
  <c r="L247" i="6"/>
  <c r="L248" i="6"/>
  <c r="L249" i="6"/>
  <c r="L250" i="6"/>
  <c r="L251" i="6"/>
  <c r="L252" i="6"/>
  <c r="L253" i="6"/>
  <c r="L254" i="6"/>
  <c r="L255" i="6"/>
  <c r="L256" i="6"/>
  <c r="L257" i="6"/>
  <c r="L258" i="6"/>
  <c r="L259" i="6"/>
  <c r="L260" i="6"/>
  <c r="L261" i="6"/>
  <c r="L262" i="6"/>
  <c r="L263" i="6"/>
  <c r="L264" i="6"/>
  <c r="L265" i="6"/>
  <c r="L266" i="6"/>
  <c r="L267" i="6"/>
  <c r="L268" i="6"/>
  <c r="L269" i="6"/>
  <c r="L270" i="6"/>
  <c r="L271" i="6"/>
  <c r="L272" i="6"/>
  <c r="L273" i="6"/>
  <c r="L274" i="6"/>
  <c r="L275" i="6"/>
  <c r="L276" i="6"/>
  <c r="L277" i="6"/>
  <c r="L278" i="6"/>
  <c r="L279" i="6"/>
  <c r="L280" i="6"/>
  <c r="L281" i="6"/>
  <c r="L282" i="6"/>
  <c r="L283" i="6"/>
  <c r="L284" i="6"/>
  <c r="L285" i="6"/>
  <c r="L286" i="6"/>
  <c r="L287" i="6"/>
  <c r="L288" i="6"/>
  <c r="L289" i="6"/>
  <c r="L290" i="6"/>
  <c r="L291" i="6"/>
  <c r="L292" i="6"/>
  <c r="L293" i="6"/>
  <c r="L294" i="6"/>
  <c r="L295" i="6"/>
  <c r="L296" i="6"/>
  <c r="L297" i="6"/>
  <c r="L298" i="6"/>
  <c r="L299" i="6"/>
  <c r="L300" i="6"/>
  <c r="L301" i="6"/>
  <c r="L302" i="6"/>
  <c r="L303" i="6"/>
  <c r="L304" i="6"/>
  <c r="L305" i="6"/>
  <c r="L306" i="6"/>
  <c r="L307" i="6"/>
  <c r="L308" i="6"/>
  <c r="L309" i="6"/>
  <c r="L310" i="6"/>
  <c r="L311" i="6"/>
  <c r="L312" i="6"/>
  <c r="L313" i="6"/>
  <c r="L314" i="6"/>
  <c r="L315" i="6"/>
  <c r="L316" i="6"/>
  <c r="L317" i="6"/>
  <c r="L318" i="6"/>
  <c r="L319" i="6"/>
  <c r="L320" i="6"/>
  <c r="L321" i="6"/>
  <c r="L322" i="6"/>
  <c r="L323" i="6"/>
  <c r="L324" i="6"/>
  <c r="L325" i="6"/>
  <c r="L326" i="6"/>
  <c r="L327" i="6"/>
  <c r="L328" i="6"/>
  <c r="L329" i="6"/>
  <c r="L330" i="6"/>
  <c r="L331" i="6"/>
  <c r="L332" i="6"/>
  <c r="L333" i="6"/>
  <c r="L334" i="6"/>
  <c r="L335" i="6"/>
  <c r="L336" i="6"/>
  <c r="L337" i="6"/>
  <c r="L338" i="6"/>
  <c r="L339" i="6"/>
  <c r="L340" i="6"/>
  <c r="L341" i="6"/>
  <c r="L342" i="6"/>
  <c r="L343" i="6"/>
  <c r="L344" i="6"/>
  <c r="L345" i="6"/>
  <c r="L346" i="6"/>
  <c r="L347" i="6"/>
  <c r="L348" i="6"/>
  <c r="L349" i="6"/>
  <c r="L350" i="6"/>
  <c r="L351" i="6"/>
  <c r="L352" i="6"/>
  <c r="L353" i="6"/>
  <c r="L354" i="6"/>
  <c r="L355" i="6"/>
  <c r="L356" i="6"/>
  <c r="L357" i="6"/>
  <c r="L358" i="6"/>
  <c r="L359" i="6"/>
  <c r="L360" i="6"/>
  <c r="L361" i="6"/>
  <c r="L362" i="6"/>
  <c r="L363" i="6"/>
  <c r="L364" i="6"/>
  <c r="L365" i="6"/>
  <c r="L366" i="6"/>
  <c r="L367" i="6"/>
  <c r="L368" i="6"/>
  <c r="L369" i="6"/>
  <c r="L370" i="6"/>
  <c r="L371" i="6"/>
  <c r="L372" i="6"/>
  <c r="L373" i="6"/>
  <c r="L374" i="6"/>
  <c r="L375" i="6"/>
  <c r="L376" i="6"/>
  <c r="L377" i="6"/>
  <c r="L378" i="6"/>
  <c r="L379" i="6"/>
  <c r="L380" i="6"/>
  <c r="L381" i="6"/>
  <c r="L382" i="6"/>
  <c r="L383" i="6"/>
  <c r="L384" i="6"/>
  <c r="L385" i="6"/>
  <c r="L386" i="6"/>
  <c r="L387" i="6"/>
  <c r="L388" i="6"/>
  <c r="L389" i="6"/>
  <c r="L390" i="6"/>
  <c r="L391" i="6"/>
  <c r="L392" i="6"/>
  <c r="L393" i="6"/>
  <c r="L394" i="6"/>
  <c r="L395" i="6"/>
  <c r="L396" i="6"/>
  <c r="L397" i="6"/>
  <c r="L398" i="6"/>
  <c r="L399" i="6"/>
  <c r="L400" i="6"/>
  <c r="L401" i="6"/>
  <c r="L402" i="6"/>
  <c r="L403" i="6"/>
  <c r="L404" i="6"/>
  <c r="L405" i="6"/>
  <c r="L406" i="6"/>
  <c r="L407" i="6"/>
  <c r="L408" i="6"/>
  <c r="L409" i="6"/>
  <c r="L410" i="6"/>
  <c r="L411" i="6"/>
  <c r="L412" i="6"/>
  <c r="L413" i="6"/>
  <c r="L414" i="6"/>
  <c r="L415" i="6"/>
  <c r="L416" i="6"/>
  <c r="L417" i="6"/>
  <c r="L418" i="6"/>
  <c r="L419" i="6"/>
  <c r="L420" i="6"/>
  <c r="L421" i="6"/>
  <c r="L422" i="6"/>
  <c r="L423" i="6"/>
  <c r="L424" i="6"/>
  <c r="L425" i="6"/>
  <c r="L426" i="6"/>
  <c r="L427" i="6"/>
  <c r="L428" i="6"/>
  <c r="L429" i="6"/>
  <c r="L430" i="6"/>
  <c r="L431" i="6"/>
  <c r="L432" i="6"/>
  <c r="L433" i="6"/>
  <c r="L434" i="6"/>
  <c r="L435" i="6"/>
  <c r="L436" i="6"/>
  <c r="L437" i="6"/>
  <c r="L438" i="6"/>
  <c r="L439" i="6"/>
  <c r="L440" i="6"/>
  <c r="L441" i="6"/>
  <c r="L442" i="6"/>
  <c r="L443" i="6"/>
  <c r="L444" i="6"/>
  <c r="L445" i="6"/>
  <c r="L446" i="6"/>
  <c r="L447" i="6"/>
  <c r="L448" i="6"/>
  <c r="L449" i="6"/>
  <c r="L450" i="6"/>
  <c r="L451" i="6"/>
  <c r="L452" i="6"/>
  <c r="L453" i="6"/>
  <c r="L454" i="6"/>
  <c r="L455" i="6"/>
  <c r="L456" i="6"/>
  <c r="L457" i="6"/>
  <c r="L458" i="6"/>
  <c r="L459" i="6"/>
  <c r="L460" i="6"/>
  <c r="L461" i="6"/>
  <c r="L462" i="6"/>
  <c r="L463" i="6"/>
  <c r="L464" i="6"/>
  <c r="L465" i="6"/>
  <c r="L466" i="6"/>
  <c r="L467" i="6"/>
  <c r="L468" i="6"/>
  <c r="L469" i="6"/>
  <c r="L470" i="6"/>
  <c r="L471" i="6"/>
  <c r="L472" i="6"/>
  <c r="L473" i="6"/>
  <c r="L474" i="6"/>
  <c r="L475" i="6"/>
  <c r="L476" i="6"/>
  <c r="L477" i="6"/>
  <c r="L478" i="6"/>
  <c r="L479" i="6"/>
  <c r="L480" i="6"/>
  <c r="L481" i="6"/>
  <c r="L482" i="6"/>
  <c r="L483" i="6"/>
  <c r="L484" i="6"/>
  <c r="L485" i="6"/>
  <c r="L486" i="6"/>
  <c r="L487" i="6"/>
  <c r="L488" i="6"/>
  <c r="L489" i="6"/>
  <c r="L490" i="6"/>
  <c r="L491" i="6"/>
  <c r="L492" i="6"/>
  <c r="L493" i="6"/>
  <c r="L494" i="6"/>
  <c r="L495" i="6"/>
  <c r="L496" i="6"/>
  <c r="L497" i="6"/>
  <c r="L498" i="6"/>
  <c r="L499" i="6"/>
  <c r="L500" i="6"/>
  <c r="L501" i="6"/>
  <c r="L502" i="6"/>
  <c r="L503" i="6"/>
  <c r="L504" i="6"/>
  <c r="L505" i="6"/>
  <c r="L506" i="6"/>
  <c r="L507" i="6"/>
  <c r="L508" i="6"/>
  <c r="L509" i="6"/>
  <c r="L510" i="6"/>
  <c r="L511" i="6"/>
  <c r="L512" i="6"/>
  <c r="L513" i="6"/>
  <c r="L514" i="6"/>
  <c r="L515" i="6"/>
  <c r="L516" i="6"/>
  <c r="L517" i="6"/>
  <c r="L518" i="6"/>
  <c r="L519" i="6"/>
  <c r="L520" i="6"/>
  <c r="L521" i="6"/>
  <c r="L522" i="6"/>
  <c r="L523" i="6"/>
  <c r="L524" i="6"/>
  <c r="L525" i="6"/>
  <c r="L526" i="6"/>
  <c r="L527" i="6"/>
  <c r="L528" i="6"/>
  <c r="L529" i="6"/>
  <c r="L530" i="6"/>
  <c r="L531" i="6"/>
  <c r="L532" i="6"/>
  <c r="L533" i="6"/>
  <c r="L534" i="6"/>
  <c r="L535" i="6"/>
  <c r="L536" i="6"/>
  <c r="L537" i="6"/>
  <c r="L538" i="6"/>
  <c r="L539" i="6"/>
  <c r="L540" i="6"/>
  <c r="L541" i="6"/>
  <c r="L542" i="6"/>
  <c r="L543" i="6"/>
  <c r="L544" i="6"/>
  <c r="L545" i="6"/>
  <c r="L546" i="6"/>
  <c r="L547" i="6"/>
  <c r="L548" i="6"/>
  <c r="L549" i="6"/>
  <c r="L550" i="6"/>
  <c r="L551" i="6"/>
  <c r="L552" i="6"/>
  <c r="L553" i="6"/>
  <c r="L554" i="6"/>
  <c r="L555" i="6"/>
  <c r="L556" i="6"/>
  <c r="L557" i="6"/>
  <c r="L558" i="6"/>
  <c r="L559" i="6"/>
  <c r="L560" i="6"/>
  <c r="L561" i="6"/>
  <c r="L562" i="6"/>
  <c r="L563" i="6"/>
  <c r="L564" i="6"/>
  <c r="L565" i="6"/>
  <c r="L566" i="6"/>
  <c r="L567" i="6"/>
  <c r="L568" i="6"/>
  <c r="L569" i="6"/>
  <c r="L570" i="6"/>
  <c r="L571" i="6"/>
  <c r="L572" i="6"/>
  <c r="L573" i="6"/>
  <c r="L574" i="6"/>
  <c r="L575" i="6"/>
  <c r="L576" i="6"/>
  <c r="L577" i="6"/>
  <c r="L578" i="6"/>
  <c r="L579" i="6"/>
  <c r="L580" i="6"/>
  <c r="L581" i="6"/>
  <c r="L582" i="6"/>
  <c r="L583" i="6"/>
  <c r="L584" i="6"/>
  <c r="L585" i="6"/>
  <c r="L586" i="6"/>
  <c r="L587" i="6"/>
  <c r="L588" i="6"/>
  <c r="L589" i="6"/>
  <c r="L590" i="6"/>
  <c r="L591" i="6"/>
  <c r="L592" i="6"/>
  <c r="L593" i="6"/>
  <c r="L594" i="6"/>
  <c r="L595" i="6"/>
  <c r="L596" i="6"/>
  <c r="L597" i="6"/>
  <c r="L598" i="6"/>
  <c r="L599" i="6"/>
  <c r="L600" i="6"/>
  <c r="L601" i="6"/>
  <c r="L602" i="6"/>
  <c r="L603" i="6"/>
  <c r="L604" i="6"/>
  <c r="L605" i="6"/>
  <c r="L606" i="6"/>
  <c r="L607" i="6"/>
  <c r="L608" i="6"/>
  <c r="L609" i="6"/>
  <c r="L610" i="6"/>
  <c r="L611" i="6"/>
  <c r="L612" i="6"/>
  <c r="L613" i="6"/>
  <c r="L614" i="6"/>
  <c r="L615" i="6"/>
  <c r="L616" i="6"/>
  <c r="L617" i="6"/>
  <c r="L618" i="6"/>
  <c r="L619" i="6"/>
  <c r="L620" i="6"/>
  <c r="L621" i="6"/>
  <c r="L622" i="6"/>
  <c r="L623" i="6"/>
  <c r="L624" i="6"/>
  <c r="L625" i="6"/>
  <c r="L626" i="6"/>
  <c r="L627" i="6"/>
  <c r="L628" i="6"/>
  <c r="L629" i="6"/>
  <c r="L630" i="6"/>
  <c r="L631" i="6"/>
  <c r="L632" i="6"/>
  <c r="L633" i="6"/>
  <c r="L634" i="6"/>
  <c r="L635" i="6"/>
  <c r="L636" i="6"/>
  <c r="L637" i="6"/>
  <c r="L638" i="6"/>
  <c r="L639" i="6"/>
  <c r="L640" i="6"/>
  <c r="L641" i="6"/>
  <c r="L642" i="6"/>
  <c r="L643" i="6"/>
  <c r="L644" i="6"/>
  <c r="L645" i="6"/>
  <c r="L646" i="6"/>
  <c r="L647" i="6"/>
  <c r="L648" i="6"/>
  <c r="L649" i="6"/>
  <c r="L650" i="6"/>
  <c r="L651" i="6"/>
  <c r="L652" i="6"/>
  <c r="L653" i="6"/>
  <c r="L654" i="6"/>
  <c r="L655" i="6"/>
  <c r="L656" i="6"/>
  <c r="L657" i="6"/>
  <c r="L658" i="6"/>
  <c r="L659" i="6"/>
  <c r="L660" i="6"/>
  <c r="L661" i="6"/>
  <c r="L662" i="6"/>
  <c r="L663" i="6"/>
  <c r="L664" i="6"/>
  <c r="L665" i="6"/>
  <c r="L666" i="6"/>
  <c r="L667" i="6"/>
  <c r="L668" i="6"/>
  <c r="L669" i="6"/>
  <c r="L670" i="6"/>
  <c r="L671" i="6"/>
  <c r="L672" i="6"/>
  <c r="L673" i="6"/>
  <c r="L674" i="6"/>
  <c r="L675" i="6"/>
  <c r="L676" i="6"/>
  <c r="L677" i="6"/>
  <c r="L678" i="6"/>
  <c r="L679" i="6"/>
  <c r="L680" i="6"/>
  <c r="L681" i="6"/>
  <c r="L682" i="6"/>
  <c r="L683" i="6"/>
  <c r="L684" i="6"/>
  <c r="L685" i="6"/>
  <c r="L686" i="6"/>
  <c r="L687" i="6"/>
  <c r="L688" i="6"/>
  <c r="L689" i="6"/>
  <c r="L690" i="6"/>
  <c r="L691" i="6"/>
  <c r="L692" i="6"/>
  <c r="L693" i="6"/>
  <c r="L694" i="6"/>
  <c r="L695" i="6"/>
  <c r="L696" i="6"/>
  <c r="L697" i="6"/>
  <c r="L698" i="6"/>
  <c r="L699" i="6"/>
  <c r="L700" i="6"/>
  <c r="L701" i="6"/>
  <c r="L702" i="6"/>
  <c r="L703" i="6"/>
  <c r="L704" i="6"/>
  <c r="L705" i="6"/>
  <c r="L706" i="6"/>
  <c r="L707" i="6"/>
  <c r="L708" i="6"/>
  <c r="L709" i="6"/>
  <c r="L710" i="6"/>
  <c r="L711" i="6"/>
  <c r="L712" i="6"/>
  <c r="L713" i="6"/>
  <c r="L714" i="6"/>
  <c r="L715" i="6"/>
  <c r="L716" i="6"/>
  <c r="L717" i="6"/>
  <c r="L718" i="6"/>
  <c r="L719" i="6"/>
  <c r="L720" i="6"/>
  <c r="L721" i="6"/>
  <c r="L722" i="6"/>
  <c r="L723" i="6"/>
  <c r="L724" i="6"/>
  <c r="L725" i="6"/>
  <c r="L726" i="6"/>
  <c r="L727" i="6"/>
  <c r="L728" i="6"/>
  <c r="L729" i="6"/>
  <c r="L730" i="6"/>
  <c r="L731" i="6"/>
  <c r="L732" i="6"/>
  <c r="L733" i="6"/>
  <c r="L734" i="6"/>
  <c r="L735" i="6"/>
  <c r="L736" i="6"/>
  <c r="L737" i="6"/>
  <c r="L738" i="6"/>
  <c r="L739" i="6"/>
  <c r="L740" i="6"/>
  <c r="L741" i="6"/>
  <c r="L742" i="6"/>
  <c r="L743" i="6"/>
  <c r="L744" i="6"/>
  <c r="L745" i="6"/>
  <c r="L746" i="6"/>
  <c r="L747" i="6"/>
  <c r="L748" i="6"/>
  <c r="L749" i="6"/>
  <c r="L750" i="6"/>
  <c r="L751" i="6"/>
  <c r="L752" i="6"/>
  <c r="L753" i="6"/>
  <c r="L754" i="6"/>
  <c r="L755" i="6"/>
  <c r="L756" i="6"/>
  <c r="L757" i="6"/>
  <c r="L758" i="6"/>
  <c r="L759" i="6"/>
  <c r="L760" i="6"/>
  <c r="L761" i="6"/>
  <c r="L762" i="6"/>
  <c r="L763" i="6"/>
  <c r="L764" i="6"/>
  <c r="L765" i="6"/>
  <c r="L766" i="6"/>
  <c r="L767" i="6"/>
  <c r="L768" i="6"/>
  <c r="L769" i="6"/>
  <c r="L770" i="6"/>
  <c r="L771" i="6"/>
  <c r="L772" i="6"/>
  <c r="L773" i="6"/>
  <c r="L774" i="6"/>
  <c r="L775" i="6"/>
  <c r="L776" i="6"/>
  <c r="L777" i="6"/>
  <c r="L778" i="6"/>
  <c r="L779" i="6"/>
  <c r="L780" i="6"/>
  <c r="L781" i="6"/>
  <c r="L782" i="6"/>
  <c r="L783" i="6"/>
  <c r="L784" i="6"/>
  <c r="L785" i="6"/>
  <c r="L786" i="6"/>
  <c r="L787" i="6"/>
  <c r="L788" i="6"/>
  <c r="L789" i="6"/>
  <c r="L790" i="6"/>
  <c r="L791" i="6"/>
  <c r="K3" i="6"/>
  <c r="K4" i="6"/>
  <c r="K5" i="6"/>
  <c r="K6" i="6"/>
  <c r="K7" i="6"/>
  <c r="K8" i="6"/>
  <c r="K9" i="6"/>
  <c r="K10" i="6"/>
  <c r="K11" i="6"/>
  <c r="K12" i="6"/>
  <c r="K13" i="6"/>
  <c r="K14" i="6"/>
  <c r="K15" i="6"/>
  <c r="K16" i="6"/>
  <c r="K17" i="6"/>
  <c r="K18" i="6"/>
  <c r="K19" i="6"/>
  <c r="K20" i="6"/>
  <c r="K21" i="6"/>
  <c r="K22" i="6"/>
  <c r="K23" i="6"/>
  <c r="K24" i="6"/>
  <c r="K25" i="6"/>
  <c r="K26" i="6"/>
  <c r="K27" i="6"/>
  <c r="K28" i="6"/>
  <c r="K29" i="6"/>
  <c r="K30" i="6"/>
  <c r="K31" i="6"/>
  <c r="K32" i="6"/>
  <c r="K33" i="6"/>
  <c r="K34" i="6"/>
  <c r="K35" i="6"/>
  <c r="K36" i="6"/>
  <c r="K37" i="6"/>
  <c r="K38" i="6"/>
  <c r="K39" i="6"/>
  <c r="K40" i="6"/>
  <c r="K41" i="6"/>
  <c r="K42" i="6"/>
  <c r="K43" i="6"/>
  <c r="K44" i="6"/>
  <c r="K45" i="6"/>
  <c r="K46" i="6"/>
  <c r="K47" i="6"/>
  <c r="K48" i="6"/>
  <c r="K49" i="6"/>
  <c r="K50" i="6"/>
  <c r="K51" i="6"/>
  <c r="K52" i="6"/>
  <c r="K53" i="6"/>
  <c r="K54" i="6"/>
  <c r="K55" i="6"/>
  <c r="K56" i="6"/>
  <c r="K57" i="6"/>
  <c r="K58" i="6"/>
  <c r="K59" i="6"/>
  <c r="K60" i="6"/>
  <c r="K61" i="6"/>
  <c r="K62" i="6"/>
  <c r="K63" i="6"/>
  <c r="K64" i="6"/>
  <c r="K65" i="6"/>
  <c r="K66" i="6"/>
  <c r="K67" i="6"/>
  <c r="K68" i="6"/>
  <c r="K69" i="6"/>
  <c r="K70" i="6"/>
  <c r="K71" i="6"/>
  <c r="K72" i="6"/>
  <c r="K73" i="6"/>
  <c r="K74" i="6"/>
  <c r="K75" i="6"/>
  <c r="K76" i="6"/>
  <c r="K77" i="6"/>
  <c r="K78" i="6"/>
  <c r="K79" i="6"/>
  <c r="K80" i="6"/>
  <c r="K81" i="6"/>
  <c r="K82" i="6"/>
  <c r="K83" i="6"/>
  <c r="K84" i="6"/>
  <c r="K85" i="6"/>
  <c r="K86" i="6"/>
  <c r="K87" i="6"/>
  <c r="K88" i="6"/>
  <c r="K89" i="6"/>
  <c r="K90" i="6"/>
  <c r="K91" i="6"/>
  <c r="K92" i="6"/>
  <c r="K93" i="6"/>
  <c r="K94" i="6"/>
  <c r="K95" i="6"/>
  <c r="K96" i="6"/>
  <c r="K97" i="6"/>
  <c r="K98" i="6"/>
  <c r="K99" i="6"/>
  <c r="K100" i="6"/>
  <c r="K101" i="6"/>
  <c r="K102" i="6"/>
  <c r="K103" i="6"/>
  <c r="K104" i="6"/>
  <c r="K105" i="6"/>
  <c r="K106" i="6"/>
  <c r="K107" i="6"/>
  <c r="K108" i="6"/>
  <c r="K109" i="6"/>
  <c r="K110" i="6"/>
  <c r="K111" i="6"/>
  <c r="K112" i="6"/>
  <c r="K113" i="6"/>
  <c r="K114" i="6"/>
  <c r="K115" i="6"/>
  <c r="K116" i="6"/>
  <c r="K117" i="6"/>
  <c r="K118" i="6"/>
  <c r="K119" i="6"/>
  <c r="K120" i="6"/>
  <c r="K121" i="6"/>
  <c r="K122" i="6"/>
  <c r="K123" i="6"/>
  <c r="K124" i="6"/>
  <c r="K125" i="6"/>
  <c r="K126" i="6"/>
  <c r="K127" i="6"/>
  <c r="K128" i="6"/>
  <c r="K129" i="6"/>
  <c r="K130" i="6"/>
  <c r="K131" i="6"/>
  <c r="K132" i="6"/>
  <c r="K133" i="6"/>
  <c r="K134" i="6"/>
  <c r="K135" i="6"/>
  <c r="K136" i="6"/>
  <c r="K137" i="6"/>
  <c r="K138" i="6"/>
  <c r="K139" i="6"/>
  <c r="K140" i="6"/>
  <c r="K141" i="6"/>
  <c r="K142" i="6"/>
  <c r="K143" i="6"/>
  <c r="K144" i="6"/>
  <c r="K145" i="6"/>
  <c r="K146" i="6"/>
  <c r="K147" i="6"/>
  <c r="K148" i="6"/>
  <c r="K149" i="6"/>
  <c r="K150" i="6"/>
  <c r="K151" i="6"/>
  <c r="K152" i="6"/>
  <c r="K153" i="6"/>
  <c r="K154" i="6"/>
  <c r="K155" i="6"/>
  <c r="K156" i="6"/>
  <c r="K157" i="6"/>
  <c r="K158" i="6"/>
  <c r="K159" i="6"/>
  <c r="K160" i="6"/>
  <c r="K161" i="6"/>
  <c r="K162" i="6"/>
  <c r="K163" i="6"/>
  <c r="K164" i="6"/>
  <c r="K165" i="6"/>
  <c r="K166" i="6"/>
  <c r="K167" i="6"/>
  <c r="K168" i="6"/>
  <c r="K169" i="6"/>
  <c r="K170" i="6"/>
  <c r="K171" i="6"/>
  <c r="K172" i="6"/>
  <c r="K173" i="6"/>
  <c r="K174" i="6"/>
  <c r="K175" i="6"/>
  <c r="K176" i="6"/>
  <c r="K177" i="6"/>
  <c r="K178" i="6"/>
  <c r="K179" i="6"/>
  <c r="K180" i="6"/>
  <c r="K181" i="6"/>
  <c r="K182" i="6"/>
  <c r="K183" i="6"/>
  <c r="K184" i="6"/>
  <c r="K185" i="6"/>
  <c r="K186" i="6"/>
  <c r="K187" i="6"/>
  <c r="K188" i="6"/>
  <c r="K189" i="6"/>
  <c r="K190" i="6"/>
  <c r="K191" i="6"/>
  <c r="K192" i="6"/>
  <c r="K193" i="6"/>
  <c r="K194" i="6"/>
  <c r="K195" i="6"/>
  <c r="K196" i="6"/>
  <c r="K197" i="6"/>
  <c r="K198" i="6"/>
  <c r="K199" i="6"/>
  <c r="K200" i="6"/>
  <c r="K201" i="6"/>
  <c r="K202" i="6"/>
  <c r="K203" i="6"/>
  <c r="K204" i="6"/>
  <c r="K205" i="6"/>
  <c r="K206" i="6"/>
  <c r="K207" i="6"/>
  <c r="K208" i="6"/>
  <c r="K209" i="6"/>
  <c r="K210" i="6"/>
  <c r="K211" i="6"/>
  <c r="K212" i="6"/>
  <c r="K213" i="6"/>
  <c r="K214" i="6"/>
  <c r="K215" i="6"/>
  <c r="K216" i="6"/>
  <c r="K217" i="6"/>
  <c r="K218" i="6"/>
  <c r="K219" i="6"/>
  <c r="K220" i="6"/>
  <c r="K221" i="6"/>
  <c r="K222" i="6"/>
  <c r="K223" i="6"/>
  <c r="K224" i="6"/>
  <c r="K225" i="6"/>
  <c r="K226" i="6"/>
  <c r="K227" i="6"/>
  <c r="K228" i="6"/>
  <c r="K229" i="6"/>
  <c r="K230" i="6"/>
  <c r="K231" i="6"/>
  <c r="K232" i="6"/>
  <c r="K233" i="6"/>
  <c r="K234" i="6"/>
  <c r="K235" i="6"/>
  <c r="K236" i="6"/>
  <c r="K237" i="6"/>
  <c r="K238" i="6"/>
  <c r="K239" i="6"/>
  <c r="K240" i="6"/>
  <c r="K241" i="6"/>
  <c r="K242" i="6"/>
  <c r="K243" i="6"/>
  <c r="K244" i="6"/>
  <c r="K245" i="6"/>
  <c r="K246" i="6"/>
  <c r="K247" i="6"/>
  <c r="K248" i="6"/>
  <c r="K249" i="6"/>
  <c r="K250" i="6"/>
  <c r="K251" i="6"/>
  <c r="K252" i="6"/>
  <c r="K253" i="6"/>
  <c r="K254" i="6"/>
  <c r="K255" i="6"/>
  <c r="K256" i="6"/>
  <c r="K257" i="6"/>
  <c r="K258" i="6"/>
  <c r="K259" i="6"/>
  <c r="K260" i="6"/>
  <c r="K261" i="6"/>
  <c r="K262" i="6"/>
  <c r="K263" i="6"/>
  <c r="K264" i="6"/>
  <c r="K265" i="6"/>
  <c r="K266" i="6"/>
  <c r="K267" i="6"/>
  <c r="K268" i="6"/>
  <c r="K269" i="6"/>
  <c r="K270" i="6"/>
  <c r="K271" i="6"/>
  <c r="K272" i="6"/>
  <c r="K273" i="6"/>
  <c r="K274" i="6"/>
  <c r="K275" i="6"/>
  <c r="K276" i="6"/>
  <c r="K277" i="6"/>
  <c r="K278" i="6"/>
  <c r="K279" i="6"/>
  <c r="K280" i="6"/>
  <c r="K281" i="6"/>
  <c r="K282" i="6"/>
  <c r="K283" i="6"/>
  <c r="K284" i="6"/>
  <c r="K285" i="6"/>
  <c r="K286" i="6"/>
  <c r="K287" i="6"/>
  <c r="K288" i="6"/>
  <c r="K289" i="6"/>
  <c r="K290" i="6"/>
  <c r="K291" i="6"/>
  <c r="K292" i="6"/>
  <c r="K293" i="6"/>
  <c r="K294" i="6"/>
  <c r="K295" i="6"/>
  <c r="K296" i="6"/>
  <c r="K297" i="6"/>
  <c r="K298" i="6"/>
  <c r="K299" i="6"/>
  <c r="K300" i="6"/>
  <c r="K301" i="6"/>
  <c r="K302" i="6"/>
  <c r="K303" i="6"/>
  <c r="K304" i="6"/>
  <c r="K305" i="6"/>
  <c r="K306" i="6"/>
  <c r="K307" i="6"/>
  <c r="K308" i="6"/>
  <c r="K309" i="6"/>
  <c r="K310" i="6"/>
  <c r="K311" i="6"/>
  <c r="K312" i="6"/>
  <c r="K313" i="6"/>
  <c r="K314" i="6"/>
  <c r="K315" i="6"/>
  <c r="K316" i="6"/>
  <c r="K317" i="6"/>
  <c r="K318" i="6"/>
  <c r="K319" i="6"/>
  <c r="K320" i="6"/>
  <c r="K321" i="6"/>
  <c r="K322" i="6"/>
  <c r="K323" i="6"/>
  <c r="K324" i="6"/>
  <c r="K325" i="6"/>
  <c r="K326" i="6"/>
  <c r="K327" i="6"/>
  <c r="K328" i="6"/>
  <c r="K329" i="6"/>
  <c r="K330" i="6"/>
  <c r="K331" i="6"/>
  <c r="K332" i="6"/>
  <c r="K333" i="6"/>
  <c r="K334" i="6"/>
  <c r="K335" i="6"/>
  <c r="K336" i="6"/>
  <c r="K337" i="6"/>
  <c r="K338" i="6"/>
  <c r="K339" i="6"/>
  <c r="K340" i="6"/>
  <c r="K341" i="6"/>
  <c r="K342" i="6"/>
  <c r="K343" i="6"/>
  <c r="K344" i="6"/>
  <c r="K345" i="6"/>
  <c r="K346" i="6"/>
  <c r="K347" i="6"/>
  <c r="K348" i="6"/>
  <c r="K349" i="6"/>
  <c r="K350" i="6"/>
  <c r="K351" i="6"/>
  <c r="K352" i="6"/>
  <c r="K353" i="6"/>
  <c r="K354" i="6"/>
  <c r="K355" i="6"/>
  <c r="K356" i="6"/>
  <c r="K357" i="6"/>
  <c r="K358" i="6"/>
  <c r="K359" i="6"/>
  <c r="K360" i="6"/>
  <c r="K361" i="6"/>
  <c r="K362" i="6"/>
  <c r="K363" i="6"/>
  <c r="K364" i="6"/>
  <c r="K365" i="6"/>
  <c r="K366" i="6"/>
  <c r="K367" i="6"/>
  <c r="K368" i="6"/>
  <c r="K369" i="6"/>
  <c r="K370" i="6"/>
  <c r="K371" i="6"/>
  <c r="K372" i="6"/>
  <c r="K373" i="6"/>
  <c r="K374" i="6"/>
  <c r="K375" i="6"/>
  <c r="K376" i="6"/>
  <c r="K377" i="6"/>
  <c r="K378" i="6"/>
  <c r="K379" i="6"/>
  <c r="K380" i="6"/>
  <c r="K381" i="6"/>
  <c r="K382" i="6"/>
  <c r="K383" i="6"/>
  <c r="K384" i="6"/>
  <c r="K385" i="6"/>
  <c r="K386" i="6"/>
  <c r="K387" i="6"/>
  <c r="K388" i="6"/>
  <c r="K389" i="6"/>
  <c r="K390" i="6"/>
  <c r="K391" i="6"/>
  <c r="K392" i="6"/>
  <c r="K393" i="6"/>
  <c r="K394" i="6"/>
  <c r="K395" i="6"/>
  <c r="K396" i="6"/>
  <c r="K397" i="6"/>
  <c r="K398" i="6"/>
  <c r="K399" i="6"/>
  <c r="K400" i="6"/>
  <c r="K401" i="6"/>
  <c r="K402" i="6"/>
  <c r="K403" i="6"/>
  <c r="K404" i="6"/>
  <c r="K405" i="6"/>
  <c r="K406" i="6"/>
  <c r="K407" i="6"/>
  <c r="K408" i="6"/>
  <c r="K409" i="6"/>
  <c r="K410" i="6"/>
  <c r="K411" i="6"/>
  <c r="K412" i="6"/>
  <c r="K413" i="6"/>
  <c r="K414" i="6"/>
  <c r="K415" i="6"/>
  <c r="K416" i="6"/>
  <c r="K417" i="6"/>
  <c r="K418" i="6"/>
  <c r="K419" i="6"/>
  <c r="K420" i="6"/>
  <c r="K421" i="6"/>
  <c r="K422" i="6"/>
  <c r="K423" i="6"/>
  <c r="K424" i="6"/>
  <c r="K425" i="6"/>
  <c r="K426" i="6"/>
  <c r="K427" i="6"/>
  <c r="K428" i="6"/>
  <c r="K429" i="6"/>
  <c r="K430" i="6"/>
  <c r="K431" i="6"/>
  <c r="K432" i="6"/>
  <c r="K433" i="6"/>
  <c r="K434" i="6"/>
  <c r="K435" i="6"/>
  <c r="K436" i="6"/>
  <c r="K437" i="6"/>
  <c r="K438" i="6"/>
  <c r="K439" i="6"/>
  <c r="K440" i="6"/>
  <c r="K441" i="6"/>
  <c r="K442" i="6"/>
  <c r="K443" i="6"/>
  <c r="K444" i="6"/>
  <c r="K445" i="6"/>
  <c r="K446" i="6"/>
  <c r="K447" i="6"/>
  <c r="K448" i="6"/>
  <c r="K449" i="6"/>
  <c r="K450" i="6"/>
  <c r="K451" i="6"/>
  <c r="K452" i="6"/>
  <c r="K453" i="6"/>
  <c r="K454" i="6"/>
  <c r="K455" i="6"/>
  <c r="K456" i="6"/>
  <c r="K457" i="6"/>
  <c r="K458" i="6"/>
  <c r="K459" i="6"/>
  <c r="K460" i="6"/>
  <c r="K461" i="6"/>
  <c r="K462" i="6"/>
  <c r="K463" i="6"/>
  <c r="K464" i="6"/>
  <c r="K465" i="6"/>
  <c r="K466" i="6"/>
  <c r="K467" i="6"/>
  <c r="K468" i="6"/>
  <c r="K469" i="6"/>
  <c r="K470" i="6"/>
  <c r="K471" i="6"/>
  <c r="K472" i="6"/>
  <c r="K473" i="6"/>
  <c r="K474" i="6"/>
  <c r="K475" i="6"/>
  <c r="K476" i="6"/>
  <c r="K477" i="6"/>
  <c r="K478" i="6"/>
  <c r="K479" i="6"/>
  <c r="K480" i="6"/>
  <c r="K481" i="6"/>
  <c r="K482" i="6"/>
  <c r="K483" i="6"/>
  <c r="K484" i="6"/>
  <c r="K485" i="6"/>
  <c r="K486" i="6"/>
  <c r="K487" i="6"/>
  <c r="K488" i="6"/>
  <c r="K489" i="6"/>
  <c r="K490" i="6"/>
  <c r="K491" i="6"/>
  <c r="K492" i="6"/>
  <c r="K493" i="6"/>
  <c r="K494" i="6"/>
  <c r="K495" i="6"/>
  <c r="K496" i="6"/>
  <c r="K497" i="6"/>
  <c r="K498" i="6"/>
  <c r="K499" i="6"/>
  <c r="K500" i="6"/>
  <c r="K501" i="6"/>
  <c r="K502" i="6"/>
  <c r="K503" i="6"/>
  <c r="K504" i="6"/>
  <c r="K505" i="6"/>
  <c r="K506" i="6"/>
  <c r="K507" i="6"/>
  <c r="K508" i="6"/>
  <c r="K509" i="6"/>
  <c r="K510" i="6"/>
  <c r="K511" i="6"/>
  <c r="K512" i="6"/>
  <c r="K513" i="6"/>
  <c r="K514" i="6"/>
  <c r="K515" i="6"/>
  <c r="K516" i="6"/>
  <c r="K517" i="6"/>
  <c r="K518" i="6"/>
  <c r="K519" i="6"/>
  <c r="K520" i="6"/>
  <c r="K521" i="6"/>
  <c r="K522" i="6"/>
  <c r="K523" i="6"/>
  <c r="K524" i="6"/>
  <c r="K525" i="6"/>
  <c r="K526" i="6"/>
  <c r="K527" i="6"/>
  <c r="K528" i="6"/>
  <c r="K529" i="6"/>
  <c r="K530" i="6"/>
  <c r="K531" i="6"/>
  <c r="K532" i="6"/>
  <c r="K533" i="6"/>
  <c r="K534" i="6"/>
  <c r="K535" i="6"/>
  <c r="K536" i="6"/>
  <c r="K537" i="6"/>
  <c r="K538" i="6"/>
  <c r="K539" i="6"/>
  <c r="K540" i="6"/>
  <c r="K541" i="6"/>
  <c r="K542" i="6"/>
  <c r="K543" i="6"/>
  <c r="K544" i="6"/>
  <c r="K545" i="6"/>
  <c r="K546" i="6"/>
  <c r="K547" i="6"/>
  <c r="K548" i="6"/>
  <c r="K549" i="6"/>
  <c r="K550" i="6"/>
  <c r="K551" i="6"/>
  <c r="K552" i="6"/>
  <c r="K553" i="6"/>
  <c r="K554" i="6"/>
  <c r="K555" i="6"/>
  <c r="K556" i="6"/>
  <c r="K557" i="6"/>
  <c r="K558" i="6"/>
  <c r="K559" i="6"/>
  <c r="K560" i="6"/>
  <c r="K561" i="6"/>
  <c r="K562" i="6"/>
  <c r="K563" i="6"/>
  <c r="K564" i="6"/>
  <c r="K565" i="6"/>
  <c r="K566" i="6"/>
  <c r="K567" i="6"/>
  <c r="K568" i="6"/>
  <c r="K569" i="6"/>
  <c r="K570" i="6"/>
  <c r="K571" i="6"/>
  <c r="K572" i="6"/>
  <c r="K573" i="6"/>
  <c r="K574" i="6"/>
  <c r="K575" i="6"/>
  <c r="K576" i="6"/>
  <c r="K577" i="6"/>
  <c r="K578" i="6"/>
  <c r="K579" i="6"/>
  <c r="K580" i="6"/>
  <c r="K581" i="6"/>
  <c r="K582" i="6"/>
  <c r="K583" i="6"/>
  <c r="K584" i="6"/>
  <c r="K585" i="6"/>
  <c r="K586" i="6"/>
  <c r="K587" i="6"/>
  <c r="K588" i="6"/>
  <c r="K589" i="6"/>
  <c r="K590" i="6"/>
  <c r="K591" i="6"/>
  <c r="K592" i="6"/>
  <c r="K593" i="6"/>
  <c r="K594" i="6"/>
  <c r="K595" i="6"/>
  <c r="K596" i="6"/>
  <c r="K597" i="6"/>
  <c r="K598" i="6"/>
  <c r="K599" i="6"/>
  <c r="K600" i="6"/>
  <c r="K601" i="6"/>
  <c r="K602" i="6"/>
  <c r="K603" i="6"/>
  <c r="K604" i="6"/>
  <c r="K605" i="6"/>
  <c r="K606" i="6"/>
  <c r="K607" i="6"/>
  <c r="K608" i="6"/>
  <c r="K609" i="6"/>
  <c r="K610" i="6"/>
  <c r="K611" i="6"/>
  <c r="K612" i="6"/>
  <c r="K613" i="6"/>
  <c r="K614" i="6"/>
  <c r="K615" i="6"/>
  <c r="K616" i="6"/>
  <c r="K617" i="6"/>
  <c r="K618" i="6"/>
  <c r="K619" i="6"/>
  <c r="K620" i="6"/>
  <c r="K621" i="6"/>
  <c r="K622" i="6"/>
  <c r="K623" i="6"/>
  <c r="K624" i="6"/>
  <c r="K625" i="6"/>
  <c r="K626" i="6"/>
  <c r="K627" i="6"/>
  <c r="K628" i="6"/>
  <c r="K629" i="6"/>
  <c r="K630" i="6"/>
  <c r="K631" i="6"/>
  <c r="K632" i="6"/>
  <c r="K633" i="6"/>
  <c r="K634" i="6"/>
  <c r="K635" i="6"/>
  <c r="K636" i="6"/>
  <c r="K637" i="6"/>
  <c r="K638" i="6"/>
  <c r="K639" i="6"/>
  <c r="K640" i="6"/>
  <c r="K641" i="6"/>
  <c r="K642" i="6"/>
  <c r="K643" i="6"/>
  <c r="K644" i="6"/>
  <c r="K645" i="6"/>
  <c r="K646" i="6"/>
  <c r="K647" i="6"/>
  <c r="K648" i="6"/>
  <c r="K649" i="6"/>
  <c r="K650" i="6"/>
  <c r="K651" i="6"/>
  <c r="K652" i="6"/>
  <c r="K653" i="6"/>
  <c r="K654" i="6"/>
  <c r="K655" i="6"/>
  <c r="K656" i="6"/>
  <c r="K657" i="6"/>
  <c r="K658" i="6"/>
  <c r="K659" i="6"/>
  <c r="K660" i="6"/>
  <c r="K661" i="6"/>
  <c r="K662" i="6"/>
  <c r="K663" i="6"/>
  <c r="K664" i="6"/>
  <c r="K665" i="6"/>
  <c r="K666" i="6"/>
  <c r="K667" i="6"/>
  <c r="K668" i="6"/>
  <c r="K669" i="6"/>
  <c r="K670" i="6"/>
  <c r="K671" i="6"/>
  <c r="K672" i="6"/>
  <c r="K673" i="6"/>
  <c r="K674" i="6"/>
  <c r="K675" i="6"/>
  <c r="K676" i="6"/>
  <c r="K677" i="6"/>
  <c r="K678" i="6"/>
  <c r="K679" i="6"/>
  <c r="K680" i="6"/>
  <c r="K681" i="6"/>
  <c r="K682" i="6"/>
  <c r="K683" i="6"/>
  <c r="K684" i="6"/>
  <c r="K685" i="6"/>
  <c r="K686" i="6"/>
  <c r="K687" i="6"/>
  <c r="K688" i="6"/>
  <c r="K689" i="6"/>
  <c r="K690" i="6"/>
  <c r="K691" i="6"/>
  <c r="K692" i="6"/>
  <c r="K693" i="6"/>
  <c r="K694" i="6"/>
  <c r="K695" i="6"/>
  <c r="K696" i="6"/>
  <c r="K697" i="6"/>
  <c r="K698" i="6"/>
  <c r="K699" i="6"/>
  <c r="K700" i="6"/>
  <c r="K701" i="6"/>
  <c r="K702" i="6"/>
  <c r="K703" i="6"/>
  <c r="K704" i="6"/>
  <c r="K705" i="6"/>
  <c r="K706" i="6"/>
  <c r="K707" i="6"/>
  <c r="K708" i="6"/>
  <c r="K709" i="6"/>
  <c r="K710" i="6"/>
  <c r="K711" i="6"/>
  <c r="K712" i="6"/>
  <c r="K713" i="6"/>
  <c r="K714" i="6"/>
  <c r="K715" i="6"/>
  <c r="K716" i="6"/>
  <c r="K717" i="6"/>
  <c r="K718" i="6"/>
  <c r="K719" i="6"/>
  <c r="K720" i="6"/>
  <c r="K721" i="6"/>
  <c r="K722" i="6"/>
  <c r="K723" i="6"/>
  <c r="K724" i="6"/>
  <c r="K725" i="6"/>
  <c r="K726" i="6"/>
  <c r="K727" i="6"/>
  <c r="K728" i="6"/>
  <c r="K729" i="6"/>
  <c r="K730" i="6"/>
  <c r="K731" i="6"/>
  <c r="K732" i="6"/>
  <c r="K733" i="6"/>
  <c r="K734" i="6"/>
  <c r="K735" i="6"/>
  <c r="K736" i="6"/>
  <c r="K737" i="6"/>
  <c r="K738" i="6"/>
  <c r="K739" i="6"/>
  <c r="K740" i="6"/>
  <c r="K741" i="6"/>
  <c r="K742" i="6"/>
  <c r="K743" i="6"/>
  <c r="K744" i="6"/>
  <c r="K745" i="6"/>
  <c r="K746" i="6"/>
  <c r="K747" i="6"/>
  <c r="K748" i="6"/>
  <c r="K749" i="6"/>
  <c r="K750" i="6"/>
  <c r="K751" i="6"/>
  <c r="K752" i="6"/>
  <c r="K753" i="6"/>
  <c r="K754" i="6"/>
  <c r="K755" i="6"/>
  <c r="K756" i="6"/>
  <c r="K757" i="6"/>
  <c r="K758" i="6"/>
  <c r="K759" i="6"/>
  <c r="K760" i="6"/>
  <c r="K761" i="6"/>
  <c r="K762" i="6"/>
  <c r="K763" i="6"/>
  <c r="K764" i="6"/>
  <c r="K765" i="6"/>
  <c r="K766" i="6"/>
  <c r="K767" i="6"/>
  <c r="K768" i="6"/>
  <c r="K769" i="6"/>
  <c r="K770" i="6"/>
  <c r="K771" i="6"/>
  <c r="K772" i="6"/>
  <c r="K773" i="6"/>
  <c r="K774" i="6"/>
  <c r="K775" i="6"/>
  <c r="K776" i="6"/>
  <c r="K777" i="6"/>
  <c r="K778" i="6"/>
  <c r="K779" i="6"/>
  <c r="K780" i="6"/>
  <c r="K781" i="6"/>
  <c r="K782" i="6"/>
  <c r="K783" i="6"/>
  <c r="K784" i="6"/>
  <c r="K785" i="6"/>
  <c r="K786" i="6"/>
  <c r="K787" i="6"/>
  <c r="K788" i="6"/>
  <c r="K789" i="6"/>
  <c r="K790" i="6"/>
  <c r="K791" i="6"/>
  <c r="J3" i="6"/>
  <c r="J4" i="6"/>
  <c r="J5" i="6"/>
  <c r="J6" i="6"/>
  <c r="J7" i="6"/>
  <c r="J8" i="6"/>
  <c r="J9" i="6"/>
  <c r="J10" i="6"/>
  <c r="J11" i="6"/>
  <c r="J12" i="6"/>
  <c r="J13" i="6"/>
  <c r="J14" i="6"/>
  <c r="J15" i="6"/>
  <c r="J16" i="6"/>
  <c r="J17" i="6"/>
  <c r="J18" i="6"/>
  <c r="J19" i="6"/>
  <c r="J20" i="6"/>
  <c r="J21" i="6"/>
  <c r="J22" i="6"/>
  <c r="J23" i="6"/>
  <c r="J24" i="6"/>
  <c r="J25" i="6"/>
  <c r="J26" i="6"/>
  <c r="J27" i="6"/>
  <c r="J28" i="6"/>
  <c r="J29" i="6"/>
  <c r="J30" i="6"/>
  <c r="J31" i="6"/>
  <c r="J32" i="6"/>
  <c r="J33" i="6"/>
  <c r="J34" i="6"/>
  <c r="J35" i="6"/>
  <c r="J36" i="6"/>
  <c r="J37" i="6"/>
  <c r="J38" i="6"/>
  <c r="J39" i="6"/>
  <c r="J40" i="6"/>
  <c r="J41" i="6"/>
  <c r="J42" i="6"/>
  <c r="J43" i="6"/>
  <c r="J44" i="6"/>
  <c r="J45" i="6"/>
  <c r="J46" i="6"/>
  <c r="J47" i="6"/>
  <c r="J48" i="6"/>
  <c r="J49" i="6"/>
  <c r="J50" i="6"/>
  <c r="J51" i="6"/>
  <c r="J52" i="6"/>
  <c r="J53" i="6"/>
  <c r="J54" i="6"/>
  <c r="J55" i="6"/>
  <c r="J56" i="6"/>
  <c r="J57" i="6"/>
  <c r="J58" i="6"/>
  <c r="J59" i="6"/>
  <c r="J60" i="6"/>
  <c r="J61" i="6"/>
  <c r="J62" i="6"/>
  <c r="J63" i="6"/>
  <c r="J64" i="6"/>
  <c r="J65" i="6"/>
  <c r="J66" i="6"/>
  <c r="J67" i="6"/>
  <c r="J68" i="6"/>
  <c r="J69" i="6"/>
  <c r="J70" i="6"/>
  <c r="J71" i="6"/>
  <c r="J72" i="6"/>
  <c r="J73" i="6"/>
  <c r="J74" i="6"/>
  <c r="J75" i="6"/>
  <c r="J76" i="6"/>
  <c r="J77" i="6"/>
  <c r="J78" i="6"/>
  <c r="J79" i="6"/>
  <c r="J80" i="6"/>
  <c r="J81" i="6"/>
  <c r="J82" i="6"/>
  <c r="J83" i="6"/>
  <c r="J84" i="6"/>
  <c r="J85" i="6"/>
  <c r="J86" i="6"/>
  <c r="J87" i="6"/>
  <c r="J88" i="6"/>
  <c r="J89" i="6"/>
  <c r="J90" i="6"/>
  <c r="J91" i="6"/>
  <c r="J92" i="6"/>
  <c r="J93" i="6"/>
  <c r="J94" i="6"/>
  <c r="J95" i="6"/>
  <c r="J96" i="6"/>
  <c r="J97" i="6"/>
  <c r="J98" i="6"/>
  <c r="J99" i="6"/>
  <c r="J100" i="6"/>
  <c r="J101" i="6"/>
  <c r="J102" i="6"/>
  <c r="J103" i="6"/>
  <c r="J104" i="6"/>
  <c r="J105" i="6"/>
  <c r="J106" i="6"/>
  <c r="J107" i="6"/>
  <c r="J108" i="6"/>
  <c r="J109" i="6"/>
  <c r="J110" i="6"/>
  <c r="J111" i="6"/>
  <c r="J112" i="6"/>
  <c r="J113" i="6"/>
  <c r="J114" i="6"/>
  <c r="J115" i="6"/>
  <c r="J116" i="6"/>
  <c r="J117" i="6"/>
  <c r="J118" i="6"/>
  <c r="J119" i="6"/>
  <c r="J120" i="6"/>
  <c r="J121" i="6"/>
  <c r="J122" i="6"/>
  <c r="J123" i="6"/>
  <c r="J124" i="6"/>
  <c r="J125" i="6"/>
  <c r="J126" i="6"/>
  <c r="J127" i="6"/>
  <c r="J128" i="6"/>
  <c r="J129" i="6"/>
  <c r="J130" i="6"/>
  <c r="J131" i="6"/>
  <c r="J132" i="6"/>
  <c r="J133" i="6"/>
  <c r="J134" i="6"/>
  <c r="J135" i="6"/>
  <c r="J136" i="6"/>
  <c r="J137" i="6"/>
  <c r="J138" i="6"/>
  <c r="J139" i="6"/>
  <c r="J140" i="6"/>
  <c r="J141" i="6"/>
  <c r="J142" i="6"/>
  <c r="J143" i="6"/>
  <c r="J144" i="6"/>
  <c r="J145" i="6"/>
  <c r="J146" i="6"/>
  <c r="J147" i="6"/>
  <c r="J148" i="6"/>
  <c r="J149" i="6"/>
  <c r="J150" i="6"/>
  <c r="J151" i="6"/>
  <c r="J152" i="6"/>
  <c r="J153" i="6"/>
  <c r="J154" i="6"/>
  <c r="J155" i="6"/>
  <c r="J156" i="6"/>
  <c r="J157" i="6"/>
  <c r="J158" i="6"/>
  <c r="J159" i="6"/>
  <c r="J160" i="6"/>
  <c r="J161" i="6"/>
  <c r="J162" i="6"/>
  <c r="J163" i="6"/>
  <c r="J164" i="6"/>
  <c r="J165" i="6"/>
  <c r="J166" i="6"/>
  <c r="J167" i="6"/>
  <c r="J168" i="6"/>
  <c r="J169" i="6"/>
  <c r="J170" i="6"/>
  <c r="J171" i="6"/>
  <c r="J172" i="6"/>
  <c r="J173" i="6"/>
  <c r="J174" i="6"/>
  <c r="J175" i="6"/>
  <c r="J176" i="6"/>
  <c r="J177" i="6"/>
  <c r="J178" i="6"/>
  <c r="J179" i="6"/>
  <c r="J180" i="6"/>
  <c r="J181" i="6"/>
  <c r="J182" i="6"/>
  <c r="J183" i="6"/>
  <c r="J184" i="6"/>
  <c r="J185" i="6"/>
  <c r="J186" i="6"/>
  <c r="J187" i="6"/>
  <c r="J188" i="6"/>
  <c r="J189" i="6"/>
  <c r="J190" i="6"/>
  <c r="J191" i="6"/>
  <c r="J192" i="6"/>
  <c r="J193" i="6"/>
  <c r="J194" i="6"/>
  <c r="J195" i="6"/>
  <c r="J196" i="6"/>
  <c r="J197" i="6"/>
  <c r="J198" i="6"/>
  <c r="J199" i="6"/>
  <c r="J200" i="6"/>
  <c r="J201" i="6"/>
  <c r="J202" i="6"/>
  <c r="J203" i="6"/>
  <c r="J204" i="6"/>
  <c r="J205" i="6"/>
  <c r="J206" i="6"/>
  <c r="J207" i="6"/>
  <c r="J208" i="6"/>
  <c r="J209" i="6"/>
  <c r="J210" i="6"/>
  <c r="J211" i="6"/>
  <c r="J212" i="6"/>
  <c r="J213" i="6"/>
  <c r="J214" i="6"/>
  <c r="J215" i="6"/>
  <c r="J216" i="6"/>
  <c r="J217" i="6"/>
  <c r="J218" i="6"/>
  <c r="J219" i="6"/>
  <c r="J220" i="6"/>
  <c r="J221" i="6"/>
  <c r="J222" i="6"/>
  <c r="J223" i="6"/>
  <c r="J224" i="6"/>
  <c r="J225" i="6"/>
  <c r="J226" i="6"/>
  <c r="J227" i="6"/>
  <c r="J228" i="6"/>
  <c r="J229" i="6"/>
  <c r="J230" i="6"/>
  <c r="J231" i="6"/>
  <c r="J232" i="6"/>
  <c r="J233" i="6"/>
  <c r="J234" i="6"/>
  <c r="J235" i="6"/>
  <c r="J236" i="6"/>
  <c r="J237" i="6"/>
  <c r="J238" i="6"/>
  <c r="J239" i="6"/>
  <c r="J240" i="6"/>
  <c r="J241" i="6"/>
  <c r="J242" i="6"/>
  <c r="J243" i="6"/>
  <c r="J244" i="6"/>
  <c r="J245" i="6"/>
  <c r="J246" i="6"/>
  <c r="J247" i="6"/>
  <c r="J248" i="6"/>
  <c r="J249" i="6"/>
  <c r="J250" i="6"/>
  <c r="J251" i="6"/>
  <c r="J252" i="6"/>
  <c r="J253" i="6"/>
  <c r="J254" i="6"/>
  <c r="J255" i="6"/>
  <c r="J256" i="6"/>
  <c r="J257" i="6"/>
  <c r="J258" i="6"/>
  <c r="J259" i="6"/>
  <c r="J260" i="6"/>
  <c r="J261" i="6"/>
  <c r="J262" i="6"/>
  <c r="J263" i="6"/>
  <c r="J264" i="6"/>
  <c r="J265" i="6"/>
  <c r="J266" i="6"/>
  <c r="J267" i="6"/>
  <c r="J268" i="6"/>
  <c r="J269" i="6"/>
  <c r="J270" i="6"/>
  <c r="J271" i="6"/>
  <c r="J272" i="6"/>
  <c r="J273" i="6"/>
  <c r="J274" i="6"/>
  <c r="J275" i="6"/>
  <c r="J276" i="6"/>
  <c r="J277" i="6"/>
  <c r="J278" i="6"/>
  <c r="J279" i="6"/>
  <c r="J280" i="6"/>
  <c r="J281" i="6"/>
  <c r="J282" i="6"/>
  <c r="J283" i="6"/>
  <c r="J284" i="6"/>
  <c r="J285" i="6"/>
  <c r="J286" i="6"/>
  <c r="J287" i="6"/>
  <c r="J288" i="6"/>
  <c r="J289" i="6"/>
  <c r="J290" i="6"/>
  <c r="J291" i="6"/>
  <c r="J292" i="6"/>
  <c r="J293" i="6"/>
  <c r="J294" i="6"/>
  <c r="J295" i="6"/>
  <c r="J296" i="6"/>
  <c r="J297" i="6"/>
  <c r="J298" i="6"/>
  <c r="J299" i="6"/>
  <c r="J300" i="6"/>
  <c r="J301" i="6"/>
  <c r="J302" i="6"/>
  <c r="J303" i="6"/>
  <c r="J304" i="6"/>
  <c r="J305" i="6"/>
  <c r="J306" i="6"/>
  <c r="J307" i="6"/>
  <c r="J308" i="6"/>
  <c r="J309" i="6"/>
  <c r="J310" i="6"/>
  <c r="J311" i="6"/>
  <c r="J312" i="6"/>
  <c r="J313" i="6"/>
  <c r="J314" i="6"/>
  <c r="J315" i="6"/>
  <c r="J316" i="6"/>
  <c r="J317" i="6"/>
  <c r="J318" i="6"/>
  <c r="J319" i="6"/>
  <c r="J320" i="6"/>
  <c r="J321" i="6"/>
  <c r="J322" i="6"/>
  <c r="J323" i="6"/>
  <c r="J324" i="6"/>
  <c r="J325" i="6"/>
  <c r="J326" i="6"/>
  <c r="J327" i="6"/>
  <c r="J328" i="6"/>
  <c r="J329" i="6"/>
  <c r="J330" i="6"/>
  <c r="J331" i="6"/>
  <c r="J332" i="6"/>
  <c r="J333" i="6"/>
  <c r="J334" i="6"/>
  <c r="J335" i="6"/>
  <c r="J336" i="6"/>
  <c r="J337" i="6"/>
  <c r="J338" i="6"/>
  <c r="J339" i="6"/>
  <c r="J340" i="6"/>
  <c r="J341" i="6"/>
  <c r="J342" i="6"/>
  <c r="J343" i="6"/>
  <c r="J344" i="6"/>
  <c r="J345" i="6"/>
  <c r="J346" i="6"/>
  <c r="J347" i="6"/>
  <c r="J348" i="6"/>
  <c r="J349" i="6"/>
  <c r="J350" i="6"/>
  <c r="J351" i="6"/>
  <c r="J352" i="6"/>
  <c r="J353" i="6"/>
  <c r="J354" i="6"/>
  <c r="J355" i="6"/>
  <c r="J356" i="6"/>
  <c r="J357" i="6"/>
  <c r="J358" i="6"/>
  <c r="J359" i="6"/>
  <c r="J360" i="6"/>
  <c r="J361" i="6"/>
  <c r="J362" i="6"/>
  <c r="J363" i="6"/>
  <c r="J364" i="6"/>
  <c r="J365" i="6"/>
  <c r="J366" i="6"/>
  <c r="J367" i="6"/>
  <c r="J368" i="6"/>
  <c r="J369" i="6"/>
  <c r="J370" i="6"/>
  <c r="J371" i="6"/>
  <c r="J372" i="6"/>
  <c r="J373" i="6"/>
  <c r="J374" i="6"/>
  <c r="J375" i="6"/>
  <c r="J376" i="6"/>
  <c r="J377" i="6"/>
  <c r="J378" i="6"/>
  <c r="J379" i="6"/>
  <c r="J380" i="6"/>
  <c r="J381" i="6"/>
  <c r="J382" i="6"/>
  <c r="J383" i="6"/>
  <c r="J384" i="6"/>
  <c r="J385" i="6"/>
  <c r="J386" i="6"/>
  <c r="J387" i="6"/>
  <c r="J388" i="6"/>
  <c r="J389" i="6"/>
  <c r="J390" i="6"/>
  <c r="J391" i="6"/>
  <c r="J392" i="6"/>
  <c r="J393" i="6"/>
  <c r="J394" i="6"/>
  <c r="J395" i="6"/>
  <c r="J396" i="6"/>
  <c r="J397" i="6"/>
  <c r="J398" i="6"/>
  <c r="J399" i="6"/>
  <c r="J400" i="6"/>
  <c r="J401" i="6"/>
  <c r="J402" i="6"/>
  <c r="J403" i="6"/>
  <c r="J404" i="6"/>
  <c r="J405" i="6"/>
  <c r="J406" i="6"/>
  <c r="J407" i="6"/>
  <c r="J408" i="6"/>
  <c r="J409" i="6"/>
  <c r="J410" i="6"/>
  <c r="J411" i="6"/>
  <c r="J412" i="6"/>
  <c r="J413" i="6"/>
  <c r="J414" i="6"/>
  <c r="J415" i="6"/>
  <c r="J416" i="6"/>
  <c r="J417" i="6"/>
  <c r="J418" i="6"/>
  <c r="J419" i="6"/>
  <c r="J420" i="6"/>
  <c r="J421" i="6"/>
  <c r="J422" i="6"/>
  <c r="J423" i="6"/>
  <c r="J424" i="6"/>
  <c r="J425" i="6"/>
  <c r="J426" i="6"/>
  <c r="J427" i="6"/>
  <c r="J428" i="6"/>
  <c r="J429" i="6"/>
  <c r="J430" i="6"/>
  <c r="J431" i="6"/>
  <c r="J432" i="6"/>
  <c r="J433" i="6"/>
  <c r="J434" i="6"/>
  <c r="J435" i="6"/>
  <c r="J436" i="6"/>
  <c r="J437" i="6"/>
  <c r="J438" i="6"/>
  <c r="J439" i="6"/>
  <c r="J440" i="6"/>
  <c r="J441" i="6"/>
  <c r="J442" i="6"/>
  <c r="J443" i="6"/>
  <c r="J444" i="6"/>
  <c r="J445" i="6"/>
  <c r="J446" i="6"/>
  <c r="J447" i="6"/>
  <c r="J448" i="6"/>
  <c r="J449" i="6"/>
  <c r="J450" i="6"/>
  <c r="J451" i="6"/>
  <c r="J452" i="6"/>
  <c r="J453" i="6"/>
  <c r="J454" i="6"/>
  <c r="J455" i="6"/>
  <c r="J456" i="6"/>
  <c r="J457" i="6"/>
  <c r="J458" i="6"/>
  <c r="J459" i="6"/>
  <c r="J460" i="6"/>
  <c r="J461" i="6"/>
  <c r="J462" i="6"/>
  <c r="J463" i="6"/>
  <c r="J464" i="6"/>
  <c r="J465" i="6"/>
  <c r="J466" i="6"/>
  <c r="J467" i="6"/>
  <c r="J468" i="6"/>
  <c r="J469" i="6"/>
  <c r="J470" i="6"/>
  <c r="J471" i="6"/>
  <c r="J472" i="6"/>
  <c r="J473" i="6"/>
  <c r="J474" i="6"/>
  <c r="J475" i="6"/>
  <c r="J476" i="6"/>
  <c r="J477" i="6"/>
  <c r="J478" i="6"/>
  <c r="J479" i="6"/>
  <c r="J480" i="6"/>
  <c r="J481" i="6"/>
  <c r="J482" i="6"/>
  <c r="J483" i="6"/>
  <c r="J484" i="6"/>
  <c r="J485" i="6"/>
  <c r="J486" i="6"/>
  <c r="J487" i="6"/>
  <c r="J488" i="6"/>
  <c r="J489" i="6"/>
  <c r="J490" i="6"/>
  <c r="J491" i="6"/>
  <c r="J492" i="6"/>
  <c r="J493" i="6"/>
  <c r="J494" i="6"/>
  <c r="J495" i="6"/>
  <c r="J496" i="6"/>
  <c r="J497" i="6"/>
  <c r="J498" i="6"/>
  <c r="J499" i="6"/>
  <c r="J500" i="6"/>
  <c r="J501" i="6"/>
  <c r="J502" i="6"/>
  <c r="J503" i="6"/>
  <c r="J504" i="6"/>
  <c r="J505" i="6"/>
  <c r="J506" i="6"/>
  <c r="J507" i="6"/>
  <c r="J508" i="6"/>
  <c r="J509" i="6"/>
  <c r="J510" i="6"/>
  <c r="J511" i="6"/>
  <c r="J512" i="6"/>
  <c r="J513" i="6"/>
  <c r="J514" i="6"/>
  <c r="J515" i="6"/>
  <c r="J516" i="6"/>
  <c r="J517" i="6"/>
  <c r="J518" i="6"/>
  <c r="J519" i="6"/>
  <c r="J520" i="6"/>
  <c r="J521" i="6"/>
  <c r="J522" i="6"/>
  <c r="J523" i="6"/>
  <c r="J524" i="6"/>
  <c r="J525" i="6"/>
  <c r="J526" i="6"/>
  <c r="J527" i="6"/>
  <c r="J528" i="6"/>
  <c r="J529" i="6"/>
  <c r="J530" i="6"/>
  <c r="J531" i="6"/>
  <c r="J532" i="6"/>
  <c r="J533" i="6"/>
  <c r="J534" i="6"/>
  <c r="J535" i="6"/>
  <c r="J536" i="6"/>
  <c r="J537" i="6"/>
  <c r="J538" i="6"/>
  <c r="J539" i="6"/>
  <c r="J540" i="6"/>
  <c r="J541" i="6"/>
  <c r="J542" i="6"/>
  <c r="J543" i="6"/>
  <c r="J544" i="6"/>
  <c r="J545" i="6"/>
  <c r="J546" i="6"/>
  <c r="J547" i="6"/>
  <c r="J548" i="6"/>
  <c r="J549" i="6"/>
  <c r="J550" i="6"/>
  <c r="J551" i="6"/>
  <c r="J552" i="6"/>
  <c r="J553" i="6"/>
  <c r="J554" i="6"/>
  <c r="J555" i="6"/>
  <c r="J556" i="6"/>
  <c r="J557" i="6"/>
  <c r="J558" i="6"/>
  <c r="J559" i="6"/>
  <c r="J560" i="6"/>
  <c r="J561" i="6"/>
  <c r="J562" i="6"/>
  <c r="J563" i="6"/>
  <c r="J564" i="6"/>
  <c r="J565" i="6"/>
  <c r="J566" i="6"/>
  <c r="J567" i="6"/>
  <c r="J568" i="6"/>
  <c r="J569" i="6"/>
  <c r="J570" i="6"/>
  <c r="J571" i="6"/>
  <c r="J572" i="6"/>
  <c r="J573" i="6"/>
  <c r="J574" i="6"/>
  <c r="J575" i="6"/>
  <c r="J576" i="6"/>
  <c r="J577" i="6"/>
  <c r="J578" i="6"/>
  <c r="J579" i="6"/>
  <c r="J580" i="6"/>
  <c r="J581" i="6"/>
  <c r="J582" i="6"/>
  <c r="J583" i="6"/>
  <c r="J584" i="6"/>
  <c r="J585" i="6"/>
  <c r="J586" i="6"/>
  <c r="J587" i="6"/>
  <c r="J588" i="6"/>
  <c r="J589" i="6"/>
  <c r="J590" i="6"/>
  <c r="J591" i="6"/>
  <c r="J592" i="6"/>
  <c r="J593" i="6"/>
  <c r="J594" i="6"/>
  <c r="J595" i="6"/>
  <c r="J596" i="6"/>
  <c r="J597" i="6"/>
  <c r="J598" i="6"/>
  <c r="J599" i="6"/>
  <c r="J600" i="6"/>
  <c r="J601" i="6"/>
  <c r="J602" i="6"/>
  <c r="J603" i="6"/>
  <c r="J604" i="6"/>
  <c r="J605" i="6"/>
  <c r="J606" i="6"/>
  <c r="J607" i="6"/>
  <c r="J608" i="6"/>
  <c r="J609" i="6"/>
  <c r="J610" i="6"/>
  <c r="J611" i="6"/>
  <c r="J612" i="6"/>
  <c r="J613" i="6"/>
  <c r="J614" i="6"/>
  <c r="J615" i="6"/>
  <c r="J616" i="6"/>
  <c r="J617" i="6"/>
  <c r="J618" i="6"/>
  <c r="J619" i="6"/>
  <c r="J620" i="6"/>
  <c r="J621" i="6"/>
  <c r="J622" i="6"/>
  <c r="J623" i="6"/>
  <c r="J624" i="6"/>
  <c r="J625" i="6"/>
  <c r="J626" i="6"/>
  <c r="J627" i="6"/>
  <c r="J628" i="6"/>
  <c r="J629" i="6"/>
  <c r="J630" i="6"/>
  <c r="J631" i="6"/>
  <c r="J632" i="6"/>
  <c r="J633" i="6"/>
  <c r="J634" i="6"/>
  <c r="J635" i="6"/>
  <c r="J636" i="6"/>
  <c r="J637" i="6"/>
  <c r="J638" i="6"/>
  <c r="J639" i="6"/>
  <c r="J640" i="6"/>
  <c r="J641" i="6"/>
  <c r="J642" i="6"/>
  <c r="J643" i="6"/>
  <c r="J644" i="6"/>
  <c r="J645" i="6"/>
  <c r="J646" i="6"/>
  <c r="J647" i="6"/>
  <c r="J648" i="6"/>
  <c r="J649" i="6"/>
  <c r="J650" i="6"/>
  <c r="J651" i="6"/>
  <c r="J652" i="6"/>
  <c r="J653" i="6"/>
  <c r="J654" i="6"/>
  <c r="J655" i="6"/>
  <c r="J656" i="6"/>
  <c r="J657" i="6"/>
  <c r="J658" i="6"/>
  <c r="J659" i="6"/>
  <c r="J660" i="6"/>
  <c r="J661" i="6"/>
  <c r="J662" i="6"/>
  <c r="J663" i="6"/>
  <c r="J664" i="6"/>
  <c r="J665" i="6"/>
  <c r="J666" i="6"/>
  <c r="J667" i="6"/>
  <c r="J668" i="6"/>
  <c r="J669" i="6"/>
  <c r="J670" i="6"/>
  <c r="J671" i="6"/>
  <c r="J672" i="6"/>
  <c r="J673" i="6"/>
  <c r="J674" i="6"/>
  <c r="J675" i="6"/>
  <c r="J676" i="6"/>
  <c r="J677" i="6"/>
  <c r="J678" i="6"/>
  <c r="J679" i="6"/>
  <c r="J680" i="6"/>
  <c r="J681" i="6"/>
  <c r="J682" i="6"/>
  <c r="J683" i="6"/>
  <c r="J684" i="6"/>
  <c r="J685" i="6"/>
  <c r="J686" i="6"/>
  <c r="J687" i="6"/>
  <c r="J688" i="6"/>
  <c r="J689" i="6"/>
  <c r="J690" i="6"/>
  <c r="J691" i="6"/>
  <c r="J692" i="6"/>
  <c r="J693" i="6"/>
  <c r="J694" i="6"/>
  <c r="J695" i="6"/>
  <c r="J696" i="6"/>
  <c r="J697" i="6"/>
  <c r="J698" i="6"/>
  <c r="J699" i="6"/>
  <c r="J700" i="6"/>
  <c r="J701" i="6"/>
  <c r="J702" i="6"/>
  <c r="J703" i="6"/>
  <c r="J704" i="6"/>
  <c r="J705" i="6"/>
  <c r="J706" i="6"/>
  <c r="J707" i="6"/>
  <c r="J708" i="6"/>
  <c r="J709" i="6"/>
  <c r="J710" i="6"/>
  <c r="J711" i="6"/>
  <c r="J712" i="6"/>
  <c r="J713" i="6"/>
  <c r="J714" i="6"/>
  <c r="J715" i="6"/>
  <c r="J716" i="6"/>
  <c r="J717" i="6"/>
  <c r="J718" i="6"/>
  <c r="J719" i="6"/>
  <c r="J720" i="6"/>
  <c r="J721" i="6"/>
  <c r="J722" i="6"/>
  <c r="J723" i="6"/>
  <c r="J724" i="6"/>
  <c r="J725" i="6"/>
  <c r="J726" i="6"/>
  <c r="J727" i="6"/>
  <c r="J728" i="6"/>
  <c r="J729" i="6"/>
  <c r="J730" i="6"/>
  <c r="J731" i="6"/>
  <c r="J732" i="6"/>
  <c r="J733" i="6"/>
  <c r="J734" i="6"/>
  <c r="J735" i="6"/>
  <c r="J736" i="6"/>
  <c r="J737" i="6"/>
  <c r="J738" i="6"/>
  <c r="J739" i="6"/>
  <c r="J740" i="6"/>
  <c r="J741" i="6"/>
  <c r="J742" i="6"/>
  <c r="J743" i="6"/>
  <c r="J744" i="6"/>
  <c r="J745" i="6"/>
  <c r="J746" i="6"/>
  <c r="J747" i="6"/>
  <c r="J748" i="6"/>
  <c r="J749" i="6"/>
  <c r="J750" i="6"/>
  <c r="J751" i="6"/>
  <c r="J752" i="6"/>
  <c r="J753" i="6"/>
  <c r="J754" i="6"/>
  <c r="J755" i="6"/>
  <c r="J756" i="6"/>
  <c r="J757" i="6"/>
  <c r="J758" i="6"/>
  <c r="J759" i="6"/>
  <c r="J760" i="6"/>
  <c r="J761" i="6"/>
  <c r="J762" i="6"/>
  <c r="J763" i="6"/>
  <c r="J764" i="6"/>
  <c r="J765" i="6"/>
  <c r="J766" i="6"/>
  <c r="J767" i="6"/>
  <c r="J768" i="6"/>
  <c r="J769" i="6"/>
  <c r="J770" i="6"/>
  <c r="J771" i="6"/>
  <c r="J772" i="6"/>
  <c r="J773" i="6"/>
  <c r="J774" i="6"/>
  <c r="J775" i="6"/>
  <c r="J776" i="6"/>
  <c r="J777" i="6"/>
  <c r="J778" i="6"/>
  <c r="J779" i="6"/>
  <c r="J780" i="6"/>
  <c r="J781" i="6"/>
  <c r="J782" i="6"/>
  <c r="J783" i="6"/>
  <c r="J784" i="6"/>
  <c r="J785" i="6"/>
  <c r="J786" i="6"/>
  <c r="J787" i="6"/>
  <c r="J788" i="6"/>
  <c r="J789" i="6"/>
  <c r="J790" i="6"/>
  <c r="J791" i="6"/>
  <c r="I4" i="6"/>
  <c r="I5" i="6"/>
  <c r="I6" i="6"/>
  <c r="I7" i="6"/>
  <c r="I8" i="6"/>
  <c r="I9" i="6"/>
  <c r="I10" i="6"/>
  <c r="I11" i="6"/>
  <c r="I12" i="6"/>
  <c r="I13" i="6"/>
  <c r="I14" i="6"/>
  <c r="I15" i="6"/>
  <c r="I16" i="6"/>
  <c r="I17" i="6"/>
  <c r="I18" i="6"/>
  <c r="I19" i="6"/>
  <c r="I20" i="6"/>
  <c r="I21" i="6"/>
  <c r="I22" i="6"/>
  <c r="I23" i="6"/>
  <c r="I24" i="6"/>
  <c r="I25" i="6"/>
  <c r="I26" i="6"/>
  <c r="I27" i="6"/>
  <c r="I28" i="6"/>
  <c r="I29" i="6"/>
  <c r="I30" i="6"/>
  <c r="I31" i="6"/>
  <c r="I32" i="6"/>
  <c r="I33" i="6"/>
  <c r="I34" i="6"/>
  <c r="I35" i="6"/>
  <c r="I36" i="6"/>
  <c r="I37" i="6"/>
  <c r="I38" i="6"/>
  <c r="I39" i="6"/>
  <c r="I40" i="6"/>
  <c r="I41" i="6"/>
  <c r="I42" i="6"/>
  <c r="I43" i="6"/>
  <c r="I44" i="6"/>
  <c r="I45" i="6"/>
  <c r="I46" i="6"/>
  <c r="I47" i="6"/>
  <c r="I48" i="6"/>
  <c r="I49" i="6"/>
  <c r="I50" i="6"/>
  <c r="I51" i="6"/>
  <c r="I52" i="6"/>
  <c r="I53" i="6"/>
  <c r="I54" i="6"/>
  <c r="I55" i="6"/>
  <c r="I56" i="6"/>
  <c r="I57" i="6"/>
  <c r="I58" i="6"/>
  <c r="I59" i="6"/>
  <c r="I60" i="6"/>
  <c r="I61" i="6"/>
  <c r="I62" i="6"/>
  <c r="I63" i="6"/>
  <c r="I64" i="6"/>
  <c r="I65" i="6"/>
  <c r="I66" i="6"/>
  <c r="I67" i="6"/>
  <c r="I68" i="6"/>
  <c r="I69" i="6"/>
  <c r="I70" i="6"/>
  <c r="I71" i="6"/>
  <c r="I72" i="6"/>
  <c r="I73" i="6"/>
  <c r="I74" i="6"/>
  <c r="I75" i="6"/>
  <c r="I76" i="6"/>
  <c r="I77" i="6"/>
  <c r="I78" i="6"/>
  <c r="I79" i="6"/>
  <c r="I80" i="6"/>
  <c r="I81" i="6"/>
  <c r="I82" i="6"/>
  <c r="I83" i="6"/>
  <c r="I84" i="6"/>
  <c r="I85" i="6"/>
  <c r="I86" i="6"/>
  <c r="I87" i="6"/>
  <c r="I88" i="6"/>
  <c r="I89" i="6"/>
  <c r="I90" i="6"/>
  <c r="I91" i="6"/>
  <c r="I92" i="6"/>
  <c r="I93" i="6"/>
  <c r="I94" i="6"/>
  <c r="I95" i="6"/>
  <c r="I96" i="6"/>
  <c r="I97" i="6"/>
  <c r="I98" i="6"/>
  <c r="I99" i="6"/>
  <c r="I100" i="6"/>
  <c r="I101" i="6"/>
  <c r="I102" i="6"/>
  <c r="I103" i="6"/>
  <c r="I104" i="6"/>
  <c r="I105" i="6"/>
  <c r="I106" i="6"/>
  <c r="I107" i="6"/>
  <c r="I108" i="6"/>
  <c r="I109" i="6"/>
  <c r="I110" i="6"/>
  <c r="I111" i="6"/>
  <c r="I112" i="6"/>
  <c r="I113" i="6"/>
  <c r="I114" i="6"/>
  <c r="I115" i="6"/>
  <c r="I116" i="6"/>
  <c r="I117" i="6"/>
  <c r="I118" i="6"/>
  <c r="I119" i="6"/>
  <c r="I120" i="6"/>
  <c r="I121" i="6"/>
  <c r="I122" i="6"/>
  <c r="I123" i="6"/>
  <c r="I124" i="6"/>
  <c r="I125" i="6"/>
  <c r="I126" i="6"/>
  <c r="I127" i="6"/>
  <c r="I128" i="6"/>
  <c r="I129" i="6"/>
  <c r="I130" i="6"/>
  <c r="I131" i="6"/>
  <c r="I132" i="6"/>
  <c r="I133" i="6"/>
  <c r="I134" i="6"/>
  <c r="I135" i="6"/>
  <c r="I136" i="6"/>
  <c r="I137" i="6"/>
  <c r="I138" i="6"/>
  <c r="I139" i="6"/>
  <c r="I140" i="6"/>
  <c r="I141" i="6"/>
  <c r="I142" i="6"/>
  <c r="I143" i="6"/>
  <c r="I144" i="6"/>
  <c r="I145" i="6"/>
  <c r="I146" i="6"/>
  <c r="I147" i="6"/>
  <c r="I148" i="6"/>
  <c r="I149" i="6"/>
  <c r="I150" i="6"/>
  <c r="I151" i="6"/>
  <c r="I152" i="6"/>
  <c r="I153" i="6"/>
  <c r="I154" i="6"/>
  <c r="I155" i="6"/>
  <c r="I156" i="6"/>
  <c r="I157" i="6"/>
  <c r="I158" i="6"/>
  <c r="I159" i="6"/>
  <c r="I160" i="6"/>
  <c r="I161" i="6"/>
  <c r="I162" i="6"/>
  <c r="I163" i="6"/>
  <c r="I164" i="6"/>
  <c r="I165" i="6"/>
  <c r="I166" i="6"/>
  <c r="I167" i="6"/>
  <c r="I168" i="6"/>
  <c r="I169" i="6"/>
  <c r="I170" i="6"/>
  <c r="I171" i="6"/>
  <c r="I172" i="6"/>
  <c r="I173" i="6"/>
  <c r="I174" i="6"/>
  <c r="I175" i="6"/>
  <c r="I176" i="6"/>
  <c r="I177" i="6"/>
  <c r="I178" i="6"/>
  <c r="I179" i="6"/>
  <c r="I180" i="6"/>
  <c r="I181" i="6"/>
  <c r="I182" i="6"/>
  <c r="I183" i="6"/>
  <c r="I184" i="6"/>
  <c r="I185" i="6"/>
  <c r="I186" i="6"/>
  <c r="I187" i="6"/>
  <c r="I188" i="6"/>
  <c r="I189" i="6"/>
  <c r="I190" i="6"/>
  <c r="I191" i="6"/>
  <c r="I192" i="6"/>
  <c r="I193" i="6"/>
  <c r="I194" i="6"/>
  <c r="I195" i="6"/>
  <c r="I196" i="6"/>
  <c r="I197" i="6"/>
  <c r="I198" i="6"/>
  <c r="I199" i="6"/>
  <c r="I200" i="6"/>
  <c r="I201" i="6"/>
  <c r="I202" i="6"/>
  <c r="I203" i="6"/>
  <c r="I204" i="6"/>
  <c r="I205" i="6"/>
  <c r="I206" i="6"/>
  <c r="I207" i="6"/>
  <c r="I208" i="6"/>
  <c r="I209" i="6"/>
  <c r="I210" i="6"/>
  <c r="I211" i="6"/>
  <c r="I212" i="6"/>
  <c r="I213" i="6"/>
  <c r="I214" i="6"/>
  <c r="I215" i="6"/>
  <c r="I216" i="6"/>
  <c r="I217" i="6"/>
  <c r="I218" i="6"/>
  <c r="I219" i="6"/>
  <c r="I220" i="6"/>
  <c r="I221" i="6"/>
  <c r="I222" i="6"/>
  <c r="I223" i="6"/>
  <c r="I224" i="6"/>
  <c r="I225" i="6"/>
  <c r="I226" i="6"/>
  <c r="I227" i="6"/>
  <c r="I228" i="6"/>
  <c r="I229" i="6"/>
  <c r="I230" i="6"/>
  <c r="I231" i="6"/>
  <c r="I232" i="6"/>
  <c r="I233" i="6"/>
  <c r="I234" i="6"/>
  <c r="I235" i="6"/>
  <c r="I236" i="6"/>
  <c r="I237" i="6"/>
  <c r="I238" i="6"/>
  <c r="I239" i="6"/>
  <c r="I240" i="6"/>
  <c r="I241" i="6"/>
  <c r="I242" i="6"/>
  <c r="I243" i="6"/>
  <c r="I244" i="6"/>
  <c r="I245" i="6"/>
  <c r="I246" i="6"/>
  <c r="I247" i="6"/>
  <c r="I248" i="6"/>
  <c r="I249" i="6"/>
  <c r="I250" i="6"/>
  <c r="I251" i="6"/>
  <c r="I252" i="6"/>
  <c r="I253" i="6"/>
  <c r="I254" i="6"/>
  <c r="I255" i="6"/>
  <c r="I256" i="6"/>
  <c r="I257" i="6"/>
  <c r="I258" i="6"/>
  <c r="I259" i="6"/>
  <c r="I260" i="6"/>
  <c r="I261" i="6"/>
  <c r="I262" i="6"/>
  <c r="I263" i="6"/>
  <c r="I264" i="6"/>
  <c r="I265" i="6"/>
  <c r="I266" i="6"/>
  <c r="I267" i="6"/>
  <c r="I268" i="6"/>
  <c r="I269" i="6"/>
  <c r="I270" i="6"/>
  <c r="I271" i="6"/>
  <c r="I272" i="6"/>
  <c r="I273" i="6"/>
  <c r="I274" i="6"/>
  <c r="I275" i="6"/>
  <c r="I276" i="6"/>
  <c r="I277" i="6"/>
  <c r="I278" i="6"/>
  <c r="I279" i="6"/>
  <c r="I280" i="6"/>
  <c r="I281" i="6"/>
  <c r="I282" i="6"/>
  <c r="I283" i="6"/>
  <c r="I284" i="6"/>
  <c r="I285" i="6"/>
  <c r="I286" i="6"/>
  <c r="I287" i="6"/>
  <c r="I288" i="6"/>
  <c r="I289" i="6"/>
  <c r="I290" i="6"/>
  <c r="I291" i="6"/>
  <c r="I292" i="6"/>
  <c r="I293" i="6"/>
  <c r="I294" i="6"/>
  <c r="I295" i="6"/>
  <c r="I296" i="6"/>
  <c r="I297" i="6"/>
  <c r="I298" i="6"/>
  <c r="I299" i="6"/>
  <c r="I300" i="6"/>
  <c r="I301" i="6"/>
  <c r="I302" i="6"/>
  <c r="I303" i="6"/>
  <c r="I304" i="6"/>
  <c r="I305" i="6"/>
  <c r="I306" i="6"/>
  <c r="I307" i="6"/>
  <c r="I308" i="6"/>
  <c r="I309" i="6"/>
  <c r="I310" i="6"/>
  <c r="I311" i="6"/>
  <c r="I312" i="6"/>
  <c r="I313" i="6"/>
  <c r="I314" i="6"/>
  <c r="I315" i="6"/>
  <c r="I316" i="6"/>
  <c r="I317" i="6"/>
  <c r="I318" i="6"/>
  <c r="I319" i="6"/>
  <c r="I320" i="6"/>
  <c r="I321" i="6"/>
  <c r="I322" i="6"/>
  <c r="I323" i="6"/>
  <c r="I324" i="6"/>
  <c r="I325" i="6"/>
  <c r="I326" i="6"/>
  <c r="I327" i="6"/>
  <c r="I328" i="6"/>
  <c r="I329" i="6"/>
  <c r="I330" i="6"/>
  <c r="I331" i="6"/>
  <c r="I332" i="6"/>
  <c r="I333" i="6"/>
  <c r="I334" i="6"/>
  <c r="I335" i="6"/>
  <c r="I336" i="6"/>
  <c r="I337" i="6"/>
  <c r="I338" i="6"/>
  <c r="I339" i="6"/>
  <c r="I340" i="6"/>
  <c r="I341" i="6"/>
  <c r="I342" i="6"/>
  <c r="I343" i="6"/>
  <c r="I344" i="6"/>
  <c r="I345" i="6"/>
  <c r="I346" i="6"/>
  <c r="I347" i="6"/>
  <c r="I348" i="6"/>
  <c r="I349" i="6"/>
  <c r="I350" i="6"/>
  <c r="I351" i="6"/>
  <c r="I352" i="6"/>
  <c r="I353" i="6"/>
  <c r="I354" i="6"/>
  <c r="I355" i="6"/>
  <c r="I356" i="6"/>
  <c r="I357" i="6"/>
  <c r="I358" i="6"/>
  <c r="I359" i="6"/>
  <c r="I360" i="6"/>
  <c r="I361" i="6"/>
  <c r="I362" i="6"/>
  <c r="I363" i="6"/>
  <c r="I364" i="6"/>
  <c r="I365" i="6"/>
  <c r="I366" i="6"/>
  <c r="I367" i="6"/>
  <c r="I368" i="6"/>
  <c r="I369" i="6"/>
  <c r="I370" i="6"/>
  <c r="I371" i="6"/>
  <c r="I372" i="6"/>
  <c r="I373" i="6"/>
  <c r="I374" i="6"/>
  <c r="I375" i="6"/>
  <c r="I376" i="6"/>
  <c r="I377" i="6"/>
  <c r="I378" i="6"/>
  <c r="I379" i="6"/>
  <c r="I380" i="6"/>
  <c r="I381" i="6"/>
  <c r="I382" i="6"/>
  <c r="I383" i="6"/>
  <c r="I384" i="6"/>
  <c r="I385" i="6"/>
  <c r="I386" i="6"/>
  <c r="I387" i="6"/>
  <c r="I388" i="6"/>
  <c r="I389" i="6"/>
  <c r="I390" i="6"/>
  <c r="I391" i="6"/>
  <c r="I392" i="6"/>
  <c r="I393" i="6"/>
  <c r="I394" i="6"/>
  <c r="I395" i="6"/>
  <c r="I396" i="6"/>
  <c r="I397" i="6"/>
  <c r="I398" i="6"/>
  <c r="I399" i="6"/>
  <c r="I400" i="6"/>
  <c r="I401" i="6"/>
  <c r="I402" i="6"/>
  <c r="I403" i="6"/>
  <c r="I404" i="6"/>
  <c r="I405" i="6"/>
  <c r="I406" i="6"/>
  <c r="I407" i="6"/>
  <c r="I408" i="6"/>
  <c r="I409" i="6"/>
  <c r="I410" i="6"/>
  <c r="I411" i="6"/>
  <c r="I412" i="6"/>
  <c r="I413" i="6"/>
  <c r="I414" i="6"/>
  <c r="I415" i="6"/>
  <c r="I416" i="6"/>
  <c r="I417" i="6"/>
  <c r="I418" i="6"/>
  <c r="I419" i="6"/>
  <c r="I420" i="6"/>
  <c r="I421" i="6"/>
  <c r="I422" i="6"/>
  <c r="I423" i="6"/>
  <c r="I424" i="6"/>
  <c r="I425" i="6"/>
  <c r="I426" i="6"/>
  <c r="I427" i="6"/>
  <c r="I428" i="6"/>
  <c r="I429" i="6"/>
  <c r="I430" i="6"/>
  <c r="I431" i="6"/>
  <c r="I432" i="6"/>
  <c r="I433" i="6"/>
  <c r="I434" i="6"/>
  <c r="I435" i="6"/>
  <c r="I436" i="6"/>
  <c r="I437" i="6"/>
  <c r="I438" i="6"/>
  <c r="I439" i="6"/>
  <c r="I440" i="6"/>
  <c r="I441" i="6"/>
  <c r="I442" i="6"/>
  <c r="I443" i="6"/>
  <c r="I444" i="6"/>
  <c r="I445" i="6"/>
  <c r="I446" i="6"/>
  <c r="I447" i="6"/>
  <c r="I448" i="6"/>
  <c r="I449" i="6"/>
  <c r="I450" i="6"/>
  <c r="I451" i="6"/>
  <c r="I452" i="6"/>
  <c r="I453" i="6"/>
  <c r="I454" i="6"/>
  <c r="I455" i="6"/>
  <c r="I456" i="6"/>
  <c r="I457" i="6"/>
  <c r="I458" i="6"/>
  <c r="I459" i="6"/>
  <c r="I460" i="6"/>
  <c r="I461" i="6"/>
  <c r="I462" i="6"/>
  <c r="I463" i="6"/>
  <c r="I464" i="6"/>
  <c r="I465" i="6"/>
  <c r="I466" i="6"/>
  <c r="I467" i="6"/>
  <c r="I468" i="6"/>
  <c r="I469" i="6"/>
  <c r="I470" i="6"/>
  <c r="I471" i="6"/>
  <c r="I472" i="6"/>
  <c r="I473" i="6"/>
  <c r="I474" i="6"/>
  <c r="I475" i="6"/>
  <c r="I476" i="6"/>
  <c r="I477" i="6"/>
  <c r="I478" i="6"/>
  <c r="I479" i="6"/>
  <c r="I480" i="6"/>
  <c r="I481" i="6"/>
  <c r="I482" i="6"/>
  <c r="I483" i="6"/>
  <c r="I484" i="6"/>
  <c r="I485" i="6"/>
  <c r="I486" i="6"/>
  <c r="I487" i="6"/>
  <c r="I488" i="6"/>
  <c r="I489" i="6"/>
  <c r="I490" i="6"/>
  <c r="I491" i="6"/>
  <c r="I492" i="6"/>
  <c r="I493" i="6"/>
  <c r="I494" i="6"/>
  <c r="I495" i="6"/>
  <c r="I496" i="6"/>
  <c r="I497" i="6"/>
  <c r="I498" i="6"/>
  <c r="I499" i="6"/>
  <c r="I500" i="6"/>
  <c r="I501" i="6"/>
  <c r="I502" i="6"/>
  <c r="I503" i="6"/>
  <c r="I504" i="6"/>
  <c r="I505" i="6"/>
  <c r="I506" i="6"/>
  <c r="I507" i="6"/>
  <c r="I508" i="6"/>
  <c r="I509" i="6"/>
  <c r="I510" i="6"/>
  <c r="I511" i="6"/>
  <c r="I512" i="6"/>
  <c r="I513" i="6"/>
  <c r="I514" i="6"/>
  <c r="I515" i="6"/>
  <c r="I516" i="6"/>
  <c r="I517" i="6"/>
  <c r="I518" i="6"/>
  <c r="I519" i="6"/>
  <c r="I520" i="6"/>
  <c r="I521" i="6"/>
  <c r="I522" i="6"/>
  <c r="I523" i="6"/>
  <c r="I524" i="6"/>
  <c r="I525" i="6"/>
  <c r="I526" i="6"/>
  <c r="I527" i="6"/>
  <c r="I528" i="6"/>
  <c r="I529" i="6"/>
  <c r="I530" i="6"/>
  <c r="I531" i="6"/>
  <c r="I532" i="6"/>
  <c r="I533" i="6"/>
  <c r="I534" i="6"/>
  <c r="I535" i="6"/>
  <c r="I536" i="6"/>
  <c r="I537" i="6"/>
  <c r="I538" i="6"/>
  <c r="I539" i="6"/>
  <c r="I540" i="6"/>
  <c r="I541" i="6"/>
  <c r="I542" i="6"/>
  <c r="I543" i="6"/>
  <c r="I544" i="6"/>
  <c r="I545" i="6"/>
  <c r="I546" i="6"/>
  <c r="I547" i="6"/>
  <c r="I548" i="6"/>
  <c r="I549" i="6"/>
  <c r="I550" i="6"/>
  <c r="I551" i="6"/>
  <c r="I552" i="6"/>
  <c r="I553" i="6"/>
  <c r="I554" i="6"/>
  <c r="I555" i="6"/>
  <c r="I556" i="6"/>
  <c r="I557" i="6"/>
  <c r="I558" i="6"/>
  <c r="I559" i="6"/>
  <c r="I560" i="6"/>
  <c r="I561" i="6"/>
  <c r="I562" i="6"/>
  <c r="I563" i="6"/>
  <c r="I564" i="6"/>
  <c r="I565" i="6"/>
  <c r="I566" i="6"/>
  <c r="I567" i="6"/>
  <c r="I568" i="6"/>
  <c r="I569" i="6"/>
  <c r="I570" i="6"/>
  <c r="I571" i="6"/>
  <c r="I572" i="6"/>
  <c r="I573" i="6"/>
  <c r="I574" i="6"/>
  <c r="I575" i="6"/>
  <c r="I576" i="6"/>
  <c r="I577" i="6"/>
  <c r="I578" i="6"/>
  <c r="I579" i="6"/>
  <c r="I580" i="6"/>
  <c r="I581" i="6"/>
  <c r="I582" i="6"/>
  <c r="I583" i="6"/>
  <c r="I584" i="6"/>
  <c r="I585" i="6"/>
  <c r="I586" i="6"/>
  <c r="I587" i="6"/>
  <c r="I588" i="6"/>
  <c r="I589" i="6"/>
  <c r="I590" i="6"/>
  <c r="I591" i="6"/>
  <c r="I592" i="6"/>
  <c r="I593" i="6"/>
  <c r="I594" i="6"/>
  <c r="I595" i="6"/>
  <c r="I596" i="6"/>
  <c r="I597" i="6"/>
  <c r="I598" i="6"/>
  <c r="I599" i="6"/>
  <c r="I600" i="6"/>
  <c r="I601" i="6"/>
  <c r="I602" i="6"/>
  <c r="I603" i="6"/>
  <c r="I604" i="6"/>
  <c r="I605" i="6"/>
  <c r="I606" i="6"/>
  <c r="I607" i="6"/>
  <c r="I608" i="6"/>
  <c r="I609" i="6"/>
  <c r="I610" i="6"/>
  <c r="I611" i="6"/>
  <c r="I612" i="6"/>
  <c r="I613" i="6"/>
  <c r="I614" i="6"/>
  <c r="I615" i="6"/>
  <c r="I616" i="6"/>
  <c r="I617" i="6"/>
  <c r="I618" i="6"/>
  <c r="I619" i="6"/>
  <c r="I620" i="6"/>
  <c r="I621" i="6"/>
  <c r="I622" i="6"/>
  <c r="I623" i="6"/>
  <c r="I624" i="6"/>
  <c r="I625" i="6"/>
  <c r="I626" i="6"/>
  <c r="I627" i="6"/>
  <c r="I628" i="6"/>
  <c r="I629" i="6"/>
  <c r="I630" i="6"/>
  <c r="I631" i="6"/>
  <c r="I632" i="6"/>
  <c r="I633" i="6"/>
  <c r="I634" i="6"/>
  <c r="I635" i="6"/>
  <c r="I636" i="6"/>
  <c r="I637" i="6"/>
  <c r="I638" i="6"/>
  <c r="I639" i="6"/>
  <c r="I640" i="6"/>
  <c r="I641" i="6"/>
  <c r="I642" i="6"/>
  <c r="I643" i="6"/>
  <c r="I644" i="6"/>
  <c r="I645" i="6"/>
  <c r="I646" i="6"/>
  <c r="I647" i="6"/>
  <c r="I648" i="6"/>
  <c r="I649" i="6"/>
  <c r="I650" i="6"/>
  <c r="I651" i="6"/>
  <c r="I652" i="6"/>
  <c r="I653" i="6"/>
  <c r="I654" i="6"/>
  <c r="I655" i="6"/>
  <c r="I656" i="6"/>
  <c r="I657" i="6"/>
  <c r="I658" i="6"/>
  <c r="I659" i="6"/>
  <c r="I660" i="6"/>
  <c r="I661" i="6"/>
  <c r="I662" i="6"/>
  <c r="I663" i="6"/>
  <c r="I664" i="6"/>
  <c r="I665" i="6"/>
  <c r="I666" i="6"/>
  <c r="I667" i="6"/>
  <c r="I668" i="6"/>
  <c r="I669" i="6"/>
  <c r="I670" i="6"/>
  <c r="I671" i="6"/>
  <c r="I672" i="6"/>
  <c r="I673" i="6"/>
  <c r="I674" i="6"/>
  <c r="I675" i="6"/>
  <c r="I676" i="6"/>
  <c r="I677" i="6"/>
  <c r="I678" i="6"/>
  <c r="I679" i="6"/>
  <c r="I680" i="6"/>
  <c r="I681" i="6"/>
  <c r="I682" i="6"/>
  <c r="I683" i="6"/>
  <c r="I684" i="6"/>
  <c r="I685" i="6"/>
  <c r="I686" i="6"/>
  <c r="I687" i="6"/>
  <c r="I688" i="6"/>
  <c r="I689" i="6"/>
  <c r="I690" i="6"/>
  <c r="I691" i="6"/>
  <c r="I692" i="6"/>
  <c r="I693" i="6"/>
  <c r="I694" i="6"/>
  <c r="I695" i="6"/>
  <c r="I696" i="6"/>
  <c r="I697" i="6"/>
  <c r="I698" i="6"/>
  <c r="I699" i="6"/>
  <c r="I700" i="6"/>
  <c r="I701" i="6"/>
  <c r="I702" i="6"/>
  <c r="I703" i="6"/>
  <c r="I704" i="6"/>
  <c r="I705" i="6"/>
  <c r="I706" i="6"/>
  <c r="I707" i="6"/>
  <c r="I708" i="6"/>
  <c r="I709" i="6"/>
  <c r="I710" i="6"/>
  <c r="I711" i="6"/>
  <c r="I712" i="6"/>
  <c r="I713" i="6"/>
  <c r="I714" i="6"/>
  <c r="I715" i="6"/>
  <c r="I716" i="6"/>
  <c r="I717" i="6"/>
  <c r="I718" i="6"/>
  <c r="I719" i="6"/>
  <c r="I720" i="6"/>
  <c r="I721" i="6"/>
  <c r="I722" i="6"/>
  <c r="I723" i="6"/>
  <c r="I724" i="6"/>
  <c r="I725" i="6"/>
  <c r="I726" i="6"/>
  <c r="I727" i="6"/>
  <c r="I728" i="6"/>
  <c r="I729" i="6"/>
  <c r="I730" i="6"/>
  <c r="I731" i="6"/>
  <c r="I732" i="6"/>
  <c r="I733" i="6"/>
  <c r="I734" i="6"/>
  <c r="I735" i="6"/>
  <c r="I736" i="6"/>
  <c r="I737" i="6"/>
  <c r="I738" i="6"/>
  <c r="I739" i="6"/>
  <c r="I740" i="6"/>
  <c r="I741" i="6"/>
  <c r="I742" i="6"/>
  <c r="I743" i="6"/>
  <c r="I744" i="6"/>
  <c r="I745" i="6"/>
  <c r="I746" i="6"/>
  <c r="I747" i="6"/>
  <c r="I748" i="6"/>
  <c r="I749" i="6"/>
  <c r="I750" i="6"/>
  <c r="I751" i="6"/>
  <c r="I752" i="6"/>
  <c r="I753" i="6"/>
  <c r="I754" i="6"/>
  <c r="I755" i="6"/>
  <c r="I756" i="6"/>
  <c r="I757" i="6"/>
  <c r="I758" i="6"/>
  <c r="I759" i="6"/>
  <c r="I760" i="6"/>
  <c r="I761" i="6"/>
  <c r="I762" i="6"/>
  <c r="I763" i="6"/>
  <c r="I764" i="6"/>
  <c r="I765" i="6"/>
  <c r="I766" i="6"/>
  <c r="I767" i="6"/>
  <c r="I768" i="6"/>
  <c r="I769" i="6"/>
  <c r="I770" i="6"/>
  <c r="I771" i="6"/>
  <c r="I772" i="6"/>
  <c r="I773" i="6"/>
  <c r="I774" i="6"/>
  <c r="I775" i="6"/>
  <c r="I776" i="6"/>
  <c r="I777" i="6"/>
  <c r="I778" i="6"/>
  <c r="I779" i="6"/>
  <c r="I780" i="6"/>
  <c r="I781" i="6"/>
  <c r="I782" i="6"/>
  <c r="I783" i="6"/>
  <c r="I784" i="6"/>
  <c r="I785" i="6"/>
  <c r="I786" i="6"/>
  <c r="I787" i="6"/>
  <c r="I788" i="6"/>
  <c r="I789" i="6"/>
  <c r="I790" i="6"/>
  <c r="I791" i="6"/>
  <c r="I3" i="6"/>
  <c r="I2" i="6"/>
  <c r="P2" i="6"/>
  <c r="O2" i="6"/>
  <c r="N2" i="6"/>
  <c r="M2" i="6"/>
  <c r="L2" i="6"/>
  <c r="K2" i="6"/>
  <c r="J2"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DC94281-1483-41F6-92FF-F703CF848AAB}" keepAlive="1" name="Consulta - SCORE_IMP" description="Conexión a la consulta 'SCORE_IMP' en el libro." type="5" refreshedVersion="0" background="1">
    <dbPr connection="Provider=Microsoft.Mashup.OleDb.1;Data Source=$Workbook$;Location=SCORE_IMP;Extended Properties=&quot;&quot;" command="SELECT * FROM [SCORE_IMP]"/>
  </connection>
</connections>
</file>

<file path=xl/sharedStrings.xml><?xml version="1.0" encoding="utf-8"?>
<sst xmlns="http://schemas.openxmlformats.org/spreadsheetml/2006/main" count="9809" uniqueCount="1769">
  <si>
    <t>ADJUDICATOR</t>
  </si>
  <si>
    <t>CATEG</t>
  </si>
  <si>
    <t>TIPO</t>
  </si>
  <si>
    <t>FECHA</t>
  </si>
  <si>
    <t>DAY</t>
  </si>
  <si>
    <t>ROOM</t>
  </si>
  <si>
    <t>A1</t>
  </si>
  <si>
    <t>A2</t>
  </si>
  <si>
    <t>A3</t>
  </si>
  <si>
    <t>A4</t>
  </si>
  <si>
    <t>B1</t>
  </si>
  <si>
    <t>B2</t>
  </si>
  <si>
    <t>B3</t>
  </si>
  <si>
    <t>B4</t>
  </si>
  <si>
    <t>C1</t>
  </si>
  <si>
    <t>C2</t>
  </si>
  <si>
    <t>D1</t>
  </si>
  <si>
    <t>D2</t>
  </si>
  <si>
    <t>D3</t>
  </si>
  <si>
    <t>SUB_A</t>
  </si>
  <si>
    <t>STD_A</t>
  </si>
  <si>
    <t>SUB_B</t>
  </si>
  <si>
    <t>STD_B</t>
  </si>
  <si>
    <t>SUB_C</t>
  </si>
  <si>
    <t>STD_C</t>
  </si>
  <si>
    <t>SUB_D</t>
  </si>
  <si>
    <t>STD_D</t>
  </si>
  <si>
    <t>FEEDBACK</t>
  </si>
  <si>
    <t>Q1</t>
  </si>
  <si>
    <t>Q2</t>
  </si>
  <si>
    <t>Q3</t>
  </si>
  <si>
    <t>Q4</t>
  </si>
  <si>
    <t>Q5</t>
  </si>
  <si>
    <t>AVG_Q</t>
  </si>
  <si>
    <t>Avpby��f T��zrm Puncbh</t>
  </si>
  <si>
    <t>A</t>
  </si>
  <si>
    <t>PREP</t>
  </si>
  <si>
    <t>Good content, especially because of diverse examples. Felt like you were reading for the most part, try and mention key points and develop them to improve this.</t>
  </si>
  <si>
    <t>Good use of examples. Good delivery, it helped that you were fast at the beginning but you might want to slow down sometimes to be able to emphasise. Good engagement with questions.</t>
  </si>
  <si>
    <t>Your first question was engaging. You seemed mostly calm and focused, which is good for delivery. You can engage even more by reading a bit less.</t>
  </si>
  <si>
    <t>Very confident delivery, well done. Sound arguments. You can highlight your conclusions better by making clear pauses or by framingt hem as such.</t>
  </si>
  <si>
    <t>Good gestures. Your questions were interesting. Your answers to the questions can be more clear and focused</t>
  </si>
  <si>
    <t>Great performing skills and delivery skills. Your call to attention was useful for engagement.  Analysis can go deeper.</t>
  </si>
  <si>
    <t xml:space="preserve">Good delivery, your answers were honest and on point. You can improve your analysis by framing some conclusions and by discussing the implications of your arguments. </t>
  </si>
  <si>
    <t>Good intonation and confidence.. You can add variety to your gestures to emphasise some points. I suggest using more examples to develop your arguments.</t>
  </si>
  <si>
    <t>Interesting metaphor.  If you include more examples, your arguments will be more clear. You can work on the depth of your analysis.</t>
  </si>
  <si>
    <t>Pevf Yr��a</t>
  </si>
  <si>
    <t>Your argument was solid, but your facial expressions didn���t fully match the emotions in your speech. Try aligning your expressions with your words for a more natural delivery. Looking at your notes disrupted your connection with the audience. Practicing without notes or using quick glances can help maintain engagement</t>
  </si>
  <si>
    <t>Your eye contact was inconsistent, which made it harder to connect with the audience. Looking at your notes disrupted your connection with the audience. Practicing without notes or using quick glances can help maintain engagement</t>
  </si>
  <si>
    <t>Your voice was clear, but adding more variation in tone and pitch could make your speech even more compelling. Emphasizing certain words and ideas will help create more impact</t>
  </si>
  <si>
    <t>You did a great job maintaining eye contact, but your pace was too fast at times, making it difficult for the audience to absorb key information. Practice pausing between important points for better emphasis</t>
  </si>
  <si>
    <t>Your conclusion effectively summarized your speech, but it could have been more memorable. Ending with a powerful statement, rhetorical question, or call to action can leave a lasting impression. Practicing without notes or using quick glances can help maintain engagement</t>
  </si>
  <si>
    <t>Your opening was interesting, but it could have been stronger. Consider starting with a powerful question or a thought-provoking statement to immediately capture attention</t>
  </si>
  <si>
    <t>Your body language was confident but using more concrete examples or personal experiences would make your argument more persuasive and relatable. Ending with a powerful statement, rhetorical question, or call to action can leave a lasting impression on the audience</t>
  </si>
  <si>
    <t>You had a good use of gestures but your pace was too fast at times, making it difficult for the audience to absorb key information. Practice pausing between important points for better emphasis. Looking at your notes disrupted your connection with the audience. Practicing without notes or using quick glances can help maintain engagement</t>
  </si>
  <si>
    <t>Try to use examples that are known to different generations, not everyone might know it and get their attention. Looking at your notes disrupted your connection with the audience. Practicing without notes or using quick glances can help maintain engagement</t>
  </si>
  <si>
    <t>Znevnan Tnep��n Ynaqn</t>
  </si>
  <si>
    <t xml:space="preserve"> Good job. You clearly considered different ways to explain what unity means to you. Perhpas you could consider diff opinions or focus on one example and elaborate on it. </t>
  </si>
  <si>
    <t xml:space="preserve"> Great job. It shows that you thought about the different opinions and contexts. You could try to include a clear conclusion tying up your main ideas. Rememer to be mindful of the time limit, so you won't feel rushed.</t>
  </si>
  <si>
    <t>Good job. It is clear that you find this topic amusing and you had some smooth transitions throughout your speech. Perhaps it would have helped if you stated your metaphor about the trip in the introduction and again in the conclusion by tying it up all your ideas.</t>
  </si>
  <si>
    <t>Good job. You had a clear structure and it was easy to follow your speech because of your use of examples and body language.  Perhaps you could have developed some of  your examples or consider some counterarguments to improve your arguments.</t>
  </si>
  <si>
    <t xml:space="preserve"> Great job. Your speech had an structure that was easy to understand and also slear arguments.  Also your answers  to the panel's questions were related to your speech and it showed that you have a clear understanding on these issues.</t>
  </si>
  <si>
    <t>Great job. You had a great choice of words and ideas that helped the audience follow your speech . Your examples also helped to support your arguments. Perhaps I would suggest to include the term resilience in your introduction and elaborate it throughout the speech it to guide your audience.</t>
  </si>
  <si>
    <t>Good job, you had a clear structure and your examples helped the audience to understand why you chose constelations as a metaphor for relationships. Perhapps I would suggest to tie up all your main concepts in a clear conclusion.</t>
  </si>
  <si>
    <t>Good job. Your speech had a clear structure and you had some smooth transitions between your sections. Perhaps it would have been interesting to develop other examples besides sports and also to mention the quote on unity at the introduction instead of the conclusion, to better support your arguments.</t>
  </si>
  <si>
    <t xml:space="preserve">Good job. Your speech had a clear structure and arguments. However, be mindful that not everyone knows the game or how it works, so perhaps Fornite would be an example and not the main topic of your speech. </t>
  </si>
  <si>
    <t>Nyrwnaqeb Z. Tnep��n</t>
  </si>
  <si>
    <t>Great job on your presentation! Your introduction was engaging, and the use of hard data added credibility. Your analysis was coherent, and your examples reinforced your points effectively. While your first answer could have been more developed, your second response was well-reasoned and thorough. Keep up the good work!</t>
  </si>
  <si>
    <t>Thank you for your effort in delivering your speech. While your content had potential, I encourage you to engage more with the audience and vary your tone to enhance impact. Additionally, try to connect your ideas more closely to the theme and provide deeper insights in your responses. Keep practicing!</t>
  </si>
  <si>
    <t>Your presentation was truly impressive! You opened with a captivating line that drew us in, and your confident voice management created vivid imagery. The relevant examples and hard data you provided, showcased your imagination. You effectively repeated the theme's main word, keeping it engaging throughout. Great job managing your time!</t>
  </si>
  <si>
    <t>Your speech showcased a strong command of voice and effectively integrated the theme quote, which added depth. While your examples were relevant, enhancing your enunciation and incorporating more irony could elevate your delivery. Overall, a clear conclusion wrapped up your thoughts nicely. Keep practicing to refine your natural style!</t>
  </si>
  <si>
    <t>Your speech demonstrated a commendable use of gestures and a steady pace, which contributed to your overall delivery. While your personal examples were relatable, try to keep them connected to the theme could elevate your message. Appreciated your honesty. Keep up the good work!</t>
  </si>
  <si>
    <t>While I noticed some areas for improvement, such as pacing and audience engagement, your willingness to share your thoughts is commendable. With more practice in connecting with your audience and adding personal flair, I believe you can develop a more impactful delivery.</t>
  </si>
  <si>
    <t>Your passion for the topic is evident, but I encourage you to connect more with your audience through eye contact and a personal touch. Adding persuasive arguments and engaging delivery will enhance your future speeches. Keep practicing; you have great potential!</t>
  </si>
  <si>
    <t>Your speech was captivating, with an intriguing title and a strong introduction that immediately drew us in. Your effective use of gestures and vocal variation kept our attention throughout. The personal example was impactful, and the data you provided added depth. A bit more enunciation would enhance clarity. Truly great job!</t>
  </si>
  <si>
    <t>Qnavry Urea��aqrm Pbyva</t>
  </si>
  <si>
    <t xml:space="preserve">You are quite confident and the analysis on your response is quite interesting. </t>
  </si>
  <si>
    <t>Hector, your speech is quite interesting and the ideas are full of exmples. However, reading and following the text you wrote hinder your body language and voice or aspects like eye contact.</t>
  </si>
  <si>
    <t>Awesome display of confidence and coherence. Go deeper in the answers and provide reasons and examples to convince your audience.</t>
  </si>
  <si>
    <t>You make really strong points in your speech, it's great the depth of your analysis. Beware of time!</t>
  </si>
  <si>
    <t>The content of your speech is interesting and the pauses you make are appropriate to get your points. Vary the tone of voice and organise your speech in a clearer way. Try not to provide so many examples that your audience can get lost.</t>
  </si>
  <si>
    <t>Mateo, I enjoyed the comparison you make with sports and how you connected your experience with the topic. Be ware of how fast you speak, it can have a negative impact on the audience if you speak without pauses ans the right body language or eye contact.</t>
  </si>
  <si>
    <t>I liked the fact that you bring this topic into the competition, it provides an emotional turn into the competition and it can help you convince the audience. Try not to read your speech and instead speak with your own words and feelings. That will have a greater impact on the audience!</t>
  </si>
  <si>
    <t>You make very strong points and very personal examples, that helps you appear more confident for your audience. Body language and eye contact are some of your strengths too. Try to organise your speech with more topic indicators so it is easy to follow the speech or predict what is next in the content of your speech.</t>
  </si>
  <si>
    <t>Znel Nhfgva</t>
  </si>
  <si>
    <t xml:space="preserve">Good connection with the audience, good eye contact and you come across as very authentic. Well done. I liked how you asked a question of the audience - good engagement. Well done </t>
  </si>
  <si>
    <t>Try to avoid reading- it breaks your eye contact with the audience - which diminishes the imapact of your arguments/points.</t>
  </si>
  <si>
    <t>Your speech was clear and entertaining. You are a very strong speaker and engage the audience with your confidence and energy.  You also dealt with the questions very well - Great job Natalia!</t>
  </si>
  <si>
    <t xml:space="preserve">Well done Aitiana - good eye contact and connection with the audience. Just be careful about the time as you started a little too early and did'nt finish in the time. </t>
  </si>
  <si>
    <t>Alvaro, you dealt very well with my question - well done. I would like to see you analyse your points alittle deeper- I am sure you can do this. Well done</t>
  </si>
  <si>
    <t>Mateo need to make sure that the camera shows more than your head for the public speaking  competition because I was not able to ascertain what type of body language you might have been displaying. I also think you need to read less - work on mainitaining eye contact more. Try to use pauses to add impact to your points - count to 3 in your head when you get to a full stop. It helps the listener digest your words - so don't rush.</t>
  </si>
  <si>
    <t>Well done Maia - you have a clear voice with good intonation. Try not to read from your notes too much - making eye contact with the audience builds rapport, so try to look at the camera a little more</t>
  </si>
  <si>
    <t xml:space="preserve">Maria Fernanada - thank you for sharing such a personal experience. You spoke well, maintained good eye contact. I appreciated your raw honesty during the Q&amp;A session. </t>
  </si>
  <si>
    <t>Cnoyb T��zrm</t>
  </si>
  <si>
    <t>Your examples are relevant and arguments are clear and logical. Try to say your ideas just a bit faster so the audience connects more effectively with those ideas. Take into account illumination settings.</t>
  </si>
  <si>
    <t>It is suggested to add more variation to your speech based on the tone of a given idea. Ideas were structured and relevant to the prompt.</t>
  </si>
  <si>
    <t>Commanding presence on stage. It would be beneficial if you reduced the pace occassionally to emphasise important ideas in your arguments.</t>
  </si>
  <si>
    <t>Effective voice modulation and pace. Persuasive and confident.</t>
  </si>
  <si>
    <t>Great use of examples, compelling ideas and effective connection with the audience.  Try to include counterarguments to your ideas more often to strengthen your delivery.</t>
  </si>
  <si>
    <t>Engaging with the audience effectively. Try to add more pitch variation. Great use of examples.</t>
  </si>
  <si>
    <t>Interesting ideas. Try not to read that much and add voice modulation, this will help you connect deeper with the audience.</t>
  </si>
  <si>
    <t>Reinforcing body language that strengthens ideas, but try to alternate and find balance so the speech is not full of hand gestures. Commanding presence and clear ideas.</t>
  </si>
  <si>
    <t>Pneybf Pnfgeb</t>
  </si>
  <si>
    <t>Starting with a question was a great way to engage your audience right from the beginning. You maintained a clear connection to the topic, with a well-paced delivery and effective pauses that made your speech easy to follow. Your definition of unity was strong. To improve, consider addressing more counterarguments and ensure proper lighting so your expressions enhance your message. Well done!</t>
  </si>
  <si>
    <t>You presented a strong analysis with a clear connection to the topic of unity, demonstrating thoughtful engagement with the theme. To make your speech even more impactful, try varying your tone and using pauses to emphasize key arguments and counterarguments. Also, aim to rely less on reading to enhance your connection with the audience. Great effort!</t>
  </si>
  <si>
    <t>Your speech was engaging, with a strong opening and effective use of pauses to convey emotion. Your main argument was clear and well-supported by examples, making it compelling. To enhance your impact even further, consider incorporating rhetorical questions to draw in your audience and make them reflect on your points. Well done!</t>
  </si>
  <si>
    <t>Your speech was impactful, with well-chosen quotes and examples that effectively supported your arguments. You delivered it with confidence, and your clear structure made it easy to follow. Your body language also helped engage the audience. To make your argument even stronger, consider addressing counterarguments to add more depth and engagement. Great job!</t>
  </si>
  <si>
    <t>Your speech was engaging and impactful, with personal anecdotes that made your message resonate with the audience. Your pronunciation was very clear, and you used pace, pauses, and intonation effectively to emphasize key points. To further enhance your delivery, continue leveraging these strengths to create even more connection with your audience. Excellent work!</t>
  </si>
  <si>
    <t>Your use of rhetorical questions gave your speech a strong and clear structure, while your body language kept the audience engaged. The connection to personal anecdotes made your message inspiring, and your use of metaphor added depth. To make your speech even more impactful, consider refining your metaphor to relate more directly to the concept of unity. Great job!</t>
  </si>
  <si>
    <t>Your speech demonstrated strong critical thinking by addressing counterarguments on a relevant topic, and your persuasive examples effectively supported your points. To enhance your delivery, try adding more variety to your tone and intonation, using body language more intentionally, and engaging directly with the audience instead of reading. This will make your speech even more compelling. Well done!</t>
  </si>
  <si>
    <t>You delivered your speech with great confidence, using effective body language and strong engagement with the audience. Your well-placed pauses helped highlight key ideas and examples. To improve, consider making your main argument clearer from the start, ensuring it isn���t overshadowed by the background anecdote. This will strengthen your message throughout the speech. Great work!</t>
  </si>
  <si>
    <t>Zbagfreeng Zbebarf Niv��n</t>
  </si>
  <si>
    <t xml:space="preserve">Good connection with the topic and with the speaker's personal life, however, lacked critical thinking during the Q&amp;A round. I recommend the speaker to really take a moment to listen and ask for the questions to be repeated if necessary. Now that you know the kind of questions that people might come up with, the speaker needs to make additional research beyond his own experience.  </t>
  </si>
  <si>
    <t>Anya did a lot of research and provided several examples to support her argument, however the interpretation of the prompt might have been too literal which reduced the possibility to be creative</t>
  </si>
  <si>
    <t>Luisa made connections to a piece of literature she seems very acquainted with. She needs more suppporting evidence to make her point come accross more clearly. The speech was very abstract at times, so real-life examples will come in handy to mantain engagement.</t>
  </si>
  <si>
    <t xml:space="preserve">Ambition and common goals, great imagery and use of rhetoric devices. However, the point she was trying to make was not very clear, as she jumped from one topic to another constantly, organisation deserves improvement.  The definition of ambition was not very clear. </t>
  </si>
  <si>
    <t>It was a very casual speech, yet engaging, very clear and well organised. The speaker could possibly make connections to evidence beyond her own experience.</t>
  </si>
  <si>
    <t xml:space="preserve">There was not a clear definition for unity. Good use of tone. pace and very charismatic. </t>
  </si>
  <si>
    <t>Erendira had a well written speech, however never made eye-contact with the camera and that affected engaement. The purpose seemed to be to inform, but the speech lacked impact</t>
  </si>
  <si>
    <t>Good body language, yet distracting at times. Dosify it. The topic was interesting, good research behind. I recommend cutting the speech a little bit to reach a more powerful conclusion.</t>
  </si>
  <si>
    <t>Bqvyvn Thvenqb</t>
  </si>
  <si>
    <t>Ximena, your speech is well-organized and has very clear points. It would be important that you avoid reading and practice gestures. Try to change your voice and tune to engage the public and create suspense.</t>
  </si>
  <si>
    <t>Santiago, your arguements provided clear examples linked to your point of view. It would be important that you deepen more in the analysis in both the arguments and your responses. Remember the question period is for you to show extra knowledge and communication skills.</t>
  </si>
  <si>
    <t>Arturo, your speech followed a coherent order. It has important points that made us think in your opinion. However, it would be important that you analyzed more the arguments. Try to provide facts and examples that help you strengthen your points.</t>
  </si>
  <si>
    <t>Jacqueline, your speech was definitely touching and relevant. You deeply analyzed the arguments and provided valuable information. It would be important that you try to deepen a little more in the answers, remember that this time is for you to show up your communication skills and extra knowledge.</t>
  </si>
  <si>
    <t>Sergio, the ideas and examples that you used to illustrate your speech were relevant and made us think about unity. However, it would be important that you deepen more in your answers to show us your capacity of analysis and extra knowledge. It would polish your speaking skills if you used persuasive language to engage the audience.</t>
  </si>
  <si>
    <t>Xavi, your speech was well-organized and provided clear analysis that were linked to your point of view. Try to come up with real examples in which people have worked together to achieve a goal. Perhaps in a war, sickness, etc.</t>
  </si>
  <si>
    <t>Jos�� Pablo, your speech is well-organized and provided tangible examples. Your voice and tune helped us feel engaged with your speech. Remember the importance of the responses for the open questions. This moment is for you to build more upon and show off your skills and extra knowledge.</t>
  </si>
  <si>
    <t xml:space="preserve">Varvara, the structure of your speech was clear and easy to follow. I would recommend that you provide facts and other examples from immigrants to support your points. </t>
  </si>
  <si>
    <t>Ivpgbevn Cr��nybmn</t>
  </si>
  <si>
    <t>Your speech ideas was an interesting one, starting with an anecdote successfully enganged the audience. I would recommend pratcicing your eye contact with the audience and don��t let small mistakes stop you from linking the rest of your ideas</t>
  </si>
  <si>
    <t>You cohesively linked the ideas between the problems and the suggested solutions, you also actively maintain eye contact. It would be beneficial for you to use some breathing exercises so that the breathing pauses are a bit more smooth</t>
  </si>
  <si>
    <t>The pacing of your speech was really nice, being able to get the ideas divided into 3 categories helped a lot. Try practicing your linking words to better connect ideas and avoid fillers</t>
  </si>
  <si>
    <t xml:space="preserve">Pornunciation and intonation were outstanding, particularly your intonation helped you maintain you audience engaged. The examples you used were relevant and everyone could follow. Practice some breathing techniques and a little bit more your body language to not show nervousness </t>
  </si>
  <si>
    <t>Using global icons and concepts that everyone can identify or relate to effectivelly engaged the audience and you showed a lot of confidence. Practice meaningful pauses to emphazise parts of your speech</t>
  </si>
  <si>
    <t xml:space="preserve">Starting your speech with a rethorical question was an effective way of catching the public��s attention, aslo your body language kept eveyone attentive, but make sure not to overuse certain hand gestures, since they can lose their impact on the overall speech  </t>
  </si>
  <si>
    <t>All the examples used in your speech were well linked and effectively complemented eachother to get to the main aim of your speech. You would beneffit from meaninful pauses to catch and maintain the audience attention</t>
  </si>
  <si>
    <t xml:space="preserve">The structure of your speech was clear and it was easy to follow and understand what the conclusion was, your pronunciation was also something imporntant to highlight that helped you a lot. Try keeping eye contact with the audience rather than looking around, that way they are more enganged. </t>
  </si>
  <si>
    <t>Qvnan Abynfpb</t>
  </si>
  <si>
    <t>Your voice was clear and understandable, I would suggest more eye contact to engage the audience. You have a strong presence but try not to read too much while delivering your speech. Well done!</t>
  </si>
  <si>
    <t>You chose a very interesting approach to the topic with great insights. Your speech was well structured and coherent. Try to use more hand gestures to help you engage the audience and persuade them a bit more. You could try some breathing exercises if you're feeling nervous before delivering your speech. Keep up the good work!</t>
  </si>
  <si>
    <t xml:space="preserve">Your speech was fluent and engaging, your hand gestures were helpful for the delivery of the speech. You sounded confident and used relevant examples when talking about teamwork in the context of basketball. </t>
  </si>
  <si>
    <t>Your speech was very well structred and delivered, your presence was strong and your arguments persuasive and convincing. You covered some very important topics and you shared your point of view which helped support your arguments. You also looked confident and that helped your speech be more impactful. Great job!</t>
  </si>
  <si>
    <t>Your voice and intonation were clear. Your ideas were very interesting, I would suggest trying to connect them in a more logical way so you have a more cohesive speech. Your use of examples was very effective, I would recommend that you structure your arguments in a more persuasive way to engage the audience a bit more.</t>
  </si>
  <si>
    <t>You started off with a question, which was great to engage the audience. You showed confidence and fluency in your speech. Throughout your speech your use of phrases to captivate the audience's attention was very effective. The tone of your voice and hand gestures also enhanced your delivery. Your arguments were clear, very well structured and easy to follow. Overall, your speech was impactful and persuasive. Keep up the great work!</t>
  </si>
  <si>
    <t>Your speech was very well structured, you showed confidence and clarity of ideas. Your argumentation was persuasive and coherent since you developed the topic in a logical and fluent way. You explored different points of view and that helped support your arguments. Your tone of voice and use of hand gestures made the speech sound more natural. Great job!</t>
  </si>
  <si>
    <t>You related the theme to a personal experience which was very helpful to engage the audience on an emotional level. The transition from your personal experience to a more general viewpoint was smooth, and it helped your speech be more impactful towards the conclusion. You have a strong presence, try not to read too much while delivering your speech. Well done!</t>
  </si>
  <si>
    <t xml:space="preserve">Ensnry Enatry </t>
  </si>
  <si>
    <t xml:space="preserve">You presented a well-structured speech with strong examples that added depth to your argument. Your voice was clear, and you maintained steady eye contact, which helped engage the audience. Your use of evidence and persuasive techniques showed a solid understanding of the topic. To improve, focus on making your main idea clearer to ensure your message is fully understood. Adding more expression and refining your conclusion will also help leave a stronger impact </t>
  </si>
  <si>
    <t xml:space="preserve">You delivered a well-structured speech with a clear main idea and conclusion, making it easy for the audience to follow. Your use of varied examples added depth and kept the topic engaging. The theme was captivating, and you managed your time effectively, ensuring a balanced delivery. To improve, focus on enhancing your stage presence to project more confidence. Strengthening audience engagement through more expressive delivery will make your speech even more impactful. </t>
  </si>
  <si>
    <t>You had a clear main idea and delivered your speech with good intonation, making it easy to follow. Your responses to questions were thoughtful and well-articulated, showing a good understanding of the topic. To improve, try to ensure that all your points stay closely connected to the overall theme of your speech for a stronger sense of unity. Enhancing your stage presence and confidence will also help make your delivery more impactful.</t>
  </si>
  <si>
    <t>Main idea was clear, but got away from the theme of the speech, the unity idea could be more clear. Good intonation but needs more prescence. clear responses in questions</t>
  </si>
  <si>
    <t>You started off strong with great presence and clear intonation, which helped make your main idea easy to understand. Your use of evidence and reasoning was solid, adding depth to your speech. To improve, work on maintaining confidence throughout, even if you feel nervous. Practicing a smoother flow and refining your conclusion will help create a more polished delivery</t>
  </si>
  <si>
    <t>You had a clear main idea, and your use of evidence showed a good understanding of the topic. Your structure was solid, making your speech easy to follow. To improve, try to rely less on reading and focus on engaging with the audience to enhance your presence. Adding more expression and variety in tone will make your delivery more dynamic. Expanding on your points with more precise examples and a stronger conclusion will also help strengthen your impact</t>
  </si>
  <si>
    <t xml:space="preserve">You had a clear main idea and strong examples that supported your points well. Your intonation was engaging, and your responses to questions showed a solid understanding of the topic. To improve, try to manage your time more effectively to ensure your speech reaches its full potential. A more developed conclusion will also help leave a lasting impact. </t>
  </si>
  <si>
    <t>You presented a clear main idea with several strong examples to support your points. Despite feeling nervous, you delivered your message well and maintained a good structure throughout. To improve, focus on building more confidence in your delivery and engaging more with the audience. Strengthening your stage presence and refining your conclusion will help make your speech even more impactful</t>
  </si>
  <si>
    <t>Fnen Crenyrf</t>
  </si>
  <si>
    <t xml:space="preserve">Sports metaphor that 1) shows who he is 2) makes </t>
  </si>
  <si>
    <t xml:space="preserve">Engagin answers with instant confidence. Structure very fluid. Charisma that enage with panel. </t>
  </si>
  <si>
    <t>PARADOX of boxing against each other still being unity, twist of analysis. Growing confidence along the speech. Shows emotion with voice that translates to panel</t>
  </si>
  <si>
    <t xml:space="preserve">Good analysis on breaking a unity for creating a better unity. </t>
  </si>
  <si>
    <t xml:space="preserve">There was a hard break at half speach, i stil recognized the courage to still going ahead with it. </t>
  </si>
  <si>
    <t xml:space="preserve">Well known speech. </t>
  </si>
  <si>
    <t>enouraging speech, engagin way of speaking like a conversation</t>
  </si>
  <si>
    <t>Your argumentation was supported by concrete examples, that made them easy to understand. It would be important to practice your speech in advance so you feel more confident, try to change the tone of your voice to engage the audience.</t>
  </si>
  <si>
    <t>Yvyvn Thmz��a</t>
  </si>
  <si>
    <t>Yor speech was well-prepared and showed a good understanding of your topic. You have a good presence, but at times, your pace was a bit fast. Taking deep breaths will help you deliver your points more effectively.</t>
  </si>
  <si>
    <t>Your speech was well-structured, engaging, and delivered with confidence. You maintained a steady rhythm, and used pauses effectively. Your responses to the judges�� questions  were thoughtful and aligned with your main message, showing strong active listening.</t>
  </si>
  <si>
    <t>You had a clear message and showed dedication to your speech, your answers to the judges��questions did nor fuly align with your main argument. Keep working on your confidence.</t>
  </si>
  <si>
    <t>You showed courage in delivering your speech, and your effort was commendable. Your answers could go deep if you keep practicing active listening and maintaining congruence between your speech and responses to strength your performance.</t>
  </si>
  <si>
    <t>Your speech was well-structured, demonstrating strong diction and thoughtful pacing, Taking a moment to breathe showed confidence. You reference to Maria Montessori added depth to your argument, connecting education to global peace in a meaningful way.</t>
  </si>
  <si>
    <t>You presented your ideas clearly, making your message easy to follow. Practicing active listening and maintaining congruence between your speech and responses will help strengthen your performance.</t>
  </si>
  <si>
    <t>Your speech was insightful and personal. The way you connected personal experiences with hard facts gave your message credibility. Your answers to the judges��questions did not fully aling with your main argument. Practicing active listening and maintaining congruence between your speech and responses will help strengthen your performance.</t>
  </si>
  <si>
    <t>Your speech was well-structured making your ideas clear and engaging.  The historical examples you used helped to illustrate your points effectively. To make a even greater impact, try to trust more in the power of your ideas- speaking with more confidence and spontaneity will help you connect with your audience.</t>
  </si>
  <si>
    <t>Qvnan Phrfgn</t>
  </si>
  <si>
    <t xml:space="preserve">You had very clear ideas about what you wanted to share. However, I believe some of your key points were a bit lost in the delivery. To ensure that your audience grasps the most important parts of your speech, it���s important to make an effort to emphasize those key moments. </t>
  </si>
  <si>
    <t>You made strong arguments with great points. To increase their impact, try expanding on them a bit more. Also, watch your speed���it was too fast at times, making it harder to follow.</t>
  </si>
  <si>
    <t xml:space="preserve">I really liked how you used your personal experiences about friendship. To improve, try making your delivery more natural by speaking as if you're having a conversation. </t>
  </si>
  <si>
    <t>I really liked the example you chose for your speech. Just make sure your closing is clearer, as it focused more on what divides rather than what brings people together. Also, try not to rush as some parts were hard to hear.</t>
  </si>
  <si>
    <t>Your delivery was well done! I really liked the quotes and examples you used strengthened your message. To improve, try expanding your arguments further to avoid repetition and keep your speech engaging.</t>
  </si>
  <si>
    <t>I really liked how you based your speech on your personal experience, and the use of imagery was effective. To make your delivery more powerful, try varying your tone of voice to convey more emotion. At times, the lack of variation in tone made some important parts lose their impact.</t>
  </si>
  <si>
    <t>Even though you were nervous, you were still able to share some important arguments about unity. To improve, try to relax and make more eye contact with your audience���it will help project more confidence</t>
  </si>
  <si>
    <t>You gave a strong and confident presentation, and it���s clear your speech was well-planned. To take it to the next level, try expanding on your arguments a bit more to give them more weight.</t>
  </si>
  <si>
    <t>Wrf��f Oevbarf</t>
  </si>
  <si>
    <t>You established the main idea right away and then continued with the relevance of the topic, explaining it properly with examples. The examples helped validate your arguments. However, some of your arguments were a bit circular. Even though your tone was strong, we need to work on your engagement with the audience to make your argument more convincing. To improve, focus on varying your delivery, making eye contact, and using rhetorical strategies to keep your audience engaged and reinforce your key points effectively.</t>
  </si>
  <si>
    <t>You started by highlighting the relevance of the topic and explaining its importance. You then defined the meaning of unity and emphasized the significance of respect, using your own experiences to support your argument. You also discussed shared values and the role of open dialogue, incorporating several examples. However, you didn���t fully explain the reasoning behind your argument, particularly regarding cultural unity. To improve, focus on clearly connecting your examples to your main points and providing deeper reasoning to strengthen your argument.</t>
  </si>
  <si>
    <t>You gave a strong introduction to the relevance of the topic and quickly used an example to connect with the audience. You also incorporated a quote to support your argument. Your main point was that having friends fosters unity, which is important, and you touched on the idea of change for acceptance. However, you didn���t fully explain your argument, leaving some points underdeveloped. To improve, focus on elaborating on your key ideas with clear reasoning and logical connections so your speech is more structured and persuasive.</t>
  </si>
  <si>
    <t>You started with a strong quote to introduce the relevance of your topic and analyzed historical events from the first half of the 20th century as part of your explanation. Your focus on the Berlin Wall effectively illustrated how a nation was divided. However, you ran out of time before fully delivering your speech. To improve, work on structuring your speech more efficiently so you can cover all key points within the allocated time. A well-organized structure will help ensure that your message is clear and complete.</t>
  </si>
  <si>
    <t>You started with an impactful introduction that helped you connect and engage with the audience. You explained that unity is essential for all our actions, and your example of Beyonc�� was particularly effective in reinforcing your argument. Your engagement with the audience and movement throughout the speech strengthened your ideas. To improve, focus on refining the logical connections between your points to make your argument more cohesive and solid.</t>
  </si>
  <si>
    <t>You provided a clear explanation of the idea, but the exposition felt monotonous since you were reading without real contact or engagement with the audience. The use of personal experience to support the main idea was effective, but there wasn���t a strong central argument. Additionally, the lack of movement made it harder to connect with the audience. To improve, focus on maintaining eye contact, using natural gestures, and varying your tone to appear more confident and engaging in your next presentations.</t>
  </si>
  <si>
    <t>You started with a strong idea, stating that bonds are stronger than arguments, and effectively used references to ancient Greece to support your argument. However, you went slightly off track while presenting your examples. To improve, focus on maintaining eye contact with the camera to convey confidence and a strong command of the topic, ensuring a more engaging and persuasive delivery.</t>
  </si>
  <si>
    <t>You presented your ideas in a clear and impactful way, effectively defining unity and explaining how it is reflected in our current society. Your tone and movement were strong, which helped engage the audience. To improve, focus on strengthening your arguments with more solid reasoning and evidence to make your speech even more persuasive.</t>
  </si>
  <si>
    <t>Znepbf Oneovnhk Nthvyne</t>
  </si>
  <si>
    <t>I really enjoyed your social-historical approach to human unity. It was an intelligent approach that provided valuable examples to your speech. You developed your argument in order, giving examples in each section. The only problem you had was the repetitiveness in your arguments, which at times left us confused as to where you were going.</t>
  </si>
  <si>
    <t>You��re speech is built by strong ideals that you defended very well. More than informing, you were trying to convince, and we were allured by that. You weren��t afraid of touching political topics that help your point. You had a lot of energy, which helped your speech, nonetheless, it made you go too fast over some words, which makes you seem no so much in control of yourself.</t>
  </si>
  <si>
    <t>Your speech was really valuabe, since you made it personal and all of you were very successful in connecting with your audience by using your personal experience as an example. I would recomend you to use some external socurces to support your arguments.</t>
  </si>
  <si>
    <t>Developing your speech around one single example was a great idea, since that allowed you to go into a deeper level of detail with the subject. I would suggest you use more energy in certain parts of your speech to emphasize some ideas and for your tone not to go monotonous. Practice timing your speech beforehand so that you can complete your speech without compromising the integrity of your speech.</t>
  </si>
  <si>
    <t xml:space="preserve">Your tone of voice and your body language was magnetic. Everything you said had an extra srength. You had a clear argument based on complementarity, which was an original and intelligent approach to the topic.  One thing I can recomend you is to modulate your energy and slow your pace to enphasize important parts of your speech. Also, move less your hands in order to look in control of your body. </t>
  </si>
  <si>
    <t>Your speech was, to say the least, emotional. The sensory images you portrayed were highly powerful and engaging. The only thing I would point out is your tone, which at times was monotonous, nonetheless, the quality of the imagery you provided was enough to maintain our attention.</t>
  </si>
  <si>
    <t>Even though you looked nervous, you were able to communicate all your ideas and we got a clear image of what you wanted to say. I would suggest you work more on preparing a structure that allows you to feel confident at the time of the speech and develops your ideas at the same time.</t>
  </si>
  <si>
    <t>The way you gave your speech and answered the question shows proffesionalism and confidence on your have to say. Your approach to unity as resilience to breaking up was an intelligent interpretation of the topic, and the fact that you were able to connect it to your personal experience have your speech a humane touch. I would recomend you to make more research on the topic and give one or two researched arguements that support your point.</t>
  </si>
  <si>
    <t>Yvyl Ybpxr</t>
  </si>
  <si>
    <t>The candidate used metaphors very well in this speech, explaining them well and linking them to the central question effectively. However, to improve, the candidate could engage with their audience better for example, with varied intonation or hand gestures. But overall it was an good speech - well done!</t>
  </si>
  <si>
    <t>The candidate spoke very engagingly, using voice and innotation effectively. Additionally, the candidate used anecdotes to convey their overall argument very well. However, to improve, the candidate could use examples other than anecdotes to strengthen their points. But overall it was a good speech - well done!</t>
  </si>
  <si>
    <t>Tackling this question scientifically was a really interesting and creative way of doing so and lots of examples were used to back up the points. However, to improve, the candidate should focus more on audience engagement. For example, this could be achieved through more regular eye contact and increased intonation in voice. But overall it was a good effort!</t>
  </si>
  <si>
    <t>This was a really good speech, the candidate engaged with the audience very effectively and I really enjoyed the usage of metaphors. However, to improve, I would suggest focusing on developing the answers to the questions. But overall it was a great effort - well done!</t>
  </si>
  <si>
    <t>The candidate's speech developed logically and always remained focused on the central topic. However, I would have liked to see more specific examples that could be further developed. But overall it was a great effort!</t>
  </si>
  <si>
    <t>I loved the candidate's approach to this question. He clearly picked a topic he was very interested in which allowed him to use lots of relevant and well explained examples. To improve, I would suggest maintaining the confidence you began with throughout your speech. However, overall it was an excellent speech - well done!</t>
  </si>
  <si>
    <t>This was a creative approach to the question and the candidate used lots of examples to demonstrate his points. However, I think the candidate's ideas would have been expressed far more clearly if he focused more on engaging with the audience. This could be achieved through speaking slower or increasing voice intonation. But overall it was a good effort!</t>
  </si>
  <si>
    <t>The candidate spoke very well, using intonation and hand gestures effectively to convey her points. I also enjoyed the usage of anecdotes however, I would have like to have seen a wider array of examples. But overall it was a very good effort - well done!</t>
  </si>
  <si>
    <t>Znepb Zrqvan</t>
  </si>
  <si>
    <t>If you feel you need to take a moment to breathe, it's okay to do so. No problem. Breathe as much as you need to. Good fluency during the speech, the use of tones of voice are well done. You can go deeper with the highs so you can emphasize things more ���WE HAVE A CRISIS��� has more impact than ���we have a crisis���.</t>
  </si>
  <si>
    <t>Very good use of body language and voice tones. It allows me to connect with you and your feelings in an easier way. Excellent way to encompass the responses to go from big to small.</t>
  </si>
  <si>
    <t>Beware of reading abuse. I recommend using more paraverbal language in order to connect with you through the visual, we can only see what appears in the zoom box. The deepening was very good and the scientific approach was a very particular idea, but it went very well in that sense.</t>
  </si>
  <si>
    <t>Very good use of body language, the camera if it could focus a little more on you it would be great. The answers were well thought out and the examples given during the speech were pretty spot on, plus I feel you highlighted the strength of unity in a good way.</t>
  </si>
  <si>
    <t xml:space="preserve">Your speech was clear and easy to follow. I recommend adding more examples to go along with the speech and use them at specific moments, not just give them. </t>
  </si>
  <si>
    <t>Very good way of answering the questions, it was a very easy speech to follow and connect. The depth and examples helped a lot with that.</t>
  </si>
  <si>
    <t>Beware of reading abuse. The subject matter was very good and so were the examples. With regards to answering the questions I think you could have gone a little more to the point of, what book or what would you create, with something more specific to then explain your why and the why of the unit. Use more language for verbal, remember only what we see through the camera is what we can evaluate.</t>
  </si>
  <si>
    <t>The chain metaphor was a very good idea, but it was also a double-edged sword. In trying to apply the metaphor a lot of it became more of a story than something that would have an impact on others, so watch out. The speech was very easy to follow and to connect with you as you had a very good paraverbal language.</t>
  </si>
  <si>
    <t>Zntqnyran Gvohepvb</t>
  </si>
  <si>
    <t>Focus on enunciating clearly so your words are easy to understand. Adding gestures will also help bring your speech to life. Keep practicing!</t>
  </si>
  <si>
    <t>You have great tone and gestures! Just be mindful of the time to ensure you stay within the limit. Well done!</t>
  </si>
  <si>
    <t>Work on enunciating more clearly to improve understanding. Try to rely less on reading and add gestures and vocal variety to keep the audience engaged. Also, choose words that feel natural to you for smoother delivery. Keep practicing!</t>
  </si>
  <si>
    <t>You're a strong speaker with a clear and well-structured speech. To make it even more engaging, try adding more variety to your gestures. Great job!</t>
  </si>
  <si>
    <t>Your voice is very clear, and your gestures enhance your speech well. Try experimenting with your tone to make it more dynamic and add more emotion. Great job!</t>
  </si>
  <si>
    <t>Try breathing exercises to help manage nerves. Redirect your energy from pacing to using purposeful gestures with your arms, hands, and face. Also, focus on enunciating more clearly. Keep practicing!</t>
  </si>
  <si>
    <t>Your voice is very clear, and you use tone effectively to convey emotion. Focus on time management to ensure you have enough time for a strong conclusion. Great work!</t>
  </si>
  <si>
    <t>Tny Rerm</t>
  </si>
  <si>
    <t xml:space="preserve">Very focused and hit the nail on. the head on unity. try to have mor enuances in your in your delivery for a mor epersuasive and engaging effect. </t>
  </si>
  <si>
    <t xml:space="preserve">Try to make the end of your speech as impactful and full as the rest of it! Your speech made good points but disassembled at the end. </t>
  </si>
  <si>
    <t xml:space="preserve">Vey powerful and very clear speech. Try to have more nuances in your voice to create more effect. </t>
  </si>
  <si>
    <t xml:space="preserve">Try to broden your ideas, your speech was incredibly impactfull but when questions are asked it is important to branch out and not repeat what you've already said in your speech. Overall very focused and thought out. </t>
  </si>
  <si>
    <t xml:space="preserve">Great stage presence! Try to smooth out your transitions and maintain eye contact as much as possible. Great job at. answering during the question period? </t>
  </si>
  <si>
    <t xml:space="preserve">Strong impactful and focused speech. try to link your arguments back to the prompt of unity itself and not become ambiguous. Great answering of questions. </t>
  </si>
  <si>
    <t xml:space="preserve">Try to engage with the udience. Your content is importand and relevant but loses its impact in your delivery.  Your idea is well developed and conveys a strong message, try to link back to the theme of unity more throughout the speech not just the conclusion. </t>
  </si>
  <si>
    <t xml:space="preserve">Very impactful and extremely thought out speech. Try to manage your time better. You engage the audience extremely effectively, however this was at times overdone. When it was overdone it can be quite plastic and rather disengaging than engaging, </t>
  </si>
  <si>
    <t>Vfnory Cnqe��a Cv��rveb</t>
  </si>
  <si>
    <t xml:space="preserve">Good engagement with audience and delivery. Try to include more varied examples, outside of sports, this will make your analysis stronger. </t>
  </si>
  <si>
    <t>Good examples and research. Improve structure and transitions between ideas. Make body language more varied to engage audience.</t>
  </si>
  <si>
    <t>Good use of book example, but include more real life examples. More in depth analysis. Good voice modulation and strong delivery overall.</t>
  </si>
  <si>
    <t>Good delivery. Good quotes/examples, but try to use less of them in order to analyse each one of them more in depth.</t>
  </si>
  <si>
    <t>Good structure, clear delivery. Vary your volume and body language more. Try to include examples outside of your family situation.</t>
  </si>
  <si>
    <t>Good delivery and engagement with the audience. Link all your points back to the prompt so that they make more sense together.</t>
  </si>
  <si>
    <t>I like your interpetation of the prompt, good analysis. Focus on making the delivery better by avoiding reading the speech, and using more body language and eye contact.</t>
  </si>
  <si>
    <t xml:space="preserve">Good analysis and hand gestures. Try to use more varied examples to make your speech applicable to more circumstances. </t>
  </si>
  <si>
    <t>You presented some good examples and evidence, showing a solid effort in your speech. Your structure had a clear flow, making it easy to follow. To improve, focus on connecting your theme more directly to the prompt to ensure relevance. Engaging more with the audience through tone, gestures, and eye contact will also help make your speech more dynamic. Additionally, expanding your content to use the full time available will allow for deeper analysis and a stronger impact</t>
  </si>
  <si>
    <t xml:space="preserve">You delivered your speech with strong energy and a clear theme, which made your message easy to follow. Your structure and use of evidence were solid, helping to support your points effectively. To improve, try to balance your tone to sound more natural and engaging rather than overly intense. Refining your points to be more precise and concise will strengthen your argument, and working on a clearer conclusion will help leave a lasting impact. </t>
  </si>
  <si>
    <t>You delivered a confident and well-structured speech with a clear theme and appropriate tone, making it easy to follow. Your use of time was well-managed, and your strong, confident responses to questions further reinforced your message. To improve, try to make your ideas more concise to avoid repetition and keep your speech even more engaging. Overall, a strong and well-prepared delivery</t>
  </si>
  <si>
    <t>You had a good tone and a strong central idea with the concept of brothers, making your theme clear. Your answers to questions were well-articulated, showing a good understanding of the topic. To improve, work on managing nerves and refining your pronunciation for a smoother delivery. Being more precise and concise with your arguments will also help strengthen your speech</t>
  </si>
  <si>
    <t>You delivered a strong and impactful speech with a clear tone and confident presence, effectively engaging the audience. Your arguments were well-structured and felt sincere, making your message even more compelling. The idea of unity in friendship was a great touch, adding depth to your speech. To improve, focus on refining your conclusion for an even stronger finish.</t>
  </si>
  <si>
    <t>You delivered a great speech with a clear and engaging tone that kept the audience���s attention. Your message about unity and bonding was both precise and impactful, demonstrating strong preparation. Your thoughtful responses to questions further reinforced your understanding of the topic. To improve, consider refining your conclusion to leave an even stronger lasting impression.</t>
  </si>
  <si>
    <t>You delivered an excellent speech with strong tone and presence, keeping the audience fully engaged. Your argument was clear, supported by well-chosen examples, and demonstrated a deep understanding of the theme. Your precise responses to questions and active listening skills further showcased your confidence and preparation. To improve, consider refining your conclusion for an even stronger impact. Overall, this was a well-structured and compelling speech</t>
  </si>
  <si>
    <t>You had a strong start with clear ideas and a confident tone, which helped engage the audience. Your responses to questions were well-thought-out and showed a good understanding of the topic. To improve, work on maintaining confidence throughout the speech and ensuring your ideas feel fully developed. Avoiding repetition and using the full time available will help strengthen your delivery.</t>
  </si>
  <si>
    <t>Znevnan Ryrpuvthreen</t>
  </si>
  <si>
    <t xml:space="preserve">Your topic was really interesting. You did overall a well job, just try to stand up, or at least look up at the camera, so the public can engage with you more. </t>
  </si>
  <si>
    <t>You started really strong, it was really engaging. At some moments your speech felt a little repetitive. Also try to not show up you're nervous!</t>
  </si>
  <si>
    <t>Your speech was overall very inspirng, you are doing a good job! Try to prepare more arguemtns and not only examples to have a better delivery!</t>
  </si>
  <si>
    <t>Try to state at some moment in your speech the relevance, or why would this analog with a painter is enough to prove your point. Your voice and entoncation was very good!</t>
  </si>
  <si>
    <t>Your delivery was really nice! At some moments of your speech, it feelt a little bit repetitive or your lost the engage with the public</t>
  </si>
  <si>
    <t>You did great, it was very noticeable that you knew and prepared your peech in advance. Try to have more clarity in the arguments and the examples, because sometimes it may seem hard to know what is an argmuent and whats is an example.</t>
  </si>
  <si>
    <t>You started really strong with your speech. It was noticeable the confidence you have in yourself and the topic you prepared. Trfy to improve your stage presence.</t>
  </si>
  <si>
    <t>Try to have clarity in the main point that you are trying to prove, and also have more arguments or reasons for us to believe that what you are saying is true. Your developmen and delivery was very good.</t>
  </si>
  <si>
    <t>Good. You showed us that you have good research skills. However, remember in this speech you could've used music as an example and not only as the main theme. There's also plenty of room to keep working on your presenting skills in order to persuade your audience.</t>
  </si>
  <si>
    <t>Good job. You had a strong presence and you clearly found the theme of unity in sports. However, you could have structured your speech and to have basketball as an example of your argument What would you say to someone to convince them to try a sport and join a team.</t>
  </si>
  <si>
    <t xml:space="preserve"> Good job. You had a great use of your time and presence when you presented your speech. Perhaps the structure would have been easier to follow if you had started with the theme of unity and use your own experience and passion for tennis to support your arguments. </t>
  </si>
  <si>
    <t>Good job. You chose a good example and elaborated on it.  Remember to use some notes to support you during your speech. Perhaps you could have improved the structure of your speech by not only focusiing on the bond between brothers since not all of us can relate to it.</t>
  </si>
  <si>
    <t xml:space="preserve"> Good job. You did a great job at interpreting the given quote and relate it to an issue that you found interesting. Perhaps you could have structured your speech while having your audience in mind. Keep the theme of unity in mind throughout your speech.</t>
  </si>
  <si>
    <t>Good job.  It is clear that you put in a lot of thinking into your interpretation of this theme. Perhaps you could try developing a few of your examples in further detail and maybe you can consider using other sources to support your examples and arguments. Keep up that growth mindset.</t>
  </si>
  <si>
    <t>Great job. Your ability to express your ideas and examples throughout the speech was very impressive. Keep in mind the theme of unity and mention it throughout your speech and state clearly how it relates to your argument and your examples.</t>
  </si>
  <si>
    <t>Good job. Your introduction was interesting and hooks your audience immediatly.Next time keep in mind your main argument and try to guide the audience until the end of your speech. Remember to be mindful of the time to distribute your speech evenly in order to keep the audience enggaged. You could have mentioned the main points of your speech and reestate them in a conclusion.</t>
  </si>
  <si>
    <t>Eboregb Wbarf</t>
  </si>
  <si>
    <t xml:space="preserve">Whenever you are on an online competition, you need to present standing up. Would not recommend starting with your name, you have just been introduced. It seems like you are reading from the screen. Good use of the examples of animals (bees and wolves). Work on your transitions between examples. Jumped from animals to Mexicans in an earthquake scenario. Depth of analysis is missing. </t>
  </si>
  <si>
    <t xml:space="preserve">You are on a camera. You need to stand up to present. Good use of hand gestures and intonation. Started with a rhetorical question and effectively integrated Apple founder's examples. Not sure how it is linked to WWII Japan casualties. Central argument is presented at minute 3:30... it got lost for more than half the speech. Do not answer your rhetorical questions. I would recommend trying other strategies. Example of Apple was not circular. It wasn't referenced again at the end. There needs to be a bit more depth of analysis. Unrelated examples. Title seems unrelated to the speech. You did not answer the second question - went around it. </t>
  </si>
  <si>
    <t xml:space="preserve">Ha! I like how you chose to talk about emos. Would have loved to see you in full emo attire. If you get excited about your topic, then we get excited. Vary your tone of voice for impact. You are on a camera on a public speaking competition. You should be standing up. The upper part of your body should be visible since gestures and body movement matter. Make sure to work on your transitions and pauses. Your central argument gets lost. You should also choose more powerful topic sentences. Taking me right back to teenage years - interest use of example (My Chemical Romance &amp; Nirvana). However, everything is very descriptive, you should work on the depth of your analysis and make sure you go back to your thesis to restrenghten it. Please make sure you give depth to your response. It seems that you chose your topic just because you kinda like the music, but you don't really understand the emo identity or culture. </t>
  </si>
  <si>
    <t xml:space="preserve">I love love the hand gestures. You are adding so much energy to your speech. The structure of threes reinforces your speech. Make sure you organize it with Tokyo first, then Hong Kong, and then Mexico City. Make sure your central argument is introduced at the beginning of the speech and throughout. You need to make sure that your conclusion is more impactful. Watch out with your transitions at the end of your speech because it becomes a bit repetitive. Really clear answers to the questions. Work on not repeating things too much, but the depth was fine. </t>
  </si>
  <si>
    <t xml:space="preserve">I would recommend not starting with your name or a dictionary definition. Start with your own and then develop your own story. You use examples from Japan that are horrendous in scale, and just talk about them superficially. Japan also seems unrelated to your life. You jumped from your family, to Japan, to skating. There doesn't seem to be coherence between your examples. Good use of tone, but at times it seems very fake. Watch out and tone it done when you are addressing your central argument. Your hand gestures are a bit too much and are detracting from your argument (almost like you are signing). Because the entire speech has an upbeat tone, we as judges are not taken on a rollercoaster, but on a lazy river. A warning, you cannot related the effects of an atomic bomb with issues with paiting walls at your own house. I would highly recommend changing that example. </t>
  </si>
  <si>
    <t xml:space="preserve">I love the lighting in your space! Killing it with the blue. Make sure you work on hand gestures, pauses and engagement. You needed to include some lyrics from the Kendrick song and even his Superbowl dance. You jumped from a song to a funeral and the transition did not work. You give a lot of statements that could be in motivational posters so make sure you analyze and explain your statements a bit more. Make sure you separate your examples/analysis into blocks. Use topic sentences that directly relate to your central argument. It became very repetitive at the end. Your speech basically ended at 4:15 and you started repeating yourself. You said "stand together" "all of us" a ton of times. </t>
  </si>
  <si>
    <t xml:space="preserve">We need to work on your pronunciation, because sometimes it is difficult to understand when a word ends and another begins. Your central argument got a bit lost in the introduction. You are using some very important leaders that also have some very big controversial issues. Make sure that if you use an example you become an expert in that example. It would be lovely if you stood up when you are giving a public speech. You are very metaphorical about this silence, but we need to be able to understand it in your own personal context. Your argument gets lost in the optimistic statements. Addressing the prompt directly as is, is a huge risk. </t>
  </si>
  <si>
    <t xml:space="preserve">When you get excited, we get excited. Love the smile. Really good example of soccer, and then transfered over to your own personal experience. Great use of outside research in terms of sports psychology, other sports players, and overall teamsmanship. Great delivery. Great analysis. Good job overall. Build more depth in your responses. Try to respond for at least a minute. </t>
  </si>
  <si>
    <t>Slow down. Stand up (you are in a public speaking competition). Hand gestures and body movement matter. Very meta speech. But you've got to speak a bit slower because you are being philosophical. Love the eye contact. However, you are using the pronoun "you" trying to make us judges step into your own descriptions. Watch out! These descriptions seem far from our own lives. You are jumping from philosophy to history, to narrative, to reflection. You need to ground your speech with a slogan and a bit of repetition. Make sure you use topic sentences to be able to carry your central argument across your entire speech. Minute 3:50 and you are mentioning Nazis and I am lost. You are trying to win a competition, uplift your audience, make waves with your words. Know your audience!</t>
  </si>
  <si>
    <t>Fnaqen Frthen</t>
  </si>
  <si>
    <t>You communicated your ideas clearly</t>
  </si>
  <si>
    <t>You demonstrated great confidence and engaged well with the audience using strong body language and eye contact. Your arguments were clear and well-supported, but diving deeper into the analysis and addressing counterarguments will strengthen your points.</t>
  </si>
  <si>
    <t xml:space="preserve">Be sure to clarify your central idea, ensure your examples are relevant, and clearly support your argument. Try to avoid reading your speech, as this will help improve your delivery and connection with the audience. Additionally, working on your ideas' coherence and flow will strengthen your message. </t>
  </si>
  <si>
    <t>Your confidence and delivery were impressive, and your enthusiasm really came through. I liked how you connected the concept of unity to your personal life ��� it made your argument more relatable and engaging. To further improve, try to refine your ideas' flow and ensure more clarity in your analysis.</t>
  </si>
  <si>
    <t xml:space="preserve">Your confidence and delivery were strong, and you communicated your ideas clearly. Be mindful of using too much body language, which can sometimes be distracting. A more balanced approach will help keep the audience focused on your message. </t>
  </si>
  <si>
    <t>You presented well-developed arguments and effectively emphasized your key points. The lighting in your room made it difficult to see your body language and eye contact, which are important for audience engagement</t>
  </si>
  <si>
    <t>You did a good job with the structure of your speech and showed confidence in your delivery. To strengthen your argument, try including more varied examples and think about your central idea from different perspectives. This will help you build a more compelling arguments.</t>
  </si>
  <si>
    <t>You did a fantastic job linking the central idea with your personal life, making the speech engaging from start to finish. Your use of body language was well-judged, and it was clear that you had prepared and learned your speech well.</t>
  </si>
  <si>
    <t xml:space="preserve">Great job on your research and analysis! You provided strong support for your points. To enhance your delivery, try to avoid rushing and focus on speaking at a smoother pace. This will help your audience follow your ideas more easily and give you more time to emphasize key points. </t>
  </si>
  <si>
    <t>Your speech had a very clear structure, and your supporting examples made it engaging. You did a great job considering different perspectives, which added depth to your argument. To improve, work on making your delivery feel more natural and less rehearsed. Also, prepare for complex questions so you can showcase your skills with more developed responses. Well done!</t>
  </si>
  <si>
    <t>You started with a strong question and a clear setup for your arguments, immediately drawing in the audience. Your use of humor and rhetorical devices made your speech engaging and persuasive. Additionally, your body language helped reinforce your message. To take it even further, continue refining these techniques to make your delivery even more impactful. Great job!</t>
  </si>
  <si>
    <t>You used strong examples and storytelling to present an interesting perspective on unity. To make your speech even more engaging, consider starting with a question or phrase to capture the audience���s attention. Also, try to rely less on reading to sound more natural. Clarifying the connection to the topic will further strengthen your message. Well done!</t>
  </si>
  <si>
    <t>Your effective body language and gestures helped keep the audience engaged, and your use of rhetoric made your speech even more compelling. Personal anecdotes added interest and made your message more relatable. To improve, try varying your connectors instead of repeating phrases like ���for example��� to create a smoother flow of ideas. Great work!</t>
  </si>
  <si>
    <t>Your varied tone effectively emphasized key ideas, and your body language helped keep the audience engaged. Your speech followed a logical sequence, making it easy to follow. To improve, try using pauses to create more impact and avoid distracting movements. Also, emphasizing your main argument more clearly will make your message even stronger. Well done!</t>
  </si>
  <si>
    <t>Your speech had a very clear structure with well-developed arguments and an emotional delivery that made it compelling. Your use of pauses was effective in emphasizing key points. To strengthen your speech even further, consider addressing some counterarguments and incorporating rhetorical devices to deepen audience engagement. Great job!</t>
  </si>
  <si>
    <t>You delivered your speech with confidence, which helped engage the audience. To make your message even stronger, try creating a clearer connection to the theme of unity. Varying your tone and using more intentional pauses will also add impact. Additionally, incorporating relevant stories or personal anecdotes could make your speech even more engaging. Great effort!</t>
  </si>
  <si>
    <t>Your speech was highly engaging, with a clear tone and well-placed pauses that emphasized your main arguments effectively. Your use of personal anecdotes, rhetoric, and body language added depth and kept the audience���s attention. Keep building on these strengths to make your delivery even more impactful. Excellent work!</t>
  </si>
  <si>
    <t>Your creative metaphor provided a unique and engaging approach to the topic of unity. You used pauses effectively, and your arguments were well-supported by data and research, demonstrating deep analysis. To strengthen your delivery, focus on improving body language and stage presence to appear even more confident. Great job!</t>
  </si>
  <si>
    <t>Qne��b M��engr Svthrebn</t>
  </si>
  <si>
    <t>Your speech was both informative and persuasive. You used historical examples not just to illustrate a point, but also to make an appeal to learn from history. This makes your speech more relevant to the audience. Good job. You have a strong voice and a good instinct to get emotional with it at the right times. Just try not to rely so much on your written material. Work on looking at the audience for longer stretches and at your notes less often.</t>
  </si>
  <si>
    <t>Congratulations on your use of body language, which is very expressive and commands attention. Try to hone it by alternating your grand, eloquent hand gestures with some subtler ones when appropriate. Variety  will keep your audience all the more engaged and attentive. Your use of personal experience to make your arguments was great, but you ended a bit too early. You could have used the remaining time to elaborate further.</t>
  </si>
  <si>
    <t>I liked how you took a topic that might seem inherently positive and presented a different side of it. Thinking outside the box can make for great, memorable speeches. You had a nice solid ending as well. Be sure to work on your style. Speaking at a uniformly fast pace flattens your delivery. Remember that your voice can and should convey a wide range of emotions, moods, levels of urgency, etc., the way a musical instrument does.</t>
  </si>
  <si>
    <t>Your speech was very well-structured and you gave your examples and arguments a very clear, logical sequence. My advice is to use more rhetorical devices, since a speech needs to be compelling and convincing as well as informative; otherwise, it might sound more like an essay. Working on your body language to overcome your nervousness will also help to give your speeches more power.</t>
  </si>
  <si>
    <t>Your speech had a very strong opening and conclusion. The way you summed it up and ended with a simple yet memorable sentence is a hallmark of a well-made speech. You arguments could use some more research to back them up with facts so your speech as a whole can be strong and persuasive. Your facial and body language is strong and you already have a personal style; just work on your eye contact, because when you look away from your audience it might come off as insecure.</t>
  </si>
  <si>
    <t>You have a clear, strong voice that is great for public speaking, and very expresssive body language, and you make very effective use of these resources to direct your audience's attention. This time, however, your reliance on your written speech hindered your expression a bit. Try working on your memory so you can recite longer stretches without reading from your papers so often, and keep your allotted time in mind.</t>
  </si>
  <si>
    <t>You have a very confident presence and expressive style. Keep it up and you can become an outstanding orator. I recommend working on your content. Your speech had a solid start and you made good use of personal examples, but you could have researched a bit more to back up your claims and use all of your allotted time.</t>
  </si>
  <si>
    <t>Congratulations on your speech. You managed to get a lot of mileage out of your chosen topic. Your speech had a very dynamic flow that kept me engaged the whole time. I would advise you to be better prepared for the questions the adjucator might pose. Keep your focus even after your main speech is done.</t>
  </si>
  <si>
    <t>Your message was crearly stated, the intonation and stress of certain words helped you maintain your audience��s attention. You started really strong, but as the speech continued you relied on reading try avoiding it.</t>
  </si>
  <si>
    <t xml:space="preserve">Your body language was outstanding, it helped the audience follow the speech, as well as your intonation and stress. </t>
  </si>
  <si>
    <t>The use of stressed words in your speechs helped follow and understand which parts were more important than other. Avoid reading in future competitions so you can look at your audience and create a more engaging environment.For next speeches try practcing a  bit more and check your audio quality</t>
  </si>
  <si>
    <t>The examples you used to contrast and compare were very useful to paint the picture of the idea you wanted to share. I would suggest maybe for future competitions standing up or using a chair without wheels so that you are not constantly moving.</t>
  </si>
  <si>
    <t>I was surprised by the used of idioms throughout your speech, they were placed stressed affectively. I would recommend a little bit more of hand gestures during your speech, you used them more when answering the questions and it was a bit more engaging.</t>
  </si>
  <si>
    <t>Pronunciation, stress and hand gestures were incredibely used, they helped you keep your audience enganged. I would avoid reading for futures speeches since you are not able to maintain eye contact with the audience.</t>
  </si>
  <si>
    <t>Your voice tone showed a lot of confidence and didn��t show if you were feeling nervous. I would suggest working on gesturing more to keep your audience enganges. Please check you audio quality for future competitions</t>
  </si>
  <si>
    <t>The topic was engaged and well developed, you cohesively linked your ideas. It was easy to understand the main idea of your topic. Stressing certain words for future speeches would make it more engaging for the audience.</t>
  </si>
  <si>
    <t>Nyrwnaqeb Snyp��a</t>
  </si>
  <si>
    <t>Something to consider from the get go, is to consider to stand up so that we can see your hand gestures, because of how your camera was focused, we couldn't see your hands, so we aren't able to take it in consideration. There is a good structure in your speech, I would've tried to modulate my voice more. Also practice more your speech so that you don't have to look at it, or if you need it, you can paste it besides your screen by the camera, so that it seems like you are looking at it. You need to enunciate if you are going to raise your voice, or else it loses impact. There is a nice flow to your speech, and interesting arguments. Good job. For the questions, always consider your counter argument, so that you can come up with a solid answer.</t>
  </si>
  <si>
    <t>It was a good idea to stand up, and have good and strong hand gestures. Something that would be good to avoid is to tell that you are going to do a speech and then do the speech, it is redundant. Another thing to consider is enunciation, because while I understood you, there were times in which you could've been clearer, I spent more effort to try to understand clearly than to your arguments. You are very good at the presentation, very theatrical. For your arguments, maybe delivering a bit more of the evidence through story or an example instead of explaining would be more impactful. Show me a story or a situation that is like the steps that you mention. That would make your speech more serious. Try to think of other arguments in favour of your point in positive.</t>
  </si>
  <si>
    <t xml:space="preserve">You don't need to rush it, because it feels like you are throwing a lot of ideas without allowing your audience to think about it. Also, it doesn't allow your pronunciation to be clear, there were times in which you couldn't be understood clearly. Another thing to do, is to practice more your speech, if you are reading your speech, you are losing eye contact. Also, consider standing up instead of being sitting down, because that loses a lot of the body language and gestures. Also, being on the chair played against you, because of how you were partially turning while giving your speech, it made it less serious. You have the evidence, you have the structure, and the ideas, well done on that. Work on your delivery. A good idea is to look up real life examples of your idea. The Weimar Republic is one, some of the societies of Mesoamerica had it, or native americans. </t>
  </si>
  <si>
    <t>Your pace was way better than in the impromptu. Again, standing up would've helped you a lot, so that your chair didn't show how nervous you were. Your arguments were solid, and consistent, I think that your speech got better in the 2nd minute. Good of you for using examples, your examples were very good, you used them properly, you actually used a social science argument, the Malthussian Trap. I think that you have very good and well developed structure, that is good, but you need to work on your delivery, to make it more elocuent. I think that maybe if you tried theatre classes it could help, that could give you a space to express more without worry. Good example with Tarahumaras. Your second answer was a bit vague, I would've said more regulation, or a better free market</t>
  </si>
  <si>
    <t>Something to consider from the get go is to stand up, because you are moving your hands, but I can't see it because you are sitting down. You have good diction, you should take more advantage of that by pacing yourself. You don't need to rush it, you can time it by recording yourself while you were giving your speech. I think that you were using a device that adapted to where you stood, and it moved it at times, making it weird to see. You could've done more eye contact. Your arguments were good, but it would be good to have more information in depth, probably your speech was at its best when it was personal. You also assume a lot, some of your facts were shaky, the middle class in Mexico is a complex topic. You did a good job in the question, it was a hard one, and you managed it decently.</t>
  </si>
  <si>
    <t>Try to read the least that you can when you are doing a prepared speech, because it makes it seem that you could've practiced more, that said, if you need reminders, you can paste them around the device that you are using, so that while you are looking at them, it looks like you are looking at the camera. You have a strong delivery with your voice, and when you have a free hand, you do good gestures, that is another disadvantage of using the cards, you lose one hand to use for gestures. It is complicated to use one case as your example, as it becomes prone to being critised. Very good diction, very good pronunciation. Keep it up.</t>
  </si>
  <si>
    <t>An unfortunate thing is that your microphone had an eco, so that made it distracting, but fortunately for you have a strong pronunciation, so that helped it. Another thing to consider is to stand up and also using more hand gestures, being sitting down didn't allow expressiveness. At times you did seem a bit non chalant, and that didn't fit your speech. Also it would've been great to imprint some that emotion in your speech, it was a bit flat. Your arguments could've been stronger, at times it was a bit redundant, like you were repeating the same point, and you never really got to the idea of synergy, specially with all of that can be said of that in sports. Better luck next time. If you are going to give an example, explain why you say it.</t>
  </si>
  <si>
    <t>You strated strong, with the story and on the topic, so that you could go truly into it. I would advice you to be a bit more expresive with intonation. You really worked well with your examples, you used them for impact and it did go for it. The flow of your speech made sense, and it was very well structured. You paced yourself well. I think that a compliment that I could say is that I am really struggling to find what to criticise, because I think that you weren't as expressive because of the seriousness of the topic. I like how you took it to heart and didn't try to make it more casual than it is. You should work on your questions.</t>
  </si>
  <si>
    <t>Does it seem to me you repeated the impromptu speech? I remember some parts from it. Good pace and use of examples.</t>
  </si>
  <si>
    <t>Try to explore the implications of counterarguments. Pace is good, try to practise working on fluency.</t>
  </si>
  <si>
    <t>You approached the prompt with an engaging theme. Relevant examples. Try to address counterarguments to strengthen your main ideas more often.</t>
  </si>
  <si>
    <t xml:space="preserve">Try to variate your voice more often. You used interesting examples but your speech sounds flat occasionally due to excessive reading. </t>
  </si>
  <si>
    <t xml:space="preserve">Commanding presence and a strong delivery. Examples are relevant and effective. You emphasise important information well. </t>
  </si>
  <si>
    <t>Your approach is interesting and engaging. Your voice needs more pitch variation. Persuading and strong delivery of the speech.</t>
  </si>
  <si>
    <t>Your delivery style is interesting. You're able to keep the audienced engaged even if not speaking that fast. In that sense, fluency is your strength. However, try to variate your tone more often to stress important concepts or counterarguments.</t>
  </si>
  <si>
    <t>Confidence is a strength. You set the pace to emphasise important ideas. Try to add space for more relevant examples and possible critics to such examples.</t>
  </si>
  <si>
    <t>Andr��s, your speech is well organised and you provide great examples. Reading the speech hinders other aspects like voice, body language and eye contact.</t>
  </si>
  <si>
    <t>Great use of examples and reasons, do not abuse of them. Provide more abstract ideas that can help you make a good point without taking much time. Practice your speech more so you do not stop in the middle to read where you were.</t>
  </si>
  <si>
    <t>It was an interesting topic and the points you make are quite convincing. Make sure you practice your speech beforehand so you do not look like you are reading, this way you will lose credibility.</t>
  </si>
  <si>
    <t>Your point about social media is quite interesting, but your arguments were quite mixed with the idea of sports. Try not to read your speech and practice it more before.</t>
  </si>
  <si>
    <t xml:space="preserve">Great speech, the organisation, the voice and </t>
  </si>
  <si>
    <t>Such an amazing speech and well structured. The way you use your voice and body language are great. If you speak a little slower and make the right pauses you will have a better impact on your audience.</t>
  </si>
  <si>
    <t xml:space="preserve">It is a strong argument there, the content is so controversial that it is engaging. Also, the way you present it helps you be more convincing. </t>
  </si>
  <si>
    <t>Great use of body language and also a strong point. Your beginning should be as stong as your conclusion</t>
  </si>
  <si>
    <t>You showed curiosity in your approach and included relevant examples, Though you could have explored your ideas more deeply with further questioning and analysis.</t>
  </si>
  <si>
    <t>Daniela, you provided examples that made your points clear to the audience. However, it would be important that you analyzed the arguments providing facts and link it to the main idea of your speech. Try to practice your speech in advance to avoid reading.</t>
  </si>
  <si>
    <t>Your delivery was confident, engaging, and well-paced, with strong vocal variety and clear articulation. Great use of examples and a persuasive structure.</t>
  </si>
  <si>
    <t>Your seamlessy connected the power of social media, unity, and your passion for rhytmic gymnasticas, making your mesage personal and relatable. Your energy and confidence engaged the audience, and your storytelling made your experience feel real and impactful.</t>
  </si>
  <si>
    <t>Your speech was thought-provoking, you questiones tradicional ideas of unity in a way that encouraged deep reflection, making your argument both compelling and relevant.</t>
  </si>
  <si>
    <t>Your speech was engaging and well-delivered, with a great rythm and clear diction that made your message easy to follow. You effectively conveyed the importance of self-discovery and authenticity, but diving deeper into your analysis could have made your argument even more compelling.</t>
  </si>
  <si>
    <t>Your speech was compelling and well-structured, with a clear message abaout personal responsability and its impact on society. Your delivery was strong, and your argumentwas persuasive.</t>
  </si>
  <si>
    <t>Your speech was powerful. Your rhythm, tone and breathing were well-controlled, making your delivery engaging. To make your argument even stronger, you could further explore the balance between personal identity and collective strength.</t>
  </si>
  <si>
    <t>Your structure was ok and your pace seemed calm. Varying your tone can help you be more engaging. Also, using more examples can help your analysis be more profound.</t>
  </si>
  <si>
    <t>Good presence, your body language was useful to convey your message. Your answers can be more precise, you can work on more active listening.</t>
  </si>
  <si>
    <t>Your examples were useful to understand your arguments. Good pace, you seemed a good nervious but able to go back to the speech every time. That is a good skill!</t>
  </si>
  <si>
    <t xml:space="preserve">It seemed like you were reading too much, with no emphasis or pauses. This doesn't allow to clearly understand the structure of your speech.  You have good voice proyection, you can improve your clarity by mentioning your key points and then ellaborating on them. </t>
  </si>
  <si>
    <t>You were persuasive. Your structure was clear, as well as your arguments. You can improve the depth of your arguments by making your conclusions explicit.</t>
  </si>
  <si>
    <t>You showeed engagement with your topic and that conveyed confidence. Your analysis can go deeper if you vary your examples.</t>
  </si>
  <si>
    <t>Very expressive (well done). Your examples were useful. Your answers were honest and clear.</t>
  </si>
  <si>
    <t>Reading too much has an impacto on engagement (looking at the public) and tone. Your style was charismatic and your interest was evident. The titles of your speech seemed very general/abstract.</t>
  </si>
  <si>
    <t>Grettel, your speech has a coherent structure which was easy to follow. It would be important that you developed the arguments providing facts and examples to support them. Try changing your voice and tune to create suspense and make the audience feel engaged.</t>
  </si>
  <si>
    <t>Marco, the arguments were analyzed with concrete examples and facts. Your speech was neat and fluent. it would be important that you play with the speed and tune to create an engaging atmosphere. Well done!</t>
  </si>
  <si>
    <t>Paola, your voice and tone created an engaging atmosphere from the beginning of your speech. You used facts and examples that helped us understand your points. However, it would strengthen your arguments if you give other examples that are not that common like Russia and Ukraine. Well done!</t>
  </si>
  <si>
    <t>Mar��a, your argumentation was deeply analyzed. You provided relevant examples and facts. Try to use different tones of voice and lessen the pacing of your speech to sound more engaging. Avoid reading.  Keep it up!</t>
  </si>
  <si>
    <t xml:space="preserve">Sofi. Your speech was touching. Your pacing was perfect to create this touching atmosphere. IT would be important that you take advantage in your time and give a deep analysis with facts and examples to support the argumentation. </t>
  </si>
  <si>
    <t>Mateo: Your introduction made us understand the main point of your speech. It would help you improve your speech if you provide a deeper analysis of the arguments, try to support your examples with facts. Try different tones of voice to create suspense. Avoid reading.</t>
  </si>
  <si>
    <t>Jimena, your speech had a coherent structure and you delivered it fluently with different tones of voice which engaged the audience. The arguments were clearly analyzed and you provided relevant examples to support them. It is important that you take advantage on the question period to show off extra knowledge and speaking skills.</t>
  </si>
  <si>
    <t>Andr��s, you have analyzed your arguments with clear examples. The link is concise. It would be important that you take a deep breath before delivering your speech and to try to speak in  a lower pace to feel more confident and avoid hesitations.</t>
  </si>
  <si>
    <t>Your speech sounded very natural. Despite some hesitation, you managed to convey your arguments with clarity. I would suggest not reading too much while delivering your speech. Well done!</t>
  </si>
  <si>
    <t>The pace of your speech flowed very well. Relating the topic to personal experience created great engagement with the audience. Your tone of voice and gestures helped the delivery. You also used relevant examples that enhanced your speech. Great job!</t>
  </si>
  <si>
    <t>You presented examples which are current and relevant to the topic and that helped support your argumentation. The pace of your speech flowed very smoothly. Your tone of voice, hand gestures and posture helped the delivery. You kept the audience engaged by asking questions. Your speech was impactful and made the audience reflect on the topic. Great job!</t>
  </si>
  <si>
    <t>You used effective examples to support your arguments, which also showed a deep analysis. The sctructure of the speech was clear. Try not to read too much while delivering your speech, at times it sounded faster than a speaker would normally talk. Keep up the good work!</t>
  </si>
  <si>
    <t xml:space="preserve">The topic of your speech was very relevant and the structure was clear since you stated the purpose at the beginning. You asked a few questions, which kept the audience engaged. The examples you used were related to personal experience and that, along with the emotional conclusion, helped your speech be more impactful. </t>
  </si>
  <si>
    <t>Your speech was very natural sounding and fluent, despite some hesitation. It was a good strategy to relate the topic to a personal experience, that made it more emotional and helped connect with the audience. Your arguments were generally persuasive, I would suggest outlining a clearer structure. Keep up the good work!</t>
  </si>
  <si>
    <t>You have a very strong presence and charisma. Your tone of voice, hand gestures and posture helped the delivery to be smooth. The examples and quotes you used showed you did some research about the topic and they enhanced your speech. You also managed to keep the audience engaged. Good job!</t>
  </si>
  <si>
    <t>You started off with a question which was great for engaging the audience. The quote you used from Jacques Cousteau showed you did some research. You related the topic to personal experience and it enhanced your speech. Despite some hesitation, you managed to convey a strong argumentation. Your clear tone of voice helped the delivery to be smooth, but at times the pace was faster and sounded a bit rushed.</t>
  </si>
  <si>
    <t>Your title was truly intriguing and captured attention! While your pace was a bit fast, which affected enunciation, your enthusiasm shone through. With more fluid body language and confidence, you'll connect even better with your audience. The metaphor was interesting, though refining its relevance to the topic could enhance clarity. Keep it up!</t>
  </si>
  <si>
    <t>Thank you for your effort in today���s presentation. While I felt the delivery could benefit from more energy and clearer connections between your quotes and the topic, I encourage you to refine your analysis and pacing. With practice, I believe you can engage your audience more effectively. Keep working at it!</t>
  </si>
  <si>
    <t>Your speech had an interesting title that immediately captured attention, and your body language was impressive and engaging. The clear structure and imaginative arguments showcased your confidence. However, try to make your delivery feel more natural rather than staged. Overall, great job handling questions with poise!</t>
  </si>
  <si>
    <t>Your performance was truly captivating! Your imaginative use of mythology intertwined with personal experience showcased your charisma and acting skills beautifully. The gestures enhanced your storytelling, and your analysis was insightful. To elevate your delivery further, consider expanding your responses for a more comprehensive impact.</t>
  </si>
  <si>
    <t>Your central image was compelling and drove the speech effectively. While the analogy felt a bit familiar, it still worked. To elevate your presentation, focus on deepening your analysis and structuring your points more clearly. Overall, a solid effort!</t>
  </si>
  <si>
    <t>Thank you for your presentation! I appreciate your effort and the points you raised. To enhance your delivery, try engaging more with your audience and practicing without notes for a more confident presence. Focus on varying your analysis and managing your time better to make a stronger impact next time!</t>
  </si>
  <si>
    <t>You chose an intriguing topic, which is a great start. However, to enhance your delivery, try to engage more with your audience by making eye contact and incorporating gestures. Practicing without notes can also help you feel more confident and fluid in your speech. Keep it up!</t>
  </si>
  <si>
    <t>Great job on your speech! Your personal connection to the topic was evident and engaging. To elevate your delivery, consider infusing more energy and practicing varied gestures and voice tones. This will enhance your overall impact. Keep up the good work; you have a lot of potential!</t>
  </si>
  <si>
    <t>You started your speech with a definition, which was a strong and appropriate way to begin. The example of your sister was well used, and you effectively explained how it impacted you. To improve, focus on enhancing the clarity of your ideas and strengthening the logical connections between them to create a more cohesive and persuasive argument.</t>
  </si>
  <si>
    <t>You started with a clear idea of what you wanted to say, providing a strong foundation for your speech. However, while your initial idea was well-defined, your pacing lacked energy and emphasis. To improve, focus on delivering your arguments with more conviction, not just through your words but also through your tone, expressions, and pacing. Vary your tone and speed to highlight key points, use strategic pauses for emphasis, and enhance your facial expressions and gestures to reinforce your message. Practicing with feedback, whether by recording yourself or presenting in front of others, will help refine your delivery and make your speech more dynamic and engaging.</t>
  </si>
  <si>
    <t>You started your speech with a strong and impactful opening, which immediately captured attention. Your engagement with the audience felt intimate and effective, creating a strong connection. You clearly defined the type of unity you were discussing and supported your point with an example from the natural world. To improve, ensure that your examples are fully developed and directly tied to your main argument. Additionally, vary your tone and pacing to maintain audience engagement throughout the speech.</t>
  </si>
  <si>
    <t xml:space="preserve">You started your speech in an excellent and powerful way, immediately capturing attention. You did a great job connecting the myth with your own experience in Costa Rica, which made for an engaging and relatable example. However, while the example worked well for audience engagement, the argumentation needs further development. To improve, focus on clarifying what you want to prove with the example and go deeper into the explanation. Strengthen your reasoning by explicitly linking your story to the broader message, ensuring that your argument is clear and persuasive. </t>
  </si>
  <si>
    <t>You clearly stated the main idea and established a clear direction for your speech, making it easy for the audience to follow. Your use of Leonardo DiCaprio���s mother as an example was interesting and effectively illustrated how family can be supportive. However, to strengthen your speech, you need to go beyond examples and develop your reasoning more thoroughly. Instead of relying solely on others��� experiences, support your points with logical arguments, personal insights, and deeper analysis. This will make your message more persuasive and ensure that your audience fully understands the significance of your examples.</t>
  </si>
  <si>
    <t>The beginning of your speech was strong, clearly stating the main idea and setting up a clear path for your discussion. However, to make your speech more convincing, you need to work on your engagement and presence, as these are fundamental in capturing and persuading your audience. Additionally, it���s important to strengthen the connections between your arguments to ensure a smooth and logical flow. Focus on maintaining eye contact, using intentional gestures, and varying your tone to enhance delivery. Structuring your points with clear transitions will also help make your speech more cohesive and impactful.</t>
  </si>
  <si>
    <t>You clearly stated the main idea of your speech and effectively explained the reasoning behind your analogy with the beehive. However, to improve, you need to work on your presence and engagement with the audience. Confidence and strong delivery are key to making your speech more persuasive. To achieve this, focus on mastering the topic so you can explain it with ease and without hesitation. Maintaining eye contact, using natural gestures, and varying your tone will also help you connect better with your audience and deliver your message more effectively.</t>
  </si>
  <si>
    <t>You started your speech in a great way by connecting it to your own experience, which helped create an engaging and relatable introduction. You also did well in setting up a clear direction for your speech. However, to improve, you need to work on your movement in front of the audience to appear more confident. This can be achieved by having better control of the topic, allowing you to focus on natural gestures and purposeful movement rather than nervous habits. Practicing deliberate pacing and body language will help reinforce your confidence and strengthen your overall delivery.</t>
  </si>
  <si>
    <t>I really enjoyed the candidate's multi-facted approach to the question, looking at both scientific and social sciences' viewpoints. However, to improve, I would suggest focusing on making the speech more natural. But overall it was a very good attempt - well done!</t>
  </si>
  <si>
    <t>The candidate used good voice intonation and was confident as he spoke. However, to improve, I would recommend trying to make the speech sound more natural, possibly through speaking slightly quicker and making more eye contact with the audience. But overall it was a good effort!</t>
  </si>
  <si>
    <t>The candidate used a good range of examples and developed and analysed them very well. However, to improve, I would suggest speaking slightly slower and maintaining more eye contact with the audience. But overall it was a great speech - well done!</t>
  </si>
  <si>
    <t>The candidate used anecdotes effectively to help convey his points. However, it was sometimes difficult to understand him because he spoke very quickly. But overall it was a great attempt - well done!</t>
  </si>
  <si>
    <t>The candidate used a very nice metaphor to tie their whole speech together and succesfully intertwined anecdotes with a wider array of examples. However, to improve, I would suggest attemting to calm nerves and speaking more fluidly. But overall it was a great attempt - well done!</t>
  </si>
  <si>
    <t>I really liked the candidate's central idea and some good examples were used to back up her points. However, I would have liked to see her use more specific examples and for the ones that she did use to be developed further. But overall it was a good effort!</t>
  </si>
  <si>
    <t>The candidate used a wide array of examples and developed them very well to support her central argument. However, to improve, I would suggest focusing on her speech delivery, maybe through using increased voiced intonation and eye contact with her audience. But overall it was a good speech!</t>
  </si>
  <si>
    <t>The candidate used a well explained and relevant metaphor to help support her overall point and also succesfuly used a wide range of examples. However, to improve, I would suggest focusing on more natural delivery by attempting to calm nerves and speak slightly slower. But overall it was a great attempt - well done!</t>
  </si>
  <si>
    <t>Your energy was great, however, conclusion was abrupt and didn���t reinforce your key message strongly. Make sure to summarize your main points and leave the audience with a lasting impression</t>
  </si>
  <si>
    <t>Your speech had strong content, but looking at your notes disrupted your connection with the audience. Practicing without notes or using quick glances can help maintain engagement</t>
  </si>
  <si>
    <t>Your energy was great, but at times, your delivery felt a bit rushed. Take a deep breath and allow pauses between key points to let your message resonate with the audience</t>
  </si>
  <si>
    <t>Your speech had strong content, but your opening could have been more engaging. Consider starting with a powerful quote, question, or anecdote to immediately draw the audience in, also avoid looking at your notes often, it disrupted your connection with the audience</t>
  </si>
  <si>
    <t>Your energy was great, but adding more variation in tone and pitch could make your speech even more compelling. Emphasizing certain words and ideas will help create more impact. Your delivery felt a bit rushed. Allow pauses between key points</t>
  </si>
  <si>
    <t>Sound issues. Your topic had strong content</t>
  </si>
  <si>
    <t>Your speech had strong content, but it could have been more memorable. Ending with a powerful statement, rhetorical question, or call to action can leave a lasting impression on the audience also try to listen better all the questionsto answer correctly</t>
  </si>
  <si>
    <t>Your enery was great but looking at your notes disrupted your connection with the audience. Practicing without notes or using quick glances can help maintain engagement</t>
  </si>
  <si>
    <t>Pvq Yrnan Zbenyrf</t>
  </si>
  <si>
    <t>Your speech was well structured with a clear flow of ideas. I appreciate your use of pauses for emphasis. However, consider adding more vocal variety to maintain energy. Also, maximizing passion would enhance your delivery. Overall, more passion for the topic would make it more compelling</t>
  </si>
  <si>
    <t>You delivered your speech with clarity and confidence, making it easy to follow. Your use of eye contact effectively connected with the audience, and your pacing was well-balanced. To improve, try incorporating more expressive gestures to emphasize key points. Your enthusiasm was noticeable, reinforcing your message effectively. Keep refining your delivery style!</t>
  </si>
  <si>
    <t>Your speech demonstrated strong organization and a well-thought-out structure. Your voice projected confidence, and your articulation was clear. I liked how you maintained steady pacing, which helped audience comprehension. One suggestion is to add more variation in tone to emphasize critical points. Also, weight and emphasis could further polish your delivery. Overall, great job!</t>
  </si>
  <si>
    <t>Your delivery was engaging, and you maintained strong eye contact with the audience. The speech had a logical flow, making it easy to follow. Your pauses allowed for reflection, which enhanced your impact. To elevate your performance, work on reducing pauses since it seemed your were hesitant. Your confidence and knowledge of the topic were evident.</t>
  </si>
  <si>
    <t>Your speech was structured and well-paced, making it easy to follow. Your tone was engaging, and you demonstrated strong eye contact with the audience. To enhance your delivery, try varying your vocal pitch to add more emphasis and energy. Also, using natural hand gestures can make your points more compelling. Overall, a great effort with strong potential!</t>
  </si>
  <si>
    <t>Your speech was well-structured, with a clear flow of ideas. Your confident tone kept the audience engaged, and your pacing allowed for easy comprehension. I appreciate your use of pauses for emphasis. However, consider not moving your eyes as much since it seems like reading. Also, minimizing filler words would enhance your delivery. Overall, you appreciation of your topic was evident and compelling.</t>
  </si>
  <si>
    <t>Your speech had a great balance of structure and expressiveness. You projected your voice well, and your tone made the content engaging. The use of pauses was effective in emphasizing key ideas. To enhance your performance, consider incorporating more analysis to respond questions. Well done!</t>
  </si>
  <si>
    <t>You speech was well-structured, with a clear flow of ideas. Your confident tone kept the audience engaged, and your pacing allowed for easy comprehension. I appreciate your use of pauses for emphasis. However, consider all the available time if necessary. Overall, your passion for the topic was evident and compelling.</t>
  </si>
  <si>
    <t>Very good way to see unity through gymnastics. Regarding the paraverbal language, I recommend using more tones of voice in order to connect in a different way. The speech was easy to follow, which shows its quality. I recommend not getting too caught up in stories as it can cause the speech to lose its meaning.</t>
  </si>
  <si>
    <t>The knowledge of the language was very noticeable. The use of togetherness in that sense I found spectacular and especially the way you developed the answers. I think the conclusion was a bit rushed both in speed and timing, but other than that I really liked it.</t>
  </si>
  <si>
    <t>Good use of paraverbal language, the examples were very good in order to highlight the magic of unity. The answers were focused and developed in a way that was very much related to unity (which was the objective). I recommend that if you are going to move away from the camera we can see a little more of your body and not just your head, because the paraverbal language allows us to connect in another way with you and your speech.</t>
  </si>
  <si>
    <t>The introduction was very engaging which allowed me to stay connected throughout the speech in a simpler way, on the other hand, the speech was easy to follow thanks to the practical examples. The use of paraverbal language was very good, but too much of it could convey a bit of nervousness.</t>
  </si>
  <si>
    <t>I really liked the structure of the speech. I do recommend using your voice more as something to convey emotion and connect. Use pauses and breathe a little at certain moments, that is also important to make it easier to connect with the listener.</t>
  </si>
  <si>
    <t>Your command of language is evident. Be careful though with the moments when the speech becomes more story than something that can have an impact, remember the meaning of the speech and make the story help to enhance it, not depend on the story.</t>
  </si>
  <si>
    <t>Very good use of your voice and the range you had, allowed you to catch my attention and keep up with you during the speech.</t>
  </si>
  <si>
    <t>The theme was very good! I loved the focus on women and unity and all the history through this. Definitely a very deep topic to develop. As a recommendation, the use of voice was very good but I missed a more naturalized and focused body movement. Are you talking about female power? Clench your fist marking power for example. The answers to the questions I noticed were not as deep as the speech, so I recommend that you can also take a few more seconds to think about a deeper answer.</t>
  </si>
  <si>
    <t>Good delivery, especially through tone and confidence. Your examples were good examples, your arguments can be more clear. Education was a great point, might have been even more useful sooner.</t>
  </si>
  <si>
    <t>Good framing of the topic through personal experience. Your body langage and variation in tone was effective for engaging. Your arguments could have been more clear. Try explaining how your examples prove your claims.</t>
  </si>
  <si>
    <t>You show confidence in your delivery, which is useful to capture attention. At times, it seems like your read too much, this makes the speech feel over scripted. Good vocabulary. Try not to move so much on the chair.</t>
  </si>
  <si>
    <t>Points were a bit repetitive. Good display of confidence and useful tone.  Arguments were not very clear even if he examples were interesting.</t>
  </si>
  <si>
    <t>Examples: some were too hypothetical or broad. The topic was really relevant. Answers were concise and useful. Consider closing strongly in the conclusion.</t>
  </si>
  <si>
    <t>Clear, calm beginning. Your tone was useful to pay attention. Arguments were vague, try to support them with factual information and tangible examples. Make sure that your arguments connect clearly with your points.</t>
  </si>
  <si>
    <t>Good use of body language. Interesting analogy but the arguments were not so clear. It seems the speech was more about chess than about unity.</t>
  </si>
  <si>
    <t>Good use of narrative devices to convey the emotional aspect of the speech. Your structure was lear and the way you organised your speech was useful to follow. Arguments can still be more clear and straigthforward.</t>
  </si>
  <si>
    <t>Your tone was calm and clear. The message about music was interesting and relevant topics were mentioned. However, unity could have been addressed more thoroughly.</t>
  </si>
  <si>
    <t>Addressing the audience at the beginning engaged them effectively. Your speech covered relevant topics and it was impactful. You showed confidence, and your delivery was enhanced by your good posture, hand gestures and eye contact. Your argumentation was strong and it was supported by well-chosen examples, such as the recent fires in LA. Your delivery was fluent and natural, and your responses were clear and appropiate.</t>
  </si>
  <si>
    <t>The start of your speech was strong and it engaged the audience by inviting them to imagine a situation.You connected with the audience by sharing a personal experience. Your use of hand gestures and body language enhanced your delivery. Your examples strengthened your argument; however, I suggest stating the purpose at the beginning and using a clearer structure for the speech.</t>
  </si>
  <si>
    <t xml:space="preserve">You have a strong presence and good tone variation. You demonstrated confidence, and the research you did on the topic related to ants worked effectively for your speech, since it was very well-structured, coherent and clear. It was impactful by making connections between human experiences and ants, and by inviting the audience to reflect and take action on important topics. </t>
  </si>
  <si>
    <t>Good tone variation and effective hand gestures. You used relevant examples to support your arguments, and your speech flowed naturally. To enhance impact,consider engaging the audience more frequently and try incorporating more eye contact.</t>
  </si>
  <si>
    <t xml:space="preserve">  Asking questions to engage the audience was a great strategy. You maintained good posture and used  hand gestures effectively. You mentioned a study, which demonstrated research to support arguments. Your approach to relevant topics, such as mental health in teenagers was well structured, and you addressed the audience efficiently. Your speech was eloquent and impactful.</t>
  </si>
  <si>
    <t xml:space="preserve">You engaged the audience effectively by asking questions that invited reflection. Your use of examples, such as World War references, was relevant and impactful. Good posture and hand gestures helped emphasize key ideas. I suggest using a clearer structure for your arguments to enhance clarity and flow. </t>
  </si>
  <si>
    <t xml:space="preserve">Good posture and effective hand gestures while addressing important political topics. You used a strong example by relating chess to the theme of unity, which added depth to your speech. You engaged the audience by inviting them to reflect  at the end. I suggest using a clearer structure for your argumentation to enhance clarity and impact. </t>
  </si>
  <si>
    <t xml:space="preserve">You effectively related to personal experience and appealed to the audience's emotions. Your speech had a storytelling approach, which made it engaging, but incorporating more universal topics could have added more impact. I suggest engaging the audience a bit more to enhance connection. </t>
  </si>
  <si>
    <t>You started your speech effectively by asking a question and engaging the audience through personal experience. Your transitions between personal and general contexts were smooth. I would suggest organizing your speech in a more structured way for more clarity and impact. Try to make full use of the alloted time.</t>
  </si>
  <si>
    <t xml:space="preserve">Yvaqn Cyngn </t>
  </si>
  <si>
    <t>Great use of space, voice, gestures, and rhythm. Your speech had a clear structure and included counterarguments, demonstrating that you approached the topic without bias. Well done! My suggestion,try to connect your answers more explicitly to the questions raised by the audience. This will help make your responses more engaging and show that you are actively addressing their concerns.</t>
  </si>
  <si>
    <t>Your theatrical use of space made your speech highly engaging for the audience. You also demonstrated strong vocal delivery and excitement, which added energy to your presentation. My suggestions in this instance, your arguments were primarily based on personal experiences. Since this was a prepared speech, you could have strengthened your points by incorporating examples from well-known figures, relevant statistics, or global issues that promote awareness among future generations. Additionally, try to recall key aspects of the questions  before answering  to create a more interactive and well-rounded response.</t>
  </si>
  <si>
    <t>Your speech had an engaging rhythm and intonation, effectively capturing the audience's attention. Your analogy was well connected to the topic, and your structure was thoughtfully planned. Since this was a prepared speech, it���s always important to consider counterarguments to demonstrate a balanced perspective. On this occasion, a contrasting viewpoint on UNITY was missing, which could have strengthened your argument.</t>
  </si>
  <si>
    <t>The rhythm of your speech and voice modulation were engaging for the audience. Your speech was well structured, incorporating resources from both a familiar context and an international perspective. You considered present-day ethical actions and projected a promising future. However, we noticed that you relied heavily on reading. Try to find ways to deliver your speech in a more natural and impactful presentation</t>
  </si>
  <si>
    <t>Your speech had an engaging rhythm and intonation, effectively capturing the audience's attention. Your main ideas were clearly structured, with three well defined sections that explored your key words and experiences. To strengthen your argument, consider incorporating counterarguments. This will provide the audience with a broader perspective and reinforce the conviction in your position</t>
  </si>
  <si>
    <t>On this occasion, your use of voice, intonation, and body language effectively engaged the audience. You created a compelling narrative atmosphere that enhanced the emotional impact of your speech. The inclusion of international references and personal experiences provided a well-informed perspective. For future speeches, consider incorporating counterarguments to demonstrate a balanced and unbiased position.</t>
  </si>
  <si>
    <t>Your opening lines were engaging, and using chess and real-life players as an analogy effectively captured the audience���s attention. You demonstrated a good use of pauses and rhythm, and your use of questions helped create a meaningful connection with the audience. For future speeches, consider incorporating contrasting viewpoints, including both advantages and disadvantages, to ensure your position appears well rounded and unbiased.</t>
  </si>
  <si>
    <t>Your use of emotion and narrative storytelling made your speech highly engaging for the audience. You also demonstrated effective pauses and rhythm, adding energy to your presentation. However, your arguments were primarily based on personal experiences. Since this was a prepared speech, consider strengthening your points by incorporating examples from well-known figures, statistics, or global issues to enhance awareness among future generations.</t>
  </si>
  <si>
    <t>Good use of voice and intonation. Your arguments, based on personal experiences, provided the audience with confidence in your knowledge of the topic. However, since this was a prepared speech, consider strengthening your points by incorporating statistics, or global issues to enhance awareness among future generations. Additionally, presenting both advantages and disadvantages in your arguments will demonstrate a well rounded perspective and demonstrate you are not being bias.</t>
  </si>
  <si>
    <t>You started your speech well, effectively paving the way for your main idea about cultural respect. Your choice to begin with a personal experience in a different country was a strong way to engage the audience and make the topic relatable. The idea of cultural unity as a tool for collaboration and problem-solving was interesting, but it lacked a strong connection to a clear argument. To improve, focus on linking your ideas with well-developed reasoning that clearly explains your perspective. Strengthening these connections will make your speech more structured, persuasive, and impactful.</t>
  </si>
  <si>
    <t>You started your speech in a really strong way, effectively connecting your main ideas from the beginning, which helped engage the audience and prepare them to receive your message. You presented the importance of music in your life and how it connects to resilience, making your speech personal and relatable. While using your own experiences is a great approach, it���s essential to support your ideas with relevant arguments, not just examples. Strengthening the logical connections between your points will make your speech more cohesive, persuasive, and impactful.</t>
  </si>
  <si>
    <t>You started your speech clearly by stating your main idea from the beginning, which helped establish a strong foundation. Your connection to Gandhi was a great way to engage the audience, as he is a well-known figure, making your speech more relatable. You then proceeded to explain the core of your speech effectively. To improve, focus on enhancing your stage presence and movement, as this will help convey confidence and control over your topic. Additionally, work on expanding your arguments and reducing the reliance on examples to ensure a more balanced and persuasive speech.</t>
  </si>
  <si>
    <t>You started your speech with a strong and relevant quote that effectively connected to your idea of family, setting a solid foundation for your message. Mentioning your family���s struggle to adapt to a new environment was a great way to engage the audience and make your speech relatable. To improve, focus on enhancing your stage presence and body movements, as these elements help project confidence and show that you are in control of your topic. Additionally, work on building strong arguments that connect with your examples rather than relying solely on multiple examples. This will make your speech more structured, persuasive, and impactful.</t>
  </si>
  <si>
    <t>You started your speech effectively by sharing a personal experience, which helped you connect with the audience and clearly convey your message. You did a great job of expressing the different emotions you went through during this experience, making your speech engaging and relatable. However, you spent too much time on examples without presenting a clear argument or central idea. To improve, focus on connecting your examples to a well-defined argument, ensuring that your speech has a strong and persuasive structure. This will help make your message more impactful and easier for the audience to follow.</t>
  </si>
  <si>
    <t>You used a really effective technique to help the audience visualize the image you wanted to convey, which made your speech more engaging. You then explained the situation in Venezuela and how its people have endured and resisted hardships, effectively illustrating how unity can emerge from difficult moments. While your use of examples was strong, you need to work on developing clearer arguments that directly connect to these experiences. Relying solely on examples is not enough to be persuasive���building logical reasoning alongside them will make your speech more compelling and impactful.</t>
  </si>
  <si>
    <t>You started your speech well by sharing your own recent experience on the topic, which helped make your message relatable and engaging. You effectively highlighted the complexity of friendship, emphasizing that it���s not just about the good moments. However, you need to work on strengthening your arguments, as you introduced ideas without fully explaining your reasoning. To improve, focus on developing your points with clear logic and deeper analysis to make your speech more structured and persuasive.</t>
  </si>
  <si>
    <t>You started your speech effectively by using data, which helped establish a formal connection with the audience and provided a strong foundation for your message. This approach helped introduce the concept of real friendship and clearly conveyed what you wanted to express. You also did well in explaining your understanding of friendship and connecting with the audience through your movements and stage presence. To improve, focus on developing more solid arguments that directly support your ideas. Strengthening the logical connections between your points will make your speech more structured, persuasive, and impactful.</t>
  </si>
  <si>
    <t>You started your speech with great impact, immediately capturing the audience���s attention before diving into the core issue of your speech. You clearly explained the divisions within our society and how they make collaboration difficult. Additionally, you performed well in front of the camera, demonstrating confidence and engagement. To improve, focus on balancing your arguments. While emphasizing individual efforts to create unity is important, also consider discussing the systemic conditions that influence our ability to work together. Addressing both perspectives will make your speech more nuanced, well-rounded, and persuasive.</t>
  </si>
  <si>
    <t>Your speech was realy good, you left clear the main point of your speech. It feels like your arguments lack of analysis, because I do understand the importance of culture, but I do not see how it has got worse over the time, or the importance of it. Also, try to engage more with the audience, by standing up for example.</t>
  </si>
  <si>
    <t>Great choice to stand up, that really improved the engagement with the audience! It is very brave to use personal examples to prove your arguments, but you really need to provide more analysis to it, not only for examples but with empirical evidence, or something that makes better the argument.</t>
  </si>
  <si>
    <t>Your voice and intonation was very good! When you are giving and argument, try to have a logical progression, for example, try to make a distinction when you are giving an example and when you are giving another argument. Also try to have more stage presence, improve your vocal dynamics.</t>
  </si>
  <si>
    <t>The very begining of your speech was really good! First of all, try to have a better environment to say your speech. Also, try to be more confident during your speech. It's way more easy for us to understand the impact of your arguments if you are confident in what you are saying.</t>
  </si>
  <si>
    <t>Your speech was really interesting. Try to make a clear distinction between the examples of your ideas and the arguments. Also, try to give more analysis on your ideas, and give clarity on your impact.</t>
  </si>
  <si>
    <t>The main focus on Venezuela was a great shot! Try develop mpre arguments or give more analysis on the main topic on your spech. Your main idea was clear, but you had very little arguemnts to prove it. Aslo, try to make a clear distnction on your examples, argments and experiences.</t>
  </si>
  <si>
    <t>Your topic was really interesting. For instance, do not give your speech holding the microphone with your hand it really blocks the engagement and the persuation on your impact. Also, try to give more analysis to your arguments or give more real-life examples of your topic.</t>
  </si>
  <si>
    <t>Your speech was really well structured, and it was very coherent. Great call on standing up and using your body and your vocal dynamics to prove your impact. I think you can improve in the analysis that ypu bring, not in the depth of it, but in the variety of it. For instance, try to give arguments that are different from each other, so your impact and the whole topic is really proved.</t>
  </si>
  <si>
    <t xml:space="preserve">Your vocal dynamics were really good! At some points of your speech, you seemed a bit nervous or less confident about what you were saying. Therefore, it was really difficult to engage with the whole idea. Also, when you are answering questions, try to be confident on your responses. </t>
  </si>
  <si>
    <t>Your voice is clear. Use volume for emphasis and add purposeful gestures. Personal examples were great���adding facts could make your speech more compelling.</t>
  </si>
  <si>
    <t>Your voice is clear, now try varying your pitch and pace for more dynamism. Ensure your gestures emphasize your message and feel purposeful.</t>
  </si>
  <si>
    <t>Your voice was very clear. Ensure your gestures add purpose and emphasize your message. It is important that you change your voice and tone to catch the audience's attention more effectively.</t>
  </si>
  <si>
    <t>Work on body language with purposeful gestures and eye contact. Vary pitch and pace to make your speech more engaging.</t>
  </si>
  <si>
    <t>Great job combining personal experience with data! Use pitch and pace for more emphasis. Good use of gestures. Try to analyze the arguments more deeply.</t>
  </si>
  <si>
    <t>It's great that you incorporated movement, but try to make it more controlled and purposeful to strengthen your message. Your voice is clear and easy to understand.</t>
  </si>
  <si>
    <t>Good volume! Focus on improving pronunciation for clearer communication. Make sure your gestures support your message.</t>
  </si>
  <si>
    <t>Well-structured speech with a great mix of data and personal experience. Strong gestures and effective use of volume, pitch, and pace make your message engaging. Great job!</t>
  </si>
  <si>
    <t>Great volume! Work on enunciation for clearer speech. Your speech had a clear structure. Try to tie all your points in the conclusion changing your pacing to close strongly.</t>
  </si>
  <si>
    <t>I thought it was good how you used soccer and situations of defeat to explain unity. The examples you gave really helped to make your points clearer. To make your speech even stronger, I'd suggest working on your body language. Using more gestures and moving around a bit would help keep the audience more engaged.</t>
  </si>
  <si>
    <t>The responses to the questions were articulated clearly and efficiently. To further enhance the presentation, consider incorporating more dynamic body language and projecting increased confidence.</t>
  </si>
  <si>
    <t>I liked the way you used your voice and how clearly you spoke. You also made good eye contact, which helped keep the audience interested. To make your answers even better, try to explore the questions more fully when answering</t>
  </si>
  <si>
    <t>The speech was well-structured, and your tone and pronunciation were good. To improve, work on reducing nervousness, as there were several fillers and repeated phrases. Practice can help with that.</t>
  </si>
  <si>
    <t xml:space="preserve"> It was interesting that you approached the prompt from a different angle. Your speech was well-organized. To make sure your key points really land, try slowing down your delivery and varying your tone. Some of the interesting pieces of your speech were lost due to the pace.</t>
  </si>
  <si>
    <t>You raised some interesting arguments. To make your points more impactful and engage the audience further, I'd suggest working on your tone and intonation during delivery. This would help you emphasize key ideas.</t>
  </si>
  <si>
    <t>You had some interesting arguments and concepts in your speech, and your pronunciation was clear. However, I felt some of your ideas could have been explored more fully. I also noticed you seemed nervous during your delivery.</t>
  </si>
  <si>
    <t>Your pronunciation was clear, and you kept a good pace. The variation of tones and body language made your delivery engaging. The speech was also well organized. To make it even better, try making your research data more visible within the speech itself. Also, your answers to the questions were a bit circular, so try to explore them more fully.</t>
  </si>
  <si>
    <t>I really liked your confidence in answering the questions, you didn't get nervous and you showed fluency, very good for that.The speech came to sound monotonous in some parts, the idea is that you can attract even people who are not interested in soccer.The calmness with which you spoke could be transmitted very easily, but it was a bit lost with your paraverbal language, as there was no order or reason for the gestures you made, which are important to connect.</t>
  </si>
  <si>
    <t>I really liked your confidence during the speech and that it was also maintained during the answers. These were truly oriented to answer what they were asking you, so very good.It was a very easy to follow speech, but a bit more difficult to connect with, this can be improved with gestures and using more stories that allow the listener to empathize faster and more effectively.</t>
  </si>
  <si>
    <t>Very good use of voice, provoked a hook from the first minute. It was a clear speech and very easy to follow, the examples were very well used, but had enough potential to impact more on the subject, try to always use examples according to the audience that will listen to you, sometimes you will not know, so I recommend you always use examples for all types of audiences.</t>
  </si>
  <si>
    <t>Very good use of voice and gestures during the speech. You transmit a lot of confidence and you provoke attention, which is important to be able to follow the speech.Keep it up in that sense. The way in which the speech was covered had its differentiating points, but I think it is very important that you could ask yourself before the speech how do I make this stand out, make someone stand out and differentiate? Because that makes a speech more unique.</t>
  </si>
  <si>
    <t>While the iPad technology is very good, it did get a little distracting with a lot of movement, as you couldn't always see your body gestures and that interrupted the possibilities of connecting with you and your speech. On the other hand, your tone of voice was very good during the speech, you projected quite well.</t>
  </si>
  <si>
    <t>With respect to paraverbal language, remember that it is important that how we express ourselves has a direct impact on how we are seen and how people connect with us, so I recommend that you work on asking yourself what I want to convey and how I can do it.Regarding the depth of the speech, if I feel that in some minutes there were jumps from one topic to another, that the sentences lacked a bridge more than just 3 to 5 words, this is ideal for everything to look much more natural.</t>
  </si>
  <si>
    <t>Remember to breathe during the speech. Pauses are also a way to connect with the listener. The message is important, but who will receive it is also important.The speech got a little technical at some points, because of the original meaning you took from it, and that's fine, but remember to use simpler words, to abstract the whole so you can connect faster and easier.</t>
  </si>
  <si>
    <t>Very good use of paraverbal language, this allowed to connect with you while you were making your speech. Your confidence could be seen transmitted during the speech, but during the answers it was noticed that it diminished a little, I recommend practicing sporadic answers in order to always maintain and demonstrate confidence.</t>
  </si>
  <si>
    <t xml:space="preserve">Good job. You had some interesting examples and it shows that you have thought about the link between unity and teamwork. Perhaps your argument could have more impact if you used soccer as part of your examples, but not the main argument throughout the speech. Perhaps consider counterarguments and develop the argument of what you consider is unity. There is also a lot of room to improve on your body language, consistent eye contact and a varied voice tone so you can engage with your audience. </t>
  </si>
  <si>
    <t xml:space="preserve">Good job. You had a great voice, delivery and intonation along with an interesting structure, so it was easy to engage with your speech.  Remember to keep some notes in hand, so you can focus on your delivery as well. While you had an interestng argument, your examples fell a bit short. First, your experiences as part of a theatre group was interesting and you could have developed the idea in relation to the bigger picture. Second, you should also consider outside sources to support your arguments and opinions. Finally, you had good answers and showed critical thinking during the question round. </t>
  </si>
  <si>
    <t>Good job. You have a good voice intonation and it is easy to engage with your speech because of your delivery. It shows you included your own ideas and related them to the prompt you were given, which shows you put a lot of effort. Perhaps your speech could be clearer in its structure if you focused on one or two examples, develop them throughout the speech and use sources to support your argument. The example of the earthquake of 1985 had  a lot of potential. Also rememer to tie up the main points of your speech near the conclusion.</t>
  </si>
  <si>
    <t xml:space="preserve">Good job. You showed a great determination and good deliery. You also had  a good introduction and you engaged with your audience throughout your speech. I think your own experiences and relationships was the core of your speech, so it would've been more effective if you started with it, developed it and explore the more general examples you mentioned. It would've helped your argument if you had included some sources to back up your ideas. There is also room to improve your body language since a lot of movement can distract your audience at times. </t>
  </si>
  <si>
    <t xml:space="preserve">Excellent job. You had a expressed your ideas with a great use of voice tone and intonation. I think your argument was based on an interesting premise that gives an interesting twist to the prompt and you made it clear why you chose it. Perhaps you can briefly mention what you think could be of help to contain this loneliness and division that you perceive. Just to give some examples and if possible also use sources to back up these possible solutions. Remember to have physical notes in hand so you can have some guide in case you need it. The movement of your camera was a bit distracting. </t>
  </si>
  <si>
    <t xml:space="preserve">Good job. It showed that you had some interesting points of view and your speech had a good structure. Remember consistent eye contact is key to engage with your audience. I think it was good to use personal examples, however, if you use these to talk about broader issues, so your argument develops naturally. Also remember to use outside sources to support your argument. Careful with the use of too many metaphors since it is easy to lose track of the main argument as a listener. </t>
  </si>
  <si>
    <t xml:space="preserve">Good job. You showed great confidence and it was an interesting choice. Remember that an effective speech should have a clear structure, introduction, development and conclusion, and an argument. You had lots of good ideas, so next time try to choose one or two and develop them with outside sources and explain clearly its relationship with the prompt. Also rememer to keep your audience in mind when explaining your ideas. There is also room to work  on showing an effective body language, consistent eye contact and ots of body movement good introduction interesting examples pauses in voice not a lot of consistent eye contact and minimal use of fillers. I think it would've been interesting if you explained why and how you think of unity whenever you have to scuba dive. It would also help if you described the experience for those who haven't been able to experience it. But keep in mind the prompt and that you have to use outside sources to sustain your arguments or examples. </t>
  </si>
  <si>
    <t>Good job. You had a great use of voice and intonation, so it was easy to engage with your speech since the introduction. I also liked that you stated your argument since the beginning and that you started with a counterargument. Remember consistent eye contact is also key to communicate effectively, so keep this in mind and have some notes in hand if you need them at some point. I think your examples were good and helped to define your arguments, so try to focus on them during the middle part of your speech and not until the end. Also it would be good to include data or state your sources to show how these countries could overcome difficult periods in their histories.</t>
  </si>
  <si>
    <t>Your use of pauses and intonation was very effective in emphasizing key points, making your speech engaging and easy to follow. Addressing the audience directly was also a great strategy that helped keep us connected to your message. Your examples and anecdotes were interesting and well-linked to the topic, showing a strong understanding. However, since they came from a wide range of contexts���such as movie quotes and famous athletes���consider using a more consistent theme to strengthen the overall impact of your argument. With a clearer focus, your speech will feel even more cohesive and persuasive. Keep up the great work!</t>
  </si>
  <si>
    <t>Your pronunciation was very clear, and your confident delivery kept the audience engaged from start to finish. Your body language added to your presence, and your well-placed pauses helped emphasize key points effectively. The combination of data, research, and personal anecdotes strengthened your arguments, making them more persuasive. Your answers in the Q&amp;A round showed deep analysis and thoughtful reflection. Keep building on these strengths���great job!</t>
  </si>
  <si>
    <t>Your body language was effective and added to the narrative, making your speech more engaging. You presented an interesting perspective on unity, using a variety of arguments and anecdotes to support your ideas. The structure was clear, with a strong opening and conclusion that left an impact. At times, there was a slight loss of confidence, leading to some hesitation. With a bit more practice, you can ensure smoother transitions and an even more polished delivery. Keep up the great work!</t>
  </si>
  <si>
    <t>You started with a strong opening, immediately capturing the audience���s attention. Your confident delivery kept us engaged throughout, and your use of personal anecdotes and examples demonstrated deep analysis and critical thinking. You also showed great active listening by providing thoughtful and complete answers to questions. To make your argument even stronger, consider addressing counterarguments and preparing for potential challenging questions. Overall, an excellent performance���well done!</t>
  </si>
  <si>
    <t>Starting with a question and painting a vivid picture for the audience was a great way to draw us in and make your main argument clear. Your body language was strong and helped reinforce your message, and the speech had a well-structured flow. Your confident delivery kept us engaged throughout. To make your argument even more compelling, consider incorporating counterarguments to address different perspectives. Great job!</t>
  </si>
  <si>
    <t>Your personal anecdote was powerful and helped create a strong connection with the audience. Your delivery was engaging, with well-used intonation and pauses that emphasized key points effectively. The structure and flow of your speech made it easy to follow. To take it even further, consider addressing possible counterarguments to deepen your analysis and strengthen your overall argument. Well done!</t>
  </si>
  <si>
    <t>You had a strong use of examples that supported your points well, making your speech engaging and clear. Your hand gestures were effective in adding emphasis, but try to make them feel a bit more natural to avoid overusing them. Modulating your voice more could also help add variety and keep the audience even more engaged. Great effort���keep refining your delivery!</t>
  </si>
  <si>
    <t>Your use of rhetorical questions kept the audience engaged, and your examples and data were well-organized, making your arguments clear and persuasive. Your analysis was deep, showing strong critical thinking. However, your delivery lacked some confidence this time, with a few interruptions. Practicing a bit more will help smooth out these moments. Your answers demonstrated solid reasoning, and using body language more effectively���perhaps by standing up���could further enhance your presence and connection with the audience. Keep up the great work!</t>
  </si>
  <si>
    <t>Wbfrcu Ybznk</t>
  </si>
  <si>
    <t xml:space="preserve">Your speech was delivered confidently, and your personal anecdote served as a good example of the importance of pain and vulnerability in building a sense of unity with yourself, and other people. At times you seemed to be unsure of what you were going to say next, and I felt your speech dealt more with the power of mistakes, as opposed to unity. </t>
  </si>
  <si>
    <t xml:space="preserve">Melody, your speech was confident and highly engaging. You spoke about the emotional benefits of team sport, and how it can form a support network for members of that team. To improve, I would reccommend spending more time thinking about your responses to the adjudicators' questions, as you reiterated your points, as opposed to thinking about the counterarguments presented to you. </t>
  </si>
  <si>
    <t xml:space="preserve">Your speech was engaging and confident.I thoroughly enjoyed the analogy used throughout your speech, with this idea of a family being made up of organs (family members), and functioning as one organism. To improve, I would suggest using another, non-personal anecdote, to diversify your evidence to support your argument. Well done. </t>
  </si>
  <si>
    <t xml:space="preserve">You delivered your speech confidently, and fluently, using an impressive range of quotes, and a diverse range of examples to bolster and eludicate your argument, that mainly hinges on the importance of the relationship between division and unity. </t>
  </si>
  <si>
    <t>You delivered your speech confidently, and clearly, with good variations in tone and body language. Your examples successfully supported your argument. You mainly focussed on the importance of team work in business and the tech-world, so to improve, I would suggest considering the importance of unity and teamwork in other settings. But great work overall!</t>
  </si>
  <si>
    <t xml:space="preserve">You delivered your speech with strong stage presence, and it felt like an engaging narrative centred around a personal anecdote, which was elevated with allusions to gods from hinduism. I enjoyed your speech, however, I would maybe suggest using a non-personal anecdote/experience to eludicate your point and argument, as I felt you were telling more of a story, as opposed to delivering a speech. My question, however, did give you an opportunity to do so, and your use of the pandemic as an example of people coming together in order to survive was a good choice, and related well to your argument. Well done overall. </t>
  </si>
  <si>
    <t>Your speech was delivered confidently, and your tone of voice and body language was effective. Your examples were mainly personal, and I felt that they did not necessarily explain how unity is formed, or why unity is so incredilbly important, as you say. I felt that the answers to the questions were slightly vague as well, and repeated the points you made during your speech. Well done overall.</t>
  </si>
  <si>
    <t xml:space="preserve">You had a variety of complex examples and evidence to support your point, based around the central analogy of human civilization as a wall, that all humans have a responsibility and desire to build and maintain. To improve, I would work on your eye contact - it can make you appear slightly unconfident. You answered the questions well, and considered the counterarguments presented to you. Well done. </t>
  </si>
  <si>
    <t>A lot of echo on your sound.  Try to stop stepping forward and backwards so much.  I like your personal input about being injured. I  think you could exrend your analysis a little further, perhaps using other examples from "famous" people as well as your own experiences</t>
  </si>
  <si>
    <t xml:space="preserve">Melody: You have good eye contact and promote  engagement with your audience.  You did well in the Q&amp;A section, you are clearly passionate in your chosen sport, and I found it more compelling than your speech - which doesn't happen often. </t>
  </si>
  <si>
    <t>Maria Fernandez Lopex Soto - your voice intonation is good - I particularly liked it when you talked about the appendicitus event. I think if you add at least a couple of compelling examples from the cell, tissue, body analogy to help your speech to be more complete and not relying totally on personal recollections.  You have a nice onscreen presence for the listener - well done</t>
  </si>
  <si>
    <t>Well done - you offered several relevant examples to make your argument more compelling. You have a good connection with the listener, and I think that you researched your topic well. Well done</t>
  </si>
  <si>
    <t>I like that you had a variey of examples to back your theme.  Referring back to your speech title was effective to make it cohesive. Emphasise your points in the conclusion to close strongly.</t>
  </si>
  <si>
    <t>Arjun - well done for imbuing such drama to your speech - you are very engaging . I think having some more examples  to back up your very well delivered personal experience would further strengthen your analysis</t>
  </si>
  <si>
    <t>Well done Daniela - you presented well, but I would like to see you analyse your arguments more</t>
  </si>
  <si>
    <t>Akira, you have a tendency to squint and look to my left. Try to avoid that because it diminsishes your eye contact with your audience. You were good in the Q&amp;A section  and showed interesting reasoning</t>
  </si>
  <si>
    <t>Frphaqvab Vfnoryrf</t>
  </si>
  <si>
    <t xml:space="preserve">I enjoyed your body language and eye contact throughout your speech. You showed a really good analysis and structure as well. I suggest to change the tone of your voice now and then to have a greater impact. </t>
  </si>
  <si>
    <t>I really liked your use of the voice and the examples given. The structure of your speech was sound and clear. I would suggest only to establish better eye contact with your audience and have better body language in the future.</t>
  </si>
  <si>
    <t xml:space="preserve">I really liked that your presentation included plenty of relevant and real information. You show depth of analysis and provided convincing arguments. I would like you to establish better connection with your audience and work a ibit on oyur time management. </t>
  </si>
  <si>
    <t>I was delighted by your presentation. You had an excellent use of the voice and kept me attentive thoughout. I would only suggest to persuade the audience a bit more.</t>
  </si>
  <si>
    <t>I really liked the use of examples and providing convincing arguments. There was a clear and sound structure in your speech as well. I would only suggest you to vary the tone of your voice.</t>
  </si>
  <si>
    <t>I was impressed by the delivery of your speech. The structure was sound and clear, I liked the fact that you use real information. My only suggestion to you is to elaborate on your answers to the questions pose a bit more.</t>
  </si>
  <si>
    <t>I believe the delivery was very good. You use your voice and gestures kept me attentive during your speech. The arguments and data you used to support your arguments were appropriate. I would like you to stand up to make better use of gesture and body language in your speech.</t>
  </si>
  <si>
    <t>Your delivery was on point. Clear and veried use of the voice and gestures to keep your audience attention. The use of real inforamtion was useful. I would suggest you to provide a stronget conclusion and elaborate a bit on your asnwers to the questions posed.</t>
  </si>
  <si>
    <t>Pvgynyv Qr Qvbf</t>
  </si>
  <si>
    <t>Great job! Use more vocal variety: change up your pitch, speed, and emphasis to keep your speech engaging. Also, make sure to enunciate clearly, especially when speaking quickly, so that nothing gets lost.</t>
  </si>
  <si>
    <t>Your storytelling and the way you led us to the main issue were outstanding! However, your eye contact with the audience could be stronger, as you were reading most of the time. Try incorporating gestures to emphasize key points: this will add impact and make your speech more engaging and dynamic.</t>
  </si>
  <si>
    <t>Try to manage your time better so you don���t spend too much time on the introduction and rush through the conclusion. Remember that closing strongly will create a bigger impact.</t>
  </si>
  <si>
    <t>Well done! However, your voice was a bit difficult to understand due to the echo in the room. Whenever you compete or participate in an interview, it���s essential to check your devices beforehand.</t>
  </si>
  <si>
    <t>Your posture was strong and confident, which helped you establish a strong presence in front of the camera. Try to tie up your points in the conclusion and change your tone to create a better impact.</t>
  </si>
  <si>
    <t>Your confidence and energy kept me engaged throughout. Also, you made great eye contact, which helped build a connection with the audience. Well done!</t>
  </si>
  <si>
    <t>Well done! Your facial expressions matched your words well, making your speech more engaging and expressive. Try to take advantage on the question period to show off your extra knowledge and critical thinking skills.</t>
  </si>
  <si>
    <t>Be mindful of speaking too fast when nervous</t>
  </si>
  <si>
    <t>You did a grat job using numbered points to organize ypur ideas. Keep working on your closures and being more reflexive with your ideas, making eye contact and varying your tone to emphasize key points.</t>
  </si>
  <si>
    <t>Your speech was hearfelt and emotional. You expressed your feelings about leaving loved ones in a way that connected with ypur audience. Try to add more variation in your voice and gestures to enhance your delivery, use your body language and make eye contact.</t>
  </si>
  <si>
    <t>Your speech was inspiring and well-structured. You explained how sports bring people together in a relatable way. To improve, try using more vocal variety and gestures to emphasize key points. You can even have stronger closures.</t>
  </si>
  <si>
    <t>Your speech was thoughtful and creative, the idea of unity despite distance was well explained. You connected well with the audience. To improve, try using more vocal variety and pauses for emphasis.</t>
  </si>
  <si>
    <t>Your speech was powerful, your presented deep ideas about conformity and self-acceptance in a clear and engaging way. To imporve, try emphasizing key points. You have a great delivery.</t>
  </si>
  <si>
    <t>Your speech was insightful and relatable. You explained the need for validation in a balanced way, showing both its positives and challenges. To improve, try using more pauses for emphasis. Your are confident, over all, great work!</t>
  </si>
  <si>
    <t>Your speech had a strong delivery, try using your body language. Your pace and confidence make your message even stronger. You response thoughtfully and connecting your ideas effectively, great job!</t>
  </si>
  <si>
    <t>Your speech had a unique perspective. Try to convey your message with confidence. To impove, consider adding and example or story to make your point even more relatable.</t>
  </si>
  <si>
    <t>Ximena, you showed self-confidence while answering the questions. You showed off your critical thinking skills. Your fluency and volume are good enough to make your speech understandable. However, try to give more impact while talking about the barriers as the Berlin Wall by changing the tone and pitch and also use body language to demonstrate the strength of your arguments.</t>
  </si>
  <si>
    <t>Xavi, your examples illustrated your points expecially the analogy of the building and bricks. Your speech was well analyzed. It would be important that you strengthen your points in the conclusion to close strongly. It would also improve your speech if you use the question period to show critical thinking skills and extra knowledge.</t>
  </si>
  <si>
    <t>Vale, your speech was deeply analyzed, you provided many examples to support your arguments. You really made us think in the importance of music to unite the world. I would recommend that you practice body language and try to change the voice and pitch to create an engaging atmosphere.</t>
  </si>
  <si>
    <t>Santiago, your body language and tone are really engaging. You made the audience connect with your speech.  I would recommend that you deepen a little more in your analysis, you provided many examples but they were a little predictable (Sports, teamwork, school, etc.) Try to deepen a little more in creative ideas. Well-done</t>
  </si>
  <si>
    <t>Romina, your body language and speed engaged the audience from the beginning of your speech. You provided examples that strengthen your arguments. It would be important that you come up with examples that are not that personal in order to have more diversity in the speech. Well-done</t>
  </si>
  <si>
    <t>Paola, your speech made an impact about self-confidence and awareness. It was clear and well analyzed. Your tone and body language created an engaging atmosphere. Try to strengthen your conclusion tying all the points together.</t>
  </si>
  <si>
    <t>Lina, your speech called us to action, it was engaging and made us feel the message you were trying to communicate. The deep analysis and the example of 9/11 really made an impact. The body language, everything was well-prepared. I would recommend that you consider some counter arguments that the panel can come up with like the division happening in nowaday's world. Thanks for such an outstanding speech.</t>
  </si>
  <si>
    <t>Constanza, your speech made us think upon the inevitable cycle of unity and division in history. You provided examples to support your arguments. It would be important that you take advantage on the question period to show off extra knowledge and critical thinking skills. Thanks for your speech!</t>
  </si>
  <si>
    <t>Your speech had good intonation and a steady presence, making it easy to follow. You demonstrated strong knowledge of the topic and responded to questions with confidence, showing active listening and engagement.  To improve, try adding more expression and energy to your delivery to make it feel less like a lecture. Also, clarifying the idea of unity and reinforcing your conclusion would strengthen your overall message.</t>
  </si>
  <si>
    <t>Your speech had a clear idea about unity, and your conclusion was acceptable, providing a solid ending to your presentation. You also demonstrated a good understanding of the topic.  To improve, try to rely less on reading and work on delivering your speech with more presence and energy. Varying your intonation will help engage your audience more effectively. Additionally, refining your ideas to make them more precise and strengthening your responses to questions will enhance the overall impact of your speech.</t>
  </si>
  <si>
    <t xml:space="preserve">Your speech had good intonation and presence, and you maintained a clear and steady pacing throughout. The topic of unity was well addressed, and your structure helped guide the audience through your ideas effectively.  To improve, try to be more expressive to better engage your listeners. Strengthening your conclusion would leave a more lasting impact. Additionally, providing more in-depth responses to questions will help showcase a deeper understanding of the topic. </t>
  </si>
  <si>
    <t>Your speech had a clear message about unity, supported by strong examples. Your responses to questions were well-structured, showing confidence and a solid grasp of the topic.  To improve, try adopting a more natural pacing to make your delivery feel smoother and less exaggerated. While the Gandhi examples were useful, varying your references could strengthen your argument and make it more engaging. Working on a more natural presence will also enhance your connection with the audience. Keep refining your delivery</t>
  </si>
  <si>
    <t>Your speech had a strong personal touch, and your delivery showed confidence. You clearly conveyed your perspective, and your intonation kept the audience engaged.  To improve, try making your delivery feel more natural to create a stronger connection with the audience. While sharing personal experiences is valuable, expanding your perspective to include different family structures and opportunities would have made the speech more relatable. Additionally, working on a stronger conclusion will help reinforce your main message about unity.</t>
  </si>
  <si>
    <t xml:space="preserve">Your speech had a natural delivery with good intonation, making it engaging and easy to follow. The ideas were clearly presented, and you demonstrated a solid understanding of the topic, especially in how you answered questions with confidence and ease.  To improve, try relying less on reading and focus more on connecting with the audience through eye contact and presence. Strengthening your delivery in this way will make your speech even more impactful. </t>
  </si>
  <si>
    <t>Your speech had a clear topic and a well-paced delivery, making it easy to follow. You showed confidence in your presentation and maintained a good structure throughout.  However, the delivery at times felt too exaggerated, almost like shouting, which made it less natural. A more balanced tone could help connect better with the audience. Additionally, expanding your perspective on the topic and providing more in-depth answers to questions would strengthen your overall impact. Keep working on refining your delivery for a more natural and engaging presence</t>
  </si>
  <si>
    <t>Your speech had a clear delivery with strong intonation and presence, making it engaging for the audience. Your examples helped support your points, and your structure was well-organized.However, working on being more concise would improve the impact of your speech, as some parts became reiterative. There were moments of insecurity, especially when reading, which affected the natural flow. Additionally, the topic could have been explored in greater depth, and responses to questions felt like a repetition rather than an expansion of ideas. Keep practicing to enhance confidence and depth in your arguments</t>
  </si>
  <si>
    <t>Your speech was well-structured, with a clear flow of ideas. Your confident tone kept the audience engaged, and your pacing allowed for easy comprehension. I appreciate your use of pauses for emphasis. However, consider adding more vocal variety to maintain energy. Overall, your passion for the topic was evident and compelling.</t>
  </si>
  <si>
    <t>You delivered your speech with clarity and confidence, making it easy to follow. Your use of eye contact e, and your pacing was well-balanced. To improve, try incorporating more expressive gestures to emphasize key points and avoid repetitive movements. Your enthusiasm was noticeable, reinforcing your message effectively. Keep refining your delivery style!</t>
  </si>
  <si>
    <t>Your speech demonstrated strong organization and a well-thought-out structure. Your voice projected confidence, and your articulation was clear. I liked how you maintained steady pacing, which helped audience comprehension. One suggestion is to dare a deeper insight whille answering questions. Polishing this, could further impact your delivery. Overall, great job!</t>
  </si>
  <si>
    <t>Your delivery was engaging, and you maintained strong eye contact with the audience. The speech had a logical flow, making it easy to follow. Your pauses allowed for reflection, which enhanced your impact. To elevate your performance, a small suggestion would be to use more purposeful movement rather than pacing, as it can be distracting. Your confidence and knowledge of the topic were evident.</t>
  </si>
  <si>
    <t>Your speech was well-organized, and your voice carried confidence. Your pace was appropriate, and your use of pauses strengthened your message. One area for improvement is adding more natural movements and reduce the suffering impression of presenting the topic at times. Additionally, reducing any repetitive hand movements will help maintain focus. Overall, a strong and compelling presentation!</t>
  </si>
  <si>
    <t>Your speech was structured and well-paced, making it easy to follow. Your tone was engaging, and you demonstrated strong eye contact with the audience. To enhance your delivery, try varying your vocal pitch to add more emphasis and energy. This can make your points more compelling. Overall, a great effort with strong potential!</t>
  </si>
  <si>
    <t>You spoke with clarity and confidence, which made your speech engaging. The structure was logical, and your pacing helped the audience absorb the content. I suggest working on smoother transitions between key points to improve flow. Your ability to connect with the audience through tone and expression was a strong asset. I think you did a great job</t>
  </si>
  <si>
    <t>Your speech was delivered with poise and organization. The pacing allowed for comprehension, and your eye contact created a strong connection with the audience. I would suggest adding more dynamic vocal variation to keep engagement high. Additionally, avoiding repetitive gestures will help maintain focus on your message. Your passion for the topic was evident and contributed to your effectiveness.</t>
  </si>
  <si>
    <t>B</t>
  </si>
  <si>
    <t>Use more vocal variety���such as changes in pitch, speed, or emphasis���that can make your speech more engaging.</t>
  </si>
  <si>
    <t>Use more gestures to highlight key points, body language can help add emphasis and make your speech more dynamic.</t>
  </si>
  <si>
    <t>Your posture was strong and confident, which helped you establish a strong presence in front of the camera. Well done!</t>
  </si>
  <si>
    <t xml:space="preserve">Looking down at your script frequently can make it hard to maintain strong eye contact with the audience, so try to do it as little as possible. Your topic has a significant impact!!! </t>
  </si>
  <si>
    <t>You have a great tone of voice, and with body language, it would be even more powerful!</t>
  </si>
  <si>
    <t xml:space="preserve">You have the personality of a broadcaster; however, it's important to focus on the content of your speech to give it a clear structure. </t>
  </si>
  <si>
    <t>Nat��yvpn Oneevragbf</t>
  </si>
  <si>
    <t>You had a clear structure, expressed yopur ideas well, and used appropiate body language. You recovered wonderfully fromt he technical difficulty and it's evident that you read a lot, it shows in your ideas. For the future, try to include more data, satistics, or examples to provide smoother and more well-rounded answers during the Q&amp;A</t>
  </si>
  <si>
    <t>Your speech shows great enthusiasm for a relevant topic in the present day. I noticed that for the Q&amp;A you repeated content you had already given instead of giving further information on your topic. Try to have more data or bullet points for this part.</t>
  </si>
  <si>
    <t>It's great that we can see all of you and the way you move and "take the stage". Your words show growth and evolution through the way you deliver your ideas.</t>
  </si>
  <si>
    <t>Your participation shows passion and interest for the topic chosen and it is clear that you have a strong message to deliver. For the future, try to rehearse your script so you don't read so much or check your notes constantly. Try to be more fluent in the Q&amp;A so you can give further information and it goes smoother.</t>
  </si>
  <si>
    <t>It was an original and creative topic withy a great twist. Your speech was well-structured, and you engaged us very well with your body language and tone of voive. I would love to see you defend your ideas more effectively during the Q&amp;A. You struggled to answer the questions we asked, and I encourage you to work on responding more clearly and confidently.</t>
  </si>
  <si>
    <t>Although your speech was well delivered and your presence is very engaging, there were moments when your statements were a bit confusing, making it difficult to follow the main line of what you wanted to communicate. I didn't quite undertand how your closing remark connected to the main topic until the other adjudicator asked you about it.</t>
  </si>
  <si>
    <t>You delivered a very well-balanced speech with a solid opening, a clear main argument and a well thought out structure. While the tone of your speech was mostly inspirational, you also sounded reassuring at the right times.  Good job. In order to give your speeches some extra impact and make them really stand out, I reccommend working on your delivery. You are already pretty confident, so perhaps you could experiment with different styles of intonation and body language until you find a style that makes the most out of your abilities.</t>
  </si>
  <si>
    <t>Your speech was very engaging. Using an example from popular culture to illustrate your point was a good choice to grab your audience's attention, and you did a good job of explaining what the Avatar is and does even to those who might not be familiar with the franchise. I can tell that The Legend of Korra means a lot to you, but you got a bit carried away with your examples so the ending of your speech felt a bit rushed. I would advise you to work on your time management, devoting the right amount of time and attention to each part of your speech.</t>
  </si>
  <si>
    <t>Great job! Your speech was moving, persuasive, and made excellent use of your personal experience to make your point clear while also making the audience feel connected to you. In terms of delivery, you used a wide range of vocal and body language resources, which made your speech dynamic and fresh. My advice to you is to keep up this energy. Avoid becoming complacent and choose your topics carefully so they're always as engaging as this one was, if not more.</t>
  </si>
  <si>
    <t>Congratulations. You took the difficult route and chose a painful topic for your speech, and you handled it in an appropriately urgent, emotional, and well-informed manner. Just as you said, this is a topic that everyone should care about, and I believe your approach is just right for informing and convincing those who may still need convincing. You do need to work on your body language and eye contact. Try to look at the audience for longer stretches of time and read less often and less consipicuously, so you way convey your message in an overall more effective way.</t>
  </si>
  <si>
    <t>Your speech really packed a punch. It was motivational, straight to the point, and included clear and concrete points and advice. I felt almost like I was listening to a motivational speaker or coach. Good job. You already have a personal speaking style, now you need to refine it. Your voice is clear and strong, but it could use some nuance. Being uniformly loud flattens your delivery a bit; try different, subtler rhythms and intonations, so when you reach the more energetic parts of your speech, they will really stand out.</t>
  </si>
  <si>
    <t>Congratulations on your style, delivery, and confidence. Your voice, your body language, and your way of addressing your audience are very expressive and engaging, and anyone can tell that you are aware of your skill and use it in a very deliberate way. I almost felt like I was listening to a professional communicator, such as a podcaster or radio personality. Keep it up! However, don't let it go to your head. Remember that the content of your speeches should match the quality of your delivery to be really memorable. Give them a clearer structure with well-defined points, and elaborate on your ideas so your audience isn't left wondering how they relate to each other. Don't rely on your charisma alone.</t>
  </si>
  <si>
    <t xml:space="preserve">evolution and transformation, we need to try to know what we are capable of,   needs to improve stage presence, pauses are effective to highlight main ideas, good use of rhetoric and questions, could use more examples that connect the topic to personal experience to make it more impactful, good body language and addressing the audience directly. </t>
  </si>
  <si>
    <t>Otigami..very strong opening, intonation helped make it engaging and impactful, body language was effective. .... Natalia it was great that you stood up, but you were very nervous in your responses. YOu can do it trust yourself</t>
  </si>
  <si>
    <t>Simon byles and FEAR. Beware of your examples adn sources, according to philosophy is not enough. The other examples were ok. Try not to read as much. It was interesting topic but maybe you ca relate it to your personal experiences  alittle bit moreit would be better</t>
  </si>
  <si>
    <t>Great use of engaging questions to the audience. Good use of hand gestures. BUt im not sure you were able to focus on the topic of what we may be topic with more depth so try to go back more often to the impact of your speech</t>
  </si>
  <si>
    <t>Good comparison with focault. Good to question the prompts in order to introduce your topic, it is great to do engaging questions, but i would like you to add more examples of the real life and analysis of them. you know your speech so try to go to the next level by including hand motion and entonations.</t>
  </si>
  <si>
    <t>It is good to use your personal examples,  and steve and disney, but i would like to have more sources to back up your arguments. You have a great pace, but maybe you can increase intonation in specific places of your speech that are key. Also try to make more engaging questions tyo the audience, and not just leave one until the end.</t>
  </si>
  <si>
    <t xml:space="preserve">I like your approach to technology. Try to include sources that back up you arguments and not just supposed scenarios.  Beware of the lighting we had hard time seing your face. </t>
  </si>
  <si>
    <t xml:space="preserve">Your speech is well structured and flows logically, your voice modulation is effective. I would recommend including more varied examples, and anlysing them in depth, as well as writing an original title.  </t>
  </si>
  <si>
    <t xml:space="preserve">The approach to the prompt is creative, and your presentation is highly engaging. Describe examples in a more consice way so that you can expand on the analysis and stay under the time limit. </t>
  </si>
  <si>
    <t xml:space="preserve">Great use of evidence to support your speech. Try to vary your tone, and employ body language. I like the steps format, but I would recommend reducing the amount of steps and analyse each one more in depth. </t>
  </si>
  <si>
    <t>You have excelent delivery, very engaging and useful for the speech. Avoid definitions if they don't directly support your point. Connect your analogy with the topic earlier on and more clearly so that you can analyse this deeper.</t>
  </si>
  <si>
    <t xml:space="preserve">I like how you structured your speech, and your final message. Try to provide more examples and analysis, improve body language. </t>
  </si>
  <si>
    <t xml:space="preserve">Your delivery is very good! Good responses for questions. You should focus on deepening your analysis by considering more oposing perspecives and varied examples. </t>
  </si>
  <si>
    <t>Great structure, it is very effective to include multiple perspectives</t>
  </si>
  <si>
    <t xml:space="preserve">Good job. You had the quote in mind throughout your presentation and the structure of your speech was clear. However, be mindful of the use of your notes and try to focus on your audience. </t>
  </si>
  <si>
    <t xml:space="preserve">Awesome job. You developed the prompt into an engaging speech with great pace and use of  body language. Perhaps try to use your movements mindfully since too much movement can distract your audience. Though the folding of the origami is part of your performance, perhaps try to pause a bit when you have to fold it and unfold in specific moments of your speech. </t>
  </si>
  <si>
    <t>Good job. You had some great arguments and  you developed them throughout your speech, which had a structure that was easy to follow. Perhaps besides the outside sources, you could start and add why do you find this topic so amusing based on your own opinion or experiences.</t>
  </si>
  <si>
    <t>Great job. You had a great use of your body language and voice intonation that helped the audience understand your speech and follow your ideas. However, your structure could be arranged to keep in mind the prompt you were given for the prepared speech. Especially since you posed a question until the end that relates to the quote. It could be posed in the beginning so your conclusion mentions the important parts of your arguments and end in an affirmative mode.</t>
  </si>
  <si>
    <t>Great job. You had a good arguments that you developed throughout your speech. You can work more on engaging with the audience with your body language. Also try to consider counterarguments as a part of your speech to improve your arguments.</t>
  </si>
  <si>
    <t xml:space="preserve">Awesome speech. Your ability to express your ideas and examples throughout the speech was very impressive. Perhaps you could try to include or consider counterarguments since it can add another layer of complexity. It would also be more interesting to consider some sources to sustain your main ideas. consider counterarguments </t>
  </si>
  <si>
    <t>Great job. Your attitude towards these issues shows how much you have thought and researched information about them. Perhaps try to consider counterarguments in relation to your main arguments since it can another layer of complexity. Lastly, I think the term identity is very complex and can be confusing since identity deals with context, traditions, languages and so many other topics that don't really relate to the themes of your speech (at least for a five minute speech). So perhaps another term of rephrasing could be helpful.</t>
  </si>
  <si>
    <t>It is an interesting idea and the topic is quite appealing, Your voice and body language are quite attractive. You need to keep a clearer and better structured speech. Improve it by using clearer indicators to mark the transitions from one point to another.</t>
  </si>
  <si>
    <t>Such a great way to dominate the stage. Do not change that. Good body language, pauses and tone of voice. Try to organize your speech better and go deeper into the analysis of your ideas. Provide fresh and relevant examples to have a better impact on the audience.</t>
  </si>
  <si>
    <t xml:space="preserve">You put a lot of passion into your speech. The voice and body language you use is compelling. However, it was hard to understand the beginning and it is not clear what the point is. </t>
  </si>
  <si>
    <t>You speak in the right pace and pauses to get your message across. You need to speak up a little bit and use your body to express yourself. Also check the examples you provide to make it more engaging and convincing.</t>
  </si>
  <si>
    <t>Interesting examples to clarify your point. I like the way you transition between stages. It makes your speech quite easy to follow. The voice and body language you use also helps you. I just add a little punch into the beginning and end to make a better impact.</t>
  </si>
  <si>
    <t xml:space="preserve">Great tone of voice and variety of examples. Your body language is second to none. It is very persuasive. The allegory is self-explanatory and works well with your point. If you want to </t>
  </si>
  <si>
    <t>Andrea, the speech was quite interesting and engaged the audience from the beginning. Try to provide another example rather than the cat's analogy that's good to illustrate the point but avoid repeating it throughout the arguments. Well done!!</t>
  </si>
  <si>
    <t>Eduardo, your speech was engaging. You really invited the audience to think upon our personal limits and mental barriers. The arguments provided us with relevant data. It would be important to support this data with tangible examples. Seize your time, you still had 15 seconds to close strongly.</t>
  </si>
  <si>
    <t xml:space="preserve">Cecilia, you analized the philosophical idea of the possibilities of who we can become in the future, this idea was interesting to the audience. You also kept eye contact and used body language to create an engaging atmosphere. However, I would recommend that you seize the timing in your responses. Remember that you can answer in up to 1 min 30. This  time is for you to show up critical thinking and extra knowledge. </t>
  </si>
  <si>
    <t>Regina, your speech was organized into introduction, body (argumentation) and closing. This made it easy to follow. Nevertheless I would recommend that you deepen in your analysis providing tangible examples to support them. Try to take advantage of the question period to show critical thinking and extra knowledge.</t>
  </si>
  <si>
    <t>Maximiliano, you managed your time effectively  and provided a well-balanced speech. Your arguments were well-analyzed. I would recommend that you try to play with your voice and tone in order to create suspense, excitement, etc. to engage your audience. Well-done Max!</t>
  </si>
  <si>
    <t>Emma, your tone, voice and body language made your speech really engaging. You managed to create an atmosphere that made us think upon our own "parallel universe". Your arguments were clearly analyzed and the examples were easy to understand. Take advantage on the question period to provide extra critical responses . Well-done.</t>
  </si>
  <si>
    <t>Your speech was well-structured, with a smooth flow of ideas. Your tone was confident, and you maintained good eye contact. The pauses were well-placed, making key points stand out. To improve, try using more varied vocal inflections to emphasize emotions.  Your passion for the topic was evident and engaging.</t>
  </si>
  <si>
    <t>Your speech was engaging and organized. Your tone was clear. The pauses were effective, giving the audience time to absorb the message. To improve, try incorporating more dynamic expressions and intentional movements to reinforce key points. This will further strengthen your stage presence. Also, reducing repetitive movements will enhance your stage presence. You connected well with your audience���great job!</t>
  </si>
  <si>
    <t>Your speech was well-prepared, and your voice was clear and confident. You used pauses effectively to emphasize key points. To take it to the next level, consider using more facial expressions and gestures to add emotional depth. Also, being mindful of pacing back and forth will help keep the audience���s attention fully on your message. Great work!</t>
  </si>
  <si>
    <t>You delivered your speech with clarity. I appreciated your thoughtful pauses, which allowed key messages to sink in. To enhance your delivery, consider using more expressive facial gestures and purposeful hand movements. Overall, you conveyed your message effectively and engaged the audience well.</t>
  </si>
  <si>
    <t>Your speech was well-structured, with a smooth flow of ideas. Your tone was confident, and you maintained good eye contact. The pauses were well-placed, making key points stand out. To improve, try using more varied vocal inflections to emphasize emotions. Also, reducing repetitive movements will enhance your stage presence. Your passion for the topic was evident and engaging</t>
  </si>
  <si>
    <t>You spoke with confidence, and your speech had a clear structure that made it easy to follow. Your use of pauses helped emphasize key ideas. More depth and clarity in your answer may help your performance even more. Your passion for the topic was well communicated.</t>
  </si>
  <si>
    <t xml:space="preserve">Good use of paraverbal language and the visual space of the camera. We could see you very well and empathize with the way you moved and spoke, which allowed us to connect with your speech. I think it's important to emphasize that when we ask the audience a question, don't leave it open-ended, let your speech take care of answering it. </t>
  </si>
  <si>
    <t>Very good use of analogies to fairy tales to demonstrate that the future is not known, the examples were quite accurate in general and in addition to the oral level the speech was quite catchy, so it was quite easy to follow._x005F_x000D_With respect to the answers, I think it is important to emphasize that what we were looking for was ���Sometimes our roots can play against us��� and I think it is important, in speeches and in life in general, to accept that certain things may not be useful for us everywhere, and it is good to accept it, we do not leave aside our roots, we are just looking for something much more beyond.</t>
  </si>
  <si>
    <t>The speech was engaging at the beginning, which made it easy to follow from the start. For improvement, you could elaborate more on the development (oriented to the depth of the speech).</t>
  </si>
  <si>
    <t>It was quite a profound speech and quite engaging in the sense that it was easy to connect with. The structure of the speech was quite clear, which supported that it was easy to follow. The use of voice can help to drive the connection, remember that highlighting the important things with the use of voice makes more of an impact on the receiver.</t>
  </si>
  <si>
    <t>I think if you looked a little uneasy during the speech. Yes very well the speech could still be understood thanks to the fact that you had a voice that sounded super good during the speech. The answers to the questions were sufficient but during the second one you were a little bit thinking about the answer, so I think it is important to recommend you that you can give yourself a few seconds to think about the answer and there is no problem with that.</t>
  </si>
  <si>
    <t>I really liked your tone of voice, this allowed me to connect and be able to look at you as you spoke, which made the speech easy to follow. The depth of the speech I think could have been improved, in the sense of looking for more examples that allowed you to connect from another sense.</t>
  </si>
  <si>
    <t>Sound was a little echo-ey - which affected the clarity of some of your vocabulary. Consider being closer to the camera - you only need head and upper body and that might improve the sound quality. I would also like to see you analyse your points more</t>
  </si>
  <si>
    <t xml:space="preserve">I liked your opening - relating the fairy stories and the segway to your own experience. ALso - referring back to your title - strengthening the connection to the theme. Speech was coherent and clear. Some nice imagery used and you answered questions confidently. Good job </t>
  </si>
  <si>
    <t xml:space="preserve">Compelling start - well done. Arguments flowed well. I think you did very well in the question section - clearly demonstrating active listening . </t>
  </si>
  <si>
    <t>Itan I thank you for sharing your very personal experience. You related your thoughts and opinions very forcefully. Well done Itan - you are the very epitome of the theme "We know who we are but not who we might be" Impressive!</t>
  </si>
  <si>
    <t>Try not to move around quite so much. The moving from one foot to another started to detract from your words. You should try to plant your feet on the ground - the arm movements are ok.  I am not sure I agree with your idea that everyone wants to lie forever and perhaps a little more analysis was necessary. Not many 80 year olds want to live forever , for example.</t>
  </si>
  <si>
    <t xml:space="preserve">I loved the focus of your speech - thought provoking. You also have a clear speaking voice and you engage the audience well - you have a calming presence! </t>
  </si>
  <si>
    <t>Good body language. Some clarity was lost due to pronunciation and sound quality. Using more direct examples and a more confident conclusion will enhance your delivery</t>
  </si>
  <si>
    <t>Nice pronunciation and clear speech structure with strong examples. The storytelling made for an engaging opening. Adding more body movement could make it even more visually dynamic</t>
  </si>
  <si>
    <t xml:space="preserve">Your speech was well-delivered with clear pronunciation and a passionate tone that conveyed conviction. The engaging introduction and clear answers were strong points. Adding more depth to the concept of developing the future self would further enhance your message. Great job!        </t>
  </si>
  <si>
    <t>Your speech was insightful and personal, really capturing the idea that we don���t always know what we may become. Adding more pauses and movement could help emphasize your message even more.</t>
  </si>
  <si>
    <t>You had a clear idea of what you wanted to convey, but the reason for wanting to be remembered forever wasn���t fully clear or universally applicable. Using pauses could help clarify your message and highlight the key ideas you want the audience to remember most vividly.</t>
  </si>
  <si>
    <t>Your speech was truly engaging; your tone, pacing, and changes in speed made it captivating. Your perspective on the future and uncertainty was thought-provoking, and you kept the audience���s attention the whole time.</t>
  </si>
  <si>
    <t>Your speech was structured and your tone was ok from the beginning. You can display more confidence by emphasising important points. Your examples can be more varied.</t>
  </si>
  <si>
    <t>Your narrative and poetic images were very useful to set the tone. At the beginning it felt like you were Reading too much but then you were more direct.  Good use of rhetorical questions.</t>
  </si>
  <si>
    <t>You delivered structured answers. Interesting examples although for a prepared speech, the research part was not that evident. Good use of  body language.</t>
  </si>
  <si>
    <t xml:space="preserve">The examples were a bit cague.. Good engagement with varying tone. Good use of time especially for the speech. </t>
  </si>
  <si>
    <t>Well thought-out structure, could have benefited from more concise examples. Confident delivery.</t>
  </si>
  <si>
    <t xml:space="preserve">Good analysis, you got to mention implications of your claims. You can still go further but that was good. </t>
  </si>
  <si>
    <t>Well done! Using references to literature is a great way to connect with your audience and demonstrates that you have prepared your speech thoughtfully. My recommendation is to break down your ideas into a minute-by-minute plan. You started too fast, and at 2:30, you slowed down, which made it seem like your ideas were coming to an end.</t>
  </si>
  <si>
    <t>Great job! The beginning of your speech was strong, using vivid imagery to create an emotional connection with the audience. I noticed that your main ideas were structured around questions, which kept the audience engaged. My recommendation is to plan out your main arguments and counterarguments more clearly. This will provide the audience with a sense of certainty about your informed perspective and make your argument more convincing and balanced.</t>
  </si>
  <si>
    <t>Excitement in the room! The beginning of your speech was strong, and your body language helped create an emotional connection with the audience. Since this was a prepared speech, I recommend planning arguments that are objective and incorporating counterarguments to demonstrate your awareness of different perspectives. This will give the audience confidence in your informed viewpoint and make your argument more convincing and well-balanced.</t>
  </si>
  <si>
    <t>Asking questions is a great strategy to engage the audience and invite them to reflect on your arguments through their own experiences. Since this was a prepared speech, I recommend structuring your arguments to be objective and incorporating counterarguments to show your awareness of different perspectives. This will strengthen your credibility, give the audience confidence in your informed viewpoint, and make your argument more persuasive and well-balanced.</t>
  </si>
  <si>
    <t>Well done! Your use of space, body language, and rhythm made your speech engaging and kept the audience���s attention. There is clear evidence that you planned your ideas effectively throughout the five minutes. Since this was a prepared speech, I recommend structuring your arguments always incorporating counterarguments to demonstrate your awareness of different perspectives. Additionally, I suggest rephrasing the final question to identify key elements that will help you clearly define what is being asked.</t>
  </si>
  <si>
    <t>Fantastic job! Your use of space, body language, and voice modulation made your speech engaging and dynamic, capturing the audience���s attention. The questions you posed effectively invited the audience to connect with the context, making your message more relatable and thought-provoking. Your ideas were excellently structured, seamlessly linking one to another, creating a smooth and natural flow throughout the speech. Additionally, your responses were active and proactive, convincingly reinforcing your points. I was expecting to hear counterarguments, which would further enhance the perception of an informed perspective and demonstrate to the audience that your viewpoint is well-balanced and not biased.</t>
  </si>
  <si>
    <t>You presented a solid speech with arguments, but with a bit more preparation and practice, especially in slowing down, improving your body language, and avoiding reading directly from your speech you can create a more natural delivery that will better engage your audience.</t>
  </si>
  <si>
    <t>You gave a confident and well-structured presentation, but there���s room to expand on the depth of your content, particularly by exploring multiple contexts and perspectives. Keep practicing, focusing on developing your points more fully, and minimizing your reliance on notes to enhance your stage presence.</t>
  </si>
  <si>
    <t>Your voice was clear, and you used a good tone to emphasize key points, which made your speech engaging; you maintained good eye contact with the audience, which helped build a connection.  Your analysis was good, but there was potential to explore your topic in more depth; the personal stories were engaging and relatable, but adding more research or factual evidence would give your arguments more credibility and depth. The speech had a solid and clear structure, which made it easy to follow; the introduction, body, and conclusion were well-defined, and your ideas were organized in a logical manner.</t>
  </si>
  <si>
    <t>You gave a well-structured speech, and your arguments were cleat. To improve, focus on using more body language to engage the audience, incorporating additional research or examples to strengthen your points, and working on smoother transitions and pacing.</t>
  </si>
  <si>
    <t>You gave a strong and confident presentation with great use of body language and a well-organized structure. To enhance your performance, improve eye contact, and incorporate more research or examples to support your points, particularly from external sources or data, which will give more depth and credibility to your message; providing more thoughtful insights will showcase your understanding and strengthen your overall performance.</t>
  </si>
  <si>
    <t>You gave a strong, confident speech with great use of body language; the tone variations emphasized key points and kept the audience engaged; it was clear that you memorized your speech, but be careful with the natural flow of your delivery. You incorporated examples beyond personal experience; consider diving deeper into your examples and linking them with additional research or external sources to help give your argument more depth. Your responses were clear, but you could have benefited from deeper insights.</t>
  </si>
  <si>
    <t>I would tell you from the get go, that it would be a better idea to stand up, that would give you a wider range of movement, and the movement of your hands would be more impactful. You have good eye contact and body language, I think if you stood up, it could be great. Good on you for starting with an anecdote, but it is a bit run of the mill, it is a classic, granted, but because it is a classic, you need to compete with all the ideas that relate to the story that you are invoking in your speech, so, because you are refering to that idea, you are competing with all of the ideas that come to it, and now you have a crowd. There is a cool structure to your speech, it could be a conversation, but you need not to rush, for example, in the timer you did, it would've been super cool to give a second for the 0 to really blow and then start after a second of silence. You have a good diction, you have interesting ideas, you need to improve your delivery, and then you will have something pretty good. Your topic is a bit niche, so it will be an uphill battle to get attention, but, I think you have a good chance. Good luck. You need to improve your active listening, you gave me an agenda, very general, but you didn't define progress for me.</t>
  </si>
  <si>
    <t>From the get go, I would suggest for you to stand up so that you have a wider range of movement, and because of where you sat, it seemed constrcited, which in a way worked with your speech, but I do still believe it would've been better for you to stand. It is not bad to have visual aids, but it would be a good idea to stick the speech towards the screen, because you are reading but you can keep your eye contact and that improves your chance. It is surprising to find out that a lot of times, people lose first places because of a delivery thing, so you should workshop the how you are saying your story, you need to play the game, and take as many advantages as you can, with such things as to know where to stand, or where to put your notes, tape yourself and practice. What you are saying is quite important, is something that is not as usual to talk, and that needs to be addressed, very good ideas, very good way of putting it. Very very strong speech. Good on you for your facts, it was very well said. Very good answers. You have a good chance, practice.</t>
  </si>
  <si>
    <t>Good call on standing up, it helps a lot in conveying your message, now you have to work on the talking part of the delivery, your diction could've been better, there were times were I was making more of an effort trying to understand than trying to consider your points. Another thing to take in mind, tape yourself in the place that you will do your speech, because that way you can prevent things, such as the echo that was on the room, and it made it harder to understand you. You have a good structure, it makes sense, if you have this hand gestures and process that you've practiced, you have a very strong delivery, but it was an unfortunate place to do the speech. Good argument on Heraclitus, and the way that you bring the sources into the topic, and how you organise to make it have meaning and sense. I would like to get into the topic faster, maybe mentioning Heraclitus before, or maybe talking about Audrey as soon as you make the entrance. Cool one on that too. It is an interesting take on the prompt. You went on the descriptive vibe, so the name of the game for you is the images you paint with what you say and the way you say it. You had a hard first questiom, good for being honest, I would suggest to think more about the whys instead of the hows.</t>
  </si>
  <si>
    <t>You had a very strong start, specially because you made it personal, and also I really liked that you were practical, and so aware, so down to earth, down to the bare bones of the things that people don't really like to talk about. I would suggest that you choose to stand instead of being sitting down, to stand allows you to have a wider range of movement, you had a good call on putting your speech towards your screen to supply eye contact, I do think that if you had put it more in the middle of the screen, it would've allowed it to be. You have a very strong speech because you are speaking based on both facts and experience. I applaud that you bring spanish, mexican spanish into your speech, I would love for you to represent us because you are talking about the middle class person, not thinking about greed or aspirations that are based on one individual. I see myself in what you say, and I don't say that easily. Please, work on your delivery, stand up, tape yourself to see your body language, practice, practice, check your tone and your pace, because if you have the info, you need to work on how you say it. From a political scientist, that is what you need to do. Good answers. I really do wish you the best. I really do.</t>
  </si>
  <si>
    <t>From the get go, two things, I would stand up, because you could've a greater range of movement, then, the second one, if you are going to take the lecture point of view, you need to practice your narrative delivery, because with lectures, it works like with long videos, the longer it goes, the harder it is to focus on it, because you are not connecting it to a point or a story. You are not providing something to take in mind. You are like a news anchor, you are notifying me of information that I, and most people, are somewhat aware because of where and when we live, so, maybe 5 or 10 years ago this would've been fresh, but this one is a bit too practiced, and that makes me compare what you are telling me with everything that I've heard about this topics. Also, it seemed like you were reading, if that was the case, it is ok, but think of a better place to put your notes, maybe on the screen bellow the camera. Because there is so many points, about all of the illnesses and the types of people that now we are dealing with, it is interesting, and the point of going for your potential, it is good, but maybe you should've gone into it from the get go. I would start maybe with the lady gaga thing, because it would hook me, it would make me thing, Why is this comming up? and then you can lecture and it makes sense. That is what I would mention. Good effort. It is always good to think a plan to solve the problem you refer for questions. Some of the things you mentioned already exist, so it was a decent answer, but nothing out of this world. I really liked your first answer. Good shot.</t>
  </si>
  <si>
    <t>Oh dear, the rational choice dillema, it is a good and safe option, but if you are going to go for that you need to be excellent in doing that argument, because it has been done so many times, that it is easy to compare your speech to many versions or ideas that are versy similar to what you are saying. I think that it would do you good to practice a bit more, if you practiced and the nerves got the best of you, I would go into theatre workshops, because that helps with the nerves. I think that you could've improved the structure of your speech, because not only you are doing the rational choice argument, but you are also going for the lecture angle, if you are going to give a lecture, you need to give the audience a reason to hear the lecture, a question, a riddle, a fact, something to hook it. To play the lecture angle is like trying to fish, you need too release the bait and then catch the fish and desperately, through practice, trying to keep it from the water. I would stand up and work on my body languge, there wasn't any at all, you barely looked at the camera after a point. You are also giving a lot of commonalities, it is better to have three or four examples that are strong that to have a pile of ideas. That would help you.</t>
  </si>
  <si>
    <t>Great engagement with the audience, you had a very well control of your structure and your time. Remember this is not a competition of the best examples but the best way to express yourself, so try to be confident with the things you're saying.</t>
  </si>
  <si>
    <t>Your speech was really moving and sprinig, with such a great topic. For the next time, try to keep eye contact with the audience so the engagement is better. Also, try to have more fluency and coherence during your speech, for example, say the word "autism" less.</t>
  </si>
  <si>
    <t>Great choice to stand up! Remember that if you had time to prepare your speech, you should expect any kind of questions, and not only about the topic on your speech, if so, there would not me a competition. Also, try to be more confident with your arguments.</t>
  </si>
  <si>
    <t>Great speech, amazing topic, amazing examples. It was really interesting to hear the spanish (very mexican) phrases. For next time, try to engage more during your speech. Like, try to stand up, or at leats show your hands during your speech, so we don't feel like you're reading the entire speech.</t>
  </si>
  <si>
    <t>Your topic was great, and very brave of you to raise awreness on that. For next speeches, try to have a clear structure of maybe connect your ideas, so it feels like a whole. and not only some ideas in the space.</t>
  </si>
  <si>
    <t>To start, for me the title of your speech was not completely related to your speech at all. Try show more confidence when talking, so it's easir for us to believe what your are saying.</t>
  </si>
  <si>
    <t xml:space="preserve">Good job. You had a great use of body language and voice tone. Perhaps try to be consistent with your eye contact and try to use your notes as a guide. Also you can explain your main argument since the beginning to guide the audience. It would be interesting to know why you chose your examples and focus on one two so you can develop them in relation to your argument. The relationship with the prompt quote and the examples could be clearer if you work on polishing your outside sources and your own arguments.  </t>
  </si>
  <si>
    <t xml:space="preserve">Excelent job. I think your topics are not really discussed enough and it is insightful to listen to young voices on these topics. You did a good job at expressing your own experiences, yet you can also use other sources or data to support your arguments. Perhaps you can work on your delivery through steady eye contact and body language so you can engage with your audience besides your speech. In terms of the speech, you can work on tying up your main arguments in a conclusion. Try to work on giving concise answers and practice your time management. Personally I would not use the term retard and only mention the use of derrogatory language and terms without specifically saying them. Or briefly mention on what is behind the use of these terms.  </t>
  </si>
  <si>
    <t>Good job. Remember to be careful with the sound and try to use microphones because there were moments we couldnt understand your speech because of the echo in the room. Also remember to use fillers mindfully and  when you ask questions try to relate them with your arguments. Sometimes the metaphors you used werent clear enough and it would've been more impactful if you stated your argument and support it with sources.</t>
  </si>
  <si>
    <t xml:space="preserve">Excelent job. Using your own perspective helps the audience to relate to you and to engage with your speech. You posed some important issues and I believe it is necessary to listen to young voices on this topic. My suggestions would be to  try to keep a steady eye contact to the audience and use your notes when necessary. Try rehearsing standing up and using body language effectively. Your voice and delivery was great. Since the use of words in spanish is intentional, perhaps you can only try to translate freely, 'el pobre es pobre porque quiere' or just rephrase its meaning and intention in English. The last examples you mentioned could also be part of your development to support your argument besides your own personal examples. This way your conclusion would add up more topics you mentioned and add up to your already good conclusion. </t>
  </si>
  <si>
    <t>Good job. You had a good delivery and interesting ideas. Remember to try to keep a steady eye contact and to only read your notes as a guide. It would have been clearer if you concluded your speech by tying up your arguments and to use those examples early in your speech. Perhaps you could use data or sources that support your claims and arguments. Also consider possible counteraguments; for example, the access ,or lack thereof, to mental health services, treating or trying to overcome these type of disorders or illnesses. Also consider there are many factors that can make people prone to some disorders.</t>
  </si>
  <si>
    <t>Good job. You had good use of body language and it showed that you found this topic interesting. Perhaps try to state your main argument since the beginning and to use sources to support it along with examples. Remember to use notes as a guide  so you have your main points close to you. It would have been interesting to see how you related these ideas to the prompt quote you were given. I think the conclusion was clearer than the introduction, which happens a lot, so it would be interesting to see this terms introduced since the beginning and work on organizing them in an effective manner.</t>
  </si>
  <si>
    <t>Jennyfer, your speech had a lot of interesting facts. This is important to support your arguments, but it would be also essential that you supported them with clear examples. Try to organize your speech in a coherent order so that it is easy to follow.</t>
  </si>
  <si>
    <t>Cristobal, your speech was quite impactful. It caught our attention from the beginning. I would recommend that you change your tone, pitch and speed of your speech to sound more engaging. Try to seize your body language.</t>
  </si>
  <si>
    <t>Hannah, the idea of having a brighter future was really impactful. However, it would be important that you organized your speech in a coherent order and provide different examples rather than personal experiences. Avoid reading.</t>
  </si>
  <si>
    <t>Natalia, your arguments were impressively analyzed and followed a consistent structure. You created an impact in the audience from the beginning of your speech. I would recomend that you try to lessen the speed of yoru speech so that the audience don't miss anything on it.</t>
  </si>
  <si>
    <t>Tania, the analogy of the owl made your speech easy to follow and connect with. It would be important that you managed your time wisely while organizing the arguments so that you have enough time for closing strongly in the conclusion.</t>
  </si>
  <si>
    <t>Jos�� Elias, I was definitely engaged in your speech. It made me reflect upon my personal connection to art. You are a charismatic speaker who engages the audience easily. It would be important that you analyzed your arguments a little deeper providing a factual ground and tangible examples so you support your points. Well-done!</t>
  </si>
  <si>
    <t>The candidate used a nice range of examples which were convincing and explained very well. However, to improve, I would like to see her speaking more naturally and engaging with her audience more. For example, this could be achieved through speaking slower. But overall it was a good speech - well done!</t>
  </si>
  <si>
    <t>I really enjoyed the candidate's speech! He spoke with good intonantion and really effectively used anecdotes to support his points. However, to improve, I would like to see him make increased eye contact with his audience instead of frequently turning to his notes. But overall it was a great speech - well done!</t>
  </si>
  <si>
    <t>The candidate spoke confidently and engaged with her audience well. She also handled the question section incredibly well, giving detailed answers that showed active listening. However, to improve, I would have liked to see her bring in a wider range of examples and analyse them criticially to support her overall argument. But overall it was a good effort - well done!</t>
  </si>
  <si>
    <t>The candidate had a very engaging and confident opening and effectively carried this sentiment throughout her speech. She also handled the question section very well, giving very detailed responses. However, to improve, I would recommend she tried to speak slightly slower. But overall it was a great speech - well done!</t>
  </si>
  <si>
    <t>The candidate started very confidently and carried this strong delivery throughout the speech. She also used some good examples and demonstrated thorough knowledge of her chosen angle. However, to improve,  I would have liked to see her add a more personal touch, perhaps through intertwining some anecdotes into her overall argument. But overall it was a great effort - well done!</t>
  </si>
  <si>
    <t>I really liked how the candidate used a  range of examples, especially his anecdotes. Also, I thought these examples were well developed and related to his title. However, to improve, I would like to see him rocking back and forth less as he speaks because this tends to take the judges' attention away from his speech. But overall it was a great effort - well done!</t>
  </si>
  <si>
    <t>You presented a clear idea for your topic, which helped in structuring your speech effectively. Your use of examples supported your points well, and you maintained a steady flow throughout.  To improve, work on pronunciation to ensure your message is delivered more clearly. Building confidence and presence will also help engage the audience more effectively. Additionally, refining your responses to questions will strengthen your overall delivery.</t>
  </si>
  <si>
    <t>You delivered a confident and well-structured speech with a clear and concise argument. Your understanding of the theme was strong, and your responses to questions demonstrated clarity and depth.  To improve, consider exploring your points in more detail to add depth to your argument. Additionally, being more expressive in your delivery could further enhance audience engagement.</t>
  </si>
  <si>
    <t>You had a solid idea for your speech, and your delivery showed potential. Your voice and intonation were consistent, and you maintained a steady presence throughout.  To improve, work on making your points clearer and more precise to strengthen your message. Additionally, improving your presence and ensuring you manage your time effectively will help create a more polished delivery. Despite the audio challenges, you handled it well</t>
  </si>
  <si>
    <t>Your strong presence and delivery made your speech engaging, and your argument was clear and well-structured. You also provided solid responses to questions, showing a good understanding of the topic.  To improve, try to rely less on reading so your speech feels more natural and connected to the audience. Also, be mindful of pacing���slowing down at key moments can help emphasize important points.</t>
  </si>
  <si>
    <t>Your speech had a strong presence and a natural pace, demonstrating confidence and engagement. You showed a solid understanding of the topic with well-thought-out analysis and actively listened during the questioning.  However, the amount of information at times felt overwhelming, making it more like a lesson than a speech. To improve, consider balancing depth with clarity and incorporating more real-world examples beyond the books to make the content more engaging.</t>
  </si>
  <si>
    <t>Your speech had great charisma and a clear argument, making it engaging and easy to follow. You also demonstrated active listening and provided thoughtful responses during the questioning.  However, improving pronunciation and refining grammar would make your delivery even stronger. Additionally, diving deeper into your argument could add more impact to your message. With more practice, you have the potential to deliver truly outstanding speeches. Keep up the great work!</t>
  </si>
  <si>
    <t>You clearly started with the idea of expectations and effectively used your personal experiences to convey your message. Your ability to incorporate different perspectives on how you have encountered this topic added depth to your speech. Additionally, you responded well to the questions asked by the adjudicators, demonstrating your understanding. To improve, focus on engaging more with the audience by incorporating purposeful movement and stronger body language. This will help you project confidence and make your delivery more dynamic and persuasive.</t>
  </si>
  <si>
    <t>You started effectively with a reflective question that engaged the audience and smoothly transitioned into explaining the core of your ideas. Your discussion on uncertainty as a driving force rather than a limitation was thought-provoking, and you reinforced the idea that even in uncertainty, we can find hope. Initially, your movement was strong, adding to your presence, but as you progressed, you seemed to lose some confidence, which was noticeable in your body language on camera. To improve, focus on maintaining steady movement and controlled gestures throughout your speech to project confidence consistently. Practicing with intentional pacing and posture will help you deliver a more engaging and self-assured presentation.</t>
  </si>
  <si>
    <t>You did well by using the fear of writing as a strong opening to set the stage for your speech and introduce your main ideas. You then effectively transitioned into explaining the risks of an overthinking life, making your argument relatable and engaging. However, to improve, you need to work on your expression and how you convey your understanding of the topic by projecting confidence and expertise. Additionally, focusing on providing a deeper explanation of the reasoning behind your main idea will strengthen your argument and make your speech more compelling and persuasive.</t>
  </si>
  <si>
    <t>You started your speech with great energy, clearly stating the problem right from the beginning and supporting it with relevant data. You effectively highlighted the challenges faced by girls in other countries and did a great job of showing how individuals can contribute to change. To improve, work on making a stronger connection to your immediate context, as this will help engage your audience on a personal level. Relating the issue to their own experiences or surroundings will make your argument more compelling and increase the impact of your message.</t>
  </si>
  <si>
    <t>You started your speech clearly by properly stating your main topic, providing a strong foundation for your argument. You effectively used examples of people who pursue their passions without clear economic gain, reinforcing your point. To improve, focus on enhancing your dynamics in front of the camera to better engage with the audience. Stronger body language, purposeful movement, and a confident tone will help you convey conviction and persuade your audience of the relevance of your topic.</t>
  </si>
  <si>
    <t xml:space="preserve">Valeria, you delivered your speech confidently and clearly. Your use of the opening annecdote, of life being like a Christmas list, was both evocative and complex. One way to improve your speech, would be to consider some more real-life examples of how people can learn from their mistakes, or about the pressure life puts on us that stops us from achieving our full potential. </t>
  </si>
  <si>
    <t xml:space="preserve">Viridiana, your speech  sounded complex thanks to your sophisticated vocabulary and idiomatic language. At times, you did seem slightly stilted, and appeared to struggle to speak with a flow. Your ideas were well-developed, and you dealt with some complex philosophical ideas and portrayed the power of uncertainty in our lives. </t>
  </si>
  <si>
    <t xml:space="preserve">You delivered your speech with confidence, and I was impressed by the depth of your analysis. To improve, I would recommend working on your time-keeping, as you finished your speech early. Also, you seemed to struggle with answering thr adjudicators' questions. Overall, however, it was a good performance. </t>
  </si>
  <si>
    <t xml:space="preserve">You delivered a powerful, confident, and well-researched speech. I was impressed by your examples, and your depth of knowledge on this topic. You spoke incredibly passionately, and while this was powerful, I would recommend potentially varying your tone and volume, to allow for better emphasis of your most important points. </t>
  </si>
  <si>
    <t xml:space="preserve">Your speech contained a variety of examples, which helped to eludicate your points. To improve, I would recommend speaking closer to the camera, and appearing more engaged when speaking, as this can help make your argument more convincing. Overall though, you presented a well-thought out speech which highlighted the difficulties of expressing yourself creatively, and the ways in which art allows us to better understand ourselves. Your responses to the questions were well developed also. </t>
  </si>
  <si>
    <t>Your speech was structured, with good flow of ideas. Your tone could be more  confident. To improve, try using more varied vocal inflections to emphasize emotions. Also, reducing repetitive movements will enhance your stage presence.</t>
  </si>
  <si>
    <t>You delivered your speech with clarity. Your pacing was steady, making it easy to follow. I appreciated your thoughtful pauses, which allowed key messages to sink in. To enhance your delivery, consider using more expressive facial gestures and purposeful hand movements. Overall, you conveyed your message effectively and engaged the audience well.</t>
  </si>
  <si>
    <t>Your speech was structured, and your tone was clear. I suggest incorporating more vocal variety to emphasize key points and adding natural gestures for a more dynamic presentation. Avoiding excessive movement on stage will also strengthen your presence. Well done on your delivery!</t>
  </si>
  <si>
    <t>Your speech demonstrated strong organization and logical flow. Your voice projection was excellent, ensuring clarity. I liked how you highlight important points. A small improvement could be adding more enthusiasm in your voice and gestures to make the speech even more compelling. Overall, you did a fantastic job connecting with your audience!</t>
  </si>
  <si>
    <t>Your speech was articulate and well-paced. Your tone was steady, making it easy to follow. The pauses you used added impact, allowing the audience to absorb key points. One area for improvement is adding more emotion to match your message, avoiding more than a few pauses and varied gestures and more body language to suppor your speech. Excellent effort overall!</t>
  </si>
  <si>
    <t>Your pauses were really effective, and the way you used questions and different perspectives kept the audience engaged. Your personal anecdotes and examples made your speech impactful and relatable. To make it even stronger, try adding more counterarguments and contrasting viewpoints to give your argument more depth. Great job!</t>
  </si>
  <si>
    <t>Your topic was powerful and highly relevant, and you delivered it with impact. To make your speech even more engaging, try speaking more naturally instead of relying on reading or memorization. Strengthening the connection to the prompt will also help reinforce your message. Using body language and movement could add even more emotion to your delivery. Great effort!</t>
  </si>
  <si>
    <t>Your opening question was a great way to draw in the audience, and your use of pauses, body language, and intonation made it easy to follow your main ideas and argument flow. You also maintained a clear connection to the topic. To improve, try preparing for longer answers in the Q&amp;A round to showcase your ideas even further. Well done!</t>
  </si>
  <si>
    <t>You delivered your speech with confidence, presenting an interesting and engaging perspective on the topic. Your ideas kept the audience���s attention, but try expanding on your answers in the Q&amp;A round to showcase your thoughts in more depth. Great job!</t>
  </si>
  <si>
    <t>Your body language helped keep the audience engaged, making your delivery more dynamic. To strengthen your speech, try incorporating more rhetorical questions and directly addressing the audience to create a stronger connection. Also, clarifying the link to the topic will make your message more impactful. Keep working on it!</t>
  </si>
  <si>
    <t>I enjoyed your participation! I suggest trying to use more vocal variety, such as changes in pitch, speed, or emphasis, to make your speech more engaging. Additionally, using more gestures to highlight key points and incorporating body language can add emphasis and make your speech more dynamic. The more you practice, the more you'll notice the difference!</t>
  </si>
  <si>
    <t>Your speech is powerful and addresses an important topic with honesty and  courage. Your personal connection to the theme make your message even more impactful. To strengthen your delivery, consider using pauses strategically to emphasize key points and allow your audience to absorb your message. Keep up the  great work in breaking the silence around mental health!</t>
  </si>
  <si>
    <t>Your speech was engaging and thought-provoking. Your clear tone, well-paced delivery, and use of different tones kept the audience captivated. Keep using your voice with confidence, it makes your message even more  powerful!</t>
  </si>
  <si>
    <t>Your speech was insightful, connecting science with the idea of an uncertain but promising future,+. Your structure was clear, and your delivery kespt the uience engaged. Keep emphasizing your key points with confidence.</t>
  </si>
  <si>
    <t>Your speech beautifully highlighted the power of literature in shaping minds and society, Your passion fot the topic was evident, and arguments were well-structured. Keep usig expressive language and engaging storytelling to make yot message even more impactful, and be more reflective to have deeper analysis.</t>
  </si>
  <si>
    <t>Your use of personal experience made the speech relatable. However, it would be beneficial to focus on slowing down your delivery and trying to memorize the speech to avoid reading, which would help with natural delivery and build confidence. While the structure and clarity were good, your analysis could be deeper, and incorporating facts or data would strengthen your argument.</t>
  </si>
  <si>
    <t xml:space="preserve">You demonstrated a clear structure and context, which made your argument easy to follow. Your choice of topic was interesting and engaging, and your personal experience added depth to your points. Your voice and intonation were strong, and the clarity of your speech was good. While your delivery was slightly less natural due to reading, your confidence on stage stood out. Focusing on body language and incorporating more natural gestures for future speeches will help elevate your presence even further. </t>
  </si>
  <si>
    <t xml:space="preserve"> You demonstrated strong delivery with good voice and intonation, and your body language and confidence really enhanced your presentation. Your structure was clear and engaging, effectively holding the audience's attention. You made good use of your examples, but for future speeches, try to dive a bit deeper into your explanations to strengthen your analysis. Overall, you have a great foundation, and with a bit more depth in your responses, your speeches will become even more impactful</t>
  </si>
  <si>
    <t xml:space="preserve"> You demonstrated good body language and confidence and effectively engaged the audience with a strong central idea. Your delivery was clear, but try to read your notes less. Adding more supporting facts and analysis for future speeches will strengthen your arguments, and providing more profound answers will help elevate your overall impact. Keep working on deepening your analysis and incorporating more evidence to support your points. </t>
  </si>
  <si>
    <t xml:space="preserve">You engaged the audience well with your body language and confident posture. Your voice was clear, and the pacing was good, though there���s room to vary your tone slightly. I appreciated that you didn���t rely too much on your notes, which helped maintain a natural delivery. To improve further, consider strengthening your argument with more specific examples or data to deepen your analysis and make your points more persuasive. Watch out for repetitive ideas and work on providing more detailed counterarguments. </t>
  </si>
  <si>
    <t>Great job! Your speech had a compelling image and personal touch, with nice analysis and quotes. While the development could be improved a little bit, your conclusion was strong. Your answer was well-developed and on point. Consider pacing and depth for even greater impact.</t>
  </si>
  <si>
    <t>Well done! Your passion for the topic shone through, and it was great to see you take a clear feminist stance. While it seemed that you were reading from time to time, your confident body language and vocal delivery truly captivated me. The Handmaid's Tale was a very relevant reference, supported by solid data, and your conclusion tied everything together nicely. Your sophisticated answers during the Q&amp;A session was the cherry on top!</t>
  </si>
  <si>
    <t>You're on the right track with your speech, but consider adding more authenticity to your delivery. Incorporate hard data and delve deeper into your examples to captivate your audience. Believe in your message to make it truly impactful.</t>
  </si>
  <si>
    <t>Great energy and humor in your speech! Clearer enunciation and a more structured approach would enhance your delivery. Maintain strict body language to match the formality. Incorporating data and counterarguments would strengthen your argument. Nice job on the Q&amp;A session!</t>
  </si>
  <si>
    <t>Great energy and personal examples! Consider more dynamic gestures and clearer enunciation. Practice without notes to boost confidence. Dive deeper into analysis and strengthen your conclusion. Timing is crucial���work on pacing to fully deliver your message. Keep up the good work!</t>
  </si>
  <si>
    <t>You chose to center your speech on a very graphic, eloquent metaphor. This helps focus your audience's attention and makes your points easier to follow. Your tone of voice was appropriately expressive and at its best moments felt unrehearsed, like I was listening to a natural, spontaneous conversation. Just work on your pacing; at certain times it seemed to me like you were tripping on your own words. Slow down when necessary, and try to use more body language along with your already eloquent facial expressions.</t>
  </si>
  <si>
    <t>Congratulations on a very impassioned, well-informed speech on one of the most important and urgent topics of our time. You handled it with the seriousness it deserves, used relevant examples both from our own context and outside of it, and brought the speech to a close on a powerful note. I think a little more emphasis on the current worldwide attack on women's rights would have made it even more relevant. The current political situation in the United States closely relates to the events described in The Handmaid's Tale, and you could have leaned a bit more on that angle. Overall, great job!</t>
  </si>
  <si>
    <t>I found your speech moving and thought-provoking. You delved into the meaning of creativity itself and gave some compelling arguments for your case. However, I would advise you to rely more on concrete examples and objective data. This would have served you well particularly when you mentioned the concerns around AI plagiarism. Researching the legal angle would have really strengthened your argument.</t>
  </si>
  <si>
    <t>You gave your speech an intriguing title that made me want to know more right from the start, and you delivered a string of interesting, entertaining points to make your case. The butterfly effect can serve to illustrate lots of different arguments. It was a good choice. Your delivery was enthusiastic and you made good use of your hands to emphasize your points. Be careful when you read from your screen or papers, because at one point you looked down at something and completely away from the audience, which hurts your overall delivery. Also, be mindful of your time. You had several seconds left that you could have used.</t>
  </si>
  <si>
    <t>You were up to a good start for a great motivational speech, drawing from your own personal experience and reflection. Addressing the audience and making them feel like they're in on a secret is a good rhetorical device for this type of speech, so you had the right instinct. Just work on your confidence and fluency, so you may sound more candid and natural. And most importantly, always consider your allotted time when planning your speeches.</t>
  </si>
  <si>
    <t>Your argument was well-reasoned and logical. The use of anecdotes added a personal touch. The introduction could be a bit snappier to grab immediate attention. Your gestures could be more deliberate and impactful. Practice pausing between important points for better emphasis. Practicing without notes or using quick glances can help maintain engagement</t>
  </si>
  <si>
    <t>Your voice projection was excellent and easy to hear. Consider slowing down slightly during complex points.Consider incorporating rhetorical questions to encourage reflection. Find more opportunities to directly address and involve the audience (start with a joke or rhetorical questions to encourange reflection). Practicing without notes or using quick glances can help maintain engagement</t>
  </si>
  <si>
    <t>Your topic was timely and relevant.  Consider exploring the counterarguments to strengthen your position. Ensure your posture projects confidence.  Find more opportunities to directly address and involve the audience (start with a joke or rhetorical questions to encourange reflection). Using more natural gestures can help reinforce your message and make your delivery more dynamic. Practicing without notes or using quick glances can help maintain engagement</t>
  </si>
  <si>
    <t>You maintained excellent eye contact and connected with the audience. Consider exploring the counterarguments to strengthen your position.Consider adjusting your speech to the time you have (nor less no more). Practicing without notes or using quick glances can help maintain engagement</t>
  </si>
  <si>
    <t>Your voice projection was excellent and easy to hear. Consider adjusting your speech to the time you have (no less no more). Find more opportunities to directly address and involve the audience (start with a joke or rhetorical questions to encourange reflection). Practicing without notes or using quick glances can help maintain engagement</t>
  </si>
  <si>
    <t>Very good topic of choice, the depth of the speech was very good and through your words the topic emphasized the importance it should have. The topic itself is somewhat dense, so you need to explain it clearly and slowly so that the listener understands it, internalizes it and makes your speech his own.</t>
  </si>
  <si>
    <t>Keeping you away from the camera and that we could see you makes it easier to empathize with your speech and your expressions, so very well done for demonstrating paraverbal language skills. Regarding intonation, I wish you could reinforce the important aspects, it was noticeable when you were asking rhetorical questions, but not so much when you wanted to show that something is important. I also recommend going deeper into the fact that we are animals, if 2 questions were asked it is because something is not so clear in that aspect, the differentiation and emphasizing not only the scientific, but something else, could have allowed a deeper and simpler connection.</t>
  </si>
  <si>
    <t>Good use of the vocal tool for the speech, excellent way of being able to emphasize important things, such as saying space in a long way, while expanding your hands to show how big it could be. That shows great control of your body to be able to connect with others. I did feel that the movement could become excessive in some minutes and it was a bit distracting. In the area of the questions, if I felt the confidence was diminishing as you were speaking, remember that what we see is what we evaluate, so it is important that this is always kept high.</t>
  </si>
  <si>
    <t>At the beginning you were a bit distrustful but then you slowly began to let go, very good for that! Regarding the speech, I found it a bit dense in depth, especially because of all the connections with literature that it had and that it needed a little more time to process, but your confidence allowed me to keep up with you even if I, as a listener, was slower. I recommend stopping a little longer to explain things that are more dense, because the audience will not always be able to follow you. Regarding the questions, excellent way to break the ice and explain everything in a simple way, both answers were very clear!</t>
  </si>
  <si>
    <t>Very good way to be able to describe the labeling theory. I think there has always been an uncertainty about that rare stage where you are in between everything, you are everything and you are nothing, and since it is something that people often see, it made it easy to connect with your discourse. The answers to the questions were very good, as both questions were more or less trick questions, so your improvisation and ability to answer were very good.</t>
  </si>
  <si>
    <t>Very good use of that kaleidoscope rhetoric in order to exemplify life, decisions and other things. The speech, thanks to your creativity, was easy to follow and connect with, but I do feel that it would have benefited from more personal examples (real or not) in order to maintain a connection between the listener and yourself. The paraverbal language was quite well used I think, I could tell when you wanted to emphasize things and you conveyed it in a simple and direct way.</t>
  </si>
  <si>
    <t>Very good use of paraverbal language to be able to complete the speech, that connected with the depth of the speech and the examples used allowed to connect with your speech in a simpler way and therefore it was easier to follow. I recommend to continue using examples that allow a more personal connection between the listener and yourself.</t>
  </si>
  <si>
    <t>The candidate was very engaging with the audience,  used a great variety of well-explained examples and performed very well in the question section. However, to improve, I would like to see her speak a little bit slower as well as work on her time management to ensure that she does not overrun. But overall it was a great speech - well done!</t>
  </si>
  <si>
    <t>The candidate spoke very well, using an appropriate pace and engaging with his audience effectively. He also used a good array of examples. However, to improve, I would like to see him using less over hand gestures as well as ensuring his argument develops logically. But overall it was a great effort - well done!</t>
  </si>
  <si>
    <t>The candidate stayed very focused on both her chosen topic and the overarching theme. She also used good examples to back up her points. However, to improve, she should work on critically analysing her examples as well as further developing her answers to the questions . But overall it was a good effort - well done!</t>
  </si>
  <si>
    <t>The candidate spoke very well and demonstrated excellent knowledge and understanding. She also performed very well in the question section. However, to improve, I would like to see her speech take on a more personal note rather than purely focusing on literary examples. But, overall, it was a really good speech - well done!</t>
  </si>
  <si>
    <t>I really enjoyed the candidate's speech, he effectively combined anecdotes with a wider array of examples. He also spoke very engagingly and even succesfully integrated comedy. However, to improve, I would like to see him focus more on eye contact with the audience. But, overall, it was a great speech - well done!</t>
  </si>
  <si>
    <t>I really liked the candidate's central idea and she developed it  well, successfully relating it to her examples. I also  enjoyed her usage of anecdotes. However, to improve, I would like to see her integrating these with a wider range of examples. I would also like to see her focus more on eye contact. But, overall, it was a great effort - well done!</t>
  </si>
  <si>
    <t>The candidate spoke very engagingly and used a great array of examples to back up his points. He also devloped his arguments  logically and performed well in the question section. However, to improve, I would like to see him try to integrate even more critical analysis. But, overall, it was a great speech - well done!</t>
  </si>
  <si>
    <t>Your voice is very clear, with great pronunciation and intonation that make your speech easy to follow. Your structure is solid, and your ideas are well-documented, with smooth transitions that guide the audience effectively. Your use of gestures adds to the natural flow of your delivery, making your speech engaging. To make it even stronger, consider working on a more impactful closing to leave a lasting impression on your audience.</t>
  </si>
  <si>
    <t>Your use of volume and intonation adds a dramatic effect to your speech, making it engaging for the audience. Your gestures and body language are also strong, reinforcing your message effectively. Providing more support for your arguments and counterarguments would help clarify your central idea and make your message more persuasive</t>
  </si>
  <si>
    <t>Your voice is very clear, and your pronunciation is strong, making your speech easy to follow. You use gestures well to enhance your delivery. However, try to rely less on reading, as it can reduce engagement with your audience. Also, be mindful of pacing while you speak, as staying grounded will help maintain a confident presence. Your speech is very interesting, and with these small adjustments, it can be even more impactful.</t>
  </si>
  <si>
    <t>You have a very good command of body language and gestures, which enhance your delivery. Your use of volume and intonation adds strength to your speech. To improve clarity, focus on enunciating words more clearly so your audience can follow along more easily. Your speech is well-structured, but some ideas are quite complex���consider grounding them or making them more concrete to ensure they are easily understood.</t>
  </si>
  <si>
    <t>Your voice is very clear, with excellent pronunciation and great use of intonation to convey emotion. Your gestures complement your delivery well, making your speech engaging. You effectively mix anecdotes, personal experiences, and data to support your points. However, be mindful of time management, as this can impact the strength of your closing statement. In this case, your ending felt a bit weak���ensuring you allocate enough time for a strong conclusion will leave a lasting impression on your audience.</t>
  </si>
  <si>
    <t>Your voice is very clear, and you use intonation well to narrate your speech. However, adding more variation in tone and energy could make it more dynamic. Working on your stage presence will also help engage your audience more effectively. Your speech is interesting and personal, as it is built around your own experiences. To make it even stronger, consider incorporating more supporting facts, making clearer connections, and adding a couple of counterarguments to provide a more well-rounded perspective.</t>
  </si>
  <si>
    <t>You use body language and gestures very effectively, adding intention to your speech. Your voice is very clear, making it easy to follow. There are some sections that would benefit from a more dramatic delivery���try using variations in volume to make your voice more dynamic.</t>
  </si>
  <si>
    <t>Starting with a question was a great choice���it immediately captured the audience���s attention and set the stage for your speech. Your ideas were strong, and your message was clear.  To enhance your delivery, try using body language and gestures more often to emphasize key points. At times, it seemed like you were reading or rushing, so adding strategic pauses and practicing your intonation will help improve the flow and make your argument structure even clearer.  Great effort���keep working on these areas to make your speech even more impactful!</t>
  </si>
  <si>
    <t>Your speech had a clear structure, and your responses showed deep critical thinking���great job! Your pauses were effective in keeping the audience engaged and reinforcing your key points.  To refine your delivery, try to balance your intonation shifts to keep them natural and avoid sounding exaggerated. A more controlled approach will help make your message even more impactful.  Overall, a strong performance���keep up the great work!</t>
  </si>
  <si>
    <t>You did a fantastic job connecting with the audience through personal anecdotes, making your speech both engaging and memorable. Your structure was clear, and your creative approach to the prompt made your speech stand out.  Your delivery was confident, and your intonation helped maintain the audience���s attention. Additionally, your choice of examples supported your argument effectively. To continue improving, keep refining your use of body language to further emphasize key points.  Overall, this was a strong and well-structured speech���great work!</t>
  </si>
  <si>
    <t>You made great use of anecdotes and data, which added depth and credibility to your argument. Your perspective was relevant and well thought out, making your speech both engaging and insightful.  To enhance your delivery, try using gestures more purposefully to reinforce key points. Additionally, varying your tone a bit more will help maintain audience engagement throughout your speech.  Overall, this was a well-structured and compelling presentation���great job!</t>
  </si>
  <si>
    <t>You delivered your speech with great confidence, and your clear structure and well-organized arguments made it easy to follow. Your ability to present ideas in a structured way was a strong point.  To strengthen your argumentation even further, consider incorporating more data to support your key points. Additionally, using body language more intentionally will help emphasize your ideas and make your delivery even more engaging.  Overall, a strong and compelling performance���keep up the great work!</t>
  </si>
  <si>
    <t>Your speech had a strong structure, and your arguments were presented with great clarity. The depth of your analysis was impressive, showing a well-thought-out perspective on the topic.  To make your delivery even stronger, try not to rely too much on your notes, as this can affect both your confidence and your connection with the audience. Practicing with minimal notes will help you maintain a more natural and engaging delivery.  Overall, this was a well-structured and insightful speech���great job!</t>
  </si>
  <si>
    <t>Your speech demonstrated deep analysis, and your use of data effectively supported your arguments, adding credibility and strength to your points. Your structure was clear, and your ideas were well-developed, making it easy for the audience to follow your reasoning.  To further enhance your delivery, consider using more varied intonation and purposeful body language to keep the audience fully engaged.  Overall, this was a well-researched and insightful speech���great job!</t>
  </si>
  <si>
    <t>You delivered your speech with confidence and clarity, making it engaging and easy to follow. Your structure was well-organized, and your ideas were clearly presented.  To make your argument even stronger, try incorporating more data and research to support your points and demonstrate deeper analysis. This will add even more credibility and impact to your speech.  Overall, a strong and well-delivered presentation���great job!</t>
  </si>
  <si>
    <t xml:space="preserve">Good job. I think you had some very interesting ideas and your interpretation of the quote was good. Perhaps you can try on polishing your arguments by mentioning specific examples, be it your own or other people's examples, and try supporting them with outside sources. This way your idea would have different perspectives and you can develop your ideas. Remember it is important to keep a consistent eye contact and a steady voice intonation, so you can effectively engage with the audience. </t>
  </si>
  <si>
    <t xml:space="preserve">Good job. I really enjoyed your speech. You have a great stage presence and you succesfully use your voice and body language to engage with your audience. I also think how you address and break the fourth wall during your speech was very creative. However I would suggest you to mention what you want to achieve, your speech's title, early on in the speech and reinstate it by tying up your main ideas in a conclusion. </t>
  </si>
  <si>
    <t xml:space="preserve">Excellent job. It is a very creative and engaging speech along with your great management of voice intonation and tone. Try to keep a consistent eye contact with the audience although the pauses you make when you're folding your paper crane. Since it is a prop, also try to show it off to the audience when you need to. Perhaps, I would suggest for you to include some data from sources  on the devastation after the atomic bomb attack on Hiroshima to give us an idea of what Sadako and so many other children had to go through to emphasize what the paper cranes symbolize. </t>
  </si>
  <si>
    <t>Great job. I think you had a lot of  interesting ideas and your arguments are very relevant not only for students, but for adults as well. Your use of body language and the structure of your speech were effective. Perhaps I would suggest you to keep polishing your voice tone and intonation, since it can help you emphasize some parts of your speech. Try practice standing up as well. You also gave clear answers during the Q &amp; A.</t>
  </si>
  <si>
    <t>Good job. Your ability to express your ideas and examples throughout the speech was very impressive. You have a great voice intonation and tone as well as a good use of body language. Both are key elements in making a speech engaging, which you did. Pehaps I would suggest you to consider including concrete examples and to use some sources to support your arguments. This way, your own arguments would be analyzed from different perspectives.</t>
  </si>
  <si>
    <t xml:space="preserve">Great job. Your attitude towards these issues shows how much you have thought about them and I think it is important to listen to young voices on these issues.  Your examples and the way you used your sources to develop your arguments was excellent. Perhaps there is some room to work on keeping a consistent eye contact, a steady voice intonation and to use body language to succesfully engage with the audience throughout the whole speech.   </t>
  </si>
  <si>
    <t>Fantastic job. I think your speech has a great structure and has all the elements that make it insightful and engaging. Perhaps you can try to polishing your stage presence and variation in your voice tone. I think your examples are very interesting and I would emphasize that these are these women's stories that come from their own voices or people who knew them personally and not from newspapers that focus on other things like how they were dressed, to mention an example. Keep some notes in hand in case you need since relying on memory can be tricky.</t>
  </si>
  <si>
    <t>Great job. You did an excelent job and it shows how much you have studied this topic. Perhaps I would emphasize a bit more the outside data to support some of your ideas, since it would give the audience an idea of how many girls and women are affected by this type of inequality. I think there is room to work on keeping a consistent eye contact, and to keep a varied tone and pace in your intonation. Also remember to keep a confident posture and to give a natural delivery throughout the speech. Be mindful of your answering time limit and try to answer the questions first and support it with an example, or think of possible counterarguments.</t>
  </si>
  <si>
    <t>Your speech was clearly well-planned and structured, and your pacing was good. While your pronunciation was a bit challenging at times, the overall message came through. Remember to mention sources to make the speech's content stronger, and try to minimize reading directly from your notes to increase audience connection</t>
  </si>
  <si>
    <t>Your theatrical delivery was certainly engaging, and your confidence was evident. While it added an interesting flair, remember that it can be a double-edged sword, so try to use it judiciously. Your varied tones and pacing kept the audience interested, and the content's connection to the prompt was insightful.</t>
  </si>
  <si>
    <t>Your confident delivery, nice pace, and clear pronunciation made your speech very engaging. Your use of body language enhanced your message, and the connection between the two stories flowed well. To further strengthen your points, consider incorporating direct quotes or citing sources to add more depth.</t>
  </si>
  <si>
    <t>Your speech was well thought out and structured, with connected ideas flowing smoothly, demonstrating a strong understanding of your topic. You used good examples and an appropriate use of personal experience to illustrate your points. Also, your delivery had a nice pace and effective body language. While there were some tone variations, focusing on using those variations to emphasize key points.</t>
  </si>
  <si>
    <t>Your pronunciation was clear and your voice projected well, making your speech easy to follow. You used appropriate quotes to support your points and maintained a clear structure throughout. While your posture was a bit static, try incorporating more movement to engage the audience.</t>
  </si>
  <si>
    <t xml:space="preserve">Your speech presented a clear structure with impactful hard data and statistics, addressing a significant issue. To enhance audience engagement, try minimizing reliance on reading and focus on direct eye contact </t>
  </si>
  <si>
    <t xml:space="preserve">Your clear voice, nice pace, and confident delivery made your speech very effective. The structure was well-organized and backed with solid data, demonstrating a strong grasp of your topic. You used good examples to illustrate your points, and your confident answers to questions further supported your speech. </t>
  </si>
  <si>
    <t xml:space="preserve">Your pronunciation and voice were clear, but the pauses at odd moments disrupted the flow. Similarly, consistent eye contact is crucial for connection. The connection between the issue and your personal experience was strong. Still, consider adding hard data to make it even stronger. </t>
  </si>
  <si>
    <t>I liked how you provided clear examples to support your points, and you also demonstrated a strong understanding of the topic, which made your arguments more persuasive. Try to take advantage on the question period to show critical thinking. Well done!</t>
  </si>
  <si>
    <t>Your posture was strong and confident, which helped you establish a strong presence on stage. However, make sure to fully answer the adjudicators��� questions to reinforce the understanding of your topic.</t>
  </si>
  <si>
    <t>Your speech had great ideas, but adding more specific examples would strengthen your points. Leave enough time to tie your points together in the conclusion.</t>
  </si>
  <si>
    <t>I enjoyed your speech; however, be mindful of speaking too fast or too slow as your pacing needs to capture the audience���s attention. Try to balance your speech so by the end you can close strongly.</t>
  </si>
  <si>
    <t>Try to trust yourself more, since frequent glances at your notes can break your connection with the audience. I enjoyed your delivery but be mindful that if you are in the finals and present on stage, you should rely on keywords only.</t>
  </si>
  <si>
    <t>It was an interesting speech. However, looking down at your script can make it challenging to maintain strong eye contact with the audience. Also, try incorporating more vocal variety to emphasize key points and keep the audience engaged.</t>
  </si>
  <si>
    <t>Your confidence and energy kept me engaged throughout your participation! You demonstrated a deep understanding of the topic, which made your points even more convincing. Excellent job!</t>
  </si>
  <si>
    <t xml:space="preserve">I really like the use of your voice and gestures. You seem confident. You kept me attentive during your presentation. Your speech was well-structured. I would like you to elaborate on the implications a bit more in future speeches and answer more directly the questions you are asked. </t>
  </si>
  <si>
    <t>Your use of the voice, body language and presence kept me attentive during your presentation. You present convinving arguments and manage your time well. I would advise you to elaborate on the implications and use more relevant data.</t>
  </si>
  <si>
    <t>I liked the way you structured your speech. You have a voice and presence that catches the audience attention. Your answers to the questions asked were on point. I would suggest you to relax a bit when you give your speech and use your body language a bit more.</t>
  </si>
  <si>
    <t>Your body language, use of the voice confidence and presence kept me engaged during the presentation. The examples and analysis you did was convincing. I would suggest you to work on your conclusion a bit to make it more impactful.</t>
  </si>
  <si>
    <t>Your presence and gestures kept me attentive during your speech. You shared convincing arguments and were clear on the implications. I would suggest you to vary the tone of your voice and establish better connection with your audience a bit more.</t>
  </si>
  <si>
    <t>Your speech was well-structure. Your voice, body language and pace helped to keep me engaged in your speech. Your arguments were convinving and you managed the time well. Your answers were clear to the questions given. I would suggest you to improve a bit your posture, as well as vary the tone of your voice.</t>
  </si>
  <si>
    <t>The delivery of your speech was very good. The use of your voice, body language, gestures and presence contributed to keep me attentive. You provided insightful implications and convincing arguments. I would suggest you to have a more impactful conclusion and improve the structure of your speech a bit more.</t>
  </si>
  <si>
    <t>Your speech contained a variety of powerful examples, and impressive phrasing and quotes. I was impressed by your research, and your apparent commitment to this cause. I think you're passion comes across strongly, but at times it slightly distracts from your speech's powerful point. Therefore to improve, I would recommend varying your tone and volume. When answering the adjudicators' questions, you managed this, and I feel it should be down throughout your speech. Well done!</t>
  </si>
  <si>
    <t xml:space="preserve">You delivered your speech clearly and confidently. It was obvious that you had worked hard during the preparation of your speech. To improve, I would suggest using some more concrete examples to support your argument, as it is a topic that lends itself to discussing current affairs. Well done overall. </t>
  </si>
  <si>
    <t>Your speech was centred around an engaging analogy, centered in this idea of scrutinising how growing up can drive us away from our naive and childish ambitions. I enjoyed your speech, however I found that it was slightly too centred on your own experiences, which made it vague and unrelated to the real world or other people's experiences. Your English is very impressive, as well as your vocabulary. Well done!</t>
  </si>
  <si>
    <t xml:space="preserve">Your speech was delivered clearly, and I was impressed by its structure and flow. You seemed very well prepared, but also very natural in your delivery. I personally would have liked some more specific examples throughout your speech, to help bolster your point: but I did enjoy your use of quotes. Well done overall. </t>
  </si>
  <si>
    <t>Andrea, I thoroughly enjoyed your speech, as the scientific angle was a refreshing change from the generally anecdotal speeches of the other competitors. The shortcomings of your speech were in your delivery: I felt that at times you struggled to make consistent eye contact with the adjudicators, and you spoke very quickly which made you seem slightly nervous. These are things that can be easily improved. Well done!</t>
  </si>
  <si>
    <t xml:space="preserve">Your speech was delivered confidently and clearly. I particularly enjoyed when you laud out ways in which one can shift their mindset towards not fearing uncertainty, but embracing it. I would have enjoyed some more concrete examples of this, whether personal anecdotes, or ones from history. Additionally, I felt that your questions lacked depth, and you could have spent longer responding in order to support your argument. Well done overall. </t>
  </si>
  <si>
    <t>Your speech was filled with examples, evidence, and showed critical thinking. Your vocabulary was varied, and your delivery was both impactful but relaxed. Your equal consideration of counter-arguments was also effective. Well done.</t>
  </si>
  <si>
    <t xml:space="preserve">It was an interesting speech in a sense that you are very passionate about it. I liked the way you use your voice and body language. The structure of your speech is clear but the points you make could be stronger. </t>
  </si>
  <si>
    <t>Strong beginning, good comparison with other stories that provide great examples. I like the way you vary the tone of voice and the passion you show when you give your speech. Go deeper into the analysis when answering the question, explore all the perspectives.</t>
  </si>
  <si>
    <t xml:space="preserve">Brilliant structure of the speech, I enjoyed all the questions that make you reflect on your topic. Also the examples and how the speech is organised. The voice and use of body language have sucha positive impact on the audience. It would be a good idea to make more pauses and speak a little slower to emphasise certain points. </t>
  </si>
  <si>
    <t xml:space="preserve">You provide a lot of clear examples that help you make your point. It was an interesting topic and a well organised speech. Be careful with the questions asked, it seemed you did no provide a deep enough answer. </t>
  </si>
  <si>
    <t>Such an impactful speech full of examples and strong points. It was well organised and you are quite confident. Wonderful answers.</t>
  </si>
  <si>
    <t>Your speech was clear and well-organisde. The depth of analysis could be omproved, look at the different perspectives and provide more relevant examples and reasons to convince your audience. Vary the tone of voice and body language. You are a bit nervous.</t>
  </si>
  <si>
    <t xml:space="preserve">Your speech was quite compelling and the tone of voice as well as the pauses you make have a positive impact on the audience. I'd recommend varying the tone of voice and being careful with timing, it seems you rushed at the end. </t>
  </si>
  <si>
    <t>Your speech was relatable and engaging, to improve, work on smoother transitions between ideas to strengthen the overall structure. Consider emphasizing key moment with a varied tone, pacing and breathings, sometome you rushed a little.</t>
  </si>
  <si>
    <t>Yor speech was beautifully structured, and your storytelling approach made ir caotivating. Your delivery, tone, and engagement were excellent. To enhance ir further, ensure a  seamless transition bet ween "roots" and "roots" and "wings" to stengthen the connection between the two concepts. Ending with a powerful takeaway could make it even more memorble</t>
  </si>
  <si>
    <t>Your speech had a strong message about identity and possibilities. Your delivery was engaging, and your ideas flowed well. To enhance it further, consider using more personal anecdotes and examples to deepen the emotional impact. Also, a strong closing statement could leave a lasting impression on your audience. Try to use more your body language.</t>
  </si>
  <si>
    <t xml:space="preserve">Your speech had a fascinating mix of cultural perspectives and personal growth. Your delivery was string, and your message was insightful. To improve, ensure smooth transitions between ideas for better flow. Consider reinforcing your conclusion with a powerful stetment that ties everything together. </t>
  </si>
  <si>
    <t>Your speech had a string message and was well-supported wuth your examples. To improve, ensure balance between data and personal reflection to deepen the emotional impact. A powerful closing statement could further emphasize your main takeaway. You had a great eyecontact and body language.</t>
  </si>
  <si>
    <t>Your speech was powerfull, with excellent body language, tone and analysis. You engaged the audience well. You have to learn your speech and maybe just read notes while you learn, remember that what you are saying its what you are thonking, so relay on your confidence and avoid reading your speech. Focus on managing nerves at the beginning, perhaps with a strong opening line to boost confidence.</t>
  </si>
  <si>
    <t>Your speech had a powerful and meaningful message, delivered with confidence and clarity. Your tone and pronunciation were excellent, starting with an example made ir engaging. To improve aim for a balance in your movements and voice, make them purposeful and not excessive, but using varied rhythms and pacing to enhance your delivery effectively.</t>
  </si>
  <si>
    <t>Your speech had a good structure with relevant examples from your life, making it relatable. Your pacing and presence were steady, helping to keep the audience engaged.  However, the delivery could feel more natural and expressive to strengthen your connection with the audience. The topic wasn���t entirely clear, and it became repetitive in the second half. Adding more depth to your argument and refining your closing statement would create a stronger impact. Keep working on confidence and clarity to make your speech more compelling</t>
  </si>
  <si>
    <t>Your speech had a strong personal touch, and incorporating your father���s quote in Spanish was a great way to add authenticity and emotional depth. Your confidence and engagement helped maintain the audience���s attention.  However, the pacing was too fast at times, making it difficult to absorb all the information. Slowing down and delivering your points more naturally would make your speech easier to follow. The content relied heavily on personal experience���expanding your perspective to include different backgrounds would create a more well-rounded argument. Lastly, the conclusion felt rushed, and the speech became repetitive. Working on a clearer, more structured ending will leave a stronger impact</t>
  </si>
  <si>
    <t>Your speech had a solid topic with a clear idea, and your confidence helped maintain engagement. You provided good insights, but relying too much on personal experience limited the depth of your argument.  The introduction felt too abrupt, and the pacing was inconsistent���at times too fast, making it hard to follow. Additionally, reading too much took away from your presence and connection with the audience. Some points felt contradictive, so ensuring a more structured and coherent argument would strengthen your speech. The conclusion also felt rushed to fit the time limit. Focusing on a smoother flow and a stronger closing will help make your delivery more impactful.</t>
  </si>
  <si>
    <t>Your speech had a strong and engaging delivery, with good intonation and pacing that made it easy to follow. The topic was interesting, and your use of varied examples beyond personal experience helped provide a well-rounded argument.  Your conclusion was solid, effectively wrapping up your main points. Additionally, your answers to questions were clear and concise, demonstrating a good understanding of the topic. To improve, focus on enhancing your presence and confidence to make your delivery even more compelling</t>
  </si>
  <si>
    <t xml:space="preserve">Your speech had strong pacing and was easy to follow, making it engaging for the audience. You did a great job mixing personal experiences with factual support, which helped strengthen your argument.  However, your intonation and presence felt a bit exaggerated at times���aiming for a more natural delivery will help you connect even better with your audience. Your conclusion was solid but could have been even stronger to leave a lasting impact. Additionally, while your topic was clear, exploring it in more depth would have added even more strength to your argument. </t>
  </si>
  <si>
    <t>Your speech had good pacing and intonation, making it easy to follow. The main idea was clear, and your answers to questions were understandable.  However, there were noticeable mistakes, and at times, it seemed difficult to get back on track. Reading too much took away from your presence, and the speech felt a bit flat. Practicing more will help with confidence and fluency. Additionally, working on making your points more precise and concise will make your argument stronger. Keep improving, and with more preparation, your delivery will feel smoother and more natural</t>
  </si>
  <si>
    <t>Your speech showed great improvement! Your intonation, pacing, and presence made it easy to follow, and your topic was clear throughout. The mix of personal examples with facts made your argument strong and well-supported.  Be mindful of timing���while your conclusion was relevant, it felt a bit abrupt as if adjusted to fit the time limit. Ensuring a smoother wrap-up will make your speech feel more complete. Your responses to questions were clear and precise, which reinforced your understanding of the topic</t>
  </si>
  <si>
    <t>Ursula, your speech was really engaging to me. You caught my attention from the beginning. It was very wise to mention quotes that trigger critical thinking. However, try to analyze them a little deeper with factual examples and consider counter arguments. Take advantage of the question period to show extra knowledge.</t>
  </si>
  <si>
    <t>Tony, your time management and the organization of your speech are quite effective to be easily understood. Same as the articulation and tone of your voice. I would recommend that you use factual information and more diversity of examples to explain how role models impact on modern individuals. This will support your argumentation better.</t>
  </si>
  <si>
    <t>Perla, your analysis was deep and very well supported with factual information and examples. You seemed self-confident and you had a good use of body language. I would recommend that you give enough time to the conclusion  because it sounded a little rushed.  Remember that you must conclude strongly to create a deeper impact on the audiende.</t>
  </si>
  <si>
    <t>Michelle, you had great points which called the attention of the audience. Your posture and self-confidence made us follow it easily. It would be important that you balance your speech to leave enough time for a strong conclusion.</t>
  </si>
  <si>
    <t xml:space="preserve">Natalia, your arguments were carefully analyzed and supported with tangible examples. Your tone created an engaging atmosphere. I would recommend that you consider counter arguments to show critical thinking in the question period. </t>
  </si>
  <si>
    <t xml:space="preserve">Emma, your posture, tone and voice created an engaging atmosphere as well as the pacing which made the speech easy to understand. Take advantage on the extra 20 seconds left that you had, those were essential for you to build up a little more in your analysis and conclusion. </t>
  </si>
  <si>
    <t>Cecilia, your points were clear and engaged the audience. The examples were creative and made your arguments easy to follow. Cecilia, try to manage your time wisely. Remember that after minute 5'15 you are penalized. Consider using the question period to show critical thinking skills and extra knowledge.</t>
  </si>
  <si>
    <t>Your speech had a very nice flow to it; you use a rich vocabulary in a very eloquent and compelling way. It was a very pleasing speech to hear. Your body language and hand gestures are equally engaging, you just moved around a bit, which can be distracting at times. As for content, some more examples drawn from literature or the arts would have served your chosen topic nicely.</t>
  </si>
  <si>
    <t>Your use of your own personal experience was inspiring and the quotes you chose to back it up were spot on. I noticed you were more confident the previous time I heard your speech; try to keep up the energy from that time! Good job on your answers, they were clear and to the point.</t>
  </si>
  <si>
    <t>Congratulations, your delivery has greatly improved since your speech from yesterday. Your intonation and body language feel more natural now. Your speech had a powerful, intriguing opening, but introducing yourself first reduced the dramatic effect a bit and also used a few seconds that you could have used to round your speech better at the end.</t>
  </si>
  <si>
    <t>The AI "poem" yo chose to open your speech with really drove your point home right from the start. That was a very good opening and it led to some compelling arguments. You spoke a bit too fast at certain times, so be sure to control your pace. What you most need to work on are your answers. They should be as clear as your speech was, and you need to deliver them confidently. Ending an answer with "I don't know" comes across as insecure, try using more positive language.</t>
  </si>
  <si>
    <t>Your speech was very persuasive and well substantiated with examples from current issues, and your delivery was clear and engaging. Work on your body language. Your use of hand movements is very expressive and natural-looking, but when you rock back and forth while speaking it can come off as a sign of nervousness. Good job on answering the adjudicator's questions.</t>
  </si>
  <si>
    <t>Your speech was moving and inspiring, and using the metaphor of water throughout the whole speech tied it up really well. You have a clear strong voice, but I think your chosen topic could have used a slightly softer tone. Try modulating your voice to suit the topic at hand, and work on your body language so it looks more natural.</t>
  </si>
  <si>
    <t>Your speech was thought-provoking, you did a good job of addressing a philosophical issue with approachable language and clear examples. You exceeded your allotted time by a few seconds, so be sure to work on your timing.</t>
  </si>
  <si>
    <t>Good use of hand gestures, tone variation, and posture. The pace of your speech flowed very well, giving it a poetic feel. To make it even more impactful, consider incorporating more relevant examples or adjusting the structure to strengthen the conclusion.</t>
  </si>
  <si>
    <t>You effectively related the topic to a personal experience, making your delivery feel natural and engaging. Your speech flowed well, and your use of hand gestures and posture enhanced the presentation. You demonstrated solid research by referencing some theories. The speech was well-structured, and you ended with an insightful conclusion, which made it even more powerful.</t>
  </si>
  <si>
    <t>You engaged the audience effectively by asking them to imagine a scenario and by asking questions frequently. Your use of hand gestures, posture, and body language was strong and enhanced the delivery. You referenced sources which added credibility, and clearly stating your purpose at the beginning helped guide the speech���s development.</t>
  </si>
  <si>
    <t xml:space="preserve">Great tone variation and effective use of questions to engage the audience. You addressed relevant and current topics while using strong hand gestures to enhance your delivery. Your argumentation was solid, and you skillfully presented counterarguments. Your strong presence, depth of analysis, and clear structure contributed to a powerful and impactful speech. </t>
  </si>
  <si>
    <t>You effectively captured the audience���s attention by asking questions. Your hand gestures helped convey ideas clearly, and your speech was well-structured with strong examples and references to current events. Your tone of voice was clear with good variation, and your argumentation was well-developed.</t>
  </si>
  <si>
    <t>You started by asking the audience to imagine a situation, which effectively captured their attention. Your posture and hand gestures were strong, and the pacing of your speech was well-balanced. The clear structure contributed to its impact, and the conclusion was powerful, since you invited the audience to reflect and take action.</t>
  </si>
  <si>
    <t>Good use of hand gestures and body language throughout the speech. Your tone variation enhanced the delivery, making it more engaging. Referencing authors demonstrated research, and it added depth to your analysis and strengthened your argumentation. Your confident delivery, along with a personal connection to the topic, made the speech even more compelling.</t>
  </si>
  <si>
    <t>Cnoyb Vina Tbzrm Fbgb</t>
  </si>
  <si>
    <t>IMP</t>
  </si>
  <si>
    <t>Improve confidence and intonation. Good arguments.</t>
  </si>
  <si>
    <t>Ideas are interesting, try to increase the pace a bit.</t>
  </si>
  <si>
    <t>Good voice intonation. Great at persuasion. Pace was well-used for the topic.</t>
  </si>
  <si>
    <t>Commanding presence and persuasive to the audience. Good use of examples.</t>
  </si>
  <si>
    <t>Voice modulation is effective, but try changing the pitch more.</t>
  </si>
  <si>
    <t>You developed good idea. Practise with fluency exercises to be more persuasive.</t>
  </si>
  <si>
    <t>Interesting arguments. Try variating your voice pitch more often.</t>
  </si>
  <si>
    <t>Try to get back to main ideas more often so people can follow your ideas more easily.</t>
  </si>
  <si>
    <t>Commanding presence on stage, good voice modulation and confidence. Try addressing the audience by variating the pitch more often.</t>
  </si>
  <si>
    <t>There was a great use of voice and body language. It was a easy to follow speech but it need to go a little deeper into the subject mattter and less into the examples</t>
  </si>
  <si>
    <t>Good use of verbal language and the condifidence conveyed through the use of the voice, but lacked a deeper understanding of the confidence of body language</t>
  </si>
  <si>
    <t>Good use of voice and self-confidence. Need to deepen the background and emotional connection with the receiver (adjudicator) for the speech to go deeper</t>
  </si>
  <si>
    <t>Very good use of paraverbal language, but you have to be careful. The deepening of the conet was very good but it was noticeable that you lacked time. The reasons were well founded and I was able to connect with your speech</t>
  </si>
  <si>
    <t>I really liked the depth of the speech and the advice you provide through it. At times it was hard to follow the speech but I was still able to connect. I recommend doing research on how to persuade far beyond words, use paraverbal language</t>
  </si>
  <si>
    <t>I recommend going deeper into the subject matter, I think the political part got lost over time</t>
  </si>
  <si>
    <t>Good topic and use of language. The level of depth needs to be improved and that is done by researching or reading about different topics and having different ideas</t>
  </si>
  <si>
    <t>Improve use and deepen the use of voice. Using the screen space is very important as it is the only thing we have to see you and connect with you</t>
  </si>
  <si>
    <t>Very good topic, clear use of voice and it was very easy to receive the message and the importance of it. Lack of use of paraverbal language, to be able to connect with you in a deeper way</t>
  </si>
  <si>
    <t>Great job, you clearly love your hobbies and you are aware of their impact . Perhaps you could have developed more the topic of mental health and go beyond your own emotions and think of the implications of the issue on other people who are the same age as you.</t>
  </si>
  <si>
    <t>Good job. You are aware of your own use of social media and how it can impact your daily life. Perhpas a stronger conclusion tying up your main arguments on what could we do to control our use of social media.</t>
  </si>
  <si>
    <t xml:space="preserve">Great job. It is clearly and issue that concerns you and you thought about its impact to all of us and the environment. Perhaps in the future you could support your arguments with some specific data or quotes to sustain your arguments. </t>
  </si>
  <si>
    <t>Awesome job. It shows that you have thought thorougly about the topic and the different pros and cons. Perhaps you could have tied the main points, not more than one or two, so you can include a concrete conclusion. Also you could try to be a bit more mindful about your movements, since it can distract your audience. Perhaps move around only when you want to emphasize specific parts of your speech.</t>
  </si>
  <si>
    <t>Great job. You delivered your speech in a fantastic manner and it was easy to follow your ideas. You considered a lot of facets of this issue going from the specific to the general aspects of it. There is still a lot of room to develop your arguments.</t>
  </si>
  <si>
    <t xml:space="preserve">Good job. It shows that you are aware of your context and how it has affected you. Perhaps in the future you could tie up your main arguments, not more than one or two, by reestating and summing them up to have a clear conclusion. </t>
  </si>
  <si>
    <t>Great job. It shows that you are aware of how hobbies can affect our mental health and the way you used your own hobbies as examples was a great way to engage with the audience. Perhaps in the future you could develop your ideas to create an argument and to suport it with some sources or quotes related to the themes of your speech.</t>
  </si>
  <si>
    <t>Good job. You have clearly considered the effects of social media and how it can affect us . Perhaps  you could summarise the main points of your speech and tie them up with a strong opinion so your speechhas a clear conclusion.</t>
  </si>
  <si>
    <t>Great job. Your ideas were very clear and you developed your argument. Besides you introduced the topic in an efficient manner so your audience could relate to your perspective. Perhaps you could summarize the main points of your speech and add a strong final comment, so have a well developed conclusion.</t>
  </si>
  <si>
    <t>Very impressive, I admire how you managed to do something so quick, you have a really concise way of thinking, and there is a flow, you should go into your pace and your confidence. You are doing well. You had a good call by standing. You could've done a bit more with body language, your eyes were your strongest point. Be wary of your time, maybe try to end your speech with one of those images like the fooball field, very well done.</t>
  </si>
  <si>
    <t>A strong decision would've been to stand up, or if you were going to stay on your chair, it would be great to be more expressive. It would be great if you had created a structure with a flow thinking about your objective and the point of what you are saying. You stumble into your own ideas, so it makes you stutter a little bit, it would've been great if you had written down an outline and had dedicated a minute per idea. Also, piece of advice, it is not great to assume experiences of others, as that can make you disconnect with your audience. You habe good confidence and and ideas, but you need a bit more of order.</t>
  </si>
  <si>
    <t>It would be a good idea to write down some things that you think about the topic and organise them. Maybe to create a list, and then to pick three of them to develop each for every minute of the speech, then you make an order and that will help the structure of your speechs. It would be great to also think about your body language, I would stand next time and use hand gestures in order to be more convincing.</t>
  </si>
  <si>
    <t>You went to hard into the topic, it would've been a great idea to start with an example or a story. It could help you to write down your ideas of what you think about in the topic, and pick three, that is what you are going to use for your speech, and you are going to give a minute per idea. Then you will come up with two examples that you will use 30 seconds for each of them, that leaves you to think about your conclusion and your points. Instead of thinking of and, and, and, it would be better to think because, for example, I started dancing and I felt stronger and faster, so suddenly I realised that I was thinking more positive.</t>
  </si>
  <si>
    <t>Be careful with the time, you started before the timer started, it was a good idea to start with an joyful introduction, but it would've been great if you started with the anecdote instead of telling that you were going to talk about something, because that is what you ended up doing anyway. Your body language was very good, but you should try to to look more into the camera instead of your notes, because it makes you disconnect with your audience, because you stop talking to them and you start talking to you. For your structure, try to organise your ideas as you did, but polish it, is like when you deliver a task and put introduction, body, conclusion, instead of making sections. Good job overall</t>
  </si>
  <si>
    <t>You had a strong introduction, your ideas are consistent and strong, you are well organised with the way that you are thinking, but don't get too much in your head, so that it will make you doubt. Now, a good point to work more on is to develop your body language, it would be good if you could also make more eye contact, because your ideas get lost if you don't connect with your audience. If you noticed, your speech was better when you worked with examples, when you did something general it became redundant. Good effort</t>
  </si>
  <si>
    <t>Instead of going head on the topic, it would be great interesting to start with a story, for example your story of the pandemic, that was a good way to start, because everybody lived the pandemic, and that is when your flow of ideas were at their best, when you go into something general it becomes a bit more vague. Another thing to take in mind would be to improve your body language, you were using your hands, but I couldn't see it because of the position of the camera. It would be a good idea to stand up next time, and also to check the frame of the camera of your computer.</t>
  </si>
  <si>
    <t>Instead of going into a description, it would've been great to look into an example or a story, so that it can connect with the audience. Also, at the moment you are describing things, but you are not giving arguments in relation to the topic in general, or how it should be convincing. Another point to take in mind is body language, at times we lost eye contact, and also you didn't do any gestures, and that makes you lose points in prescence and poise within the rubric. Maybe stand up next time.</t>
  </si>
  <si>
    <t xml:space="preserve">Well done, your body language showed confidence, your speech had a constant and rythm that engaged the audience. There is a clear  contrast of your main idea. Plan an affirmation statement for your clousure time </t>
  </si>
  <si>
    <t xml:space="preserve">Using a personal experience with an astronaut interview was convincing, The clousure asking the (A) was a rhetorical strategy. Break down your minutes into 3 main ideas. </t>
  </si>
  <si>
    <t>You started your speech with  statements such as "hobbies are more than you expect, you may think you don��t have one but you do" which engaged the audience. Plan a clousure that recalls your main ideas.</t>
  </si>
  <si>
    <t>Your start was strong giving definitions of hobbies and MentalHealth. Try to organice 3 main ideas to convice the audience, use rethorical questions</t>
  </si>
  <si>
    <t>Well done, there is a clear evidence of main ideas within a logical structure, asking questions and personal examples gave us a plus. Try to focus on a clousure that will asure the audience to be convince of your position</t>
  </si>
  <si>
    <t>You started with an affirmation which gave you credibility, gave definitions of what you understood by the topic and using personal examples on how you have proven the statement gave you a firm informed background. Use body language and gestures to convince your audience, if you have spare time use other personal examples.</t>
  </si>
  <si>
    <t xml:space="preserve">Using questions as a guideline gave you a clear structure, using a list of different resources such as books and social media gave you a wider perspective of your theme, plan a clousure that will asure your point </t>
  </si>
  <si>
    <t xml:space="preserve">You had positive and negative aspects of the motion, your example of real life situation in Mexico gave us a sense of your informed background. Plan a clousure with an affirmation of your position </t>
  </si>
  <si>
    <t>It was great to see how your confidence increased as the speech progressed. Your arguments were really rhethorical, and they had an inteligent approach to the topic. You had a central idea to follow, which made the structure develop naturally.</t>
  </si>
  <si>
    <t>The biggest asset of your speech was that, since the beggining, we could see you wanted to convince us of something. Starting your speech by questioning was a great idea, nonetheless, it lacked the strength and confidence that an introduction deserves. You carried that lack of structure and confidence  throught the speech, which made your argument to come across as messy.</t>
  </si>
  <si>
    <t>I believe a more solid planification of your speech woul��ve helped you be more confident and organised with your ideas.  Try to engage more with the camera and use your body gestures in order to give more meaning to your words.</t>
  </si>
  <si>
    <t>You chose a topic that should concern everyone and you made it clear since the beggining, nontheless, the lack of body language and intonation led your arguments to lose strength.</t>
  </si>
  <si>
    <t xml:space="preserve">Since the beggining we could see a clear structure in your speech, which makes it easier for the audience to follow. Maybe a bit more of intonation in your words could��ve helped us be even more engaged, nontheless, the structure you used of giving an argument followed by am example was powerful. </t>
  </si>
  <si>
    <t>It was good that you were able to plan thoroughly you speech beforehand, nonetheless, it played against you sometimes, since you were reading your notes instead of engaging with the audience. Your words sometimes lacked emotion and intonantion , since you were reading, nonetheless, the arguments were good since you took them from people��s daily life.</t>
  </si>
  <si>
    <t>I was surprised by the quality of the reasoning behind your arguments, which were taken from your personal experience. You followed a relatively solid structure in a natural way; it even felt like a conversation.</t>
  </si>
  <si>
    <t xml:space="preserve">I believe you approached the topic from pretty solid examples that prove your point. Your biggest strength was having previous knowledge on the topic, like the example of punks vs. emos. Nonetheless, your intonation and body expressions didn��t help your speech get the strength it neeeded. </t>
  </si>
  <si>
    <t>funny story to engage, go further on that! Dont memorize it just live your story</t>
  </si>
  <si>
    <t>good start, gets emotion, his examples and metaphores are a great tool,</t>
  </si>
  <si>
    <t>able to identify myltiple examlpes as respurce</t>
  </si>
  <si>
    <t>more analysis of the arguments and interactions of all speakers, great use of examples for impacts. good confidence that grows progressively</t>
  </si>
  <si>
    <t xml:space="preserve">engaging data and analysis wich without the nonverbal resources would be boring. </t>
  </si>
  <si>
    <t>engaing personal story, that fullfilled his topic, progression of how the hobby helped him</t>
  </si>
  <si>
    <t>engagin opening, examples weel used around speech, personal traits used to adapt for the speech</t>
  </si>
  <si>
    <t xml:space="preserve">good tones to expose the importance of the subject, good phrases that enphasize </t>
  </si>
  <si>
    <t>You had clear pronunciation and good variation in tone, which made your speech engaging. Your ideas flowed well, making it easy to follow. To improve, work on building confidence���stronger stage presence will make your delivery even more compelling. Also, try to explore your ideas in more depth to strengthen your analysis. Great effort!</t>
  </si>
  <si>
    <t>You had great stage presence and used changes in pace effectively, which kept your speech engaging. Your ideas were clear and well-structured. To make your argument even stronger, try incorporating more examples or evidence to support your points. This will add depth and make your speech more persuasive. Well done!</t>
  </si>
  <si>
    <t>Your voice was very clear, with strong pronunciation, making your speech easy to understand. You also used plenty of examples, which added interest. To improve, try varying your tone and expressing more emotion to better engage your audience. Also, reducing fillers like 'like' and structuring your argument more clearly will make your speech even more impactful. Great effort!</t>
  </si>
  <si>
    <t>Your speech had a clear argument and demonstrated strong critical thinking, with deep analysis that made it compelling. Your voice was clear, and you used tone changes well to keep the audience engaged. To improve, try to reduce fillers and work on fully embracing your confidence���eliminating small signs of nervousness will make your delivery even stronger. Well done!</t>
  </si>
  <si>
    <t>Your speech was strong and engaging, with clear arguments and confident stage presence. Your use of tone variation and body language made your points even more persuasive. You also demonstrated deep analysis and used examples effectively. To improve, focus on organizing your ideas in a clearer sequence, keeping one main argument to strengthen your overall message. Excellent work!</t>
  </si>
  <si>
    <t>You had a clear voice and strong body language, which helped make your speech engaging. Your use of examples and personal anecdotes was effective in supporting your argument. To improve, consider starting with a strong opening to provide better context and structure. Also, slowing down and using pauses more deliberately will enhance your delivery. Great effort!</t>
  </si>
  <si>
    <t>Your speech had a clear structure with a strong opening that grabbed attention right away. You used examples, anecdotes, and humor effectively, with good body language and eye contact that kept the audience engaged. To make it even more compelling, try varying your tone more to emphasize key points and add more depth to your analysis. Great job!</t>
  </si>
  <si>
    <t>Your speech was highly persuasive, with clear arguments and a well-structured delivery. Your strong stage presence and use of examples added depth, and your ability to consider counterarguments showed great critical thinking. Your rhetorical questions were also effective in engaging the audience. To improve, try using body language more intentionally to further enhance your argument. Excellent work!</t>
  </si>
  <si>
    <t>Zngrb Oravgn</t>
  </si>
  <si>
    <t>Jos�� Pablo, your speech had a coherent sequence and was easy to follow. It would be important that you try different tones of voice and volume to engage the audience.</t>
  </si>
  <si>
    <t>Arjun, the way you delivered your speech was engaging. Your voice and tone made the audience feel the importance of your points. It would be important that you strengthen your argumentation giving different examples.</t>
  </si>
  <si>
    <t>Katia, your arguments were strong and well-developed, you gave clear examples to support them. It would be important that you try to change your voice, volume and pace to make your speech engaging to the audience.</t>
  </si>
  <si>
    <t>Nicol��s, the topic of your speech was very impactful, it was evident that you made a good analysis of information. Your arguments were easy to follow. I would recommend that you practice your body language and changing your tone and volume to appear more confident while delivering it.</t>
  </si>
  <si>
    <t xml:space="preserve">Akira, your arguments were well analyzed, you provided clear examples to support them. However, it would be important that you organized your speech in a coherent sequence, so that it is easy to follow. </t>
  </si>
  <si>
    <t>Jorge, your speech was really impactful and so was the change in tone and volume which created an engaging atmosphere. I would recomend that you work on the pacing so that it does not sound that you are rushing your arguments.</t>
  </si>
  <si>
    <t>Constanza, your speech was really impactful and the arguments were well-analyzed, you provided tangible examples to support them. I would recommend that you change your tone and pacing to create suspense and build an engaging atmosphere.</t>
  </si>
  <si>
    <t>Aitana, you could engage the audience with your tone and pacing. Both conclusion and introduction were impactful. The arguments were analyzed and you provided clear examples to support them. Keep on practicing your body language and try to lessen the speed of the speech so that it is easy to follow. Well-done!</t>
  </si>
  <si>
    <t>Good job on your delivery, you had an energetic start and kept the audience interested. Remember to structure your arguments and keep a logical flow from one idea to the next.</t>
  </si>
  <si>
    <t>Your theme lent itself to some imaginative argumentation, which you made good use of. Your speech would have benefited from more elaboration, you went a bit under time and could have used those extra seconds to round it up a bit more. Good job!</t>
  </si>
  <si>
    <t>You had a strong opening and made compelling points from there. You just need to work on your rhythm and intonation so you can give your ideas the appropriate weight.</t>
  </si>
  <si>
    <t>Your examples were solid and your voice was loud and clear. You could  try to be a bit more calm so you can round up your ideas and make your speech more persuasive. Practice looking more at the audience so you can speak more confidently.</t>
  </si>
  <si>
    <t>Your speech was very clearly structured and compellingly delivered. I would advise you to address the audience more directly through your intonation and body language. Keep it up.</t>
  </si>
  <si>
    <t>Very clear argumentation with some powerful examples. I noticed your concentration slipped up a bit due to nervousness. Don't worry, just work on your confidence on stage.</t>
  </si>
  <si>
    <t>You used examples drawing from personal experience and explained their relevance in a compelling manner, which makes your speech engaging. It would make it more impactful if you polished your delivery, particularly in terms of more confident body language.</t>
  </si>
  <si>
    <t>Your examples and analysis were the strongest point of your speech, good job. You just need to build more confidence when speaking in front of an audience. Remember, your voice is a tool that can be used in different ways.</t>
  </si>
  <si>
    <t xml:space="preserve">Started with good energy, explaining from personal experience. There is good engagement with the audience. Reading a little bit. Good focus. We just need to focus on the structure of the speech and the argumentation. It is important to state what you want to say and the explain logically how that is sustained with arguments. </t>
  </si>
  <si>
    <t>There was an initial structure at the beginning which is good. Unfortunately, you lost track of the argumentation early on. It is understandable to be nervous at this stage, but it is something that you most overcome. Try to picture a mental map of what you want to say and how you want to justify. The rest is just practice</t>
  </si>
  <si>
    <t xml:space="preserve">Started really good with the introduction of your speech. Explained with good example, and fluidity was good. At the middle you lost fluidity and that affected the structure of the speech. It is important to remain calm throughout the speech so you can explain everything that you want. </t>
  </si>
  <si>
    <t xml:space="preserve">You properly stated the main idea at the beginning of your speech and there was a good tone of voice. While explainig and developing your ideas there were some issues with the clarity of the ideas and the logical connection. Try to always keep in mind what you want to explain. </t>
  </si>
  <si>
    <t xml:space="preserve">You had an excellent start  you were able to capture the audience with the tone and the way you introduce your main idea. We just need to work on the logical structure of the arguments and how each idea is connected to the next. </t>
  </si>
  <si>
    <t xml:space="preserve">Really good speech you stated the main topic with a lot of energy, which helped you connect with the audience. Good use of examples and clearly developed ideas. We just need to work on your body language son you can use it to engage better with the audience. </t>
  </si>
  <si>
    <t xml:space="preserve">Good speech you clearly stated what you wanted to say, and the use of examples was good. There was a good structure, and you were able to develop your ideas in a good way. We just need a little more work on your body language, remember that this is a good way to engage with the audience and show that you���re in control of the topic. </t>
  </si>
  <si>
    <t xml:space="preserve">Good start with the rhetorical question that paved the wat to the rest of the speech. That was a good way to connect with the audience and prepare them to what you wanted to explain. We just need to work more on your arguments so they can be more convincing to the audience, and this can be achieved by a good logical structure of the speech. </t>
  </si>
  <si>
    <t>You made a good attepmt at engaging with your audience, but a bit more movement could really help. Try to make your speech feel more interactive, which can make a big difference in connecting with the listeners.</t>
  </si>
  <si>
    <t>You��ve done a great job, and with more practice and attention to detail, you can make your speech even more compelling. Focus on building your vocal strength, working on your gestures, and pacing your delivery to add more power and clarity. Keep practicing, and you��ll continue to improve!</t>
  </si>
  <si>
    <t>Your pacing was clear, but there were moments where you could have slowed down or sped up slightly to build more suspense or emphasize important ideas. Practice controlling your pace so you can adjust it to the mood of your speech.</t>
  </si>
  <si>
    <t>While you had great ideas, I noticed that you seemed a bit nervous at times. Confidence is key in oratory. Remember, you have a strong message to share, you can practice in front of a mirror or with your friends to build more confidence in your delivery.</t>
  </si>
  <si>
    <t>You did a great job presenting your speech! your structure was clear, and you communicated your ideas effectively. Keep up the hard work and continue to practice, your enthusiasm is one of your greatest strengths.</t>
  </si>
  <si>
    <t>You followed a solid structure in your speech, wich made ir easy for the audience to follow, to make your speech even stronger, try incorporating more pauses to give your audience time to absorb the point you��re making.</t>
  </si>
  <si>
    <t>Your opening was strong, it caught my attention right away. To improve, try to carry that same energy troughout your speech, Working on transitioning smoothly between ideas will help maintain that engaging vibe all the way to the end.</t>
  </si>
  <si>
    <t>Your vocabulary was rich and appropriate for the topic, you showed a good command of language. However, experiment with varying your tone to match the importance of the message</t>
  </si>
  <si>
    <t>Your passion shone through! A strong opening and engaging delivery captivated us. Sharpening your focus and enriching examples will amplify your message further. Keep honing that powerful voice���it truly connects!</t>
  </si>
  <si>
    <t>Well done on tackling such interesting points! Your use of imagery was particularly nice. With some focus on pacing and structural cohesion, your argument, which showed promise, could really shine. Keep exploring these ideas and building your confidence!</t>
  </si>
  <si>
    <t>Great job on presenting an interesting argument! Your exploration of the topic was adequate and engaging. To enhance your delivery, try to minimize note reading, which will allow you to connect more with your audience. With a bit more content, your speech could truly shine!"</t>
  </si>
  <si>
    <t>Your topic on truth in social media was timely and intriguing! While there's room to develop your arguments and refine your delivery, your choice of subject showed insight. Keep exploring examples and working on your pacing���your potential is evident!</t>
  </si>
  <si>
    <t>You demonstrated admirable perseverance despite your nerves, and your use of interesting examples truly engaged the audience. Your persuasive style is commendable; however, I encourage you to explore your arguments more deeply and ensure a strong conclusion to enhance your overall impact. Keep up the great work!</t>
  </si>
  <si>
    <t>Your speech showcased relevant personal examples that added a unique touch. With practice, enhancing your delivery and eye contact will significantly boost your engagement. Remember, a strong conclusion can leave a lasting impact. Keep refining your skills; your potential as a speaker is evident!</t>
  </si>
  <si>
    <t>Your speech showed great potential! Your ideas were interesting, and it's clear you put thought into your topic. Avoid reading your notes, but rather focus on key points and adding confident gestures can boost your delivery. Nerves are natural ��� keep practicing, and your passion will shine even brighter!"</t>
  </si>
  <si>
    <t>Your engaging delivery and poignant personal examples truly resonated with the audience. The argument was clear, supported by adequate analysis, and presented with a well-defined structure and good pacing. Keep honing these impressive oratory skills!</t>
  </si>
  <si>
    <t>Great way to organise the ideas. You put emotion into your words. However, beware of your confidence. It feels you wer kind of nervous and that afected the way you presented the speech</t>
  </si>
  <si>
    <t>H��ctor you make great attepmts to engage with the audience and try to change the volume and tone. I'd recommend organising your speech better and avoid making very long pauses. It's hard to follow your thought.</t>
  </si>
  <si>
    <t>Your speech is well informed and full of clear examples. Next time try not to read your speech to make the right pauses and engage better with your audience.</t>
  </si>
  <si>
    <t>Ximena it was an intersting topic. You made some good points. I suggest providing more examples and reasons to support your argument. Also change the tone of voice and beware o</t>
  </si>
  <si>
    <t>Emilio, you are quite confident but try to organise your ideas better and beware of timing. Provide examples and reasons to support your points</t>
  </si>
  <si>
    <t>Alexis, try to engage the audience by looking at your audience.</t>
  </si>
  <si>
    <t>You have a lot of confidence and the speech was well structured, if you weren't reading your notes you'd have made a better impact on your audience.</t>
  </si>
  <si>
    <t xml:space="preserve">You are quite confident and your speech is well-structured and supported with examples and anecdotes. Great recommendations! Try using </t>
  </si>
  <si>
    <t xml:space="preserve">You're speech had a strong introduction, and a powerful conclusion with a question to the adjudicators. One thing that could be improved is your time management: you rushed slightly at the end as you realised your time was running out. </t>
  </si>
  <si>
    <t xml:space="preserve">Your ideas and vocabulary were incredibly ambitious, and your delivery and intonation confident. The issues with your speech, lied in your time-management. You seemed nervous, and did not engage the audience from the beginning, which made it hard to maintain momentum. Your evidence was also not very specific. </t>
  </si>
  <si>
    <t>Your speech was well-delivered, and considered a range of examples. Next time, make sure to not read your speech from your computer screen. It is meant to be an impromptu speech, and your delivery was not impromptu. Make sure to make consistent eye-contact, and engage with your audience.</t>
  </si>
  <si>
    <t xml:space="preserve">Your speech was well-delivered, and you were very confident. The issue, however, was the structure of your speech and your time-keeping. I would recommend defining the structure before starting. </t>
  </si>
  <si>
    <t xml:space="preserve">You started out very strong in your speech, and came across as confident and passionate. You struggled however, to maintain your pace, and you seemed unsure about how your argument was going to develop. You also did not manage to provide a conclusion. </t>
  </si>
  <si>
    <t xml:space="preserve">Alexis, your speech was difficult to hear, and it was difficult to see you. It is very important to present yourself professionally when speaking publicly. Your evidence was varied, and you considered multiple points of view. </t>
  </si>
  <si>
    <t xml:space="preserve">You delivered a well-structured speech with a sophisticated argument. To improve, you must not read your speech from a screen or a piece of paper. </t>
  </si>
  <si>
    <t xml:space="preserve">You delivered an eloquent and well-structured, well-paced speech. The main issue, was your misunderstanding of the topic. The word in the prompt was hobbies, not habits. </t>
  </si>
  <si>
    <t xml:space="preserve">Your delivery was generally solid, with clear pronunciation and a varied tone that helped maintain interest. Your pace and volume were appropriate, but there could be more variation to engage the audience further. Examples and evidence supported your argument, though a bit more depth could strengthen the points further. The structure was clear and logical, but there were moments when the central idea could be more sharply defined. </t>
  </si>
  <si>
    <t>We understand that speaking in public can be challenging, so keep practicing to strengthen your skills and build confidence.</t>
  </si>
  <si>
    <t xml:space="preserve">You captivate your audience and present your ideas persuasively. Supporting your opinions with strong arguments is essential for making an impact. Your presentation had a clear structure and logical development- Your time management and pacing were good. Be careful with the position of your camera. </t>
  </si>
  <si>
    <t xml:space="preserve">Your presentation had relevant examples, and the analysis showed some critical thinking. However, they could be more detailed. Your voice was clear; there���s room for more pacing adjustment. You presented your arguments with confidence, and the structure was clear, with a logical flow. </t>
  </si>
  <si>
    <t>Your delivery was clear, with good pronunciation and a varied tone,�� strengthening your speech. However, there's room to engage your audience even more. The structure was clear and well-defined, supported by examples.��</t>
  </si>
  <si>
    <t xml:space="preserve">You demonstrated strong skills in voice and intonation, with clear pronunciation and appropriate pacing. Your body language was confident, and you effectively maintained eye contact, engaging the audience well. Your delivery was natural and engaging, and you held attention throughout. The structure of your argument was clear, and your pacing was balanced with smooth transitions. Try to incorporate more profound examples and more detailed analysis. </t>
  </si>
  <si>
    <t>You did a good job with voice and intonation, using clear pronunciation. Your speech had examples and arguments. Focusing on deepening your analysis, enhancing your persuasion, and making your delivery more engaging will strengthen your impact. Be aware of refining body language and eye contact. Make notes, but try not to read them all during your speech.</t>
  </si>
  <si>
    <t>The body language and gestures you employed we compelling and enhanced your message. Work on summarizing complex ideas consisely to ensure comprehension without sacrificing depth</t>
  </si>
  <si>
    <t xml:space="preserve">Your struggle with nervousness lead you to a lack of confidence affecting your overall presence and the impact on the message. </t>
  </si>
  <si>
    <t>The passion you showed for your topic was evident. Adding more real-life examples or statistics could make it even more convincing and relatable to the audience. Read less</t>
  </si>
  <si>
    <t>Your opening was interesting, but it could have been stronger. Consider starting with a powerful question or a thought provoking statement to immediately capture attention</t>
  </si>
  <si>
    <t>Your conclusion was clear, but it could have more impact. Ending with a memorable quote, call to action, or strong final statement can leave a lasting impression on the audience</t>
  </si>
  <si>
    <t>Your speech had a good content, but the organization could be clearer. Try using stronger transitions between points to improve the flow</t>
  </si>
  <si>
    <t>Your speech was informative, but it lacked emotional appeal. Adding personal anecdotes or expressive tone changes could make it more engaging. Read less</t>
  </si>
  <si>
    <t>You are a natural-born speaker. You have a very clear tone of voice and you are very engaging. Try looking for stroger arguments to make your speech more powerful.</t>
  </si>
  <si>
    <t>You got really nervous and shut down. But please, don't give up. Try some breathing exercises to boost your confidence.</t>
  </si>
  <si>
    <t>You are an excellent speaker. You are engaging and convincing. Having strong arguments to back our opinions is the best way to make a point. Well done!</t>
  </si>
  <si>
    <t>You used your personal experience to give your arguments. Now try to empower your words by changing your tone of voice to make it more engaging. Keep it up!</t>
  </si>
  <si>
    <t>You use your voice to express your emotions, that makes your speech stronger. Rehearse some words or phrases to help you sequence your ideas more efficiently to make your arguments better organised. Well done!</t>
  </si>
  <si>
    <t>You did a great job organising your ideas. You can make your speech more impactful if you add more variety to your tone of voice and your gestures. You're doing great, keep it up!</t>
  </si>
  <si>
    <t>You have a good voice to be a strong speaker, but when you read a speech it sounds unnatural and takes away emotion. Next time try not to rely on your notes so much.</t>
  </si>
  <si>
    <t>The speech followed a structure and an opinion was stated as the basis for argumentation. The speech did not include relevant examples and was short (2m7s) Including every recquisite can help you use your time more efficiently.</t>
  </si>
  <si>
    <t>You presented arguments that were interesting. Your pace can impove a bit by slowing down. Time management can also be improved upon.</t>
  </si>
  <si>
    <t>Great start, engaging. Examples can be taken further or be more precise so that you can analyse them. You aree on the right track with your structure.</t>
  </si>
  <si>
    <t xml:space="preserve">Smooth delivery! Your pace helped convey emotion. You can improve your arguments by mentioning them explicitly so we know what to look for. </t>
  </si>
  <si>
    <t xml:space="preserve">The start of your speech was fluent and interesting. Your posture is good and engaging, you can improve moving a bit less. Summarising or showing the impact of your arguments is a good way tou use the rest of your time. </t>
  </si>
  <si>
    <t xml:space="preserve">Good, engaging beginning. Your delivery is good, you can improve by moderating your tone so that you can emphasise. </t>
  </si>
  <si>
    <t>Time managment was a strong suit. Different examples and some implications of arguments mentioned. You can work on varying your tone to improve your delivery.</t>
  </si>
  <si>
    <t>Your speech was little structured and paced, making it uneasy to follow. Your tone should be more engaging, along with more eye contact with the audience. To enhance your delivery, try varying your vocal pitch to add more emphasis and energy. Using intentional hand gestures can make your points more compelling. Great effort with strong potential!</t>
  </si>
  <si>
    <t>Your delivered speech needed a bit more clarity and confidence. It was easy to follow. Your use of eye contact needs to deeply connect with the audience. To improve it try to build more on trust and arguments. Your enthusiasm was noticeable, reinforcing your message effectively. Keep refining your delivery style!</t>
  </si>
  <si>
    <t>You delivered your speech with some clarity and confidence, demonstrated strong organization and well-thought structure. Your voice projected confidence and articulation at times. One suggestion is to add more variation in tone, reduction of pauses, increasing critical points and reducing nervousness. Overall, great job!</t>
  </si>
  <si>
    <t>Your speech was well-structured, with a clear flow of ideas. Your confident tone kept the audience engaged, and your pacing allowed for easy comprehension. I appreciate your use of pauses for emphasis. However, consider adding more vocal variety to maintain energy. Also, minimizing filler words would enhance your delivery. Overall, your passion for the topic was evident and compelling</t>
  </si>
  <si>
    <t>Your delivery was engaging, and you maintained strong eye contact with the audience. The speech had a logical flow, making it easy to follow. Your pauses allowed for reflection, which enhanced your impact. To elevate your performance, work on projecting your voice more dynamically and incorporating gestures that feel more natural. Your confidence and knowledge of the topic were evident. Take advantage of the time left to increase your arguments and closing</t>
  </si>
  <si>
    <t>You spoke with clarity and confidence, which made your speech engaging. The structure was logical, and your pacing helped the audience absorb the content. I suggest working on smoother transitions between key points to improve flow. Additionally, minimizing nervous movements will enhance your presence. Your ability to connect with the audience through tone and expression was a strong asset</t>
  </si>
  <si>
    <t xml:space="preserve">Your speech was delivered with poise and organization. The pacing allowed for comprehension, and your eye contact created a strong connection with the audience. I would suggest adding more dynamic vocal variation to keep engagement high. Additionally, avoiding repetitive gestures will help maintain focus on your message. Your passion for the topic was evident and contributed to your effectiveness  </t>
  </si>
  <si>
    <t>Candidate made their overall argument clear however, there was very little development of ideas and engagement with the audience. By working on these two things, a much more compelling speech could be achieved.</t>
  </si>
  <si>
    <t xml:space="preserve">Candidate had lots of good ideas and used anecdotes effectively to convey her point. However, the delivery was impacted by nerves which made the speech lose cohesion. With more confident delivery, this had the potential to be a great speech. </t>
  </si>
  <si>
    <t>Speech started very well with excellent delivery and a clear argument. However, throughout the speech, the ideas became under-developed and the delivery lost its confidence. But it was a great start to the speech and the candidate has serious potential.</t>
  </si>
  <si>
    <t>Excellent speech. Audience was kept engaged throughout, through good intonation and use of hand gestures as well as a great development of ideas. Well done!</t>
  </si>
  <si>
    <t>The delivery was very good, hand gestures and intonation were used effectively to keep the audience engaged. Some very good ideas were also presented, but these could be further developed, especially because the candidate finished early after only 2 minutes and 30 seconds. However, overall it was a great attempt!</t>
  </si>
  <si>
    <t>Candidate had an excellent presence, speaking confidently as well as using engaging gestures. Ideas were clearly explained and developed cohesively. However, candidate did speak very quickly which sometimes made ideas hard to followe. But overall it was an excellent speech - well done!</t>
  </si>
  <si>
    <t>Candidate clearly developed and expressed his ideas. This was also effectively conveyed through a confident speech and appropriate use of hand gestures. However, more voice intonation would allow this speech to be more compelling. However, overall this was a great attempt!</t>
  </si>
  <si>
    <t>Your speech had a strong foundation, and you delivered your points with clear pronunciation and a steady pace. Your structure was well-organized, making it easy to follow, and your use of examples supported your argument effectively. To improve, try to engage more with the audience through eye contact and expressive gestures. Your main idea was clear, but expanding on it further would strengthen your argument. With a bit more confidence and refined stage presence, your delivery will become even more compelling</t>
  </si>
  <si>
    <t>You delivered your speech with a strong, confident voice, and your clear pronunciation helped maintain engagement. Your body language and eye contact were much improved, making your presence more dynamic and engaging. The structure was solid, and your analysis showed good depth and reasoning. To enhance your impact, work on crafting a stronger ending to leave a lasting impression. Additionally, try to avoid repetition by refining your key points for a more concise and powerful delivery</t>
  </si>
  <si>
    <t>You had a clear structure and some good ideas, but your speech felt too short, which limited the depth of your argument. With more content and elaboration, your message could be much stronger. To improve, try to engage more with the audience through eye contact and gestures. Confidence will grow with practice, so take your time and trust in your ideas. Keep working on staying calm and expanding your points</t>
  </si>
  <si>
    <t>You started off strong with a confident voice and clear delivery, which immediately captured attention. Your structure was well-paced, and your reasoning was solid, showing a good understanding of the topic. To improve, try to maintain that initial confidence throughout the speech. Avoid repetition by refining your key points, and work on crafting a smoother, more intentional conclusion to leave a lasting impact</t>
  </si>
  <si>
    <t>You made a good effort in delivering your speech, and despite a nervous start, you pushed through and completed it. Your pacing and structure showed potential, and with more clarity, your message can be even stronger. To improve, focus on clearly defining your main idea and selecting examples that directly support your point. Try to manage nerves by practicing steady breathing and engaging more with the audience. Also, work on delivering a smoother conclusion to leave a stronger impression</t>
  </si>
  <si>
    <t>Great job on your speech! Your strong structure and clear intonation made your message easy to follow, and your confident delivery, along with effective gestures, kept the audience engaged. Your use of evidence and persuasive techniques added depth to your argument, making it more compelling. To keep improving, continue refining your delivery and maintaining that confidence throughout. Overall, this was a well-executed speech with a clear conclusion</t>
  </si>
  <si>
    <t>You delivered your speech with good confidence and clear intonation, which helped keep the audience engaged. Your reasoning and use of evidence were solid, and your structure was well-organized. To improve, focus on making your main idea clearer and avoiding repetition to keep your message more impactful. Try to refine your points to make them more concise and direct</t>
  </si>
  <si>
    <t>You had a steady delivery with a clear structure, and your pacing was well-managed. Your effort in organizing your speech was evident, and you maintained a good flow throughout. To improve, work on making your main idea clearer and supporting it with stronger examples. Engaging more with the audience and adding more confidence to your delivery will also help strengthen your overall impact</t>
  </si>
  <si>
    <t>You shared valuable insights with personal anecdotes and interesting analysis, which added depth to your speech. To make an even greater impact, try engaging more with the audience���using fewer notes, making eye contact, and incorporating natural gestures. A bit more vocal variety and well-placed pauses will also boost your confidence and presence. Well done!</t>
  </si>
  <si>
    <t>Your speech had a strong, compelling opening and a well-structured argument supported by clear examples and counterarguments. Your confident delivery and engaging presence kept the audience���s attention throughout. To enhance fluency, try incorporating a wider range of connectors to smoothly link and contrast ideas. Keep up the great work���your delivery is already very persuasive!</t>
  </si>
  <si>
    <t>Great job using pauses and intonation to structure your speech���it really helped guide the audience! Your use of rhetorical questions was a strong choice to keep listeners engaged. To make your speech even more powerful, try expanding your vocabulary and adding more arguments or deeper analysis. You have a great foundation���keep building on it!</t>
  </si>
  <si>
    <t>Your speech was very engaging, and your personal anecdotes made it relatable and interesting! You used body language effectively to connect with the audience. To make an even stronger impact, try relying less on notes and organizing your ideas more clearly. You have great potential as a speaker���keep practicing, and your presence will shine even more!</t>
  </si>
  <si>
    <t>Your speech was well-organized and clear, with strong examples that made your message persuasive and impactful. To make it even better, try focusing on one main argument and emphasizing it throughout. Adding more gestures and varying your tone will also help keep the audience engaged. Keep practicing���you have great ideas, and your confidence will grow!</t>
  </si>
  <si>
    <t>You delivered your speech with great confidence and strong presence, using excellent body language to connect with the audience. Your deep analysis and clear structure, from a powerful opening to a strong conclusion, made your message very compelling. To improve even more, focus on refining grammar in complex ideas���this will come naturally with practice. Fantastic job!</t>
  </si>
  <si>
    <t>Your speech had clear arguments and a well-structured flow, supported by strong examples and different perspectives. To make it even more engaging, try varying your tone and using pauses more effectively to highlight key points. Adding deeper analysis would also strengthen your message. Keep practicing���you have a solid foundation and great potential as a speaker!</t>
  </si>
  <si>
    <t>Your speech was well-structured, using clear phrases to guide the audience through your ideas. You did a great job with pauses and intonation, making your delivery engaging. Your deep analysis, considering different viewpoints and personal opinions, added strength to your argument. To improve even more, try relying less on notes and using more body language to connect with the audience. Great work!</t>
  </si>
  <si>
    <t>Your introduction was engaging, as you asked (A) about the topic. You provided examples of what you understood by AI tools and explained their usefulness. Additionally, you gave context to your topic, and incorporating personal experience was a strong strategy to support your position. Don't worry too much about time���focus on planning a strong conclusion that reinforces your argument by revisiting the quote, restating your perspective, or using rhetorical questions to leave a lasting impression on your audience.</t>
  </si>
  <si>
    <t>Well done on using body language effectively���your hand gestures and voice modulation made your delivery convincing. You successfully contrasted the quote with relatable examples, such as Amazon and local commerce. Using questioning was a great strategy, as it challenged the audience to reflect on a present reality that is actively shaping our context. Be sure to plan a strong closure that ties back to the quote, reinforces your perspective, or leaves the audience thinking through rhetorical questions.</t>
  </si>
  <si>
    <t>Your introduction was strong, incorporating affirmations and questions directed at (A). Sharing your personal experience from a conversation with the art teacher provided a firsthand, informed perspective. To enhance your delivery, plan your time around key ideas, allocating a specific  minute amount to each argument. This will allow for deeper analysis and help keep the audience engaged.</t>
  </si>
  <si>
    <t>Great job! Your presentation demonstrated a clear structure, with main ideas thoughtfully organized within your allotted time. You used connectors effectively, helping the audience follow your reasoning. A key strength was your argument on ethical implications, emphasizing the validation of evolving tools that support the community without replacing human skills. Make sure to plan a strong conclusion that ties back to the quote, reinforces your perspective, or engages the audience with a thought-provoking rhetorical question.</t>
  </si>
  <si>
    <t>You began your speech by inviting the audience to visualize a situation, aiming to break down the quote through an empathetic understanding of different perspectives. To strengthen your argument, consider incorporating contrasting ideas, as your points in this case were closely aligned with the initial perspective.</t>
  </si>
  <si>
    <t>Excellent speech! You skillfully used questions to engage the audience and articulated your position clearly, backing it up with personal insights and evidence that demonstrated your confidence. Your time management was well-executed, and your ideas were structured effectively. Incorporating real-life examples added depth, highlighting your informed perspective. Ensure your conclusion ties back to the quote, reinforces your viewpoint, or leaves the audience reflecting through a thought-provoking rhetorical question.</t>
  </si>
  <si>
    <t>You managed your time well and effectively persuaded the audience by affirming your position in relation to the quote. While you had a structured plan, your ideas frequently reiterated the overuse of AI. Try incorporating personal experiences and real-life cases to showcase your background knowledge and add depth to your argument.</t>
  </si>
  <si>
    <t>Great start by referencing the quote! You presented arguments that highlighted the contrast between advantages and disadvantages, using phrases like "What I want to transmit," which helped the audience connect with your ideas. However, it���s important to plan how to structure your points within the available time. Don���t hesitate to expand on your ideas to fully utilize the allotted minutes.</t>
  </si>
  <si>
    <t>Good start, with a steady pace. Your analysis was superficial, you can focus on being more persuasive next time. Some gestures were efficient to commmunicate but oothers were distracting.</t>
  </si>
  <si>
    <t xml:space="preserve">Your intonation was clear and you had a good pace, especially at the start. You can use your time better by including more examples and analysing them. </t>
  </si>
  <si>
    <t>You were persuasive and the questions you asked were original. Make sure you are not reading everything.</t>
  </si>
  <si>
    <t>Good pace, you can improve your  delivery by reading less. Good examples.</t>
  </si>
  <si>
    <t xml:space="preserve">Your pace was good. Be mindful of your time and not spinning in your chair. </t>
  </si>
  <si>
    <t>Your delivery was clear and you had good presence. Good question. Could further analyisis.</t>
  </si>
  <si>
    <t>Your tone of voice was good. You were reading too much. Try and elaborate on your points to use your time more efficiently.</t>
  </si>
  <si>
    <t xml:space="preserve">Your arguments were clear andthe examples you used helped to convey them. You can engage more with your audience by asking questions or varying your tone. </t>
  </si>
  <si>
    <t>Your introduction immediately grabbed our attention���well done! While your topic is compelling, refining pronunciation and deepening your analysis will elevate your delivery. Consider strengthening the connection to the assigned theme for a more cohesive speech. Keep practicing!</t>
  </si>
  <si>
    <t>your calm and clear tone was very pleasant to listen to! While exploring more vocal variety and gestures would enhance your delivery, and a more developed speech with a stronger conclusion would boost your impact, your composure shone through. Keep practicing!</t>
  </si>
  <si>
    <t>Well done! Staying composed during technical difficulties was impressive. Your idea was interesting, and the examples were relevant. To elevate your speech, focus on clearer pronunciation, varying your tone, deepening the analysis, and managing your time more effectively.</t>
  </si>
  <si>
    <t>Your confidence shone brightly! Your detailed analysis was impressive, and your fun comments really engaged the audience. While your enthusiasm led to a bit of rambling and some fillers, focusing on clearer enunciation will make your points even more impactful</t>
  </si>
  <si>
    <t>Well done! Your energetic delivery was engaging, and your fun examples resonated with the audience. Work on minimizing note reliance and focusing your analysis to deepen your arguments. A clearer conclusion will significantly strengthen your presentations. Keep practicing!</t>
  </si>
  <si>
    <t>your energy immediately grabbed our attention! The topic was clear, and the structure was well-organized with excellent examples and vivid language. We especially appreciated your personal touch. With a bit more focus on pronunciation, you'll be unstoppable! Well done!</t>
  </si>
  <si>
    <t>Well done on taking the stage! Your examples were relevant, and it's great you included them. Work on projecting your voice and try minimizing note reliance to connect more with the audience. A strong conclusion and expanding on your points will elevate your speeches!</t>
  </si>
  <si>
    <t>Your clear introduction and consistent eye contact immediately grabbed our attention. You articulated your topic well and the Van Gogh example was relevant. While AI's impact on creativity could be explored further, your presentation showed promise and solid foundational skills.</t>
  </si>
  <si>
    <t>I recommend deepening the preparation of the speech. Order the ideas from the beginning in order to be able to follow the thread of the speech. It was a bit complicated to connect due to the lack of the use of paraverbal language and the use of voice tones.</t>
  </si>
  <si>
    <t>Good use of the voice and the confidence it conveys, I recommend using different tones in order to make a greater impact. The topic did need a little more depth.</t>
  </si>
  <si>
    <t>It looked like you were reading a little bit, be careful where the eyes are looking. On the other hand, the depth of speech I found quite good, the examples show the importance of this so they were well used.</t>
  </si>
  <si>
    <t>I think you missed to go deeper, if you were looking for high intermediate between ���it's neither good nor bad���, in the negative part of it and how it affects you, that would allow you to connect with yourself as a speaker. On the other hand, good use of voice, try to use different tones.</t>
  </si>
  <si>
    <t>Very good subject matter and use of time. I found the depth to be sufficient, but I believe that more can be covered based on the relevance of the topic. You have to be careful with the use of body language, that can convey the anxiety someone may have or their feelings.</t>
  </si>
  <si>
    <t>Good use of voice and depth of story, made me able to connect with your speech. I recommend using the body a little more, remember that only what we can see through the screen is what we can evaluate.</t>
  </si>
  <si>
    <t>There was no satisfactory use of the time provided, so I recommend that you find a way to take advantage of it. This would be a bit more of looking for opportunities to improvise than to see what is already written.</t>
  </si>
  <si>
    <t>Very good use of arguments and discourse structure. The deepening was very good. I recommend using more paraverbal language (use of voice and gestures) remember that only the camera frame is what we can see.</t>
  </si>
  <si>
    <t>Try to add more variation to your pitch and increase speed. Interesting examples you gave.</t>
  </si>
  <si>
    <t>Your presence could be more commanding if you emphasised relevant ideas more often. Good pitch and rhythm.</t>
  </si>
  <si>
    <t>It is important to add more variety to your ideas.</t>
  </si>
  <si>
    <t>You are good at being persuasive, good pitch and voice modulation. Try to add more variation of ideas.</t>
  </si>
  <si>
    <t>Effective tone and valuable examples. Try to practice with speech exercises and variate your pitch more often.</t>
  </si>
  <si>
    <t>Interesting ideas. Avoid reading too much when presenting them.</t>
  </si>
  <si>
    <t>Strong and commanding presence when speaking. Try to include counterarguments to your ideas more often.</t>
  </si>
  <si>
    <t>Good voice variation, but try to add more depth to your pitch according to the sentiment of a given argument.</t>
  </si>
  <si>
    <t>You have a great potential, your speech could benefit from clearer structure. Try outlining key points beforehand to avoid losing track of your message.</t>
  </si>
  <si>
    <t>your passion is noticeable, but controlling your voice��s volume and tone shifts will help maintain audience interest. Practicing with emphasis on key words might help.</t>
  </si>
  <si>
    <t>Your structure was clear, and your enthusiasm was evident. Work on balancing your pacing-slowing down slightly at key moments will make your message more impactful.</t>
  </si>
  <si>
    <t xml:space="preserve">Your ideas are interesting, use clear notes to deliver them more fliudly, and practice emphasizing important points for better delivery. </t>
  </si>
  <si>
    <t>Your voice projection and rhytm were well-controlled. Try to vary your tone slightly more to maintain engagement and emphasize critical arguments.</t>
  </si>
  <si>
    <t>Your speech has strong ideas, but organizing your main points more clearly with brief notes could help you deliver them more fluidly.</t>
  </si>
  <si>
    <t>Your enthusiasm and clarity were excellent. Consider adding smoother transitions between ideas to enhance the logical flow of your speech.</t>
  </si>
  <si>
    <t>Your speech was well-structured, engaging, and delivered with enthusiasm. Keep refining your pacing to emphasize key points even more effectively.</t>
  </si>
  <si>
    <t xml:space="preserve">Good job. It was a great use of your time and you developed the prompt with a good use of examples. </t>
  </si>
  <si>
    <t>Good job. It shows that you have thought about the impact of AI on your life. There's a lot of room so you can develop your main argument, but always keep in mind to be concise and concrete, so you can include a complete conlusion tying up your main ideas.</t>
  </si>
  <si>
    <t>Great job. You had a clear argument and you developed it. It would be helpful if you could elaborate on examples and use sources to sustain your own ideas.</t>
  </si>
  <si>
    <t>Good job. Perhaps you could have started with the impact of ai as the central idea and developed it with some examples.��</t>
  </si>
  <si>
    <t xml:space="preserve">Good job. Great use of examples - Perhaps you could start with your own relationshoip with ai in the future since you can see the impact from a very young age and elaborate on it. </t>
  </si>
  <si>
    <t xml:space="preserve">Good job. You had a clear introduction and very interesting ideas on social media, which means you have thought about the topic. Perhaps ypu could try remener to keep your audience in mind and use your boody language to better engage with your audience. </t>
  </si>
  <si>
    <t xml:space="preserve">Great job. The examples were great and you were mindful of the audience, so it was easy to follow and understand your speech. There would be more room to develop your ideas. </t>
  </si>
  <si>
    <t xml:space="preserve">Good job, you had a great flow and you guided the audience. Because of the time,  try to be mindful of the use of transitions since you could use that time to develop your arguments or to tie up your main ideas in a conclusion.  </t>
  </si>
  <si>
    <t>engaging introduction, well tought transition in analysisfrom IA in generall to IA in art</t>
  </si>
  <si>
    <t>Range of examples and explores implications himself and on ohters, invites to improvemnt trough speech</t>
  </si>
  <si>
    <t xml:space="preserve">very original  example to give a twist to prompt enough to turn my head, </t>
  </si>
  <si>
    <t>strong presence since second 1, examples with a range of analysis that are persuasive, key phrases that makes transitions smooth</t>
  </si>
  <si>
    <t>confidence with the speech itself</t>
  </si>
  <si>
    <t>progressive confidence, consdieras good adn bad for IA</t>
  </si>
  <si>
    <t>even there where some troubles because of the interrumption, the speaker overcame it the bestw ay posible on the round. Gives various examples and explores them</t>
  </si>
  <si>
    <t>fluent structure, smooth transitions, explores differnt areas of being grateful</t>
  </si>
  <si>
    <t xml:space="preserve">Your speech was impactful, well-thought out, and engaging. You had a range of complex points and analysis. Your tone and intonation were strong, and your body language was professional, and made you seem confident and prepared. </t>
  </si>
  <si>
    <t>Your speech was well-paced, and included a range of engaging examples to support your argument. To improve, try to vary the tone of your voice, and consider other uses of AI in the arts, as opposed to talking about your personal experiences with AI.</t>
  </si>
  <si>
    <t>Your speech lacked structure and planning: your original example of climate change was largely unrelated to the prompt. To improve, I would recommend not repeating your points, but attempting to justify your points, with evidence, and the reiterate the point and prove that you justified your opinion.</t>
  </si>
  <si>
    <t xml:space="preserve">Your delivery as confident, professional, and engaging. You followed a clear structure and had a range of effective and sophisticated points, supported by evidence. To improve, consider using a specific example, such as a piece of artwork made using AI, or an expert's opinion on the threat AI poses to the creative industry. </t>
  </si>
  <si>
    <t xml:space="preserve">You delivered your speech confidently, and with a range of well-considered examples to help support your points. To improve, I would work on speaking more clearly, and slowly, at times it was difficult to hear you well - this was also due to your internet connection being slightly unstable. </t>
  </si>
  <si>
    <t xml:space="preserve">Your speech was slightly slow paced, however, this did mean that you spoke carefully and considered your points and the evidence you used to support them. I thoroughly enjoyed your point about the positive influence of AI on the arts. Instead of portraying it entirely negatively, your argument was well-balanced. </t>
  </si>
  <si>
    <t xml:space="preserve">Your speech was delivered clearly. You at time seemed to lack confidence, and were unsure of what you were going to say next. At times, your focus veered from AI and art, to more generic ideas about AI. Your speech was well-structured, and engaging. </t>
  </si>
  <si>
    <t xml:space="preserve">Your speech began confidently, and with a good flow. However, you appeared to run out of steam when you started talking about self-gratitude: you struggled to develop the idea, and it meant that your speech lost some momentum. However, overall it was a well-structured and thoughtful speech. </t>
  </si>
  <si>
    <t>You started good by giving instructions to GPT as a statement about what we do in our lives, suggesting that we are less intelligent than previous generations. However, this is not a real argument, as the examples provided are too general. While the speech is acceptable, it needs stronger logical connections and more specific examples to be effective.</t>
  </si>
  <si>
    <t>You started with an idea of what AI is, using it as an example, but the explanation lacks fluidity. The argument needs more structure and confidence. While you provided good examples in art, you continued with the idea that AI is making us dumber without fully developing the argument</t>
  </si>
  <si>
    <t>You started with the idea that being grateful is important because others will treat you well in return. This concept applies not only to people but to everything in life. While the focus was on the practicality of being good, the idea needs a stronger connection to the rest of the speech for better coherence</t>
  </si>
  <si>
    <t>You began your speech with an excellent and impactful introduction, effectively explaining what we can do with AI. Your structure was strong, and you presented some interesting ideas. However, while the ideas were good, the speech lacked clear logical connections for a more cohesive argument.</t>
  </si>
  <si>
    <t>You started your speech strongly, emphasizing the importance of AI in our lives and its role in various aspects, including the arts. You sounded confident, which was a strength, even though the ideas were not fully connected. To be more persuasive, it���s important to use stronger examples and arguments to better convince the audience.</t>
  </si>
  <si>
    <t>You delivered an excellent and clear introduction to the topic with confidence, effectively explaining key concepts. However, you quickly lost track of your ideas, which caused you to lose the initial momentum of your speech. Attempting to cover too much at once made your points less clear and may have confused the audience. To improve, focus on maintaining a structured flow and ensuring each idea connects logically to the next.</t>
  </si>
  <si>
    <t>You began by outlining the roadmap of your speech, which provided a clear structure. However, you gradually lost clarity and confidence, repeating ideas instead of developing them further. To improve, we need to work on strengthening your argumentation and, most importantly, your confidence, as that is the key to success in this tournament.</t>
  </si>
  <si>
    <t>You started with a strong clarification of what gratitude is and maintained a good tone initially. However, throughout the speech, you moved around a lot, which showed signs of nervousness. Additionally, your ideas began to circle without clear progression. To improve, focus on grounding yourself physically and structuring your points more clearly to maintain coherence and confidence.</t>
  </si>
  <si>
    <t xml:space="preserve">It's important to remember the power of body language ��� how your posture, gestures, and facial expressions can help convey your message. Also, practicing the timing of your speech, including well-placed pauses, will help you connect with your audience. When it comes to nerves, remember that it's completely normal; try taking deep breaths and focusing on your message. </t>
  </si>
  <si>
    <t>You managed your time really well, ensuring that you covered all your key points without rushing. Keep in mind that body language plays a big role in how your message is received ��� your posture, gestures, and eye contact can really enhance your speech.</t>
  </si>
  <si>
    <t>Focusing on body language will make a big difference ��� try using more purposeful gestures, eye contact, and varying your posture to engage your audience even more. When it comes to your persuasive arguments, remember that clearly outlining the reasons behind your points, supported by examples or evidence, will strengthen your message. Try to practice speaking more naturally, focusing on key points and speaking from memory or with a few notes.</t>
  </si>
  <si>
    <t xml:space="preserve"> You have a good voice, with clear intonation and strong presence that really captured the audience's attention. To make your speech even more impactful, try focusing on strengthening your persuasive techniques. This can include offering more compelling reasons to support your points, using powerful examples, and connecting emotionally with your audience.</t>
  </si>
  <si>
    <t xml:space="preserve">Your voice and intonation were good. To make an even more significant impact, try focusing on strengthening your arguments; by providing clear, well-supported points and offering compelling examples, you can make your message more persuasive. </t>
  </si>
  <si>
    <t>Your voice was clear, and your intonation was adequate; your speech had structure, and you spoke fluently, which made it easy to follow. It would be helpful to pay close attention to the instructions and ensure the device you're using is ideal for the competition, as this will help you feel more confident and avoid distractions.</t>
  </si>
  <si>
    <t xml:space="preserve">To make your speech more impactful, try to focus on reinforcing those ideas with more supporting examples and details. Also, try to speak more naturally, which will help you connect better with your audience and make your delivery more engaging. </t>
  </si>
  <si>
    <t>You have a strong voice, good intonation, and stage presence. To make your speech even more powerful, try to strengthen your arguments by adding more persuasive points and examples to create a greater impact. Also, be mindful of the time to ensure you cover all your key points without rushing.</t>
  </si>
  <si>
    <t>Your speech included interested implications and it was delivered smoothly. It would be useful to engage the audience a bit more.</t>
  </si>
  <si>
    <t>Your use of the voice was engaging, the use of examples was appropriate and the speech was delivered smoothly. I would like you to establish a better connection with the audience in the future.</t>
  </si>
  <si>
    <t>Your speech had a logical progression and a defined structure. I would like you to improve your eye contact and confidence when giving the speech.</t>
  </si>
  <si>
    <t>Your speech was engaging, you showed depth of analysis and a clear structure. I suggest you to improve the transitions and vary the tone of your voice.</t>
  </si>
  <si>
    <t>Your speech showed critical thinking, it included convicing arguments, and relevant information. I would like you to vary the tone of voice and engage the audience more.</t>
  </si>
  <si>
    <t>Your speech demostrated critical thinking, balanced pacing and a clear structure. It would be useful to engage the audience more and include examples in your speech.</t>
  </si>
  <si>
    <t>You presented convincing arguments, and a logical progression in your speech. I would like you to vary the tone of voice you use and improve the structure of your speech.</t>
  </si>
  <si>
    <t>Your speech had convincing arguments, you used relevant information and had well-defined central ideas. I would like to improve the structure of your speech somewhat.</t>
  </si>
  <si>
    <t>You have a lovely tone of voice, and your volume is just right. To enhance your delivery, focus on building confidence���breathing exercises can help you feel more relaxed and in control. Keep up the great work!</t>
  </si>
  <si>
    <t>Your voice is very clear, which makes your speech easy to follow. To make it even more engaging, try varying your tone to convey different emotions. Also, using synonyms when giving examples will help avoid repetition and keep your speech dynamic. Well done!</t>
  </si>
  <si>
    <t>You chose an interesting topic and gave good examples. To enhance your delivery, try projecting your voice more and adding variety to your tone to keep your audience fully engaged</t>
  </si>
  <si>
    <t>You are a natural speaker with a strong, confident voice, and you maintained great focus throughout. To make your delivery even more powerful, try incorporating more varied gestures to emphasize your message. Excellent job!</t>
  </si>
  <si>
    <t>You have a great voice, and your volume is spot on. To make your speech even more engaging, try incorporating a wider variety of examples to strengthen your message. Well done!</t>
  </si>
  <si>
    <t>Avoid reading too much during a speaking competition, as it can reduce expression and audience engagement. It's perfectly fine to check your notes, but try not to rely on them entirely. Keep practicing.</t>
  </si>
  <si>
    <t>Try to minimize reading during a speaking competition, as it can reduce your expression and connection with the audience. It's fine to glance at your notes, but aim to speak more naturally and confidently.</t>
  </si>
  <si>
    <t>Your speech was interesting, and your gestures added great energy to your delivery. To improve even further, focus on clearer enunciation and expanding your content to fully use the allotted time. Great effort!</t>
  </si>
  <si>
    <t>Renata, you are really confident and the pauses make your speech have a better impact. Next time try to provide more examples and reasons to make your speech more attractive and convincing. Great!</t>
  </si>
  <si>
    <t>Wow! Great organisation, voice and body language! You are really confident! The examples and research helps a lot to make it more appealing. Next time try not to read so much as it distracts you</t>
  </si>
  <si>
    <t>Edahi, your points are powerfull and your speech is well-structured.  Try to improve your speech with better body languae and eye contact!</t>
  </si>
  <si>
    <t>Your make excellent points, they are quite convincing. Try to show more confidence and manage your time better.</t>
  </si>
  <si>
    <t>Rinpei, your speech was super convincing and full of examples and clear points. Your body language is second to none as well. Next time try to remember your speech so you are not distracted by reading parts of it.</t>
  </si>
  <si>
    <t>Those are interesting points you make. Your beginning was clear although as time went by, the idea was not very clear. Next time try to vary your tone of voice and try not to read your notes as they dsitract you.</t>
  </si>
  <si>
    <t>The pauses you make generate a good impact on the audience and the points you make are quite convincing. Good use of body language! Next time try not to read so much your notes as they distract you and forget about eye contact with the audience.</t>
  </si>
  <si>
    <t>Your speech is well organised and quite coherent. Some points could be very convincing. Next time try not to read allyour notes and try to keep eye contact to make it more appealing for the audience. Also, try to vary your tone of voice.</t>
  </si>
  <si>
    <t>You made very clear and well-thought out points, and clearly explained the relation between gratitude and happiness. You could have used a few more examples to illustrate. Your use of hand movements is very expressive, just work a bit on your eye contact to match it.</t>
  </si>
  <si>
    <t xml:space="preserve">You have a very engaging style, congratulations. Your speech was well structured and persuasive. Your timing was good, but you could have used a few extra seconds to really round it up. </t>
  </si>
  <si>
    <t>You did a good job explaining the impact of AI and offered some compelling arguments for its responsible use. You did repeat yourself a bit at the end, so I recommend working on your conclusions so you can close your speeches in a more convincing manner.</t>
  </si>
  <si>
    <t>You had a solid start with a good rhetorical question, and you have a good voice that you can use to your advantage. Remember to relax. We all get nervous, but we can always pick it up. When you feel you made a mistake, try to keep a relaxed attitude and go on with your speech.</t>
  </si>
  <si>
    <t>You did very good.  Your voice is clear and your body language is expressive. Addressing the audience with phrases such as "let me tell you" is a nice resource. Try to make it a little less evident when you look down at your notes to read.</t>
  </si>
  <si>
    <t>Your arguments were well thought out and convincing, you had a pretty good speech on your hands. I recommend practicing with friends or a mirror to get more confidence so you can finish your speeches on time and get all your points across.</t>
  </si>
  <si>
    <t>Your speech was very well structured and you did a good job with your timing. You hesitated a bit at the middle but picked it up well. Practice modulating your voice so you can use different tones and levels of emphasis.</t>
  </si>
  <si>
    <t>You had a well-structured speech with some very nice, memorable sentences. Work on your pace and confidence so your delivery can make your points really shine. Remember to look up at your audience, and practice reading aloud.</t>
  </si>
  <si>
    <t>Great job! You have a really nice voice and your pronunciation is clear, which make your message easy to understand. To make your speech more engaging try to pace a bit more often to hold your audience's attention better.</t>
  </si>
  <si>
    <t>Great job with your confident tone and volume! You presented some solid arguments that were really interesting. One thing to keep in mind is managing your time a bit more carefully. Watch out for fillers, as they  might distract from your audience from the main points..</t>
  </si>
  <si>
    <t>Your content was good, but I noticed that your delivery could be more engaging. There were moments where you sounded unsure, which affected how confident you appeared. Try to make more eye contact to make your delivery better.</t>
  </si>
  <si>
    <t>Your voice is clear and easy to follow, but I think building more confidence in your delivery will make a big difference. Don't get nervous and you will do great!</t>
  </si>
  <si>
    <t>Great job���it was really engaging, and you spoke with confidence. To make an even greater impact, working on pronunciation will help ensure your message comes across clearly. Some words were a bit hard to catch, so try not to rush through them.</t>
  </si>
  <si>
    <t>Your arguments were well thought out and convincing. To make your speech even more engaging, try incorporating a variety of examples. Also, to improve further, focusing on looking up more during your speech will help .</t>
  </si>
  <si>
    <t>"It was an engaging speech! To make it even better, I���d suggest using synonyms to add variety to your language. Also, try varying your tone of voice more to keep the audience interested. Great job overall!</t>
  </si>
  <si>
    <t>You have clear ideas and a strong message to share. To make it even more effective, try varying your tone of voice to keep the audience engaged, and work on delivering it more naturally. Looking up more will help make your delivery feel more fluid and confident.</t>
  </si>
  <si>
    <t>You had a strong start, with a reflective exercise, and then make a though game. And then you included the audience, and in general, the ideas seem to be ordered. Something you could work on is your body language and gestures, for example, standing allows you to be more expressive in many ways, and also it helps your poise in the image. Your ideas are strong, the thing to work on is on your delivery. You managed time well. Good job.</t>
  </si>
  <si>
    <t>Something to take in mind from the get go is that you need to give eye contact to connect with your audience, it also makes you more convincing. Also, by exclusively reading, you don't seem as sure as you could by looking into the camera. Another thing to make you have a stronger flow of ideas, and to have examples, you can come up with 5 ideas, choose 3, and develop each for 1 minute, and then come up with a conclusion, so that you don't run out of topics. You could alos improve your body language by standing, and using your hands to convey your ideas. Good try.</t>
  </si>
  <si>
    <t>It is interesting to start with a topic and then discussing it. That was good, but something that you can improve in is your body language, since your camera was too high, we couldn't see your hand gestures. Something that you can come up with is to write down some ideas, choosing three, and developing them with at least 2 examples each, so that you can give a min per idea, and then 30 secs for each example, that is going to help your flow. You have a strong pronunciation, and a good flow. You could speak in a more sure way. Try to avoid words such as like. Well done in general.</t>
  </si>
  <si>
    <t>You had a bumpy start, to begin with, you can try to pace the way that you speak, because that is going to help your intonation, and your flow in general. Try to stand up and use more gestures with your hands and arms. Also, try not to read, instead try to look more into the eyes of your audience, that makes you look more sure and that makes you convincing. To work on your ideas, try to make brainstroms and develop at least one or two strong ideas, so that you avoid being repetitive, and the structure makes more sense.</t>
  </si>
  <si>
    <t>The way you are starting is a strong start, the idea is good, you need to pace yourself a bit, you can be sure that your ideas are good, you are comming up with examples, and you are trying to explain what you are trying to convey. Staying sitting down played against you, because we didn't get to see the hand gestures that you clearly were doing, also, if you had stood up, then you would avoided the temptation to come and go in the chair. Something to observe, is that you are not being repetitive, you are trying to contrast, you are moving from one and idea to another, and it makes sense, it would be good to go a bit slower, record yourself and try to make your flow a bit more paused. Very good job in general.</t>
  </si>
  <si>
    <t>It is interesting to begin with where you come from if it is relevant in your speech, while it is formal and it used to be done, it is not as usual nowadays. You could begin with your topic directly. You can start with a story or an anecdote that you know of or that you have done so that we can connect with your topic. Also, another thing to consider, think next time about how you put your camera, we could only see your face, so we can't really judge the parts of body language, something that you can start with, you can stand up, that way we can see your hands. For your ideas, try to think about a conclusion and try to consider two or three ideas that can get you there and use them in the three minutes. Good effort</t>
  </si>
  <si>
    <t>Don't try to rush, if you pace it, you can develop ideas and try to connect with your audience, the way that you started was interesting, but then, instead of going into your example, you started describing things generally, if you tell a good story, you are already describing without the need of being direct. You can also dedicate more time to explain things, or going into the examples that you give, like the ones you give about images. That was a good example. Another thing to consider is that you should stand up and use your gestures more, both with the hands and with the rest of the torso. Don't try to read as much, if you don't look at the audience in the eye, they can't really connect with you. Maybe thing of a conclusion first, and then consider ideas to get there. Good attempt.</t>
  </si>
  <si>
    <t xml:space="preserve">Something that could've helped you would've been to go into your example directly, instead of telling me that you are going to give me an example and then telling me that, you are losing time that you could use to develop ideas, also, examples and stories are more engaging. The part that you talked about how you engage in the world was very good, that was interesting. Something that you can improve is to stand and to use your body language more, because if you stood, we could've seen more your hand gestures. Very good on staying focused with the distraction. You could do more eye contact, and being on the chair, it played against you since you were moving a lot. Focus more on your conclusion, and that way you can manage your time better. Good effort. </t>
  </si>
  <si>
    <t>I lthought you made a good impact when you started your speech. I liked your parent analogy, but it was a bit long before your got to the point - so I thought I wasn't following your strucutere &amp; train of thought. Shorten it to ensure you don't lose the impact by making it too long</t>
  </si>
  <si>
    <t>Try not read because you are not making eye contact and this affects your score. When you lost your place reading, it  made you lose clarity and coherence of your argument</t>
  </si>
  <si>
    <t xml:space="preserve">I really liked your personal anecdotes and you prepared some good arguments. Your delivery is a little </t>
  </si>
  <si>
    <t>Try not to read too much  Sebastian, because it is affecting your eye contact with the audience</t>
  </si>
  <si>
    <t>Your eye contact is good but try not to sway your body so much. I think you should work on using pauses for effect - rather than trying to get through sentences quickly - it will enhance the clarity and coherence of your arguments as well as the impact on the listener</t>
  </si>
  <si>
    <t>Well done - your voice is clear and you use it well, using intonation. to emphasiise your points.  It was a shame we could not see your hands - only your head</t>
  </si>
  <si>
    <t>Remember to maintain eye contact - the best parts of your speech were the parts when you were directly talking t the screen. Try to avoid repeating arguments</t>
  </si>
  <si>
    <t xml:space="preserve">Try not to repeat arguments - I like that you defined you ideas about art, but I think you focused heavily on ChatGPT, which is less about art image creation. You need to be aware of the time, because you overan the time limit </t>
  </si>
  <si>
    <t xml:space="preserve">I really enjoyed your speech, the idea was really good. I would recommend try to stand up, or do more hand gestures just to make some more engagement with the audience. Also, try to clarify what's the main idea you want to clearly state. </t>
  </si>
  <si>
    <t>The start of your speech was really good. Try to have more clarity on the idea, or improve the fluency of your speech, don��t worry, being nervous is normal, but don't let others know that.</t>
  </si>
  <si>
    <t xml:space="preserve">I get what you are trying to say, I do believe that you have clarity in your arguments. Just try to move on with your ideas or arguments, or explain in wigh way the ideas connects over all. </t>
  </si>
  <si>
    <t>It was really clear the topic of your speech! I couldn't really see or understand the main point or argument you wanted to prove. It also seemed like you were reading the e ntire speech, so it was very difficult for me to follow or engage with it. Try to improve that among with your body language</t>
  </si>
  <si>
    <t xml:space="preserve">I really like thet idea you were trying to prove. At some moments, I really lost the main idea, or I was really confused about your arguments or examples about your main idea. </t>
  </si>
  <si>
    <t>I really like the confidence you had and the persuation you had. Try to state the main idea of your speech, or your main argument just for us to understand what you are trying to prove. Also try to stand up just for us to feel the engagement of your speech.</t>
  </si>
  <si>
    <t xml:space="preserve">I do believe the idea of your speech was clear. Try to connect more the evidence with your main idea, because at some moments I thought you were talking about something else. Also try to improve the engagment with the public at the start of your speech. </t>
  </si>
  <si>
    <t>The main idea of your speech was really interesting. Try to be more clear or improve the way you explain every idea and argument you have. Don't be nervous, you are doing great.</t>
  </si>
  <si>
    <t xml:space="preserve">Sort of lost me at some point, same points repeated, overall clear linking back to the question and detailed delivery. </t>
  </si>
  <si>
    <t xml:space="preserve">Started out very very strong with a clear idea of what you wanted to sya, as the speech continued this went away. stay focus, maintain eye contact and do not use fillers. </t>
  </si>
  <si>
    <t>very strong argument, nice onfidence, create a stronger conclusion, use less fillers.</t>
  </si>
  <si>
    <t xml:space="preserve">Clear idea of main argument, and very impactful delivery of this idea, however there could be more develpoment to this as well as an equally powerful conclusion. </t>
  </si>
  <si>
    <t xml:space="preserve">Strong srgument with very clear central idea. Good charisma and stage presence. Conclusion summed up the argument very well slighty repetitive delivery, could disengage an audience. </t>
  </si>
  <si>
    <t>Clear focused idea, clear critical thinking and discussion of counterarguments, you could hold more eye contact to engage and make sure your conlusion is more powerful</t>
  </si>
  <si>
    <t xml:space="preserve">Clear idea and point and focused, nice consideration of counterarguments try to hold mor eye contact with the audience and maintain a natural delivery. </t>
  </si>
  <si>
    <t xml:space="preserve">Very coherent and focused argument, could use less fillers and manage time better to complete the powerful conclusion. </t>
  </si>
  <si>
    <t>Your speech included personal experiences that helped connect with the audience, and your persuasion and impact were effective. You also demonstrated a logical flow in your reasoning.However, relying too much on reading made it feel less natural, and the slow pace affected engagement. The topic wasn���t entirely clear, so working on structuring your ideas more effectively will help. Building confidence and presence will also strengthen your delivery.</t>
  </si>
  <si>
    <t>Your speech had strong intonation and presence, and you appeared confident throughout most of it. The topic was clear, and your reasoning was well-structured.However, working on pronunciation and pacing will help make your speech more engaging���speaking too fast at times made it harder to follow. Relying less on reading will also allow for a more natural and dynamic delivery. With some adjustments, your delivery can become even stronger</t>
  </si>
  <si>
    <t>Your speech demonstrated strong confidence, presence, and intonation, making it engaging and easy to follow. The topic was clear, and your reasoning was well-developed.However, diving deeper into your arguments would have strengthened your speech even more. Additionally, the conclusion felt rushed���taking more time to wrap up your ideas with impact would leave a stronger impression. Overall, a solid and confident delivery</t>
  </si>
  <si>
    <t>Your speech had strong intonation and a solid presence, keeping the audience engaged. You delivered your points well and maintained good energy throughout.However, working on your confidence could enhance your delivery even more. The conclusion felt abrupt, and the topic could have been clearer, as it focused heavily on personal experiences. Adding a broader perspective and a stronger closing statement would make your speech more impactful</t>
  </si>
  <si>
    <t>Your speech had excellent presence, intonation, and pacing, making it engaging and easy to follow. The topic was clearly presented, and your conclusion was strong and impactful.To improve further, try to make your delivery feel a bit more natural, as some moments came across as slightly exaggerated. With a more relaxed approach, your speech will feel even more authentic and compelling.</t>
  </si>
  <si>
    <t xml:space="preserve">Your speech had a clear topic and a good pacing for most of the delivery. You presented your ideas well, showing a solid understanding of the subject.To improve, work on building more confidence and maintaining strong presence throughout. The conclusion felt abrupt, and the speech could have been structured to avoid repetition. Additionally, managing time effectively will help ensure a smoother and more complete ending. </t>
  </si>
  <si>
    <t>Your speech had a clear topic and strong structure, with well-supported arguments. You demonstrated good confidence and stage presence, which helped in delivering your message effectively.To improve, try to engage more with the audience by maintaining eye contact and relying less on reading. This will help enhance your presence and make your delivery feel more natural. Additionally, avoid repetition to keep the speech more dynamic and engaging.</t>
  </si>
  <si>
    <t>Your speech had strong pacing and intonation, making it engaging and easy to follow. Your confidence and presence were evident, which helped deliver your message effectively. The topic on conformism was clear, and you provided solid arguments throughout.To improve, try to make your delivery feel more natural, as some moments felt a bit exaggerated. Additionally, avoid repetition to keep the audience engaged, and work on delivering a more impactful conclusion</t>
  </si>
  <si>
    <t>Your speech was engaging with excellent intonation and clear pronunciation, which made it easy to follow. Your presence was strong, and you conveyed your ideas well. The topic was clear and well-supported throughout, though the ending felt a bit repetitive.To improve, try to rely less on reading and engage more with the audience directly. This will help you sound even more natural and confident.</t>
  </si>
  <si>
    <t>Daniela, you seem really confident but sometimes you make long pauses where there shouldn't be. The organization of you speech was not very clear and try to provide more examples in order to support your arguments.</t>
  </si>
  <si>
    <t>Jorge, your voice and intonation are quite compelling and you seem to be very confident. The arguments you provide are convincing but it was not very clear how you support them. Provide more examples that can clarify and convince your point</t>
  </si>
  <si>
    <t xml:space="preserve">Great voice, intonation and pace. You provide the right time for the audience to grasp the idea of what you are saying. Looking at the audience also makes a good impression. I'd recommend providing more meaningful examples of your arguments, more recent examples to make it more meaningful. You kind of went off topic for a while. </t>
  </si>
  <si>
    <t>Great eye contact and variety of intonation. Your speech had a very good beginning but went flat along the way. Keep the same intensity throughout. Provide more specific examples</t>
  </si>
  <si>
    <t>Great use of body language and pauses to make your points. The examples provided are quite accurate to persuade your audience. Be careful with words like "scientist". Try to speak a little faster to provide more arguments.</t>
  </si>
  <si>
    <t>What a way to start!! Quite authentic! Your speech was really coherent and you provide lots of examples and reasons to believe your arguments are strong and convincing. You also make pauses and change the intonation to add a great effect on the audience. Just be careful with timing and nervousness. The end was a little messy</t>
  </si>
  <si>
    <t xml:space="preserve">You look a little nervous, relax! Your tone of voice is clear and you make pauses and vary intonation to provide a good effect on the audience. Try not to read as it seems that you are not looking at the audience. The speech is well organised but try to provide more examples to clarify your ideas. </t>
  </si>
  <si>
    <t xml:space="preserve">Good tone of voice and body language! The structue and some examples provided are quite convincing. Storytelling helps to have an impact on your audiences. Try not to look so mucha t you notes, it feels you are not engaging the audience. Your beginning was strong, try to keep it that way all the way through.  </t>
  </si>
  <si>
    <t xml:space="preserve">I really liked the way you organise your ideas and the arguments you provide as well as hoe you develop them or provide supporting ideas like examples and reasons. I'd recommend not looking at your notes and instead look at the audience. Also, try to avoid repeating the same idea over and over. </t>
  </si>
  <si>
    <t>The candidate used anecdotes effectively to demonstrate her points and related them to the question well. However, she should work on integrating a wider range of examples as well as developing them more critically. But overall it was a good attempt - well done!</t>
  </si>
  <si>
    <t>The candidate spoke confidently and used a wide range of examples to back up his points. However, I would like to see these more directly related to the question. I would also like to see him speak slower. But overall it was a good speech - well done!</t>
  </si>
  <si>
    <t>The candidate had a very effective and confident opening and carried this sentiment through her speech. She also used a good range of well explained examples. However, to improve, I would suggest she works on maintaining eye contact with her audience and reducing her number of hand gestures. But overall it was a great speech - well done!</t>
  </si>
  <si>
    <t>The candidate used a good anecdote and related it back to the prompt effectively. However, to improve, I would like to see her integrating a wider range of examples into her speech as well as making more eye contact with her audience. But overall it was a great effort - well done!</t>
  </si>
  <si>
    <t>The candidate had a really effective and confident opening and this sentiment was carried through the whole speech. He also used a good range of examples and his speech followed a logical development. However, to improve, I would suggest he tries to stay still more whilst speaking, perhaps through using less hand gestures. But overall it was a great speech - well done!</t>
  </si>
  <si>
    <t>I really like the candidate's usage of an anecdote and it was developed and related back to the prompt effectively. However, to improve I would like to see her integrating a wider range of examples as well as focusing on her time management. But overall it was a great effort - well done!</t>
  </si>
  <si>
    <t>The canddiate used a really nice opening and spoke confidently through her speech. However, to improve she needs to speak more naturally with a more concerted effort to make eye contact with her audience. Through doing this, she will also be able to manage her timing better. But overall it was a good effort - well done!</t>
  </si>
  <si>
    <t>The candidate used a good example and both analysed and related it back to the question effectively. However, to improve I would like to see her working more on her engagement with the audience, perhaps through more natural eye contact. But overall it was a good speech - well done!</t>
  </si>
  <si>
    <t>I really enjoyed how the candidate opened her speech with a quote. She also spoke very confidently throughout. However, to improve, I would like to see her bring in a wider range of examples which can then be developed to strengthen her overall argument. But overall it was a great effort - well done!</t>
  </si>
  <si>
    <t xml:space="preserve">Your intonation and fluency were strong, and your examples were relevant and engaging. However, to take your presentation to the next level, consider incorporating more body language to enhance your delivery. While your examples were good, adding a bit more critical analysis would strengthen your argument. Keep up the good work with your clarity and pacing, but continue practicing confidence in your posture and eye contact. </t>
  </si>
  <si>
    <t xml:space="preserve"> I really liked how you used body language to engage with the audience and how you incorporated examples of Mexican culture���it added a nice personal touch. However, to strengthen your argument, consider diving deeper into the analysis and including a more impactful conclusion. It would also be helpful to share some personal experiences to make your points even more relatable. Your ideas were well-organized, and your intonation was clear</t>
  </si>
  <si>
    <t xml:space="preserve">Your delivery was  great, and your body language really helped engage the audience. The examples you provided were relevant, though they could benefit from a bit more analysis to strengthen your argument. The structure of your speech was clear and well-organized, which made it easy to follow. </t>
  </si>
  <si>
    <t>Your body language was engaging, and I really enjoyed the creative metaphor you used to begin and finish your speech���it was a great touch. You demonstrated confidence, and your intonation and voice were spot on. The use of personal experience added a nice, relatable element to your argument. To make your speech even stronger, try diving deeper into the analysis of your arguments. This will help you elevate your points and make your message even more impactful</t>
  </si>
  <si>
    <t xml:space="preserve"> You showed confidence, and your speech had a clear structure, which helped keep it organized. The examples you provided were relevant, but adding more analysis would really strengthen your points. It's also important to focus on your body language, as it helps engage the audience���this could make a big difference in your delivery. I noticed that at times you rushed and ran out of time, so working on pacing could help ensure you fully develop your ideas.</t>
  </si>
  <si>
    <t xml:space="preserve">Your body language and voice were both strong and really helped engage the audience. The structure of your speech was clear, and you effectively used personal experience and well-known cases as examples. To make your speech even more impactful, try incorporating more creative and unique examples that can help set your message apart. </t>
  </si>
  <si>
    <t xml:space="preserve"> The examples you provided were a good way to open your argument, but it would be even stronger if you incorporated more analysis to develop your points further. Your pronunciation and use of pauses were great, which helped make your speech clear. However, it���s important to work on your body language and avoid relying too much on your notes, as engaging with the audience will make your delivery more dynamic.</t>
  </si>
  <si>
    <t>You did a good job with your voice and intonation, which helped keep your speech clear. You can improve your body language to better engage with the audience, and try not to rely too much on reading from your notes. Be mindful of time management so you can fully develop your points. Your arguments and examples were solid, but adding deeper analysis will make them more convincing and impactful.</t>
  </si>
  <si>
    <t>You used pauses and intonation very effectively, making your speech dynamic and engaging. Your rhetorical questions were a great way to keep the audience involved, and your examples and quotes showed strong critical thinking skills.To improve, try organizing your arguments more clearly around one main idea so that your message flows smoothly rather than shifting back and forth between success and failure. Also, incorporating personal anecdotes could make your speech even more impactful and relatable.Finally, consider standing up to fully use body language���it will help you connect even more with your audience. Keep up the great work!</t>
  </si>
  <si>
    <t>Your intonation and pauses were very effective, keeping the audience engaged throughout your speech. Great job! The use of personal stories made your examples even more relatable, which helped connect with your listeners.To make your points even stronger, consider asking questions and addressing the audience directly���it can create a more interactive and compelling speech. Also, refining your argument structure by focusing on just one main idea will improve the overall clarity and impact of your message.You're on the right track���keep building on these strengths!</t>
  </si>
  <si>
    <t>You had a strong start with a clear argument, and your use of quotes was engaging, drawing the audience into your speech. The personal anecdotes you included made your message even more relatable and impactful. Plus, your body language was effective in naturally emphasizing your main points.Your perspective was engaging and clearly connected to the topic. For future speeches, consider exploring a more creative angle to make your message even more memorable.Great job���keep building on these strengths!</t>
  </si>
  <si>
    <t>You delivered your speech with great confidence, using intonation and pauses effectively to keep the audience engaged. Your main argument was clear, and the personal experiences you shared made it even more relatable. The metaphor you used was a strong choice���it really helped emphasize your key point.To make your speech even more compelling, consider including other perspectives or counterarguments to add depth and make it even more thought-provoking. Also, great job using body language effectively���standing up made a strong impact.Well done! Keep up the great work!</t>
  </si>
  <si>
    <t>Starting with a question and addressing the audience directly was a great choice! To make an even stronger impact, consider refining your first question to be more powerful and thought-provoking.Your delivery was confident, which was great to see! To enhance it further, try to be more mindful of body language���avoiding too much movement back and forth will help project even more confidence. Your arguments were well-organized, and to improve fluency, try using a wider range of connectors instead of relying on 'so' or 'meanwhile.'Finally, selecting the most important examples and arguments will help ensure you don���t run out of time. Keep up the great work!</t>
  </si>
  <si>
    <t>Starting with a question and addressing the audience directly was a great choice! It immediately grabbed attention, and your pauses and intonation helped keep the audience engaged while making your arguments clear.Your use of personal anecdotes made the speech relatable, and your perspective was interesting. To make it even more unique, consider using more creative or unexpected examples���this will help your speech stand out, especially if others have used popular references like Apple or other well-known companies.Your body language was effective, and you ended on a strong note with a powerful final quote. Great job���keep building on these strengths!</t>
  </si>
  <si>
    <t>Starting with a vivid picture for the audience was a clever and creative choice���it immediately captured their attention and made your speech engaging from the start. Your intonation and pronunciation were very clear, which made your message easy to follow.To enhance your delivery even further, try using more purposeful body language to reinforce your key points. Your perspective was interesting, and you included lots of relevant examples, which added strength to your argument. You came across as very confident, but at times, it seemed like you were reading. To keep a natural flow, try using brief notes as a guide rather than relying too much on your paper.Great job���keep up the strong work!</t>
  </si>
  <si>
    <t>Your use of personal anecdotes made your speech both relatable and impactful. Pauses and rhetorical questions were very effective in keeping the audience engaged, and your argument was clear and well-organized.To make your delivery even stronger, consider using body language more intentionally to emphasize key points. Also, incorporating counterarguments could help you make the best use of your time and demonstrate deeper analysis.Great job���keep building on these strengths!</t>
  </si>
  <si>
    <t xml:space="preserve">Good job. You had some great ideas and some interesting examples. Perhaps you can work on polishing one argument and back up your examples with outside sources. Also remember to us  body language and eye contact consistently to enagage with your audience. </t>
  </si>
  <si>
    <t xml:space="preserve">Good job. You had some interesting ideas, examples and good voice intonation. Perhaps try to work on defining one argument and backing up your examples with sources besides your own opinions. Perhaps it would have been interesting to work more on the prompt.  Also consider some counterarguments, so that your speech has an argumentation and not only examples. Be mindful of your body language since it can distract your audience, so try to use consistent eye contact and specific movements.  </t>
  </si>
  <si>
    <t>Excellent job. Your speech had an interesting structure and I liked that your argument went from a specific example to more general ones. Your body language and voice intonation was great as well. Perhaps try to consider counterarguments and different implications to add another layer of complexity to your speech.</t>
  </si>
  <si>
    <t xml:space="preserve">Great job. You had a good use of body language and  voice intonation. It helps you engage with your audience, so try to also have a clear and catchy introduction. Your examples showed self-awareness, perhaps try to add another layer of complexity by using outside sources and developy your examples. Also consider other counterarguments and the implications in relation to your argument. </t>
  </si>
  <si>
    <t>Good. Careful with the lights in your room, we couldn't properly see your face or body movements, so it was hard to evaluate your speech as a whole. You mentioned some interesting examples, but I couldn't pin point a concrete argument. Perhaps try to focus on one or two and develope them with outside sources to sustain your argument and tie everthing in a clear conclusion. Also with using fillers in a speech since it can distract your audience from what matters.</t>
  </si>
  <si>
    <t xml:space="preserve">Great job. You have a good use of body language and voice intonation. It is great because you grasp the attention from the audience. Perhaps you can try to add another layer of complexity if you consider counterarguments and explore the implications of different perspectives. Also rememer to include outside sources to sustain your arguments. </t>
  </si>
  <si>
    <t>Good. You had an interesting introduction and you used examples to support your speech that was based on the prompt. However, it would have been interesting to hear more development of your arguments besides only focusing on the examples. For that you can include counterarguments and tie up the main points of your speech in a clear conclusion. Also remember to use your notes as a guide and not to read most of the speech since it is an important element to use your body language and consistent eye contact effectively.</t>
  </si>
  <si>
    <t xml:space="preserve">Good. You had a great voice intonation, body language and interesting ideas. Perhaps you could have been more consistent in your eye contact since your introduction and arguments are related to your examples from your personal experiences. This time your examples were a bit repetitive and it was difficult to understand the develepment of your arguments. Remember to think of possible counterarguments and other perspectives, so you can add another layer of complexity to your arguments. Also remember to use outside sources to sustain your ideas and examples. </t>
  </si>
  <si>
    <t>Especially at the beginning it seemed like you were reading too much.  Body language can improve. Your anecdote was helpful as a base, you can use these to build up on more examples so you are more persuasive</t>
  </si>
  <si>
    <t>In order to read less, you can read and mention a subtitle or main point and then ellaborate on it. Your tone was good and consistent. You can improve your analysis and persuasion by saying how your examples are proving your point.</t>
  </si>
  <si>
    <t>Good intonation and body language, useful for engagement. Your points can be more clear so that you persuade your audience. Tip: use an engaging title for the points.</t>
  </si>
  <si>
    <t>Good intonation and overall delivery. You can make your speech more persuasive by being more clear about your arguments. What should we be convinced about?</t>
  </si>
  <si>
    <t>You mentioned your arguments and that is really helpful. It shows good structure, make sure you follow it. Personal examples are useful and talking about the competition was illustrative, meake sure you go back to the point. Good engagement through body language and gestures.</t>
  </si>
  <si>
    <t>Your calm style is helpful to engage. Varying examples can help you have more content for analyis. You were clear about your conclusions but they could have been more convincing with stronger arguments.</t>
  </si>
  <si>
    <t>It seemed like you were reading way too much. For an efficient delivery, pauses are good when combined with a varying tone and speed. More examples allow for deeper analysis. Good comeback (when you said 'something we can learn from...')</t>
  </si>
  <si>
    <t>Your tone was appropriate.  Your argument(s) can be more clear, this can improve  by using more examples. You had a good use of rhethoric devices and an interesting narrative.</t>
  </si>
  <si>
    <t>Please note that frequently looking down at your script can make it difficult to maintain strong eye contact with the audience. Instead, use notes with key words to help you remember the main ideas.</t>
  </si>
  <si>
    <t>Hold your notes at eye level if needed but aim to memorize the main flow of your speech so you only glance occasionally.</t>
  </si>
  <si>
    <t>I really enjoyed your speech! You used gestures effectively to emphasize your points without overdoing them. In front of a camera you were perfect, however keep in my mind that in front of a stage you will have to project your voice more so that even those in the back can hear you clearly.</t>
  </si>
  <si>
    <t>Your voice was clear and strong, making it easy for everyone to hear you. If you need a moment to think, a brief pause is okay���rushing too quickly can make it harder to organize your ideas. When giving a speech, you are on the spot, so try not to play with your chair. You are good enough to feel confident, don���t doubt yourself!</t>
  </si>
  <si>
    <t>Your pacing was excellent���not too fast or too slow! Your hand gestures matched your words well, enhancing your speech and making it more engaging.</t>
  </si>
  <si>
    <t>Try to use more vocal variety to emphasize key points and keep the audience engaged. Also, a bit more structure, like a clear ending, would make your points stand out better.</t>
  </si>
  <si>
    <t>Using gestures to highlight key points can help add emphasis and make your speech more dynamic. However, be aware of overusing it! Avoid moving your hands too much, as it can be distracting to the audience.</t>
  </si>
  <si>
    <t>I liked how you provided clear examples to support your points. Please make sure to enunciate words clearly, especially when speaking quickly, so that nothing gets lost.</t>
  </si>
  <si>
    <t>Your speech was structured and well-paced, making it easy to follow. Your tone was  ok. To enhance your delivery, try varying your vocal pitch to add more emphasis and energy. Also try to keep a stronger eye contact with the audience. Also, using intentional hand gestures can make your points more compelling. Overall, a great effort with strong potential!</t>
  </si>
  <si>
    <t>You had good stage presence, and your speech was well-prepared. Your articulation was clear, and your tone kept the audience engaged. You effectively used pauses for emphasis, which added depth to your delivery. A small suggestion would be to use more purposeful movement rather than pacing. Your enthusiasm for the subject was evident.</t>
  </si>
  <si>
    <t>Your speech was well-organized, and your voice carried confidence. Your pace was appropriate, and your use of pauses strengthened your message. One area for improvement is adding more vocal inflection to highlight key points and make the speech more dynamic. Overall, a strong and compelling presentation!</t>
  </si>
  <si>
    <t>Your delivery was engaging, and you maintained strong eye contact with the audience. The speech had a logical flow, making it easy to follow. Your pauses allowed for reflection, which enhanced your impact. To elevate your performance.. Your confidence and knowledge of the topic were evident.</t>
  </si>
  <si>
    <t>Your speech demonstrated strong organization and reasonable flow. Your voice projection could be improved if you reduce nervoursness. I liked how you used pauses . A small improvement could be reducing nervousness since it noticed in your voice and gestures to make the speech even more compelling. Overall, you did a fantastic job connecting with your audience!</t>
  </si>
  <si>
    <t>Your speech was articulate and well-paced. Your tone was steady and engaging, making it easy to follow. The pauses you used added impact, allowing the audience to absorb it. One area for improvement is adding more emotion to match your message. Also, keep the focus on your words. Excellent effort overall!</t>
  </si>
  <si>
    <t>Your speech was well-structured and easy to follow. I suggest adding more vocal variation to highlight key moments and keep the audience engaged. Also use less hand movement to avoid audience distraction. Also, working on reducing nervous movements will enhance your presence. Overall, you showed  a strong grasp of your topic.</t>
  </si>
  <si>
    <t xml:space="preserve"> You maintained a steady pace and made good use of pauses. I suggest adding more vocal variation to highlight key moments and keep the audience more engaged. Also, working on your examples linked to your arguments will enhance your the delivery more adding more to your presence. Overall, you had a clear objetive in mind and you came to present it.</t>
  </si>
  <si>
    <t>Congratulations on reaching the semifinals! Your first sentence hooked me, and personal examples were compelling. Great development and clear enunciation helped convey your message. Work on projecting your voice and avoiding false cognates. Keep up the excellent time management and enthusiasm���your potential is evident!</t>
  </si>
  <si>
    <t>Congratulations on reaching the semifinals! Your clear introduction and gestures set a strong tone. Relevant examples and counterarguments added depth, while your transitions were seamless. Excellent enunciation and time management rounded out a compelling speech. Keep up the great work���your skills are truly impressive!</t>
  </si>
  <si>
    <t>Congratulations on reaching the semifinals! Your personal story was touching and engaging. Nice eye contact added warmth. Work on projecting your voice and strengthening your conclusion. While this round was a bit challenging, your previous performance showed great potential���keep building on that!</t>
  </si>
  <si>
    <t>Congratulations on reaching the semifinals! Your calm demeanor and intelligent analysis impressed me. Nice gestures and transitions enhanced your speech. Great job presenting counterarguments and using pauses effectively. Work on pacing your conclusion to leave a lasting impact���your potential is evident!</t>
  </si>
  <si>
    <t>Congratulations on reaching the semifinals! Your voice was engaging, and the personal examples were relatable. The quote and analogy added depth to your argument. Work on building confidence to smooth out hesitations���your creativity and potential are shining through! Keep up the great work!</t>
  </si>
  <si>
    <t>Congratulations on reaching the semifinals! Your charismatic presence was very captivating. While your performance was engaging, focus on balancing it with deeper analysis and clearer enunciation. Consider adding counterarguments and strengthening your conclusion. That final sentence was really powerful���nice final touch!</t>
  </si>
  <si>
    <t>Congratulations on reaching the semifinals! Your energy and intro were engaging. Work on owning your personal examples to add passion and depth. Practice to smooth out pauses and improve time management. Strengthen your conclusion to leave a lasting impact���your potential is there, keep growing!</t>
  </si>
  <si>
    <t>Congratulations on reaching the semifinals! Your intro was engaging, and your voice, body language, and eye contact were strong. Work on making your passion sincere and your analysis deeper. Practice to smooth out hesitations and strengthen your conclusion���your potential is evident, keep refining your skills!</t>
  </si>
  <si>
    <t>You did a great job explaining your ideas clearly and using relatable examples like making cookies and online shopping, To make your speech even stronger, try to connect your examples more directly tothe main idea. Also, varying your tone and adding more emphasis and body language could help keep the audience engaged. Keep practicing, and great work!</t>
  </si>
  <si>
    <t>Great job delivering your speech. Your message about persistence and trying again, even in relationships, was strong and meaningful. Keep prscticing and try to go deeper in your insights.</t>
  </si>
  <si>
    <t>Your message was easy to follow, keep improving your pace and tones, and practicing your body language. Go deeper in your analysis and practice effective transitios between ideas.</t>
  </si>
  <si>
    <t>Great job on your speech! Your voice, intonation, and pace made tour message engaging and easy to follow. Your analogy about muscles needing to break to grow was powerful and helped illustrate resilience well. To improve, you could add more personal examples to make ir even more relatable. Keep up the great work!</t>
  </si>
  <si>
    <t>Your speech had a deep and thoughtful message about the miracle of human learning. You expressed your ideas crearly, and your perspective was inspiring. To make it even stronger, try adding more personal examples or a story to connect more with the audience.</t>
  </si>
  <si>
    <t>Your speech was very personal, with a lot of body language and tones. Sharing your own journey of growth and recognizing your fear made your message powerful and relatable. To improve, try adding strong closing statement and going deeper in your analysis and being more reflexive.</t>
  </si>
  <si>
    <t>Your speech was engaging and full of energy! Your use of bosy language made your message even more powerful. Try to add a closing statement to leave a lasting impact.</t>
  </si>
  <si>
    <t>Yor speech was clear and with a good delivery, try to add more examples that are in your own story to make it even more relatable and keep the audienge engaged. Varying your tone and add more emphasis yo key point could help you to find strong closures.</t>
  </si>
  <si>
    <t>I loved the reference to baking, it's a pretty simple and easy example for the judge to follow.A good amount of examples were used to demonstrate the prompt. But I would have liked them to be more developed of the lesson that was learned, the real impact of the mistake on your person to improve.</t>
  </si>
  <si>
    <t>I liked the use of paraverbal language and the facial gestures you applied to emphasize things.It is very good that you answer the questions What if ...? But you should go deeper than the what if, the emotional impact that this could have.</t>
  </si>
  <si>
    <t>Delving deeper into what caused you to never win something would have generated more depth and allowed for more connection on the part of the listener.The final part, which made you feel lucky, should have been later in the speech, in order to connect and make the speech more engaging.</t>
  </si>
  <si>
    <t>We can get up, get clean and try again.The approach is very good, as it allows us to see that we can do it again, but the idea was to orient it to, if we fail, we get up, clean up and learn, which is the important part of learning from failure.The use of paraverbal language was very good, moving hands and the use of voice to be able to connect with you.</t>
  </si>
  <si>
    <t>I find it a little hard to understand between the connection of having a second chance and being able to learn from things. I would have liked you to go more in depth on that.On the other hand, your use of paraverbal language and showing that learning is important allowed me to connect with your speech. Following along was very easy as you had no interruptions.</t>
  </si>
  <si>
    <t>Good use of paraverbal language and telling a personal story allowed to connect faster with you, storytelling allows the audience to empathize, so that's very good.</t>
  </si>
  <si>
    <t>The coaches say we can improve.It's fine for other people to tell us that, but it would have been better to focus on the, I think I can improve, which he continued to do during the speech, so that's good.Moving your hands to emphasize things is a great tool, but if you move them too often it loses the meaning of what you are emphasizing.The depth was very good, so keep it up.</t>
  </si>
  <si>
    <t>It was a little difficult to follow the speech, I think you have to look for ways to connect with the listener, either with more paraverbal language.The approach was good, but it was hard to connect as I mentioned before.</t>
  </si>
  <si>
    <t>Strong presence all the time.Persuasion was there because the speaker really believed it. Various examples but advice to focus on less but more analized. With more examples you will be able to support your arguments providing a deeper analysis.</t>
  </si>
  <si>
    <t>Good analysis in examples from big thing to more individual. Gain confidence with the time. Clear structure all time.  The speech was easy to follow.</t>
  </si>
  <si>
    <t>Strategically use of phraes for impact. Creative examples were used. The examples were usefull to support your arguments but it is important to connect them with your main points and close strongly in the conclusion.</t>
  </si>
  <si>
    <t>The personal anecdotes were important to engage the audience. It would be important that you try to create an impact with more analysis of arguments.</t>
  </si>
  <si>
    <t>Gestures that adapt to the words, letting a better understanding on persuasion adn emotions. Good and smooth introudctions and ending. Try to take advantage on body language and eye contact to be more persuasive.</t>
  </si>
  <si>
    <t>steady presence all along clear structure, personal example that made him confident. It would be important to keep eye contact and use body language to sound more persuasive.</t>
  </si>
  <si>
    <t xml:space="preserve">Charisma that made conection from second 1. Try to analyze your arguments deeper providing facts and tangible examples. </t>
  </si>
  <si>
    <t>great personal experience that became the center of speech which persuade, analize, and gave depth and good transition to the structure</t>
  </si>
  <si>
    <t>The speech had a personal tone that made it engaging from the beginning. The tone made your speech easy to understand. Try to balance the speech and close strongly in the conclusion.</t>
  </si>
  <si>
    <t>Great use of body language and tone variation, that made your delivery sound natural. Your conclusion was strong, and you provided a solid analysis of argumentation. You also demostrated a strong presence.</t>
  </si>
  <si>
    <t>Your hand gestures helped emphasize key ideas. You provided strong examples related to politics and wars. Despite some hesitation, your argumentation improved as the speech progressed and it became more persuasive toward the end. Try to incorporate more eye contact for a stronger delivery.</t>
  </si>
  <si>
    <t>Your argumentation was strong and the delivery was very persuasive. You effectively used a quote and other examples to strengthen your argument.Despite some hesitation, your analysis was solid. Try to make more eye contact to enhance engagement with the audience.</t>
  </si>
  <si>
    <t>Good use of examples and a strong connection to personal experience. To make your speech more impactful, try engaging the audience more and incorporating more eye contact and hand gestures.</t>
  </si>
  <si>
    <t>Great job engaging the audience from the start by using the word "imagine" to invite reflection. You asked some questions and it strengthened audience involvement. Your delivery was persuasive, with effective body language and hand gestures. Strong use of examples and argumentation, along with a confident presence and intonation.</t>
  </si>
  <si>
    <t>Good posture and effective hand gestures, along with a strong connection to personal experience. Your examples made the speech feel more natural.Despite some hesitation, you managed to convey your ideas clearly.</t>
  </si>
  <si>
    <t>Great job engaging the audience by asking questions at the beginning. You used strong examples, effective intonation, and tone variation. Your hand gestures and eye contact enhanced your delivery, you showed confidence. Your use of rhetorical questions was impactful.</t>
  </si>
  <si>
    <t>Strong start by asking a question and relating to personal experience, you engaged the audience effectively. Good posture, hand gestures, voice intonation, and eye contact, made your delivery sound very natural. You have a strong presence and a persuasive approach, and you successfully invited the audience to take action, which resulted in a more impactful speech.</t>
  </si>
  <si>
    <t xml:space="preserve">Good argumentation by offering a different perspective on failure. Speaking from a personal point of view made the speech sound more natural. You also made effective use of hand gestures to emphasize your points. </t>
  </si>
  <si>
    <t>You started strongly by connecting your speech to your personal experience, making it engaging and relatable. You clearly stated the idea that we learn more from failure than from success and effectively explained how, according to your perspective, failure leads to greater knowledge. To improve, consider addressing the counterpoint that failure does not always lead to growth for everyone, as some people may struggle to recover from setbacks. Acknowledging this nuance will strengthen your argument and make your speech more balanced and persuasive</t>
  </si>
  <si>
    <t>You started your speech well by connecting it to your current situation, making it relatable and engaging. You then explained how we can learn a lot from failures and provided relevant examples to support your point. To improve, focus on making your arguments clearer and strengthening the logical connections between your ideas to create a more cohesive speech. Additionally, work on your stage presence���purposeful movement and confident body language will help you appear more self-assured and increase audience engagement.</t>
  </si>
  <si>
    <t>You started your speech in a really strong way by connecting it to important figures from human history, which immediately captured attention. Your ideas were interesting, but at times, it seemed like you wanted to cover too many different points, causing you to lose focus. While you managed to bring your speech back on track, it���s important to establish a clearer and simpler structure to ensure that you can convey everything you want without losing focus or engagement with the audience. A well-organized speech will make your message more effective and persuasive.</t>
  </si>
  <si>
    <t>You started your speech in a great way by engaging the audience with a question about past experiences, making it relatable and thought-provoking. You then explained your main idea clearly, with strong connections to your personal life, which added depth and authenticity. While you successfully conveyed your message, you need to work on further developing your explanation and strengthening the arguments that support your main idea. Additionally, paying more attention to your movements and stage presence will help you project confidence and enhance audience engagement.</t>
  </si>
  <si>
    <t>You started your speech effectively with a rhetorical question, which was a great way to engage the audience. You then explained how failure can be seen as a teacher that helps us gain new knowledge, which was a strong and insightful approach. To improve, consider exploring the idea that failure does not always lead to growth, as it can also discourage some people. Acknowledging this perspective will help balance your argument and make your speech more nuanced and persuasive.</t>
  </si>
  <si>
    <t>You did a great job starting your speech with something personally relevant and connecting it to your main idea, effectively paving the way for your explanation. Your use of mistakes in chess to illustrate how failure is not a loss but an opportunity to learn was a strong and engaging example. To improve, work on clarifying your perspective on failure by acknowledging that it doesn���t always lead to growth. Highlighting both the positive and negative aspects can create a more balanced argument and serve as a powerful way to connect with your audience on a deeper level.</t>
  </si>
  <si>
    <t>You started your speech in a wonderful and clear way, immediately capturing the audience���s attention. Your explanation of what we can gain from failure was engaging and original, and you effectively connected your main idea to your personal experience. Your mention of sports as a learning ground was a strong and relatable example. To improve, consider exploring the necessity of failure for success more deeply by presenting the counterargument. Acknowledging the other side of the idea will make your argument more balanced and persuasive, helping you connect with a wider audience.</t>
  </si>
  <si>
    <t>You started your speech in a really strong way by sharing a difficult experience, which helped you connect with the audience on a personal level. Your use of your own experience and your participation in the tournament effectively illustrated how failure can be a valuable learning opportunity. To improve, focus on strengthening your arguments beyond just examples. While personal stories are powerful, incorporating more elaborated reasoning and analysis will make your speech more persuasive and compelling for your audience.</t>
  </si>
  <si>
    <t>You started your speech in a really effective way, successfully engaging with the audience from the beginning. Throughout your speech, you conveyed your ideas clearly and effectively. To improve, focus on strengthening your argumentation by ensuring a better balance between examples and logical reasoning. While examples are valuable, working on clearer logical connections and well-structured arguments will make your speech more persuasive and impactful.</t>
  </si>
  <si>
    <t xml:space="preserve">You spoke with  steady pace, and your speech followed a clear structure. To improve, I would recommend working on your confidence, as at times you seemed to stutter or not know what to say next. You also overran with your speech. But overall, it was a good effort. </t>
  </si>
  <si>
    <t xml:space="preserve">Your speech was well-thought out, and you spoke very naturally and confidently. To improve, I recommend focussing on certain mistakes in your vocabulary: for example, you said 'when you success' as opposed to 'when you succeed', this is a minor issue thought. Overall, I found your speech engaging and intelligent. </t>
  </si>
  <si>
    <t xml:space="preserve">Your speech included a range of engaging metaphors, and examples of the importance of historical figures in determining a country's history. To improve, I would recommend trying to speak with less gaps between ideas, as this made you seem slightly nervous and unsure of yourself. Overall, it was a good speech. </t>
  </si>
  <si>
    <t xml:space="preserve">I enjoyed how you considered the negative and positive impacts of human upon the globe, however, this did mean that you veered from the terms of the prompt. You focussed more on human autonomy, as opposed to the relationship between a country and its people. I did however enjoy your unique approach to tackling the question. </t>
  </si>
  <si>
    <t xml:space="preserve">You delivered an impactful and confident speech, with complex and high-level vocabulary. It had a clear structure. One way to improve, would be to vary the tone and volume of your voice. You spoke very loudly throughout the speech, and it meant that your central ideas were not emphasised in your delivery. Overall, a great effort. </t>
  </si>
  <si>
    <t xml:space="preserve">Your speech was engaging and well thought-out. You provided a variety of personal anecdotes which helped to eludicate your central argument. To improve, perhaps work on the structure of your speech, and provide a slightly more developed conclusion. Well done. </t>
  </si>
  <si>
    <t xml:space="preserve">Your speech flowed very well, using a variety of personal anecdotes to help explain your points and ideas. You spoke confidently, with an even pace and tone. To improve, I would recommend using an example of a failure that was not yours. Well done. </t>
  </si>
  <si>
    <t xml:space="preserve">You spoke clearly and confidently, and you stayed within the time limit, and your speech had a clear structure. Your delivery was natural, and I found your speech engaging. To improve, I would recommend you try to focus on how to transition from one example to the next more smoothly. </t>
  </si>
  <si>
    <t xml:space="preserve">Well done! Using personal experiences as evidence strengthens your position and makes your argument more relatable and credible to the audience. I recommend planning counterarguments as well. This will demonstrate that you are considering multiple perspectives and avoiding bias.  a small penalization took place, you took 3 minutes and 20 seconds. </t>
  </si>
  <si>
    <t>Choosing a title for your speech gives the audience a sense of personalization and preparation���well done! You presented both success and failure but remained at a descriptive level rather than fully analyzing both sides. Incorporating firsthand examples strengthens your speech���s credibility. You used 2 minutes and 30 seconds</t>
  </si>
  <si>
    <t>Your use of voice and intonation created a rhythm that made your speech engaging. However, some of your statements were strong affirmations that could polarize the argument. It's always beneficial to include counterarguments to demonstrate a broader perspective, allowing you to take a well-founded position while inviting the audience to support your view. Additionally, consider allocating more time for your closure by revisiting your initial idea for a stronger, more cohesive ending.</t>
  </si>
  <si>
    <t>Your formal introduction, including your name, school, and prompt, was an excellent way to start. You maintained a good rhythm and pace throughout your speech. To strengthen your argument, consider structuring it around three main ideas, incorporating diverse perspectives, as well as advantages and disadvantages. This will provide the audience with a broader understanding of the topic. Additionally, plan enough time for a strong and impactful closure, as your ending felt too abrupt.</t>
  </si>
  <si>
    <t>Congratulations! You are a well-developed speaker, and while there are areas to refine, we are confident you will continue strengthening your skills. Your speech had a clear structure, effectively dividing the contrasts of your prompt into chapters with well-defined concepts. However, you frequently looked down to read, which may have affected audience engagement. Additionally, you repeated key words like failure and success often, consider using synonyms to showcase a broader vocabulary and enhance your delivery. Keep up the great work!</t>
  </si>
  <si>
    <t>Well done! Using opening questions to engage the audience is an excellent way to start your speech. Incorporating personal experiences as evidence strengthens your position, making your argument more relatable and credible. However, you remained in a descriptive approach, whereas a deeper analysis was expected. To enhance your speech, consider integrating counterarguments to demonstrate a well-rounded perspective and minimize bias. Keep up the great work!</t>
  </si>
  <si>
    <t>Your use of voice and intonation created a rhythm that made your speech engaging. The connections between your arguments were logical and cohesive. To strengthen your delivery, consider incorporating counterarguments to showcase a broader perspective and reinforce your position while inviting audience support. Additionally, try using your notes as cues rather than relying on them too much, allowing for a more natural and fluid presentation.</t>
  </si>
  <si>
    <t>Congratulations! Your speech had a clear structure, effectively highlighting the contrasts within your prompt. Your voice, intonation, and rhythm kept the audience engaged, creating a natural interest in your message. Acknowledging that you may not be the best adds credibility and helps convey an unbiased perspective. To further enhance your delivery, consider using synonyms to expand your vocabulary and add variety to your speech. Keep up the great work!</t>
  </si>
  <si>
    <t>You have a great tone of voice, which helps engage the audience. To enhance your impact, use more decisive gestures and maintain strong eye contact to reinforce your emotions. Keep going!</t>
  </si>
  <si>
    <t>To sound more confident, make eye contact and use clear gestures. Also, focus on clearer enunciation to ensure your message is delivered effectively.</t>
  </si>
  <si>
    <t>You have a great voice! Now, add gestures and body language to make your speech more engaging. Also, try using synonyms to avoid repeating the same word too often.</t>
  </si>
  <si>
    <t>Your voice is very clear! Try to look up more instead of reading so you can connect with the audience. Also, use more gestures to make your speech more impactful.</t>
  </si>
  <si>
    <t>You���re a naturally gifted speaker! To make your speech more engaging, try to avoid reading too much and focus on connecting with the audience.</t>
  </si>
  <si>
    <t>You use your voice well to convey emotion, and sharing personal experiences makes your speech more engaging. Next time, try adding counterarguments to strengthen your points. Great job!</t>
  </si>
  <si>
    <t>Your voice is clear, and you use intonation well to show emotion. Now, add gestures to make your speech more impactful. Try to read less so you can keep eye contact and engage the audience more.</t>
  </si>
  <si>
    <t>Your voice is clear, and your volume is great. Work a bit more on your gestures to make your delivery more impactful. Adding personal experiences made your speech engaging and relatable���well done!</t>
  </si>
  <si>
    <t>Good tone of voice and quite convincing arguments. Be careful with the structure of your speech, provide more examples and facts to make it more convincing.</t>
  </si>
  <si>
    <t xml:space="preserve">The arguments provided are quite strong and unexpected. That gives you points. Use your body language to be more convincing and keep eye contact. </t>
  </si>
  <si>
    <t>Good arguments, quite convincing, and full of examples, you analysed different contexts. Be carefull with reading, it limits your performance: eye-contact, body language</t>
  </si>
  <si>
    <t xml:space="preserve">Good body language and eye contact. It was really It is unclear how you structure the sentence. </t>
  </si>
  <si>
    <t>You look very confident and the pauses you make in your speech make a good impact on the audience. Sometimes you resort to your notes, try not to do it so often. Go to the point within the first seconds and make your speech clearer to have a better impact.</t>
  </si>
  <si>
    <t xml:space="preserve">Good pace and good questions you ask yourself as reflection. Try to vary your tone of voice and body language to have a better impact on your audience. </t>
  </si>
  <si>
    <t xml:space="preserve">Your points are quite convincing and real. They are also quite balanced and meaningful. Try not to read and look at your audience instead. You will also have a better impact on the audience if you could use your hands to make </t>
  </si>
  <si>
    <t>You started really strong, you had a great idea and I got very clearly the main point of your speech. I think you should have a more clear structure or try to order your ideas to deliver a well-structured speech which is easy to follow.</t>
  </si>
  <si>
    <t>You had great ideas! Try to analye them or give more or give more exmaples to support them. It would be important that you connect your conclusion to the main point. Use persuasive language to highlight the importance of your points.</t>
  </si>
  <si>
    <t>Your speech was really good! Your arguments were strong and clear, and they had a clear impact. Try to organize your speech in a coherent sequence so that it is easy to follow. This will help you manage your time effectively.</t>
  </si>
  <si>
    <t>Your idea was really good. Next time try to connect more your ideas, or have a strong structure just so it's easier for us to understand your idea. This will help you improve your time management.</t>
  </si>
  <si>
    <t>Your seemed very confident during your speech. Try to give more analysis to your argument or think of examples to prove your point. This will help the audience feel engaged and understand the impact of your speech.</t>
  </si>
  <si>
    <t>Good start! Try to state your arguments or your main points clearly, so it's easier to understand. Also try to analyse more your ideas or give more examples to support them. Try to close with a strong conclusion that ties all the main points together.</t>
  </si>
  <si>
    <t>Your idea was really interesting! Try to engage more with the audience (look at the camera, stand up, etc) just to improve the expression. Also analyse more your ideas or give more examples to support your points. Use persuasive language to make the audience understand your points.</t>
  </si>
  <si>
    <t>Good job. Your speech had a good structure and you had some interesting examples However,  try to be mindful of your time and use the three minutes in their entirety. Perhaps you could focus on one argument and develop it by quoting some source. Also you could try to enage with your audience using eye contact and body language.</t>
  </si>
  <si>
    <t>Good. You had an interesting topic with great examples. You could have developed some of your ideas by focusing on one or two arguments, focus on some examples and sustain your ideas with a quote from an outside source. By having a clear structure, introduction, development and conclusion, you can confidently deliver a speech in both form and content.</t>
  </si>
  <si>
    <t xml:space="preserve">Excelent work. Your  ability to express and deliver your ideas and arguments is impressive. You also had good examples and perhaps you can mention some concrete sources to sustain your arguments. For example, when you talk about some natural resource like water, you can briefly but concrete name some examples from Mexico or another country. </t>
  </si>
  <si>
    <t>Good job. You had some interesting exampleas and arguments which show it is a topic you found amusing. Perhaps you could engage with your audience and have a strong structure by giving examples and asking questions. Also to support your arguments, remember to tie up the main  points of your speech and to finish your speech with a clear conclusion.</t>
  </si>
  <si>
    <t>Excelent work. You had a great speech and your ability to convey your argument was impressive. You had good examples that could be sustained by some concrete source or data. Perhaps you could try to tie up your main points with a clear conclusion to close strongly.</t>
  </si>
  <si>
    <t>Great job. You had a great delivery. Your speech included some good questions, but remember to use this resource as a way to engage with your audience and to follow up with your own arguments. Try to support them with tangible example and quotes. Finally, remember to tie up your arguments in the conclusion.</t>
  </si>
  <si>
    <t>Good job. You chose a topic that you clearly connected with and found interesting. Perhaps you could elaborate some of your ideas with concrete examples and sustain your arguments witth sources. You could have also developed the pros and cons since you mentioned it as part of your speech's structure. Rememer to be mindful with the use of transitions and avoid the use of fillers as much as possile, since it can distract your audience from your speech.</t>
  </si>
  <si>
    <t>Your performance exuded a captivating mysterious air, and your humor kept the audience engaged. You clearly commanded the stage, but consider slowing your pace for clearer enunciation. While your topic was intriguing, diving deeper could enhance your message. A concluding statement would also strengthen your overall delivery. Great effort!</t>
  </si>
  <si>
    <t>Your presentation showed promise, particularly with your clear conclusion. While there were moments of stumbling and reliance on notes, your analysis of the topic was commendable. I encourage you to further develop your arguments and counterarguments for a more convincing delivery in the future.</t>
  </si>
  <si>
    <t>Overall, a confident and exciting presentation! You used sophisticated language with vivid imagery. Relying on notes is fine, but try to slow down to improve pronunciation. Your argument was strong, with good historical examples and time management. Work on your body language, but well done!</t>
  </si>
  <si>
    <t>Your speech was impressively structured, showcasing your ability to present complex data clearly. While I noticed some nervousness and minor stumbling, your effective time management kept the audience engaged. With a bit more focus on pronunciation, you���ll elevate your delivery even further. Great effort overall!</t>
  </si>
  <si>
    <t>Well done on taking part! It's clear you put in effort, and your passion for the topic shone through. While there's room to develop your structure and analysis with more examples and counterarguments, this was a valuable experience to build upon. Keep practicing!</t>
  </si>
  <si>
    <t>Your presentation showed great enthusiasm, which is commendable! However, focusing on a stronger introduction and more in-depth analysis would enhance your argument's impact. Reducing filler words and improving structure will make your points clearer. Additionally, working on body language can help engage your audience more effectively.</t>
  </si>
  <si>
    <t>Overall, that was a strong showing! You started with a captivating introduction and presented some truly interesting information. While your argument was compelling, remember to work on your eye contact and body language to connect with the audience. A stronger conclusion would leave a lasting impact. Keep practicing!</t>
  </si>
  <si>
    <t>Thank you for your presentation; you shared your ideas well! To make them even clearer, try enunciating more so your audience can follow along easily. Using simple, structured language with smooth transitions will also help your speech flow better.</t>
  </si>
  <si>
    <t>Thank you for your presentation! Varying your tone to express emotions, enunciating more clearly, and using gestures can help make your speech more engaging and impactful.</t>
  </si>
  <si>
    <t>Great opening and speech structure! Adding more variety to your tone and gestures can enhance engagement and make your message even more impactful. Try to use rhetoric questions that call to action so that the audience engages with your speech.</t>
  </si>
  <si>
    <t>Great job structuring your speech! Relax a bit and focus on making your phrasing more natural to sound more fluent and confident. You may use cue cards to avoid losing track or the structure of the speech so that it flows easily.</t>
  </si>
  <si>
    <t>Work on your expression by varying your tone of voice and using gestures to make your delivery more engaging and dynamic. Try to manage your time effectively so that you can close strongly tying all the main points together.</t>
  </si>
  <si>
    <t>Work on using intonation and volume to make your speech more dynamic and engaging, and add gestures to strengthen your message. It would be important that you keep a clear structure throughout the speech so that it is easy to follow.</t>
  </si>
  <si>
    <t>Great ideas! Try recording yourself delivering your speech to observe your gestures and add more variety to make your presentation even more engaging. Make use of persuasive language and play with your tone and pitch to engage your audience.</t>
  </si>
  <si>
    <t>The candidate spoke confidently and clearly. I also really like  her usage of an anecdote to introduce her speech. However, I would have liked to see this anecdote be related more directly to the speech's prompt. But overall it was a good effort - well done!</t>
  </si>
  <si>
    <t>I really liked the overall idea of the candidate's speech and wide range of examples were used to back up her points. However to improve, I would love to see her working more on confidence while speaking and engagement with the audience. But overall it was a good speech - well done!</t>
  </si>
  <si>
    <t>The candidate had an excellent opening to her speech and maintained this very confident delivery throughout. She also effectively used a wide range of examples. However, to improve, I would suggest that she focuses on making eye contact with the audience more. But overall it was a great speech - well done!</t>
  </si>
  <si>
    <t>The candidate's introduction was very good, clearly laying out the trajectory that the speech would take. He also used a wide range of examples to back up his points. However, I would have liked to see these examples developed more thoroughly. But overall it was a great attempt - well done!</t>
  </si>
  <si>
    <t>The candidate spoke confidently and used hand gestures effectively. Whilst she always remained on topic, I would have liked to see her draw from a wider range of examples and analyse these critically. But overall it was a good effort - well done!</t>
  </si>
  <si>
    <t>The candidate used a good amount of examples to justify her points and made a good attempt to critically evaluate them. However, to improve, I would like to see her focus even more on her critical evaluation and persuasiveness of her arguments. But overall it was a good effort - well done!</t>
  </si>
  <si>
    <t>I really enjoyed the examples that the candidate used and he did a realy good job at critically evaluating them. However, to improve, I would suggest he works on engagement with his audience, especially through eye contact. But overall it was a really good effort - well done!</t>
  </si>
  <si>
    <t>Good intonation. Your position could have been more clear by stating each argument explicitly. Good conclusion.</t>
  </si>
  <si>
    <t xml:space="preserve">Good delivery. You can emphasise points if you vary your intonation. More examples can helpillustrate your points bettter. </t>
  </si>
  <si>
    <t>Good arguments, they were clear from the start. Your pace was engaging. You can be more analutical if you consider the implcations of your arguments.</t>
  </si>
  <si>
    <t>Great delivery. Good mixture of rhetoric devices and argumentation. Your arguments can go deeper, especially considering different points of view and implications.</t>
  </si>
  <si>
    <t>Your structure was clear and useful to follow your speech. Clear conclusion. You can benefit from using more examples.</t>
  </si>
  <si>
    <t xml:space="preserve">Good intonation, especially towards the end of the speech. It seemed like you were mostly reading. You were making good points and giving examples. It can be helpful to use a subtite or concise phrase and then ellaborating upon that. </t>
  </si>
  <si>
    <t>You used a lot of facts, which gave you credibility, nonetheless, your speech could��ve had more cohesion if you had linked your examples to a bigger idea. Your main argument could��ve been more clearly stated. You could��ve also used more inflections in your voice in order to emphasize on some ideas.</t>
  </si>
  <si>
    <t>The fact that you took the topic towards indigenous cultures was risky, nonetheless it paid off, since it demonstrated depth in the content of your speech. You look familiarized with the topic, and it showed in the points you touched, which focused on different perspectives of the problem and built a solid, convincing argument. You could slow your pace a little bit so that you look more in control of yourself and get more credibility. Maybe compress your ideas more.</t>
  </si>
  <si>
    <t>It was good you approached the topic from different axes, from the psychological part of being alone, to the necessity of resources, nonetheless, the transition between those approaches could��ve been more subtle. You could��ve gone deeper in the analysis of your examples, which would��ve given your argument greater development.</t>
  </si>
  <si>
    <t>You had a great introduction, full of pathos, imagery. Throughout the speech you used a lot of rhetorical elements like repetitions, and you talked directly to the audience calling to action, nonetheless, you could��ve used some time in order to develop your argument further, with more concise examples and reasoned ideas. Your delivery was great.</t>
  </si>
  <si>
    <t xml:space="preserve">You were looked really comfortable and confident giving yoir speech, and I beleive it was because of the clear structure you developed. We can see a good preparation work. You developed your ideas enough and gave examples based on everyday problems that connected well with us. Your tone was littlle bit flat at times, and it would��ve been good to have more changes on intonation and body gestures. </t>
  </si>
  <si>
    <t>You started with a good introduction, giving examples, like the mars robot, which would��ve helped to develop your argument further. Nonetheless, you finished rather fast and we didn��t have a chance to get deeper into your argument. You also lacked eye contact, since your were reading  and more body language.</t>
  </si>
  <si>
    <t>Asking questions was a good strategy, your answers with stadistics and data gave us a sense of an informed background, good  use of body language using your hands. Your use of time was below the expected.</t>
  </si>
  <si>
    <t xml:space="preserve">Really good speech, evidence of clear structure breaking down your ideas within planned time, You touched ethical issues and the importance of giving free will which convinced the audience of your informed background. Good use of   of space, voice modulations and  gesticulations.  My recomendation for the clousure, go back to the promt and give us an affirmation that you have a firm posture on the quote. </t>
  </si>
  <si>
    <t>Starting your speech with a personal desire is a good strategy to engage the audience, However you need more  informed facts to convince with a background. My recomendation, use your arguments to persuade the audience clearly on one side of the promt, you made me doubt if you would rather stay in earth and save resources or if you had a chance to explore and bring knowledge back to earth.</t>
  </si>
  <si>
    <t>Really engaging start with the poetic reasons that link you to earth, good use of personal space, standing up and using your hands to express your thoughts, my recomendation, spend more time going deeper into three main ideas, contrast the positive and negative aspects that help you state a clear position to your promt. For your clousure go back to the original quote and affirm that you achieved your goal.</t>
  </si>
  <si>
    <t>Really good speech, your asset was having a clear structure, you divided your time into tree main ideas, Using questions for the audience to think in reasons is a good strategy ton convince them in favour of your position, and your clousure was an excellent invitation to affirm your perspective.  My recomendation, add stadistics, of nowardays data that confirm your informed background.</t>
  </si>
  <si>
    <t>Using references such as big companies that explore space or contemporary movies is a good strategy to engage the audience, it was an invitation to reflect on the promt. My recomendation, use your notes as reminders of your ideas, don��t read the speech, plan 3 ideas that you could break down into one minute each, that way you can reach to the 3 minute requirement</t>
  </si>
  <si>
    <t xml:space="preserve"> Good delivery and expresion, however,  you are going from one idea to the next, it was not a very organised speech, I recommend you to have a clear stance and stick with it. In terms of evidence, it was very hypothetical.</t>
  </si>
  <si>
    <t>In terms of delivery and expression you did an excellent job. However, in terms of organisation the intro was a little bit confusing. I didn't know what the speech was about immediatly. Then it was about a country. And then about identity. Then you changed to Spanish to connect to "El Charro" (I would recommend you to reduce the use of Spanish to the minimum, however it was very effective to make your point come accross). It was a very creative take on the prompt, but lacked organisation.</t>
  </si>
  <si>
    <t xml:space="preserve">Cultural appropriation vs. cultural appreciation. Interesting take on the prompt, very informed. The style was consistent and the speech was really well organised. </t>
  </si>
  <si>
    <t xml:space="preserve">You gave lots of examples of AI uses. But the analysis was not very deep to support your conclusion. In terms of expression and delivery, I would recommend you to look more at the camera and less at your notes. </t>
  </si>
  <si>
    <t>Evidence to support the idea that we need to explore the universe was presented and it was convincing. However, the speech  was too short to really perfom an analysis of why to do so. In terms of expression and delivery, I congratulate you for emphasising and making pauses at the right time. I noticed that you became a little bit nervous towards the end and I think it was because you noticed you lacked a solid conclusion.</t>
  </si>
  <si>
    <t xml:space="preserve">Adequate interpretation of the prompt and clear stance, however, having a clearer structure could have enhanced the delivery of the content. </t>
  </si>
  <si>
    <t xml:space="preserve">Yhvf Zvthry Fnapurm </t>
  </si>
  <si>
    <t xml:space="preserve">Intonation was adequate and your body language helped to convey meaning. Try to personalize the content with examples that relate to you. The conten was relavant and engaging. You can improve by pausing a bit to emphasise a concept. </t>
  </si>
  <si>
    <t xml:space="preserve">Good stage management and use of your tone of voice.  The use of Spanish did not contrubute to the overal achievement of the speech avoid this. You can improve by making sure you answer the retorical questions you asked. </t>
  </si>
  <si>
    <t xml:space="preserve">Structure of the speech was adequate and the content relevant. The depth of the speech can be more meaningful by the inclusion of examples and quotes that can reinforce the strenght of the messaje. </t>
  </si>
  <si>
    <t xml:space="preserve">The use of markers such as finally etc geve a clear structure to your speech. You should avoid checking your notes while you are giving your speech. The </t>
  </si>
  <si>
    <t xml:space="preserve">Sturcture of the speech is clear the content was relevant and porvided with evidence and examples. You should extend the speech a bit more so that you do not fall short. </t>
  </si>
  <si>
    <t xml:space="preserve">Stucture is adequate and content was relevant. Intonation was suitable. Try to aviod fillers such as "i don��t know" to give yourself some time. </t>
  </si>
  <si>
    <t>I liked the arguments you provided, it made your speech engaging. You also had a clear structure and managed the time properly. I would be useful to have more eye contact with the audience.</t>
  </si>
  <si>
    <t>I appreciate the your voice and intonation to hold my attention. You provided convincing arguments and included useful information. I suggest to work on the structure of your speech, clearly present and introduction and a conclusion.</t>
  </si>
  <si>
    <t>The delivery of your speech was very good. The use of body language and eye contact was appropriate as well. I would like to see more use of examples and a clearer structure in your speech.</t>
  </si>
  <si>
    <t>I liked the way you structured your speech and manage your time. You also use relevant data and evidence to support your arguments. I suggest you to improve eye contact and connection with the audience.</t>
  </si>
  <si>
    <t>You had a really good use of your voice and gave a speech with a clear structure. You used relevant information and used time properly. I would like to see better eye contact and discuss the implications a bit more.</t>
  </si>
  <si>
    <t>Your speech was clear and given appropriately. You used relevant data and provided the implications of the topic selected. I would advise to work on your body language and eye contact, as well on the structure of your speech somewhat.</t>
  </si>
  <si>
    <t>V��ctor, your speech was well organized. However, there was a lot of interference. Try to speak louder and change the tune and pitch to create an engaging atmosphere. Try giving tangible examples to support your arguments.</t>
  </si>
  <si>
    <t>Alexandra, even when it was an impromptu speech, you managed to analyze your arguments coherently and stronger. It would be important that you lessen the speed to create a suspenseful atmosphere.</t>
  </si>
  <si>
    <t>Sophie your speech followed a coherent sequence. It provided tangible examples to support your arguments. Your points were clear for the audience. Try to tie up your points tightly in the conclusion so that you create a persuasive impact on the audience.</t>
  </si>
  <si>
    <t>Maximiliano, your points were clear from the beginning, you explain thoroughly the ipact of AI in political campaigns, it was easy to follow. However, it would be important to provide a deeper analysis. Try to change your voice and tune to engage the audience. Try to use cue cards with bullet points to avoid reading.</t>
  </si>
  <si>
    <t>Cristobal, you analyzed your arguments clearly, they were easy to follow and they were strengthen with tangible examples. It would be important to avoid using the same intonation. Use different tones to engage the audience.</t>
  </si>
  <si>
    <t>Viridiana, the topic you chose was important to be debateable. You explained your points from the beginning of the speech. It would be important that you seize your timing to deepen in the arguments and create engagement in the audience. Avoid reading and try to use cue cards with bullet points to follow the structure of your speech.</t>
  </si>
  <si>
    <t>You have an interesting cadence that sounds a bit like you are narrating a documentary. With practice, this can become a very personal and unique style. Your arguments do need a bit more work. While you were up to a good start, I sensed a lack of a strong main argument with examples to support it. Keep that in mind!</t>
  </si>
  <si>
    <t>Your speech was very well structured, with clear arguments and convincing rhetoric to back them up.  Congratulations! You slipped up a bit by the end of the speech but you picked up and quickly regained your confidence, which is the best way to handle these situations. I would advise you to work on your body language. Our hands can be an eloquent tool for delivering our speeches, but you should be careful not to move them in repetitive patterns. Adjust your body language to the differents moods of your speech, just like you do with your voice.</t>
  </si>
  <si>
    <t>Your speech had a strong, urgent tone, and you did a great job of conveying that urgency through your voice. It really made me feel emotional about the topic. Good job! Your body language was a bit limited; you were only using your hand to emphasize some points, but you could use a wider range of gestures to match the emotions your voice is conveying. Also, your speech was a bit short; you could have used those remaining seconds to provide a couple more examples to make your argument stronger.</t>
  </si>
  <si>
    <t>Your speech addressed the major points of your chosen topic, and you did a good job of weaving them into a coherent, logical sequence. Mentioning the legal angle was a great idea; you could have delved a bit deeper into it if you used more of your allotted time. You directly addressed the audience at some points, which gives your speech a more personal, engaging quality; be sure to work on your delivery and practice so you can overcome your nervousness in future speeches.</t>
  </si>
  <si>
    <t>Your speech began on a personal note and ended on an open question to leave the audience thinking. These were very good choices; the opening and the end of a speech tend to be the parts people remember the most, so it's important to make them strong. However, your speech could have used some arguments beyond your own personal experience. Cultural identity means a lot of things to people from different backgrounds, so when speaking exclusively about your own experience you risk not connecting with parts of your audience. You have a nice, soothing voice; try to make more eye contact and not look down at your written material so often.</t>
  </si>
  <si>
    <t>You were up to a good start with a relevant and emotional personal anecdote. You could have built a rousing speech from there if you had taken advantage of your allotted time. Next time, don't rush yourself. It was clear what your main argument was going to be; take your time to elaborate on it and come up with examples to back it up.</t>
  </si>
  <si>
    <t>Your argumentation was strong and well-structured. Despite some audio difficulties, you managed to deliver your speech effectively. Try to incorporate more eye contact and body language to engage the audience more.</t>
  </si>
  <si>
    <t>Great posture and excellent use of body language and hand gestures. You had a strong presence, you engaged the audience effectively and used relevant examples to support your point. Your ideas were well-structured, and your conclusion was impactful. A bit more eye contact would enhance your delivery.</t>
  </si>
  <si>
    <t>Great voice and effective use of pauses, intonation and tone variation. Your arguments were persuasive, and your hand gestures helped emphasize key ideas. It would be helpful to improve the overall structure of the speech.</t>
  </si>
  <si>
    <t>You started off with a question, effectively engaging the audience and relating to a relevant day-to-day topic. Your argumentation was strong and your speech was persuasive, inviting the audience to reflect.</t>
  </si>
  <si>
    <t xml:space="preserve">You effectively related to personal experience, making your speech more engaging. Try to make more eye contact and incorporate voice variation to enhance your delivery. Your open question encouraged reflection. Adding a bit more structure would strengthen your speech in the future. </t>
  </si>
  <si>
    <t xml:space="preserve">Strong start by incorporating personal experience and presenting persuasive arguments. Using more body language and hand gestures would enhance your delivery. The speech was shorter than expected, I would suggest making full use of the allotted time in the future. Try not to read too much and make more eye contact for better engagement. </t>
  </si>
  <si>
    <t xml:space="preserve">Great job on your delivery! Your voice and gestures were engaging. While your intro was solid, consider strengthening it and exploring more nuanced arguments. Adding counterarguments and a stronger conclusion would elevate your speech. </t>
  </si>
  <si>
    <t>Great job on maintaining strong eye contact and body language! However, focus on enunciation and pacing to avoid stumbles. Consider strengthening your argument with clearer structure and more depth to support a more confident conclusion. Keep working on these areas to enhance your overall delivery.</t>
  </si>
  <si>
    <t>Great passion and engaging gestures! You started with a compelling question and provided relevant examples. However, consider exploring them more deeply and maintaining a consistent tone to enhance your delivery. Refine your structure for a smoother flow. Keep up the enthusiasm!</t>
  </si>
  <si>
    <t>Great effort! While your delivery was low-key, there's potential for growth. Consider engaging more with your audience and exploring topics more deeply. Practice can help you feel more confident and connected to your message.</t>
  </si>
  <si>
    <t>Your speech showed promise with engaging data and a nice conclusion. While you warmed up nicely, consider reducing note reliance and improving eye contact. Practice will help smooth out stumbles and deepen analysis. Great potential</t>
  </si>
  <si>
    <t>Great energy and engaging delivery! Your intro was strong, and you showed good command of voice and gestures. While your personal approach was refreshing, some points strayed from the topic, and analysis could be deeper. Keep exploring unique perspectives, but refine your focus for a stronger impact.</t>
  </si>
  <si>
    <t>You had clear intonation and a strong presence, which helped make your speech engaging. Adding personal experiences was a great touch, making your points more relatable and meaningful.  To improve, try to organize your ideas more clearly to strengthen the flow of your speech. Managing nerves and working on a smoother conclusion will also help create a more polished delivery. Be mindful of time management to ensure all key points are covered effectively.</t>
  </si>
  <si>
    <t>You made a good effort in delivering your speech, and it���s great that you pushed through despite feeling nervous. With more practice, you can build confidence and improve your delivery.  To improve, focus on making your main idea clearer and maintaining a steady pace throughout your speech. Working on your presence and intonation will help engage the audience more effectively.</t>
  </si>
  <si>
    <t>You delivered a strong and confident speech with great intonation and presence, effectively engaging the audience. Your arguments were clear, and you demonstrated a solid understanding of the topic.  To improve, try to avoid repetition and work on refining your conclusion to leave a stronger final impression. Balancing your delivery to sound more natural will also enhance your impact.</t>
  </si>
  <si>
    <t>You showed a good effort in delivering your speech despite the technical difficulties. It���s great that you pushed through, and your willingness to present is commendable.  To improve, focus on managing nerves and ensuring a clearer pace and theme to make your message more structured. Working on a smoother conclusion will also help leave a stronger impact. Keep practicing</t>
  </si>
  <si>
    <t>You had a strong start with a clear subject, which helped engage the audience. Your delivery showed potential, and you maintained good energy throughout the speech.  To improve, focus on maintaining confidence and presence to keep your delivery strong from start to finish. Avoiding repetition and working on a smoother conclusion will also help create a more polished speech.</t>
  </si>
  <si>
    <t>You had strong prescence and intonation, making your speech engaging and natural. Your confidence was evident, and you demonstrated a solid understanding about the family subject. To improve, try to balance your points to avoid repetition and ensure all aspects of the topic are fully adressed, human rights clud have been better interated.Also refining pronunciation and timing your conclusion more efectively will help create a smoother delivery.</t>
  </si>
  <si>
    <t>You have a strong, clear voice with great volume���well done! To improve, work on structuring your ideas more clearly so your main message stands out. Also, try incorporating more gestures to keep your delivery engaging and dynamic. Keep practicing!</t>
  </si>
  <si>
    <t>Focus on improving your enunciation and pronunciation to make your speech clearer. Reducing hesitation will also help your message come across more effectively. Try preparing short, memorized phrases to give yourself time to think while maintaining fluency. Keep practicing!</t>
  </si>
  <si>
    <t>Your voice is very clear���great job! However, your excitement sometimes caused you to rush and overlap your own words, making it harder to follow your ideas. Try to balance enthusiasm with control so your message remains clear and impactful. Let your ideas shine!</t>
  </si>
  <si>
    <t>Work on using volume and intonation to add more variety and keep your speech engaging. Also, incorporate gestures to make your delivery more dynamic and impactful. Keep refining your performance!</t>
  </si>
  <si>
    <t xml:space="preserve">Your voice and volume are clear���well done! To make your speech more engaging, experiment with intonation and pitch. Your gestures were great; now, focus on using more discourse markers (like however, moreover, on the other hand) to connect your ideas smoothly and enhance fluency. Keep it up! </t>
  </si>
  <si>
    <t>You have a clear voice, great tone, and engaging gestures���plus a natural charm! To improve, focus on structuring your argument more clearly so your main message stands out. Use more speech markers (firstly, in contrast, as a result) to connect your ideas smoothly. Keep honing your skills!</t>
  </si>
  <si>
    <t>While the first metaphor as a bit interesting, it would've been more convincing to try to make a point sooner, maybe a story or an example, instead of talking in the abstract, it is better to tell me a situation that shows values than to talk about values, words are all talk, but ideas are more compelling as something real. I would've stood up instead of sitting down, it gives you a better range of movement. More intonation could've been better. Good pronunciation. Good effort.</t>
  </si>
  <si>
    <t>Good call on starting with a story, it seems to be relatable, and it showed that there was an issue to be discussed. You are presenting the issue in a clear and poignant way, it is very interesting that you are providing examples, and you give us a structure, and it makes sense in the way that you are presenting it. I would say though, that your body language is not as strong as your arguments. We didn't really see your hands, if you were a bit farther in the room we could've seen more of your range of your body language gestures. You kept good flow and structure. You were practical and reasonable. You don't need to be in a rush, it makes you feel uneasy and less convincing</t>
  </si>
  <si>
    <t>You shouldn't give things for granted, strong point, but you don't know the room, it can be off putting to make a statement like that and having a situation in which your audience is not in the target you are talking about, it makes your point way weaker. Good ideas, not the best way of coveying it, it was a bit sensationalistic, it would've been a stronger decision to bring the idea with an anecdote or a story instead of being a bit too judgemental. Improve body language by adding it. You put too much in eye contact</t>
  </si>
  <si>
    <t>Very good narratiive to start with, also, it was very original to use the structure of a how to video for make up, as you are illustrating the problem that you are making an argument towards to. It was a very strong example, with a good idea to follow through. I would say to keep in mind eye contact, and maybe standing up instead of staying sitting down, because that way you have a wider range of movement. To look at your notes and the screen, you can put your notebook over the screen below your camera and while you are looking at your notebook, it seems like you are making eye contact. You lost flow at the end. Good idea in general.</t>
  </si>
  <si>
    <t xml:space="preserve">It was interesting to use the lecturing angle, but you need to be very convincing in order to use that, otherwise it would be better to try to make a story, instead of making lists. Some ideas were good, but when you got nervous, it noticed both in ideas and in the body language. It wasn't really there. I would suggest to stand up. For your ideas, write three strong ideas to develop during the three minutes, with at least one an example. It got a bit better in the second third when it was more natural and genuine. </t>
  </si>
  <si>
    <t>From the get go, I would suggest to stand up, because that will allow you to have a stronger body language range and for gestures to show more. It is interesting to use the lecturing angle if you are very convincing, otherwise it is better to present this idea in a way that is more related to story telling. If you are going to give an argument, be more concise and give more weight to your ideas. You can declare in a speech as long as what you say makes sense, and you are giving examples and ideas, but it would seem that you are not even sure of your idea in itself, and it didn't connect great with your first ideas. Good attempt. I would write down three related ideas to develop a better connection of ideas and flow</t>
  </si>
  <si>
    <t>Starting your speech with questions was a good strategy to engage the audience. You tried to define your position using a list of feelings, values, qualities, and differences. However, due to time constraints, there was limited opportunity for deeper analysis.  My recommendation is to structure your points more clearly by breaking them down into steps,  state your concept or position. give us an example, explain and show the relevance and close with the link to your position .</t>
  </si>
  <si>
    <t>Your speech was structured into three clear stages: first-person curiosity, which sparked genuine interest in the audience; a contrast with past experiences, such as the Industrial Revolution, highlighting societal fears; and an open discussion of both advantages and disadvantages, reinforcing your well-informed perspective. This approach allowed the audience to form their own conclusions while following your reasoning. Your closing effectively synthesized these ideas and reaffirmed your stance.</t>
  </si>
  <si>
    <t>You opened your speech with a strong affirmation, leaving little room for self-regulation. Keep in mind that polarization is a fine line that should be avoided. Instead, consider incorporating counterarguments to demonstrate that you are well-informed and aware of different perspectives. This approach will enhance your credibility and make your message more persuasive.</t>
  </si>
  <si>
    <t>Your speech was clearly structured in three stages: theatrical, reflective, and reaffirming your stance. You effectively contrasted the past and present, creating the impression that history is repeating itself and emphasizing the importance of making informed decisions. Using questions was also a great strategy to encourage awareness.  For a more impactful closing, consider summarizing your key points while recalling your initial personification. Then, challenge the audience by asking: What could have been different for her? This will leave them reflecting on the significance of your message.</t>
  </si>
  <si>
    <t>You opened your speech with a strong and engaging tone, using an example that sparked excitement. You effectively rephrased the quote in your own words, setting clear expectations for your speech���well done! My recommendation is to present both advantages and disadvantages while avoiding polarization. Additionally, instead of stating "100% sure," consider a more general approach, as absolute certainty is rarely reflected in real statistics.</t>
  </si>
  <si>
    <t>You began your speech by highlighting contrasts, which gave the audience the impression of impartiality and helped you establish credibility. Your strong time awareness was evident, as you effectively structured your key ideas within the allotted time. To conclude, reinforce your prompt by summarizing your main points, demonstrating how they serve as clear evidence of your stance.</t>
  </si>
  <si>
    <t>Your speech was structured, had a clear flow of ideas. Your confident tone kept growing as time passed by, and your pacing allowed for easy comprehension. I appreciate your use of pauses for emphasis. However, consider adding more vocal variety to maintain energy. Also, more eye contact and being more expressive would enhance your delivery. Overall, your effort was evident and compelling.</t>
  </si>
  <si>
    <t>You delivered your speech with clarity and confidence, making it easy to follow. Your use of eye contact effectively connected with the audience, and your pacing was well-balanced. To improve, try incorporating more expressive gestures to emphasize key points and avoid repetitive movements. Your enthusiasm was noticeable, reinforcing your message effectively. Keep refining your delivery style!</t>
  </si>
  <si>
    <t>Your spoke with clarity and confidence, which made your speech engaging. The structure was logical, and your pacing helped the audience absorb the content. I suggest working on smoother transitions between key points to improve flow. Additionally, minimizing nervous movements will enhance your presence. Your ability to connect with the audience through tone and expression was a strong asset.</t>
  </si>
  <si>
    <t>Your speech was structured and well-paced, making it easy to follow. Your tone was engaging. To enhance your delivery, try varying your vocal pitch to add more emphasis and energy. Also, using intentional hand gestures can make your points more compelling. Overall, a great effort with strong potential</t>
  </si>
  <si>
    <t>Your had a strong stage presence, and your speech was well-prepared. Your articulation was clear, and your tone kept the audience engaged. You effectively used pauses for emphasis, which added depth to your delivery. A small suggestion would be to use more purposeful movement rather than pacing, as it can be distracting. Your enthusiasm for the subject was evident.</t>
  </si>
  <si>
    <t xml:space="preserve">Your speech was delivered with poise and organization. The pacing allowed for comprehension, and your eye contact created a strong connection with the audience. I would suggest adding more dynamic vocal variation to keep engagement high. Additionally being more expressive through gestures will help maintain focus on your message. Your passion for the topic was evident and contributed to your effectiveness. </t>
  </si>
  <si>
    <t>Martha, great use of body language and eye contact. The pauses and pace of your speech  help create a positive impact on the audience. Try to provide examples and facts that can justify your arguments and can make them more convincing</t>
  </si>
  <si>
    <t>Good tone of voice and use of gestures to create a positive impact on the audience. Try not to read next time and allocate some time to practice your speech</t>
  </si>
  <si>
    <t>Great pauses and variety of tone of voice. The speech is well-organised and provides good examples. Try not to read as it will have a negative impact on the audience and as it happened you sometimes could not understand your own writing.</t>
  </si>
  <si>
    <t xml:space="preserve">You made your point at the very beginning and that is very positive. Keep that impact all the way through. Your voice and confidence makes your speech very convincing. Sometimes it feels that you hesitate, be careful with that. </t>
  </si>
  <si>
    <t>Good and relevant examples. Also clear organization and depth of analysis. You should not read as it affects the impact on the audience.</t>
  </si>
  <si>
    <t xml:space="preserve">You had a strong beginning and provided good examples. Your good body language and eye contact had a positive impact on the audience. I recommend relaxing, you look nervous, you were speaking too fast and that affected the speech.  </t>
  </si>
  <si>
    <t xml:space="preserve">The speech��s structure was appropriate. The content was relevant. You relate it to personal content. You can improve variyng the tone of your voice and the use of some rethorical questions. </t>
  </si>
  <si>
    <t xml:space="preserve">The content of the speech was relevant and iteresting the language used was adequate. However, it was evidente that you were overreading your notes. This did not let the speech flow and made you hesitant. </t>
  </si>
  <si>
    <t xml:space="preserve">The language you used to deliver the speech was adequate. It seemed that you were overreading your notes and this prevented you from making eye contact. The transitions from stages of the speech could be smoother. </t>
  </si>
  <si>
    <t xml:space="preserve">The content of the speech was relevant. The examples you provided were personalized. The transitions between the stages of the speech need to be smoother. Work on the fluency of your ideas. </t>
  </si>
  <si>
    <t xml:space="preserve">The content of the speech was relevant and the language you used was adequate. You need to work on your presentation skills such as the ones making eye contenct and the use different changes in voice tones. </t>
  </si>
  <si>
    <t xml:space="preserve">The content of the speech focused on the content of the book rather than the prompt given. The should have included the a broader view of the prompt as the time you allocated to giving your  final last ideas there was not enough time. </t>
  </si>
  <si>
    <t xml:space="preserve">Martha, you spoke eloquently and confidently. Your examples were well-layed out, and you considered your points and counter-points logically. In the future, take some care to think about your pronunciation of certain words, and to vary your tone. At times, there was not much differentiation in your speaking pace and volume. </t>
  </si>
  <si>
    <t xml:space="preserve">You began your speech speaking very quickly, and you seemed rushed and slightly panicked. Also, make sure you are making eye contact with the adjudicators. Your examples were well-thought out, and your speech had an excellent structure. </t>
  </si>
  <si>
    <t xml:space="preserve">Valeria, your speech started out strong. However, after around two minutes you began to noticably speak less clearly, and more hesitantly. Additionally, your finished your speech early, at around 2:25. You could improve by extending your speech, and considering the ideas in more detail. </t>
  </si>
  <si>
    <t>Karen, your speech considred the advantages and disadvantages of AI and its effects on the job market. You seemed slightly nervous, and so next time I would focus on making your delivery more natural.</t>
  </si>
  <si>
    <t xml:space="preserve">Anna Sofia, your speech included lots of sophisticated ideas and examples. You spoke clearly and confidently, and delivered an engaging speech. </t>
  </si>
  <si>
    <t xml:space="preserve">Constanza, your speech followed a very specific example about a book you read about the mistreatment of women in Egypt. You managed to connect this specific example to a wider consideration of the question, which worked well. </t>
  </si>
  <si>
    <t>You started by introducing your own experience with the topic, which was a strong and engaging way to begin. However, as you moved into explaining your idea, you lost focus, making it harder for the audience to follow. To improve, work on building your confidence by mastering the topic, which will allow you to present your ideas more clearly and with greater conviction. Strengthening your structure and staying focused on your main argument will help make your speech more effective and persuasive.</t>
  </si>
  <si>
    <t>You started by explaining the possible dangers of social media to introduce your main idea, which was a solid approach. However, you repeated the point about discussing the dangers of social media without expanding on it. You then shifted to the topic of COVID-19 and misinformation, providing an example of how misinformation spreads. While the topic is relevant, your argument lacked depth and primarily repeated the idea that information can be dangerous without further analysis. To improve, focus on developing a clearer argument, providing specific reasoning, and exploring the impact of misinformation rather than just restating the issue. Strengthening your structure and adding well-supported insights will make your speech more compelling.</t>
  </si>
  <si>
    <t>You clearly stated what AI means to you by defining GPT and providing a personal qualification. You effectively connected this to your own experience, demonstrating how AI has helped you. By using concrete examples, you successfully grounded your speech in the practicality of everyday use and its benefits. However, a strong opportunity was missed to present a more balanced perspective by addressing the potential dangers of AI alongside its advantages. To improve, consider discussing both the benefits and risks, particularly in the job market, to show a deeper understanding of AI's broader implications. This will strengthen your argument and make your speech more nuanced and persuasive.</t>
  </si>
  <si>
    <t>You started with a clear example to introduce your idea, but you quickly lost track of your main point. This was evident in how your ideas became scattered and disconnected. To improve, focus on structuring your speech so that each point builds logically on the previous one. Additionally, working on your confidence will help you maintain audience engagement and deliver your message more effectively. This was a valuable learning opportunity, and with continued practice, you will gain better control over your ideas and deliver a more structured and compelling speech.</t>
  </si>
  <si>
    <t>You started your speech strongly by stating your main point right away, which was an effective way to engage your audience. Clearly expressing your thoughts on the prompt and then explaining your reasoning helped create a logical flow. Your well-established structure kept your ideas on track, making your speech easy to follow. To improve, focus on strengthening your arguments by clearly demonstrating how they support your main point. Providing more concrete evidence and logical reasoning will make your speech more persuasive and impactful.</t>
  </si>
  <si>
    <t>You made a strong choice by referencing UNESCO to establish a clear understanding of dignity, which provided a solid foundation for your speech. You then effectively used examples to illustrate the dangers of relativizing values and dignity. However, as the speech progressed, you circled back to the issue of relativizing values without developing a strong and clear argument. To improve, focus on deepening your argumentation by clearly explaining the consequences and reinforcing your points with structured reasoning and evidence. This will make your speech more compelling and logically sound.</t>
  </si>
  <si>
    <t>Your pronunciation was clear and strong! To make your speech even more powerful, try adding more emotion, especially in key moments like when you talked about AI taking jobs. A bit more depth in your argument will also make it more compelling.</t>
  </si>
  <si>
    <t>You had some great examples that really added depth to your speech! Try to cut down on fillers and use pauses instead���it���ll help you sound more confident.</t>
  </si>
  <si>
    <t xml:space="preserve">You spoke with confidence, had clear pronunciation, and good pace. Your examples added depth, especially about AI taking jobs as counselors. Adding a different type of example could make your argument even stronger. </t>
  </si>
  <si>
    <t>"I know nerves got in the way, but just getting up there is already a big step. Try practicing in front of more people to build confidence. If you lose your train of thought, just keep going instead of staying quiet.</t>
  </si>
  <si>
    <t>Your pronunciation was clear, with great tone variation and pacing! Making more eye contact will add even more impact. You used good examples���developing them a bit more could make your speech even stronger. Well done!</t>
  </si>
  <si>
    <t>You had strong arguments, but backing them up a bit more would make them even stronger. Try to reduce fillers to make your speech more fluid.</t>
  </si>
  <si>
    <t>Your main idea and your confidence was really good! Try to analyse more your argument or think about more examples to prove your point.</t>
  </si>
  <si>
    <t>Your main idea was great! Try to be confident with your points, avoid saying "no, not" when you think you have said something wrong, or you are not sure about what you are saying.</t>
  </si>
  <si>
    <t>Great expression and delivery, you engaged with the audience really well! I do beileve that you can improve in your coherence or the structure of your ideas, because at some parts of your speech I felt lost.</t>
  </si>
  <si>
    <t>The very first idea you expressed was very good! Don't be nervous or try to not make it obvious, so it's easier for the judges to understand what you are trying to prove.</t>
  </si>
  <si>
    <t>You had a great intonation in your voice! Try to have a structure to follow, like argument + examples, so it's easier for us to undertand your speech.</t>
  </si>
  <si>
    <t>I really liked what you were trying to prove! Try to have more examples or a better structure so the impact of your speech is understandable at the end of your speech.</t>
  </si>
  <si>
    <t>Emma, your voice intonation was very articulated and easy to understand. Try providing a deeper analysis in your arguments. Support them with tangible examples. I would recommend that you use body language and different tones of voice to engage the audience.</t>
  </si>
  <si>
    <t>Perla, your speech had a great impact on the audience. The arguments were well supported by clear examples. Your voice was articulated and loud enough for us to understand your call to action. It would be important that you try to use quotes or rethoric questions to create suspense and engage your audience.</t>
  </si>
  <si>
    <t>Jimena, the examples you provided were impactful and important to make the judges understand your points. It would be important that you organized your speech in a logical order so that it is easy to follow. Try different intonations throughout the speech to engage the audience.</t>
  </si>
  <si>
    <t>Regina, your example of education strengthen your main argument. However, it would be important that you organized your speech and arguments in a coherent order so that we understand its relevance. Try to use body language and intonation to sound convincing.</t>
  </si>
  <si>
    <t>Monika, you demonstrated your critical thinking skills throughout your speech. It showed us the impact of your point. It would be important that you try to close with an impactful conclusion that calls to action.</t>
  </si>
  <si>
    <t>Valeria, you used body language consistently and gave the adequate tone to your speech. However, it would be important that you provided a deeper analysis so that we understand the main impact of your speech.</t>
  </si>
  <si>
    <t>You managed your time well, ensuring you covered all your points without rushing. However, try to use more gestures (instead of reading) to highlight key points. They can help add emphasis and make your speech more dynamic.</t>
  </si>
  <si>
    <t>You made great eye contact with the audience, which created a strong connection. On the other hand, you could add more examples in order to make your points stronger.</t>
  </si>
  <si>
    <t>Try to manage your time better so you don���t spend too much time on the introduction and rush through the conclusion.</t>
  </si>
  <si>
    <t>You provided strong examples that supported your points well. But, try to use more gestures (instead of reading) to highlight key points. They can help add emphasis and make your speech more dynamic.</t>
  </si>
  <si>
    <t>I liked how you provided clear examples to support your points! On the other hand try to use more vocal variety���such as changes in pitch, speed, or emphasis��� so you can make your speech more engaging.</t>
  </si>
  <si>
    <t>You finished right on time, allowing for a strong conclusion without feeling rushed or cut off. However, try to stand tall and avoid swaying or shifting too much, as it can be distracting to the audience.</t>
  </si>
  <si>
    <t>I liked your speech , especially  your wise Grandma's preddictions  -  but I feel you could have had a little more analyisis. I understand it was an impromptu round, but I felt you were struggling to fill the time a little</t>
  </si>
  <si>
    <t>A lovely speech  - with lots of impactful ideas conveyed . Great time management and you appeared confident on screen, but I would have liked a couple of more "cultural " examples discussed</t>
  </si>
  <si>
    <t>Nerves are totally understandable in this impromptu round, but you did stumble a little at the start. You have to be careful that you don't contradict yourself in your arguments (old people in supermarkets - don't get rid of them...but then, AI does things quicker and more efficiently)  Take care of time - over ran the time</t>
  </si>
  <si>
    <t>Take care not to read too much - it takes away from eye contact with your audience.  You used a good vocabulary. Your sound was a little unclear at times - this is due to the tech...ironically . Liked your conclusion about adaptation - showed analysis</t>
  </si>
  <si>
    <t>I enjoyed your speech a lot Jimena. Delivered with clarity and enthusiam. However, I am not sure you argued the prompt enough. You had some great examples, but needed to link it a little more to the quote.  Great job though - well done</t>
  </si>
  <si>
    <t>I understand the impormptu round is difficult, but you need to try not to  keep messing with your notes - all sounds were being picked up. Your arguments were a little disjointed and seemed to focus more on money than actual cultural differences</t>
  </si>
  <si>
    <t>You did a great job using real-life examples to support your argument, and your use of numbers and pauses effectively emphasized your key points, making your speech easy to follow. To make your structure even clearer, consider opening with a strong question or statement that you can revisit at the end to create a stronger impact. Some of your examples could feel more connected to reality or your personal context to make your message more relatable. Also, try using body language more intentionally and avoid reading from your paper to maintain stronger engagement. Great effort���keep refining your delivery!</t>
  </si>
  <si>
    <t>Your intonation and well-placed pauses effectively highlighted your key points and kept the audience engaged. Connecting the topic to your personal experience was a great choice, as it made your speech more relatable and impactful. You also demonstrated strong critical thinking by considering different perspectives and counterarguments. To make your conclusion even stronger, consider adding a powerful closing phrase or a call to action that reinforces your main argument and leaves a lasting impression. Excellent work���keep it up!</t>
  </si>
  <si>
    <t>You delivered your speech with confidence and managed to connect with your audience through charisma, effective intonation, and well-placed pauses. Addressing the audience directly was a strong choice that helped maintain their attention. Your examples were helpful in supporting your arguments, but organizing them more clearly would make your message even stronger. It���s great that you considered different perspectives, though prioritizing one context could help sharpen your key points. Also, try using body language more intentionally to reinforce your ideas. Great work���keep building on these strengths!</t>
  </si>
  <si>
    <t>Your strong stage presence, along with effective intonation and pauses, helped emphasize your main points and keep the audience���s attention throughout your speech. Using real-life and personal experiences to support your arguments was a great choice, making your message relatable and compelling. Tackling such a complex and abstract topic was ambitious, and you handled it eloquently. Your body language also added strength to your delivery. To leave an even stronger impression, consider closing with a powerful final phrase or a call to action that ties your main argument together. Excellent work���well done!</t>
  </si>
  <si>
    <t>Your confident delivery, along with effective pauses and intonation, made your speech clear and easy to follow. You did a great job emphasizing your main points, which helped the audience grasp the structure of your speech. To make your delivery even stronger, try relying less on your notes to maintain a natural connection with the audience. Additionally, consider exploring more perspectives and counterarguments���such as contrasting social views with the individual aspects you highlighted���to add depth to your argument and make full use of your time. Great effort���keep it up!</t>
  </si>
  <si>
    <t>You did a great job addressing the audience directly and using rhetorical questions, which helped maintain their attention and emphasize your key points. Starting with your own definition and then building your arguments around it was a strong approach that made your speech clear and focused. Your body language was effective in supporting your message, but with a bit more practice, your delivery could feel even more natural and polished, especially when emphasizing your main arguments. Your examples were relevant and well-chosen, and your deep analysis added strength to your perspective. Great work���keep it up!</t>
  </si>
  <si>
    <t>Your use of body language was very effective in emphasizing key points and keeping the audience engaged. The examples and anecdotes you shared were strong and helped support your arguments, making your message relatable and compelling. To leave an even stronger impression, consider closing with a powerful final phrase or a clear call to action that ties your main argument together. This will make your speech even more memorable. Great job���keep it up!</t>
  </si>
  <si>
    <t>Starting with a rhetorical question was a strong choice that immediately captured the audience���s attention and highlighted your main point. To make your delivery even more confident and engaging, try relying less on your notes and connecting more naturally with the audience. Expanding your perspective by incorporating personal anecdotes or examples from social life in your community could also enrich your speech and provide you with more material to develop your argument. Great effort���keep working on it!</t>
  </si>
  <si>
    <t>Your pronunciation is great and effective use of examples; try to be more fluid to keep the audience engaged and develop a more noticeable presence; overall, your ability to extract examples and connect them to the prompt is good.</t>
  </si>
  <si>
    <t>Great use of intonation and rhythm. The rhetorics of your argument are sound. Try to make the structure more evident by using relevant connectors. Overall, well done on developing fluency and relevant examples.</t>
  </si>
  <si>
    <t>Performance is a strength of yours. You quickly engaged with the audience. Try to add depth to the counterarguments you include, so the audience knows of your thorough analysis. All in all, you use persuasive arguments effectively and your voice intonation stands out.</t>
  </si>
  <si>
    <t>Great opening sequence. You immediately grabbed your audience's attention and helped them relate to your speech. It was definitely not an easy prompt, but you pulled it through successfully. Try going deeper into the implications of your ideas, though you included relevant examples sometimes less is more. Overall, you have a commanding presence on stage while keeping a well-defined structure and sequence.</t>
  </si>
  <si>
    <t>The choices you made as of which parts of your speech to stress and emphasise is very well-put forward. Try connecting with your audience even deeper by using a more relaxed prompt. Why not include more examples or counterarguments? Overall, your speech was succint and clear, though some additional information would have helped your audience connect with your point.</t>
  </si>
  <si>
    <t>Your stage presence is quite theatrical, your effort is visible and well executed. Addressing the audience in first person helps connect with them, and they seemingly responded positively. However, the main idea was somewhat lost inside the histrionic component. All in all, try to help your audience understand the structure of your speech by using verbal cues.</t>
  </si>
  <si>
    <t>Though your prompt has to do with prejudice, you displayed it by assuming your audience would likely ignore what the sport you mentioned is about. Your use of examples is relevant, try to relax a bit more and emphasise relevant words to help the audience take away the main ideas of your prompt. It would have been good if you switched from Muai Tai to the broad theme earlier in your pitch. Overall, your speech was mostly descriptive so try to focus on the persuasive element more often. Well done!</t>
  </si>
  <si>
    <t>Your approach started off as being innovative, you developed your ideas but cut them off very soon. It would have been really useful to listen to more arguments and examples. There wasn't much room for deep feedback overall.</t>
  </si>
  <si>
    <t>Congratulations on reaching the semifinals! Your speech was well-organized, and you provided valuable data. Consider refining your intro, managing time more effectively, and engaging your audience with stronger body language and varied eye contact to enhance your overall impact.</t>
  </si>
  <si>
    <t>Congratulations on reaching the semifinals! Your speech was engaging with a nice intro and vivid imagery. You maintained fluency and clarity, though transitions could be smoother. Your organization and examples were strong, and your body language was confident. A stronger conclusion would elevate your delivery.</t>
  </si>
  <si>
    <t>Congratulations on reaching the semifinals! Your imaginative intro and engaging voice and body language were highlights. While minor errors occurred, your analysis could benefit from more depth and counterarguments. Work on time management and reducing filler words for a stronger impact. Keep improving!</t>
  </si>
  <si>
    <t>Congratulations on reaching the semifinals! Your personal story added warmth, and your body language was engaging. While there were minor grammatical errors and some repetitions, your passion shone through. Consider refining your time management for even greater impact.</t>
  </si>
  <si>
    <t>Congratulations on reaching the semifinals! Your strong intro set a great tone. While enunciation and body language could improve, your voice was engaging. You provided interesting examples, though exploring ideas in more depth would enhance your speech. Practice will help with pacing and confidence.</t>
  </si>
  <si>
    <t>Congratulations on reaching the semifinals! Your performance was engaging, with impressive voice and body language control. However, consider balancing flair with deeper analysis to truly connect with your audience rather than lecturing them. This will enhance your message's impact.</t>
  </si>
  <si>
    <t>Congratulations on reaching the semifinals! Your introduction was strong, and your voice and body language commanded attention. While your sincerity and storytelling were engaging, consider adding more relevant examples and analysis to enhance your message. Work on time management to maximize your impact.</t>
  </si>
  <si>
    <t>Congratulations on reaching the semifinals! Your message was clear, but consider strengthening your intro and engaging more with the audience through eye contact and body language. Practice without notes to enhance your delivery. Keep up the good work!</t>
  </si>
  <si>
    <t>Well done! You maintained a steady rhythm throughout your speech, and your use of questions effectively engaged the audience. As an impromptu speech, you successfully incorporated real examples from the Mexican context, demonstrating your informed background. However, to strengthen your argument, go deeper into the analysis (how do your examples support your main point?) Make sure to connect them back to your central argument. For your closure, consider using rhetorical questions or revisiting the contrast to reinforce your position.</t>
  </si>
  <si>
    <t>Well done! You maintained a steady rhythm and intonation throughout your speech, effectively engaging the audience. Your strength in this case was using personal experience to demonstrate your awareness of the theme. You structured your speech around two main ideas, allowing you to dedicate enough time to each argument. For your closure, consider incorporating rhetorical questions or revisiting the contrast to reinforce your position. Encourage the audience to align with your perspective, rather than solely committing to it yourself</t>
  </si>
  <si>
    <t>Well done! Your theatrical approach is always engaging and enjoyable for the audience. Today, your strength was in using different characters to challenge your point and incorporating props to personify various perspectives. For future occasions, focus on deeper analysis (how do your examples directly support your main argument?) Ensure that each point connects back to your central idea. For your closure, revisiting the contrast to reinforce your position and convince the audience to align with your perspective, rather than solely committing to it yourself.</t>
  </si>
  <si>
    <t xml:space="preserve">Well done! You maintained a steady rhythm and intonation throughout your speech, effectively engaging the audience. Your strength lay in using your background knowledge and explaining the butterfly effect without assuming the audience was already familiar with it, demonstrating a clear understanding of your point. There is clear evidence of structure of time and your closure was powerful, consider reinforcing it by integrating the contrast you presented throughout your speech. </t>
  </si>
  <si>
    <t>Well done! You opened your speech with thought-provoking questions, immediately engaging the audience. Your clear time management and structured arguments demonstrated good organization. To further strengthen your point, consider incorporating informed, up-to-date background knowledge alongside personal experience, this will showcase both your preparation and depth of understanding. Your closure was impactful, making the audience reflect on their decisions. For an even stronger finish, revisit the contrast in your speech to reinforce your position and provide the audience with broader perspectives to align with your stance</t>
  </si>
  <si>
    <t>Great job! Your speech was empathetic and clearly structured, with well integrated definitions and synonyms that supported your two main points. You effectively introduced contrasts, but a deeper analysis would further strengthen your argument by clearly linking your points back to your main affirmation. This time, you relied a bit too much on reading your bullet points, try to engage more naturally with your audience for an even stronger delivery. Keep up the great work!</t>
  </si>
  <si>
    <t>Well done! Your full-body language, voice intonation, and well-placed pauses immediately engaged the audience. Your strong time management and clear two-point structure made your speech easy to follow. To further strengthen your argument, consider incorporating informed, up-to-date background knowledge alongside personal experience���this will highlight both your preparation and depth of understanding. Your closure was impactful, prompting the audience to reflect on their decisions. For an even stronger finish, revisit the contrast in your speech to reinforce your position and offer the audience broader perspectives to align with your stance</t>
  </si>
  <si>
    <t>Your debate background is a strong asset in this competition. You effectively used contemporary references, ethical dilemmas, and political and systemic examples, showcasing your knowledge and making your argument more reliable. This demonstrates to the audience that you are well-informed and have a solid foundation for your points. However, in this instance, you relied too much on reading your bullet points. How can you make your delivery more organic? Consider engaging more naturally with your audience to enhance your impact.</t>
  </si>
  <si>
    <t>Your examples effectively supported your arguments. To further enhance your delivery, focus on establishing stronger eye contact and projecting more confidence. Try to modulate your voice to engage the audience.</t>
  </si>
  <si>
    <t>You established a clear connection through personal examples and delivered strong arguments with confidence. To further engage the audience, consider incorporating questions or statements that challenge their assumptions.</t>
  </si>
  <si>
    <t>Great confidence and an engaging start. Now, focus on linking your ideas to strengthen your points. Close strongly tying up all your points.</t>
  </si>
  <si>
    <t xml:space="preserve">Your examples, voice, and tone created an engaging experience.��To further enhance your speech, work on refining the ending to ensure a strong ending.     </t>
  </si>
  <si>
    <t>You presented an interesting speech with strong points. However, the slow pace meant valuable time could have been used to strengthen your arguments with additional evidence. To improve stage presence, incorporate more movement and variations in tone.</t>
  </si>
  <si>
    <t>Your introduction with the definition was excellent, and your structure was clear. While your voice and pronunciation were good, reading directly impacted your engagement. Practice more to reduce reliance on the script</t>
  </si>
  <si>
    <t>Your arguments were clear and strong. To maximize impact, avoid circularity at the end. Consider adding more movement to your delivery to enhance engagement.</t>
  </si>
  <si>
    <t>You presented very strong examples and arguments, with excellent analysis. Your delivery was powerful. To further build a connection with your listeners, consider minimizing your note checking.</t>
  </si>
  <si>
    <t>Your delivery feels natural, which is a good quality to have. To make your speech more engaging, try increasing your volume and using more intonation to highlight key points. Adding some gestures could also help reinforce your message. Additionally, your introduction wasn���t very clear���using speech markers like ���First,��� ���To begin with,��� or ���Let���s start by������ can help organize your ideas and guide your audience through your speech more effectively.</t>
  </si>
  <si>
    <t>Your voice is clear, and your pronunciation makes it easy to follow your speech. You also establish eye contact well, which helps connect with your audience. The way you use data to support your points adds credibility, especially since it���s drawn from your own experience. Your speech is well-structured, making it easy to understand and follow. Keep building on these strengths!</t>
  </si>
  <si>
    <t>You use storytelling techniques effectively, and your vocal variety, including changes in tone and volume, adds emotion and intention to your speech. The use of props also enhances your delivery, making it engaging for the audience. You have strong speaking skills, but the overall message could be clearer. Working on defining a stronger central idea will help make your speech more cohesive and impactful</t>
  </si>
  <si>
    <t>Your intonation and use of volume make your speech dynamic and expressive, helping to convey emotion effectively. You also provide examples and central ideas to support your points, which adds depth to your speech. The structure is clear and organized, making it easy to follow. However, the connection between your main idea and the prompt isn���t entirely clear. Refining your central idea and ensuring it directly ties back to the prompt will strengthen the overall impact of your speech.</t>
  </si>
  <si>
    <t>Your voice is very clear, which makes your speech easy to follow. However, adding more variation in tone and energy could make it more dynamic. Your introduction is engaging, especially since you start with a question, which draws the audience in. You might also consider using more decisive and meaningful gestures to reinforce your message. The pace of your speech is a bit slow, so adjusting it could help maintain engagement.</t>
  </si>
  <si>
    <t>Your voice is clear, which is a great foundation for effective speaking. However, relying too much on reading affects audience engagement. Try to look up more often and connect with your listeners. Adding some gestures and varying your tone can also help make your speech more dynamic. The pace is quite slow, so adjusting it slightly could maintain interest. Your ideas are interesting, but they need stronger connections to flow more smoothly.</t>
  </si>
  <si>
    <t xml:space="preserve">You have a strong presence, standing confidently and looking directly into the camera, which helps engage your audience. To make your voice more impactful, try using more variation in intonation and volume. Your gestures add to your delivery, but they could be more intentional to reinforce your message effectively. </t>
  </si>
  <si>
    <t>Your voice is very clear, and your pronunciation is excellent. You use volume and intonation effectively, which makes your speech engaging. However, incorporating gestures could strengthen your delivery and add more emphasis to key points. Reading too much affects audience connection, so try looking up more often to engage with your listeners. Great job!</t>
  </si>
  <si>
    <t>Good on you for standing up, but maybe it would've been a better idea to put a podium on your camera or computer, as that would be a better platform for us to see your body language, because the angle in which you talk to your audience, in the way you chose, it would seem like a sermon or lecturing, instead of talking in the level. Good arguments, good on your body language, good flow on your ideas, it makes sense what you say about the numbers. Clear diction. I would maybe used a case or an example instead of giving a lecture, because if that is the case, you are fighting against distraction and focus, with the other way, it is more engaging. Good attempt</t>
  </si>
  <si>
    <t>It is an interesting idea to go to a common place situation to present such a topic. It was very engaging to talk about this topic in this manner. Good call on that. I would've stood up because that way you can show a greater range of gestures, and you can use your hands to convey your message with support of body language. You have good diction, but you could've worked on your flow. You got a bit nervous as you went. It would've been more convincing if you had given a solution to the problem quicker. Good attempt</t>
  </si>
  <si>
    <t>It was good that you stood up this time, I would've tried to put my notes in a place where I could read them without holding them, so that I would access to both my hands, which was something that I could notice that you struggled a bit with. Also, that way, you can keep eye contact and you engage more because you are looking at your audience. It was a good idea to use your arguments in the way that you chose, it is interesting to use a impassionate delivery, like the rant you could see at a public speech, but you need to regulate your pace, that helps to make your arguments to be more relatable. I would also advocate to try to give your ideas more time. Good luck.</t>
  </si>
  <si>
    <t>Good call on making a speech that is more like a chat, that is more entretaining than a lecture, but maybe a concrete example, or a story that was more casual than a general example. Another thing to consider is to stand up so that you have a greater range of body language gestures. It would've been great to check some of your ideas, and maybe do a brainstorm so that you could've more points to go. You have a very interesting delivery. good on you for being able to recover. Good luck next time</t>
  </si>
  <si>
    <t xml:space="preserve">It was interesting to convey your idea through a personal story. I would've stood up because that way you can access greater range of hand gestures and body language, so that you can seem more convincing. Another thing to consider is just to go into the topic instead of telling the audience what you are going to do and then doing it, you are being redundant and losing valuable time. It was valid in some aspects, and while I liked the casual approach, it was a bit too vague. </t>
  </si>
  <si>
    <t>It is good to try to start casual, but it is a bit hard to go into a lecture type of thing, because you need to be really good with it, since you are giving information that is general, as it is not connected to a concrete example, and while it doesn't make it less true, it is too vague, and makes the mind be cluttered, between imagination and your speech. Good arguments though, and good delivery. It was very fluid and clear, good on you, also good on not rushing. Another thing to consider, I would've stood up, so that you can have access to a greater range of body movements. Good work in general.</t>
  </si>
  <si>
    <t>Giving an anecdote was a good idea to start so that it is more possible to connect emotionally and that you can give more complex ideas and topics. I would've stood up, so that you could've had more access to a greater range of hand gestures, and not feel as constrained as you were in the screen. You are good enunciation and have a very expressive way of giving a delivery. It is not great to assume anything about your audience, because it can alienate it, if you give judgement to them and that it is not the case, you won't be able to avoid the thought "that's not me" and you lost them at that moment. The arguments were a bit too general. The delivery was probably the strongest part. Good attempt.</t>
  </si>
  <si>
    <t>Good job. You had very interesting ideas and I found the premise of merit based education promoting individualism to be great. You also had great delivery, use of body language and voice intonation that made your speech engaging. Rememer to use your notes as a guide and to keep eye contact with your audience consistent enough. However, it would have been better for your argument to develop your ideas with specific examples and data from trusted sources. Finally for your conclusion, remember to tie up your main ideas and perhaps suggest a solution or something memorable.</t>
  </si>
  <si>
    <t xml:space="preserve">Good job.You had some great ideas that have a lot of potential. Especially the idea of prejudice when we look for information on the internet, since it is an example we can all relate to. Perhaps including sources to suport this argument would be better. There is some room to work on the delivery and use of body language throughout your speech. Specifically, remember to keep eye contact consistent and perhaps stand up. It is an essential element when you want to convince your audience and to engage with them.   </t>
  </si>
  <si>
    <t xml:space="preserve">Good job. Your attitude towards these issues shows how much you have thought about them. Your proposal about the amount of subjects that shouldn't rely on the regular grading system was pretty interesting, although it was mentioned near the end. You also had a good delivery and voice intonation. Remember it is important to include sources to support your arguments and it also helps you to develop your examples. Also it is important to use your notes, but to keep a consistent eye contact.  </t>
  </si>
  <si>
    <t xml:space="preserve">Good job. You have a great use of body language and voice intonation that makes it easy to engage with your speech. I think your introduction was especially engaging and interesting  However it would've been great if  you included some examples with sources that can support them. Remember to use your notes as an aid in case you need them. </t>
  </si>
  <si>
    <t xml:space="preserve">Good job.. I think your attitude towards these issues shows how much you have thought about them from different perspectives. Your introduction was engaging and it was a good use of a personal example. Perhaps it would've been great if you elaborted your three main points and to use data from some sources to support your argument. I think for an impromptu speech you could have focused on developing your perspective as someone who would like to participate in your home country's decisions as one of the many different examples. Finally, remember to have a clear conclusion with a summary of your main ideas and a strong yet concrete finale. </t>
  </si>
  <si>
    <t xml:space="preserve">Great job. I think you had an engaging and interesting speech from beginning to end. Your consistent eye contact and your introduction was a clear and great way to state your arguments. I think it was great that you made your stance on the prompt clear and you developed your argument. Perhaps your speech needs some source to support some of your general claims on education, so remember to include these type of information to support your arguments. Also keep in mind counterarguments as a possible way to deepen your analysis. Finally remember to try to avoid fillers when you're unsure. Perhaps you could tie your main points to strengthen your conclusion. </t>
  </si>
  <si>
    <t xml:space="preserve">Great job. You have a great use of voice intonation, body language and consistent eye contact. These along with the way you adress the audience makesyour speech quite engaging. You also had a clear structure, however it would have been great if you stated a clear argument in relation to prejudice and decision-making since the examples you mentioned weren't too clear. I think if you had used sources to support some of your arguments, it would have helped to make your main argument a bit more concrete and clear.  </t>
  </si>
  <si>
    <t xml:space="preserve">You maintained good posture and used hand gestures effectively. Your voice was clear, with good tone variation. You engaged the audience well by asking questions. Your argumentation was solid, and although your conclusion was cut short due to time constraints, you still managed to convey important and well-structured ideas. </t>
  </si>
  <si>
    <t xml:space="preserve">Your pronunciation was clear, and you used good tone variation. You included relevant examples, such as those related to mental health. At the beginning, you looked down frequently while reading, but this improved toward the end. Try to make more eye contact and engage the audience more consistently. </t>
  </si>
  <si>
    <t>You maintained good posture and used hand gestures effectively. Try not to rely too much on reading. Despite some hesitation, you successfully conveyed relevant ideas. Your speech had a generally balanced pace, with smooth transitions, and your delivery was mostly confident.</t>
  </si>
  <si>
    <t xml:space="preserve">You started by asking the audience to imagine a situation, which effectively captured their attention and kept them engaged. You used hand gestures and tone variation well. Despite some hesitation and a few long pauses, you successfully delivered a clear speech. </t>
  </si>
  <si>
    <t>You had a strong start by relating to personal experience and engaging the audience with frequent questions, which helped maintain their attention. You maintained good posture, but try to incorporate more hand gestures. You clearly stated your three main points, and while your conclusion was framed as a question, it was cut short at the end, and you didn���t mention your last point.</t>
  </si>
  <si>
    <t>Your argumentation was solid, supported by well-structured examples. You effectively addressed the audience and engaged them by asking questions. Your voice was strong, and you used hand gestures well. You concluded by inviting the audience to reflect, which was a great way to leave a lasting impression and it made your speech more impactful.</t>
  </si>
  <si>
    <t xml:space="preserve">You have a strong presence and began by engaging the audience with questions while connecting the topic to your personal experience. You ended the speech by inviting the audience to take action, which made your conclusion more powerful. Your speech was impactful, and you demonstrated confidence throughout your delivery. </t>
  </si>
  <si>
    <t>It was a very good choice to use the SATs of the speech as a theme. Your body language was appropriate to highlight the most important aspects during the speech, but in some moments you spoke too fast so that the concentration as a listener of the speech was a little lost. I recommend making a little more explicit the separation of each of the parts of the speech, so that the development and conclusion can come at the right time and not all at once.</t>
  </si>
  <si>
    <t>Perhaps explaining in depth what it is about thinking was not necessary, and going straight to the ���not so good��� point in order to shorten the time and use it more profitably. I think it was a bit forced the arrival of ���no matter what others think���, you have to work on that union of ideas.</t>
  </si>
  <si>
    <t>You have a great voice projection, it is a great tool to be exploited to the fullest at every opportunity. I recommend using more paraverbal language, more body movement and not only hands. I found it a little difficult to connect with you during the speech, so I recommend using more examples that listeners can connect with.</t>
  </si>
  <si>
    <t>Good use of voice, its handling and projection, body language, it was very easy to understand and connect with you about the feelings you were feeling. The topic is something very current, which is still on people's lips, so that allows the connection in a more natural way. Very good way to approach promt through this example.</t>
  </si>
  <si>
    <t>A very good tone of voice for the speech, very relaxed and very natural, good choice. I recommend using more paraverbal language, move more the body, hands and focus a little more on looking at the camera or screen.  P.S: We could see the paper during the speech through the camera, it doesn't affect anything but be careful because it might cost more visibility next time.</t>
  </si>
  <si>
    <t>I admit that it took me a while to connect with your speech, the topic was easy to follow and understand what you were trying to get at and many congratulations for that, since not everyone can make a complex topic easy to follow and understand. I recommend working, as you use distance, on voice projection, so you can reach across the room with your message. The paraverbal language was well used, especially since we could see your whole body, so very good.</t>
  </si>
  <si>
    <t>Very good exemplification, to be able to use the reality of women as a theme. Remember that although time is short, how we transmit the message is as important as the message, so I recommend making strategic pauses that allow us to give the listener a suspense to connect more easily. The introduction was very attractive, which made it easy to follow during the first minute.</t>
  </si>
  <si>
    <t>You delivered a persuasive speech drawing from your own personal experience. You have a strong presence and voice, you just need to work on overcoming nervousness. You spoke a bit too fast at times; settle on a pace so your points are clearer.</t>
  </si>
  <si>
    <t>You have a clear, strong voice, and you make good use of your hand movements to emphasize your arguments. Be sure to work on the structure of your speeches so you can better address your assigned topic and make better use of your allotted time!</t>
  </si>
  <si>
    <t xml:space="preserve">Your speech had a very clear structure and a nice flow. The personal anecdotes you chose to illustrate your points kept me engaged thorughout your speech. You ended it a bit abruptly, so next time you might need to condense your points to make room for a nice buildup to your conclusion. </t>
  </si>
  <si>
    <t>Your speech had a strong opening and ending, and your call to actively question our social conditioning made it all the more engaging. I reccommend working on your delivery. You are on the right track with your intonation and body language, but you tend to rock back and forth while speaking, which comes off as a nervous tic. I recommend either standing still or using a wider range of movement.</t>
  </si>
  <si>
    <t xml:space="preserve">You have a soft but clear voice that can be ideal for certain types of speeches and styles of communication. Keep it up! However, you need to complement it with a more confident body language and more prolonged eye contact. The sheet of paper with your notes was visible on screen throughout your speech, be careful with that sort of detail. </t>
  </si>
  <si>
    <t>You delivered a nice motivational speech with some engaging rhetoric. I would advise working on your body language so it feels more natural and less rehearsed. Try practicing with a live audience of friends so they can give you feedback on the go.</t>
  </si>
  <si>
    <t>Your speech was impassioned and engaging, and your intonation was accordingly strong and personal. Your opening felt a bit abrupt and your conclusion a bit rushed. Remember, those are the moments in your speech that your audience will remember the most, so you need to make them clear and memorable.</t>
  </si>
  <si>
    <t>Your eye contact was engaged. Your pacing became fast at times making it difficult for the audience to absorb key information. Practice pausing between important points for better emphasis . Practicing varied pacing, especially in emotionally charged or data-heavy sections also  practicing without notes or using quick glances can help maintain engagement</t>
  </si>
  <si>
    <t>Your opening was interesting, but it could have been stronger. Consider starting with a powerful question or a thought-provoking statement. Practicing without notes or using quick glances can help maintain engagement</t>
  </si>
  <si>
    <t>Your vocal variety was generally dynamic, adding more real-life examples or statistics could make it even more convincing and relatable to the audience.  Practicing without notes or using quick glances can help maintain engagement</t>
  </si>
  <si>
    <t>Your research was evident and your information was well sourced. The structure of your speech was logically sound.  Practicing without notes or using quick glances can help maintain engagement</t>
  </si>
  <si>
    <t xml:space="preserve">Your opening was intriguing, but consider deepening your initial hook to immediately establish relevance for the specific audience. Looking at your notes disrupted (very much) your connection with the audience and avoid engaging with your speech. Practicing without notes or using quick glances can help maintain engagement.  </t>
  </si>
  <si>
    <t>Your speech had a great content.  Try to get closer to the camera.  Your body language felt at times a bit stiff. if you use more natural gestures it could help you reinforce the message and make your delivery more dynamic.</t>
  </si>
  <si>
    <t xml:space="preserve">Your opening was good.  The organization could be clearer. Try using stronger transitions between points to improve the flow and coherence speech. over reliance notes. Practicing without notes or using quick glances can help maintain engagement.   </t>
  </si>
  <si>
    <t xml:space="preserve">Deep analysis and strong arguments, the examples provided are convincing. The way it is organised is effective. Be careful with the pronunciation of certain words and you need to show yourself more confident as well as change the tone of voice. </t>
  </si>
  <si>
    <t>You imprint a lot of emotion and enthusiasm, the way you present the arguments is not very clear, try to include more markers that indicate the change of stages. Try to look at the camera to make eye contact and thus a better impact on the audience</t>
  </si>
  <si>
    <t xml:space="preserve">Great use of body language to make your points and also the tone of voice. Try to provide stronger arguments and a more impactful example. Good analysis, but go deeper. </t>
  </si>
  <si>
    <t>It was an interesting introduction! Quite theatrical and impactful. Although it was hard to identify the point and the connection with the topic, surely it was a good example</t>
  </si>
  <si>
    <t>Clear arguments and strong points, I enjoyed how you connected your ideas and how you organised them. The body language and eye contact you used has a positive effect on your audience. Be careful with time and how you close the speech.</t>
  </si>
  <si>
    <t xml:space="preserve">Good examples and quite a strong way to start. Voice and intonation also provide a positive impact on the audience. Questions also help generate reflection and make your speech more convincing. Be carful with timing and how you finish the speech </t>
  </si>
  <si>
    <t xml:space="preserve">Your points and the way you structured your speech is quite effective. Also the way you use your body language, eye contact and voice variation. You need to go deeper into the analysis and avoid repetition, provide more impactful examples. </t>
  </si>
  <si>
    <t>Thank you for your participation. I think you were a little nervous, because there were a couple of times when you lost your thread - keep practising in front of a mirror. I understand with the impromtu round, this is an added stress, but perhaps you could have a couple of "filler phrases" that could "buy you a couple of seconds thinking time</t>
  </si>
  <si>
    <t xml:space="preserve">Don't sacrifice reading your speech with not making eye contact with the listener. You say "like" quite a lot - try to reduce that. I know it's not the most fun watching yourself, but perhaps, videoing yourself will help you to identify areas you can work on,Good effort though </t>
  </si>
  <si>
    <t>You have a very engaging presence Monika. Your impromptu speech was a little on the short side, but well organised. Your opinons/points were easy to follow for the listener</t>
  </si>
  <si>
    <t>Natalia, well done for keeping your composure after the interruption during your speech! I really enjoyed how you structured your arguments - well done.</t>
  </si>
  <si>
    <t xml:space="preserve">well done Tania. I would say that you could work on making your opening statement a little more vocally dynamic, to make a stronger initial impact. </t>
  </si>
  <si>
    <t>A well organised impromtu speech Valentina. Some really valid points made clearly and with conviction. Try to close strongly emphasizing all the points.</t>
  </si>
  <si>
    <t>Strong start - but echo problems with sound. Good ideas strongly expressed - with a wider range of points rather than just personal experiences</t>
  </si>
  <si>
    <t>Good body language, your posture was confident, your voice was clear, and the pacing was appropriate, though there is room for improvement in varied intonation to make your delivery even more dynamic and compelling. Your use of personal examples was a nice touch, but to strengthen your argument, I���d recommend incorporating more factual data or evidence to increase persuasion to make your message even more impactful. Your speech would benefit from deeper analysis and exploration of the topic; consider addressing potential counterarguments to show a more critical understanding. You managed to avoid relying too heavily on your notes, which was great, and the structure of your speech was clear.</t>
  </si>
  <si>
    <t xml:space="preserve">You put a lot of effort into preparing your speech. While there were moments when you relied on your notes, with more practice, you can become more confident in delivering without them. Your voice was clear, and you maintained a steady pace, but varying your tone more will help capture the audience's attention better. Your body language and eye contact can improved to help engage the audience more. Your speech could benefit from more factual examples and analysis, as personal experiences alone may not be enough to persuade. Try including data or references to make your arguments stronger. Keep working on minimizing fillers and focusing on the key points in your argument. </t>
  </si>
  <si>
    <t xml:space="preserve">Your body language was engaging, and your posture was confident, which helped keep the audience's attention. The structure of your speech was clear, and you did well in not relying on your notes too much, which made your delivery feel more natural. Your examples were relevant and helpful, but incorporating more in-depth analysis and factual evidence would strengthen your argument and make it even more persuasive. You handled your time well, though there's room to fully use the entire time to elaborate on your points for a more comprehensive speech. You demonstrated good confidence throughout, which added to the strength of your presence. </t>
  </si>
  <si>
    <t xml:space="preserve">You demonstrated strong confidence, especially considering the interruption. it���s clear you were prepared. I liked the creative way you wrote your speech, but be mindful of structuring your points more clearly and focusing on the key ideas. Your voice was clear, but adding more tone and body language variation will make it even more captivating. The examples you shared were good, but incorporating more factual analysis and a deeper exploration of the topic would strengthen your argument. </t>
  </si>
  <si>
    <t>Your body language was engaging, and it was great that you didn���t rely too much on your notes. The examples you provided were varied and insightful, which help support your points, but also try to add facts or counter-arguments. You did a solid job analyzing the topic, but there���s room to dive deeper into your explanations to strengthen your argument. The structure of your speech was clear, making it easy to follow. Try to keep an eye on the time so that you can fully cover all your key points.</t>
  </si>
  <si>
    <t xml:space="preserve"> You did a good job using body language to engage the audience, and I appreciated that you didn���t rely heavily on your notes. Your personal examples were effective, and you brought in different contexts to support your points. The structure of your speech was clear, and your use of rhetorical questions added an engaging touch. Your voice and intonation were strong, which made your delivery compelling. One thing to watch out for is speaking a bit too quickly, as it can sometimes affect the pacing and clarity. </t>
  </si>
  <si>
    <t xml:space="preserve">Your body language was good, though there���s room for improvement to make it even more engaging. You structured your speech well and delivered it confidently. The examples you provided were helpful, but incorporating a wider variety of examples, along with some facts and data, would make your argument even stronger. Your explanations were good, but diving deeper into the analysis would add more impact. Your voice was clear, but adding more intonation would help capture the audience���s attention even more, be mindful of your microphone audio. Be careful to follow the instructions, such as turning off your camera when you���re not competing. </t>
  </si>
  <si>
    <t>AD01</t>
  </si>
  <si>
    <t>AD02</t>
  </si>
  <si>
    <t>AD17</t>
  </si>
  <si>
    <t>AD03</t>
  </si>
  <si>
    <t>AD04</t>
  </si>
  <si>
    <t>AD05</t>
  </si>
  <si>
    <t>AD06</t>
  </si>
  <si>
    <t>AD07</t>
  </si>
  <si>
    <t>AD08</t>
  </si>
  <si>
    <t>AD09</t>
  </si>
  <si>
    <t>AD16</t>
  </si>
  <si>
    <t>AD15</t>
  </si>
  <si>
    <t>AD10</t>
  </si>
  <si>
    <t>AD11</t>
  </si>
  <si>
    <t>AD12</t>
  </si>
  <si>
    <t>AD13</t>
  </si>
  <si>
    <t>AD14</t>
  </si>
  <si>
    <t>AD22</t>
  </si>
  <si>
    <t>AD18</t>
  </si>
  <si>
    <t>AD19</t>
  </si>
  <si>
    <t>AD20</t>
  </si>
  <si>
    <t>AD21</t>
  </si>
  <si>
    <t>AD23</t>
  </si>
  <si>
    <t>AD24</t>
  </si>
  <si>
    <t>AD25</t>
  </si>
  <si>
    <t>AD26</t>
  </si>
  <si>
    <t>AD27</t>
  </si>
  <si>
    <t>AD28</t>
  </si>
  <si>
    <t>AD29</t>
  </si>
  <si>
    <t>AD30</t>
  </si>
  <si>
    <t>AD31</t>
  </si>
  <si>
    <t>AD32</t>
  </si>
  <si>
    <t>AD33</t>
  </si>
  <si>
    <t>AD34</t>
  </si>
  <si>
    <t>AD35</t>
  </si>
  <si>
    <t>AD36</t>
  </si>
  <si>
    <t>AD37</t>
  </si>
  <si>
    <t>TOTAL</t>
  </si>
  <si>
    <t>STD</t>
  </si>
  <si>
    <t>AVG_A</t>
  </si>
  <si>
    <t>STD_TOTAL</t>
  </si>
  <si>
    <t>AVG_B</t>
  </si>
  <si>
    <t>AVG_C</t>
  </si>
  <si>
    <t>AVG_D</t>
  </si>
  <si>
    <t>ZSCORE_A</t>
  </si>
  <si>
    <t>ZSCORE_B</t>
  </si>
  <si>
    <t>ZSCORE_C</t>
  </si>
  <si>
    <t>ZSCORE_D</t>
  </si>
  <si>
    <t>AVG_ZSCORE</t>
  </si>
  <si>
    <t>Promedio de ZSCORE_A</t>
  </si>
  <si>
    <t>Promedio de ZSCORE_B</t>
  </si>
  <si>
    <t>Promedio de ZSCORE_C</t>
  </si>
  <si>
    <t>Promedio de ZSCORE_D</t>
  </si>
  <si>
    <t>Promedio de AVG_ZSCORE</t>
  </si>
  <si>
    <t>ADJ</t>
  </si>
  <si>
    <t>Nicol��s G��mez Chapou</t>
  </si>
  <si>
    <t>Odilia Guirado</t>
  </si>
  <si>
    <t>Pablo G��mez</t>
  </si>
  <si>
    <t>Pablo Ivan Gomez Soto</t>
  </si>
  <si>
    <t>Roberto Jones</t>
  </si>
  <si>
    <t xml:space="preserve">Rafael Rangel </t>
  </si>
  <si>
    <t>Sandra Segura</t>
  </si>
  <si>
    <t>Sara Perales</t>
  </si>
  <si>
    <t>Secundino Isabeles</t>
  </si>
  <si>
    <t>Victoria Pe��aloza</t>
  </si>
  <si>
    <t>Ang��lica Barrientos</t>
  </si>
  <si>
    <t>Alejandro Falc��n</t>
  </si>
  <si>
    <t>Alejandro M. Garc��a</t>
  </si>
  <si>
    <t>Cris Le��n</t>
  </si>
  <si>
    <t>Carlos Castro</t>
  </si>
  <si>
    <t>Citlali De Dios</t>
  </si>
  <si>
    <t>Cid Leana Morales</t>
  </si>
  <si>
    <t>Daniel Hern��ndez Colin</t>
  </si>
  <si>
    <t>Dar��o Z��rate Figueroa</t>
  </si>
  <si>
    <t>Diana Nolasco</t>
  </si>
  <si>
    <t>Diana Cuesta</t>
  </si>
  <si>
    <t>Gal Erez</t>
  </si>
  <si>
    <t>Isabel Padr��n Pi��eiro</t>
  </si>
  <si>
    <t>Joseph Lomax</t>
  </si>
  <si>
    <t>Jes��s Briones</t>
  </si>
  <si>
    <t xml:space="preserve">Luis Miguel Sanchez </t>
  </si>
  <si>
    <t xml:space="preserve">Linda Plata </t>
  </si>
  <si>
    <t>Lily Locke</t>
  </si>
  <si>
    <t>Lilia Guzm��n</t>
  </si>
  <si>
    <t>Montserrat Morones Avi��a</t>
  </si>
  <si>
    <t>Mary Austin</t>
  </si>
  <si>
    <t>Marco Medina</t>
  </si>
  <si>
    <t>Marcos Barbiaux Aguilar</t>
  </si>
  <si>
    <t>Mariana Elechiguerra</t>
  </si>
  <si>
    <t>Mariana Garc��a Landa</t>
  </si>
  <si>
    <t>Mateo Benita</t>
  </si>
  <si>
    <t>Magdalena Tiburcio</t>
  </si>
  <si>
    <t>Promedio de TOTAL</t>
  </si>
  <si>
    <t>Promedio de STD_TOTAL</t>
  </si>
  <si>
    <t>Promedio de SUB_A</t>
  </si>
  <si>
    <t>Promedio de SUB_B</t>
  </si>
  <si>
    <t>Promedio de SUB_C</t>
  </si>
  <si>
    <t>Promedio de SUB_D</t>
  </si>
  <si>
    <t>SCORES IMPR</t>
  </si>
  <si>
    <t>SCORES PREP</t>
  </si>
  <si>
    <t>AVG SUBTOTALES</t>
  </si>
  <si>
    <t>HEADROOM</t>
  </si>
  <si>
    <t>C</t>
  </si>
  <si>
    <t>D</t>
  </si>
  <si>
    <t>HEAD_A</t>
  </si>
  <si>
    <t>HEAD_B</t>
  </si>
  <si>
    <t>HEAD_C</t>
  </si>
  <si>
    <t>HEAD_D</t>
  </si>
  <si>
    <t>AVG Z-SCORES</t>
  </si>
  <si>
    <t>Z_A</t>
  </si>
  <si>
    <t>Z_B</t>
  </si>
  <si>
    <t>Z_C</t>
  </si>
  <si>
    <t>Z_D</t>
  </si>
  <si>
    <t>Z_TOTAL</t>
  </si>
  <si>
    <t>STD_Z</t>
  </si>
  <si>
    <t>STD_HEAD</t>
  </si>
  <si>
    <t>AVG_HEAD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</si>
</sst>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bgColor theme="9"/>
      </patternFill>
    </fill>
    <fill>
      <patternFill patternType="solid">
        <fgColor theme="3" tint="0.749992370372631"/>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8" tint="0.79998168889431442"/>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5">
    <xf numFmtId="0" fontId="0" fillId="0" borderId="0" xfId="0"/>
    <xf numFmtId="0" fontId="0" fillId="0" borderId="0" xfId="0" applyAlignment="1">
      <alignment horizontal="center"/>
    </xf>
    <xf numFmtId="0" fontId="0" fillId="0" borderId="0" xfId="0" applyAlignment="1">
      <alignment horizontal="left"/>
    </xf>
    <xf numFmtId="0" fontId="0" fillId="34" borderId="0" xfId="0" applyFill="1" applyAlignment="1">
      <alignment horizontal="center"/>
    </xf>
    <xf numFmtId="0" fontId="0" fillId="35" borderId="0" xfId="0" applyFill="1" applyAlignment="1">
      <alignment horizontal="center"/>
    </xf>
    <xf numFmtId="0" fontId="0" fillId="36" borderId="0" xfId="0" applyFill="1" applyAlignment="1">
      <alignment horizontal="center"/>
    </xf>
    <xf numFmtId="0" fontId="0" fillId="37" borderId="0" xfId="0" applyFill="1" applyAlignment="1">
      <alignment horizontal="center"/>
    </xf>
    <xf numFmtId="2" fontId="0" fillId="0" borderId="0" xfId="0" applyNumberFormat="1" applyAlignment="1">
      <alignment horizontal="center"/>
    </xf>
    <xf numFmtId="2" fontId="0" fillId="0" borderId="0" xfId="0" applyNumberFormat="1"/>
    <xf numFmtId="0" fontId="13" fillId="33" borderId="10" xfId="0" applyFont="1" applyFill="1" applyBorder="1" applyAlignment="1">
      <alignment horizontal="center"/>
    </xf>
    <xf numFmtId="0" fontId="13" fillId="33" borderId="11" xfId="0" applyFont="1" applyFill="1" applyBorder="1" applyAlignment="1">
      <alignment horizontal="center"/>
    </xf>
    <xf numFmtId="0" fontId="0" fillId="0" borderId="0" xfId="0" pivotButton="1"/>
    <xf numFmtId="10" fontId="0" fillId="0" borderId="0" xfId="1" applyNumberFormat="1" applyFont="1" applyAlignment="1">
      <alignment horizontal="center"/>
    </xf>
    <xf numFmtId="10" fontId="0" fillId="0" borderId="0" xfId="1" applyNumberFormat="1" applyFont="1"/>
    <xf numFmtId="0" fontId="0" fillId="38" borderId="0" xfId="0" applyFill="1" applyAlignment="1">
      <alignment horizontal="center"/>
    </xf>
    <xf numFmtId="10" fontId="0" fillId="39" borderId="0" xfId="1" applyNumberFormat="1" applyFont="1" applyFill="1" applyAlignment="1">
      <alignment horizontal="center"/>
    </xf>
    <xf numFmtId="0" fontId="0" fillId="40" borderId="0" xfId="0" applyFill="1" applyAlignment="1">
      <alignment horizontal="center"/>
    </xf>
    <xf numFmtId="10" fontId="0" fillId="39" borderId="0" xfId="1" applyNumberFormat="1" applyFont="1" applyFill="1" applyAlignment="1">
      <alignment horizontal="center"/>
    </xf>
    <xf numFmtId="2" fontId="0" fillId="0" borderId="0" xfId="1" applyNumberFormat="1" applyFont="1" applyAlignment="1">
      <alignment horizontal="center"/>
    </xf>
    <xf numFmtId="0" fontId="17" fillId="0" borderId="0" xfId="0" applyFont="1" applyAlignment="1">
      <alignment horizontal="center"/>
    </xf>
    <xf numFmtId="10" fontId="17" fillId="0" borderId="0" xfId="1" applyNumberFormat="1" applyFont="1" applyAlignment="1">
      <alignment horizontal="center"/>
    </xf>
    <xf numFmtId="10" fontId="0" fillId="34" borderId="0" xfId="1" applyNumberFormat="1" applyFont="1" applyFill="1" applyAlignment="1">
      <alignment horizontal="center"/>
    </xf>
    <xf numFmtId="10" fontId="0" fillId="35" borderId="0" xfId="1" applyNumberFormat="1" applyFont="1" applyFill="1" applyAlignment="1">
      <alignment horizontal="center"/>
    </xf>
    <xf numFmtId="10" fontId="0" fillId="36" borderId="0" xfId="1" applyNumberFormat="1" applyFont="1" applyFill="1" applyAlignment="1">
      <alignment horizontal="center"/>
    </xf>
    <xf numFmtId="10" fontId="0" fillId="37" borderId="0" xfId="1" applyNumberFormat="1" applyFont="1" applyFill="1" applyAlignment="1">
      <alignment horizontal="center"/>
    </xf>
  </cellXfs>
  <cellStyles count="43">
    <cellStyle name="20% - Énfasis1" xfId="20" builtinId="30" customBuiltin="1"/>
    <cellStyle name="20% - Énfasis2" xfId="24" builtinId="34" customBuiltin="1"/>
    <cellStyle name="20% - Énfasis3" xfId="28" builtinId="38" customBuiltin="1"/>
    <cellStyle name="20% - Énfasis4" xfId="32" builtinId="42" customBuiltin="1"/>
    <cellStyle name="20% - Énfasis5" xfId="36" builtinId="46" customBuiltin="1"/>
    <cellStyle name="20% - Énfasis6" xfId="40" builtinId="50" customBuiltin="1"/>
    <cellStyle name="40% - Énfasis1" xfId="21" builtinId="31" customBuiltin="1"/>
    <cellStyle name="40% - Énfasis2" xfId="25" builtinId="35" customBuiltin="1"/>
    <cellStyle name="40% - Énfasis3" xfId="29" builtinId="39" customBuiltin="1"/>
    <cellStyle name="40% - Énfasis4" xfId="33" builtinId="43" customBuiltin="1"/>
    <cellStyle name="40% - Énfasis5" xfId="37" builtinId="47" customBuiltin="1"/>
    <cellStyle name="40% - Énfasis6" xfId="41" builtinId="51" customBuiltin="1"/>
    <cellStyle name="60% - Énfasis1" xfId="22" builtinId="32" customBuiltin="1"/>
    <cellStyle name="60% - Énfasis2" xfId="26" builtinId="36" customBuiltin="1"/>
    <cellStyle name="60% - Énfasis3" xfId="30" builtinId="40" customBuiltin="1"/>
    <cellStyle name="60% - Énfasis4" xfId="34" builtinId="44" customBuiltin="1"/>
    <cellStyle name="60% - Énfasis5" xfId="38" builtinId="48" customBuiltin="1"/>
    <cellStyle name="60% - Énfasis6" xfId="42" builtinId="52" customBuiltin="1"/>
    <cellStyle name="Bueno" xfId="7" builtinId="26" customBuiltin="1"/>
    <cellStyle name="Cálculo" xfId="12" builtinId="22" customBuiltin="1"/>
    <cellStyle name="Celda de comprobación" xfId="14" builtinId="23" customBuiltin="1"/>
    <cellStyle name="Celda vinculada" xfId="13" builtinId="24" customBuiltin="1"/>
    <cellStyle name="Encabezado 1" xfId="3" builtinId="16" customBuiltin="1"/>
    <cellStyle name="Encabezado 4" xfId="6" builtinId="19" customBuiltin="1"/>
    <cellStyle name="Énfasis1" xfId="19" builtinId="29" customBuiltin="1"/>
    <cellStyle name="Énfasis2" xfId="23" builtinId="33" customBuiltin="1"/>
    <cellStyle name="Énfasis3" xfId="27" builtinId="37" customBuiltin="1"/>
    <cellStyle name="Énfasis4" xfId="31" builtinId="41" customBuiltin="1"/>
    <cellStyle name="Énfasis5" xfId="35" builtinId="45" customBuiltin="1"/>
    <cellStyle name="Énfasis6" xfId="39" builtinId="49" customBuiltin="1"/>
    <cellStyle name="Entrada" xfId="10" builtinId="20" customBuiltin="1"/>
    <cellStyle name="Incorrecto" xfId="8" builtinId="27" customBuiltin="1"/>
    <cellStyle name="Neutral" xfId="9" builtinId="28" customBuiltin="1"/>
    <cellStyle name="Normal" xfId="0" builtinId="0"/>
    <cellStyle name="Notas" xfId="16" builtinId="10" customBuiltin="1"/>
    <cellStyle name="Porcentaje" xfId="1" builtinId="5"/>
    <cellStyle name="Salida" xfId="11" builtinId="21" customBuiltin="1"/>
    <cellStyle name="Texto de advertencia" xfId="15" builtinId="11" customBuiltin="1"/>
    <cellStyle name="Texto explicativo" xfId="17" builtinId="53" customBuiltin="1"/>
    <cellStyle name="Título" xfId="2" builtinId="15" customBuiltin="1"/>
    <cellStyle name="Título 2" xfId="4" builtinId="17" customBuiltin="1"/>
    <cellStyle name="Título 3" xfId="5" builtinId="18" customBuiltin="1"/>
    <cellStyle name="Total" xfId="18" builtinId="25" customBuiltin="1"/>
  </cellStyles>
  <dxfs count="24">
    <dxf>
      <font>
        <b val="0"/>
        <i val="0"/>
        <strike val="0"/>
        <condense val="0"/>
        <extend val="0"/>
        <outline val="0"/>
        <shadow val="0"/>
        <u val="none"/>
        <vertAlign val="baseline"/>
        <sz val="11"/>
        <color theme="1"/>
        <name val="Aptos Narrow"/>
        <family val="2"/>
        <scheme val="minor"/>
      </font>
      <numFmt numFmtId="14" formatCode="0.00%"/>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4"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14" formatCode="0.00%"/>
      <alignment horizontal="center" vertical="bottom" textRotation="0" wrapText="0" indent="0" justifyLastLine="0" shrinkToFit="0" readingOrder="0"/>
    </dxf>
    <dxf>
      <numFmt numFmtId="14" formatCode="0.00%"/>
      <alignment horizontal="center" vertical="bottom" textRotation="0" wrapText="0" indent="0" justifyLastLine="0" shrinkToFit="0" readingOrder="0"/>
    </dxf>
    <dxf>
      <numFmt numFmtId="14" formatCode="0.00%"/>
      <alignment horizontal="center" vertical="bottom" textRotation="0" wrapText="0" indent="0" justifyLastLine="0" shrinkToFit="0" readingOrder="0"/>
    </dxf>
    <dxf>
      <numFmt numFmtId="14"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alignment horizontal="center" vertical="bottom" textRotation="0" wrapText="0" indent="0" justifyLastLine="0" shrinkToFit="0" readingOrder="0"/>
    </dxf>
    <dxf>
      <numFmt numFmtId="2" formatCode="0.00"/>
    </dxf>
    <dxf>
      <numFmt numFmtId="2" formatCode="0.00"/>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lieta" refreshedDate="46024.837309027775" createdVersion="8" refreshedVersion="8" minRefreshableVersion="3" recordCount="790" xr:uid="{1A6AD325-D7A6-44CB-89B7-98D6E95B7494}">
  <cacheSource type="worksheet">
    <worksheetSource ref="A1:U791" sheet="PREP_SCORES"/>
  </cacheSource>
  <cacheFields count="21">
    <cacheField name="ADJUDICATOR" numFmtId="0">
      <sharedItems count="34">
        <s v="AD01"/>
        <s v="AD02"/>
        <s v="AD03"/>
        <s v="AD05"/>
        <s v="AD06"/>
        <s v="AD07"/>
        <s v="AD08"/>
        <s v="AD09"/>
        <s v="AD10"/>
        <s v="AD11"/>
        <s v="AD12"/>
        <s v="AD13"/>
        <s v="AD14"/>
        <s v="AD15"/>
        <s v="AD16"/>
        <s v="AD17"/>
        <s v="AD18"/>
        <s v="AD19"/>
        <s v="AD20"/>
        <s v="AD21"/>
        <s v="AD22"/>
        <s v="AD23"/>
        <s v="AD24"/>
        <s v="AD25"/>
        <s v="AD27"/>
        <s v="AD28"/>
        <s v="AD29"/>
        <s v="AD30"/>
        <s v="AD31"/>
        <s v="AD32"/>
        <s v="AD33"/>
        <s v="AD34"/>
        <s v="AD35"/>
        <s v="AD37"/>
      </sharedItems>
    </cacheField>
    <cacheField name="TIPO" numFmtId="0">
      <sharedItems/>
    </cacheField>
    <cacheField name="SUB_A" numFmtId="0">
      <sharedItems containsSemiMixedTypes="0" containsString="0" containsNumber="1" containsInteger="1" minValue="6" maxValue="35"/>
    </cacheField>
    <cacheField name="SUB_B" numFmtId="0">
      <sharedItems containsSemiMixedTypes="0" containsString="0" containsNumber="1" containsInteger="1" minValue="8" maxValue="34"/>
    </cacheField>
    <cacheField name="SUB_C" numFmtId="0">
      <sharedItems containsSemiMixedTypes="0" containsString="0" containsNumber="1" containsInteger="1" minValue="3" maxValue="15"/>
    </cacheField>
    <cacheField name="SUB_D" numFmtId="0">
      <sharedItems containsSemiMixedTypes="0" containsString="0" containsNumber="1" containsInteger="1" minValue="4" maxValue="15"/>
    </cacheField>
    <cacheField name="TOTAL" numFmtId="0">
      <sharedItems containsSemiMixedTypes="0" containsString="0" containsNumber="1" containsInteger="1" minValue="27" maxValue="95"/>
    </cacheField>
    <cacheField name="STD_TOTAL" numFmtId="2">
      <sharedItems containsSemiMixedTypes="0" containsString="0" containsNumber="1" minValue="0.27735009811261452" maxValue="3.0445411426405071"/>
    </cacheField>
    <cacheField name="AVG_A" numFmtId="2">
      <sharedItems containsSemiMixedTypes="0" containsString="0" containsNumber="1" minValue="22.694936708860759" maxValue="22.694936708860759"/>
    </cacheField>
    <cacheField name="STD_A" numFmtId="2">
      <sharedItems containsSemiMixedTypes="0" containsString="0" containsNumber="1" minValue="5.3055534129377486" maxValue="5.3055534129377486"/>
    </cacheField>
    <cacheField name="AVG_B" numFmtId="2">
      <sharedItems containsSemiMixedTypes="0" containsString="0" containsNumber="1" minValue="22.140506329113926" maxValue="22.140506329113926"/>
    </cacheField>
    <cacheField name="STD_B" numFmtId="2">
      <sharedItems containsSemiMixedTypes="0" containsString="0" containsNumber="1" minValue="4.9144008395218908" maxValue="4.9144008395218908"/>
    </cacheField>
    <cacheField name="AVG_C" numFmtId="2">
      <sharedItems containsSemiMixedTypes="0" containsString="0" containsNumber="1" minValue="10.069620253164556" maxValue="10.069620253164556"/>
    </cacheField>
    <cacheField name="STD_C" numFmtId="2">
      <sharedItems containsSemiMixedTypes="0" containsString="0" containsNumber="1" minValue="2.1089377326145904" maxValue="2.1089377326145904"/>
    </cacheField>
    <cacheField name="AVG_D" numFmtId="2">
      <sharedItems containsSemiMixedTypes="0" containsString="0" containsNumber="1" minValue="10.958227848101266" maxValue="10.958227848101266"/>
    </cacheField>
    <cacheField name="STD_D" numFmtId="2">
      <sharedItems containsSemiMixedTypes="0" containsString="0" containsNumber="1" minValue="2.2883463843764797" maxValue="2.2883463843764797"/>
    </cacheField>
    <cacheField name="ZSCORE_A" numFmtId="2">
      <sharedItems containsSemiMixedTypes="0" containsString="0" containsNumber="1" minValue="-3.1466909122335216" maxValue="2.3192798815544822"/>
    </cacheField>
    <cacheField name="ZSCORE_B" numFmtId="2">
      <sharedItems containsSemiMixedTypes="0" containsString="0" containsNumber="1" minValue="-2.8773612065575054" maxValue="2.4132125274583531"/>
    </cacheField>
    <cacheField name="ZSCORE_C" numFmtId="2">
      <sharedItems containsSemiMixedTypes="0" containsString="0" containsNumber="1" minValue="-3.3522185808681408" maxValue="2.3378498428793932"/>
    </cacheField>
    <cacheField name="ZSCORE_D" numFmtId="2">
      <sharedItems containsSemiMixedTypes="0" containsString="0" containsNumber="1" minValue="-3.0407231595741213" maxValue="1.7662414132290645"/>
    </cacheField>
    <cacheField name="AVG_ZSCORE" numFmtId="2">
      <sharedItems containsSemiMixedTypes="0" containsString="0" containsNumber="1" minValue="-2.5108820527486593" maxValue="1.9454910470753366"/>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lieta" refreshedDate="46024.847026504627" createdVersion="8" refreshedVersion="8" minRefreshableVersion="3" recordCount="788" xr:uid="{F09D70BA-EC42-40BF-9FE0-674D36A9D16A}">
  <cacheSource type="worksheet">
    <worksheetSource ref="A1:AA789" sheet="IMPR_SCORES"/>
  </cacheSource>
  <cacheFields count="27">
    <cacheField name="ADJUDICATOR" numFmtId="0">
      <sharedItems count="33">
        <s v="AD01"/>
        <s v="AD02"/>
        <s v="AD03"/>
        <s v="AD04"/>
        <s v="AD06"/>
        <s v="AD07"/>
        <s v="AD08"/>
        <s v="AD09"/>
        <s v="AD12"/>
        <s v="AD13"/>
        <s v="AD14"/>
        <s v="AD15"/>
        <s v="AD16"/>
        <s v="AD17"/>
        <s v="AD18"/>
        <s v="AD19"/>
        <s v="AD20"/>
        <s v="AD21"/>
        <s v="AD22"/>
        <s v="AD24"/>
        <s v="AD25"/>
        <s v="AD26"/>
        <s v="AD27"/>
        <s v="AD28"/>
        <s v="AD29"/>
        <s v="AD30"/>
        <s v="AD31"/>
        <s v="AD32"/>
        <s v="AD33"/>
        <s v="AD34"/>
        <s v="AD35"/>
        <s v="AD36"/>
        <s v="AD37"/>
      </sharedItems>
    </cacheField>
    <cacheField name="TIPO" numFmtId="0">
      <sharedItems/>
    </cacheField>
    <cacheField name="A1" numFmtId="0">
      <sharedItems containsSemiMixedTypes="0" containsString="0" containsNumber="1" containsInteger="1" minValue="1" maxValue="10"/>
    </cacheField>
    <cacheField name="A2" numFmtId="0">
      <sharedItems containsSemiMixedTypes="0" containsString="0" containsNumber="1" containsInteger="1" minValue="1" maxValue="10"/>
    </cacheField>
    <cacheField name="A3" numFmtId="0">
      <sharedItems containsSemiMixedTypes="0" containsString="0" containsNumber="1" containsInteger="1" minValue="1" maxValue="10"/>
    </cacheField>
    <cacheField name="A4" numFmtId="0">
      <sharedItems containsSemiMixedTypes="0" containsString="0" containsNumber="1" containsInteger="1" minValue="1" maxValue="10"/>
    </cacheField>
    <cacheField name="B1" numFmtId="0">
      <sharedItems containsSemiMixedTypes="0" containsString="0" containsNumber="1" containsInteger="1" minValue="1" maxValue="10"/>
    </cacheField>
    <cacheField name="B2" numFmtId="0">
      <sharedItems containsSemiMixedTypes="0" containsString="0" containsNumber="1" containsInteger="1" minValue="1" maxValue="10"/>
    </cacheField>
    <cacheField name="B3" numFmtId="0">
      <sharedItems containsSemiMixedTypes="0" containsString="0" containsNumber="1" containsInteger="1" minValue="1" maxValue="10"/>
    </cacheField>
    <cacheField name="B4" numFmtId="0">
      <sharedItems containsSemiMixedTypes="0" containsString="0" containsNumber="1" containsInteger="1" minValue="1" maxValue="10"/>
    </cacheField>
    <cacheField name="C1" numFmtId="0">
      <sharedItems containsSemiMixedTypes="0" containsString="0" containsNumber="1" containsInteger="1" minValue="1" maxValue="10"/>
    </cacheField>
    <cacheField name="C2" numFmtId="0">
      <sharedItems containsSemiMixedTypes="0" containsString="0" containsNumber="1" containsInteger="1" minValue="0" maxValue="10"/>
    </cacheField>
    <cacheField name="SUB_A" numFmtId="0">
      <sharedItems containsSemiMixedTypes="0" containsString="0" containsNumber="1" containsInteger="1" minValue="5" maxValue="39"/>
    </cacheField>
    <cacheField name="SUB_B" numFmtId="0">
      <sharedItems containsSemiMixedTypes="0" containsString="0" containsNumber="1" containsInteger="1" minValue="4" maxValue="39"/>
    </cacheField>
    <cacheField name="SUB_C" numFmtId="0">
      <sharedItems containsSemiMixedTypes="0" containsString="0" containsNumber="1" containsInteger="1" minValue="2" maxValue="20"/>
    </cacheField>
    <cacheField name="TOTAL" numFmtId="0">
      <sharedItems containsSemiMixedTypes="0" containsString="0" containsNumber="1" containsInteger="1" minValue="12" maxValue="96"/>
    </cacheField>
    <cacheField name="STD_TOTAL" numFmtId="2">
      <sharedItems containsSemiMixedTypes="0" containsString="0" containsNumber="1" minValue="0" maxValue="2.503331114069145"/>
    </cacheField>
    <cacheField name="AVG_A" numFmtId="2">
      <sharedItems containsSemiMixedTypes="0" containsString="0" containsNumber="1" minValue="23.196700507614214" maxValue="23.196700507614214"/>
    </cacheField>
    <cacheField name="STD_A" numFmtId="2">
      <sharedItems containsSemiMixedTypes="0" containsString="0" containsNumber="1" minValue="6.4306002317777482" maxValue="6.4306002317777482"/>
    </cacheField>
    <cacheField name="AVG_B" numFmtId="2">
      <sharedItems containsSemiMixedTypes="0" containsString="0" containsNumber="1" minValue="22.771573604060915" maxValue="22.771573604060915"/>
    </cacheField>
    <cacheField name="STD_B" numFmtId="2">
      <sharedItems containsSemiMixedTypes="0" containsString="0" containsNumber="1" minValue="6.5356886776680962" maxValue="6.5356886776680962"/>
    </cacheField>
    <cacheField name="AVG_C" numFmtId="2">
      <sharedItems containsSemiMixedTypes="0" containsString="0" containsNumber="1" minValue="11.434010152284264" maxValue="11.434010152284264"/>
    </cacheField>
    <cacheField name="STD_C" numFmtId="2">
      <sharedItems containsSemiMixedTypes="0" containsString="0" containsNumber="1" minValue="3.5019632409825281" maxValue="3.5019632409825281"/>
    </cacheField>
    <cacheField name="ZSCORE_A" numFmtId="2">
      <sharedItems containsSemiMixedTypes="0" containsString="0" containsNumber="1" minValue="-2.8297048256386033" maxValue="2.4575154608883132"/>
    </cacheField>
    <cacheField name="ZSCORE_B" numFmtId="2">
      <sharedItems containsSemiMixedTypes="0" containsString="0" containsNumber="1" minValue="-2.8721645919582763" maxValue="2.483047647509629"/>
    </cacheField>
    <cacheField name="ZSCORE_C" numFmtId="2">
      <sharedItems containsSemiMixedTypes="0" containsString="0" containsNumber="1" minValue="-2.6939203821104107" maxValue="2.4460536157176853"/>
    </cacheField>
    <cacheField name="AVG_ZSCORE" numFmtId="2">
      <sharedItems containsSemiMixedTypes="0" containsString="0" containsNumber="1" minValue="-2.7475945785741644" maxValue="2.358534588694877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90">
  <r>
    <x v="0"/>
    <s v="PREP"/>
    <n v="11"/>
    <n v="15"/>
    <n v="8"/>
    <n v="10"/>
    <n v="44"/>
    <n v="0.86971849262290413"/>
    <n v="22.694936708860759"/>
    <n v="5.3055534129377486"/>
    <n v="22.140506329113926"/>
    <n v="4.9144008395218908"/>
    <n v="10.069620253164556"/>
    <n v="2.1089377326145904"/>
    <n v="10.958227848101266"/>
    <n v="2.2883463843764797"/>
    <n v="-2.2042821546838658"/>
    <n v="-1.4529759704763128"/>
    <n v="-0.98135673764000164"/>
    <n v="-0.41874248349965643"/>
    <n v="-1.2643393365749591"/>
  </r>
  <r>
    <x v="0"/>
    <s v="PREP"/>
    <n v="15"/>
    <n v="17"/>
    <n v="8"/>
    <n v="10"/>
    <n v="50"/>
    <n v="0.80064076902543568"/>
    <n v="22.694936708860759"/>
    <n v="5.3055534129377486"/>
    <n v="22.140506329113926"/>
    <n v="4.9144008395218908"/>
    <n v="10.069620253164556"/>
    <n v="2.1089377326145904"/>
    <n v="10.958227848101266"/>
    <n v="2.2883463843764797"/>
    <n v="-1.4503551486441411"/>
    <n v="-1.0460087601674006"/>
    <n v="-0.98135673764000164"/>
    <n v="-0.41874248349965643"/>
    <n v="-0.97411578248779995"/>
  </r>
  <r>
    <x v="0"/>
    <s v="PREP"/>
    <n v="14"/>
    <n v="15"/>
    <n v="8"/>
    <n v="9"/>
    <n v="46"/>
    <n v="0.5188745216627707"/>
    <n v="22.694936708860759"/>
    <n v="5.3055534129377486"/>
    <n v="22.140506329113926"/>
    <n v="4.9144008395218908"/>
    <n v="10.069620253164556"/>
    <n v="2.1089377326145904"/>
    <n v="10.958227848101266"/>
    <n v="2.2883463843764797"/>
    <n v="-1.6388369001540724"/>
    <n v="-1.4529759704763128"/>
    <n v="-0.98135673764000164"/>
    <n v="-0.85573926284540058"/>
    <n v="-1.2322272177789468"/>
  </r>
  <r>
    <x v="0"/>
    <s v="PREP"/>
    <n v="18"/>
    <n v="16"/>
    <n v="9"/>
    <n v="8"/>
    <n v="51"/>
    <n v="1.0377490433255416"/>
    <n v="22.694936708860759"/>
    <n v="5.3055534129377486"/>
    <n v="22.140506329113926"/>
    <n v="4.9144008395218908"/>
    <n v="10.069620253164556"/>
    <n v="2.1089377326145904"/>
    <n v="10.958227848101266"/>
    <n v="2.2883463843764797"/>
    <n v="-0.88490989411434762"/>
    <n v="-1.2494923653218568"/>
    <n v="-0.5071843689943738"/>
    <n v="-1.2927360421911447"/>
    <n v="-0.98358066765543084"/>
  </r>
  <r>
    <x v="0"/>
    <s v="PREP"/>
    <n v="19"/>
    <n v="16"/>
    <n v="9"/>
    <n v="8"/>
    <n v="52"/>
    <n v="1.0000000000000002"/>
    <n v="22.694936708860759"/>
    <n v="5.3055534129377486"/>
    <n v="22.140506329113926"/>
    <n v="4.9144008395218908"/>
    <n v="10.069620253164556"/>
    <n v="2.1089377326145904"/>
    <n v="10.958227848101266"/>
    <n v="2.2883463843764797"/>
    <n v="-0.69642814260441643"/>
    <n v="-1.2494923653218568"/>
    <n v="-0.5071843689943738"/>
    <n v="-1.2927360421911447"/>
    <n v="-0.93646022977794785"/>
  </r>
  <r>
    <x v="0"/>
    <s v="PREP"/>
    <n v="20"/>
    <n v="17"/>
    <n v="9"/>
    <n v="9"/>
    <n v="55"/>
    <n v="1.0919284281983379"/>
    <n v="22.694936708860759"/>
    <n v="5.3055534129377486"/>
    <n v="22.140506329113926"/>
    <n v="4.9144008395218908"/>
    <n v="10.069620253164556"/>
    <n v="2.1089377326145904"/>
    <n v="10.958227848101266"/>
    <n v="2.2883463843764797"/>
    <n v="-0.50794639109448525"/>
    <n v="-1.0460087601674006"/>
    <n v="-0.5071843689943738"/>
    <n v="-0.85573926284540058"/>
    <n v="-0.72921969577541512"/>
  </r>
  <r>
    <x v="0"/>
    <s v="PREP"/>
    <n v="16"/>
    <n v="16"/>
    <n v="9"/>
    <n v="9"/>
    <n v="50"/>
    <n v="0.68873723172119439"/>
    <n v="22.694936708860759"/>
    <n v="5.3055534129377486"/>
    <n v="22.140506329113926"/>
    <n v="4.9144008395218908"/>
    <n v="10.069620253164556"/>
    <n v="2.1089377326145904"/>
    <n v="10.958227848101266"/>
    <n v="2.2883463843764797"/>
    <n v="-1.26187339713421"/>
    <n v="-1.2494923653218568"/>
    <n v="-0.5071843689943738"/>
    <n v="-0.85573926284540058"/>
    <n v="-0.96857234857396035"/>
  </r>
  <r>
    <x v="0"/>
    <s v="PREP"/>
    <n v="16"/>
    <n v="12"/>
    <n v="8"/>
    <n v="9"/>
    <n v="45"/>
    <n v="0.66022529177352474"/>
    <n v="22.694936708860759"/>
    <n v="5.3055534129377486"/>
    <n v="22.140506329113926"/>
    <n v="4.9144008395218908"/>
    <n v="10.069620253164556"/>
    <n v="2.1089377326145904"/>
    <n v="10.958227848101266"/>
    <n v="2.2883463843764797"/>
    <n v="-1.26187339713421"/>
    <n v="-2.0634267859396811"/>
    <n v="-0.98135673764000164"/>
    <n v="-0.85573926284540058"/>
    <n v="-1.2905990458898233"/>
  </r>
  <r>
    <x v="0"/>
    <s v="PREP"/>
    <n v="11"/>
    <n v="12"/>
    <n v="7"/>
    <n v="8"/>
    <n v="38"/>
    <n v="0.49354811679282456"/>
    <n v="22.694936708860759"/>
    <n v="5.3055534129377486"/>
    <n v="22.140506329113926"/>
    <n v="4.9144008395218908"/>
    <n v="10.069620253164556"/>
    <n v="2.1089377326145904"/>
    <n v="10.958227848101266"/>
    <n v="2.2883463843764797"/>
    <n v="-2.2042821546838658"/>
    <n v="-2.0634267859396811"/>
    <n v="-1.4555291062856295"/>
    <n v="-1.2927360421911447"/>
    <n v="-1.7539935222750802"/>
  </r>
  <r>
    <x v="0"/>
    <s v="PREP"/>
    <n v="13"/>
    <n v="13"/>
    <n v="9"/>
    <n v="9"/>
    <n v="44"/>
    <n v="0.6504436355879909"/>
    <n v="22.694936708860759"/>
    <n v="5.3055534129377486"/>
    <n v="22.140506329113926"/>
    <n v="4.9144008395218908"/>
    <n v="10.069620253164556"/>
    <n v="2.1089377326145904"/>
    <n v="10.958227848101266"/>
    <n v="2.2883463843764797"/>
    <n v="-1.8273186516640034"/>
    <n v="-1.8599431807852249"/>
    <n v="-0.5071843689943738"/>
    <n v="-0.85573926284540058"/>
    <n v="-1.2625463660722507"/>
  </r>
  <r>
    <x v="0"/>
    <s v="PREP"/>
    <n v="15"/>
    <n v="16"/>
    <n v="9"/>
    <n v="9"/>
    <n v="49"/>
    <n v="0.72501105208198413"/>
    <n v="22.694936708860759"/>
    <n v="5.3055534129377486"/>
    <n v="22.140506329113926"/>
    <n v="4.9144008395218908"/>
    <n v="10.069620253164556"/>
    <n v="2.1089377326145904"/>
    <n v="10.958227848101266"/>
    <n v="2.2883463843764797"/>
    <n v="-1.4503551486441411"/>
    <n v="-1.2494923653218568"/>
    <n v="-0.5071843689943738"/>
    <n v="-0.85573926284540058"/>
    <n v="-1.0156927864514431"/>
  </r>
  <r>
    <x v="0"/>
    <s v="PREP"/>
    <n v="15"/>
    <n v="18"/>
    <n v="9"/>
    <n v="9"/>
    <n v="51"/>
    <n v="0.86231649850257619"/>
    <n v="22.694936708860759"/>
    <n v="5.3055534129377486"/>
    <n v="22.140506329113926"/>
    <n v="4.9144008395218908"/>
    <n v="10.069620253164556"/>
    <n v="2.1089377326145904"/>
    <n v="10.958227848101266"/>
    <n v="2.2883463843764797"/>
    <n v="-1.4503551486441411"/>
    <n v="-0.84252515501294456"/>
    <n v="-0.5071843689943738"/>
    <n v="-0.85573926284540058"/>
    <n v="-0.91395098387421503"/>
  </r>
  <r>
    <x v="0"/>
    <s v="PREP"/>
    <n v="14"/>
    <n v="16"/>
    <n v="7"/>
    <n v="11"/>
    <n v="48"/>
    <n v="0.48038446141526137"/>
    <n v="22.694936708860759"/>
    <n v="5.3055534129377486"/>
    <n v="22.140506329113926"/>
    <n v="4.9144008395218908"/>
    <n v="10.069620253164556"/>
    <n v="2.1089377326145904"/>
    <n v="10.958227848101266"/>
    <n v="2.2883463843764797"/>
    <n v="-1.6388369001540724"/>
    <n v="-1.2494923653218568"/>
    <n v="-1.4555291062856295"/>
    <n v="1.8254295846087756E-2"/>
    <n v="-1.0814010189788676"/>
  </r>
  <r>
    <x v="0"/>
    <s v="PREP"/>
    <n v="17"/>
    <n v="18"/>
    <n v="9"/>
    <n v="12"/>
    <n v="56"/>
    <n v="0.48038446141526142"/>
    <n v="22.694936708860759"/>
    <n v="5.3055534129377486"/>
    <n v="22.140506329113926"/>
    <n v="4.9144008395218908"/>
    <n v="10.069620253164556"/>
    <n v="2.1089377326145904"/>
    <n v="10.958227848101266"/>
    <n v="2.2883463843764797"/>
    <n v="-1.0733916456242787"/>
    <n v="-0.84252515501294456"/>
    <n v="-0.5071843689943738"/>
    <n v="0.45525107519183194"/>
    <n v="-0.4919625236099413"/>
  </r>
  <r>
    <x v="0"/>
    <s v="PREP"/>
    <n v="15"/>
    <n v="15"/>
    <n v="9"/>
    <n v="10"/>
    <n v="49"/>
    <n v="0.59914468951527811"/>
    <n v="22.694936708860759"/>
    <n v="5.3055534129377486"/>
    <n v="22.140506329113926"/>
    <n v="4.9144008395218908"/>
    <n v="10.069620253164556"/>
    <n v="2.1089377326145904"/>
    <n v="10.958227848101266"/>
    <n v="2.2883463843764797"/>
    <n v="-1.4503551486441411"/>
    <n v="-1.4529759704763128"/>
    <n v="-0.5071843689943738"/>
    <n v="-0.41874248349965643"/>
    <n v="-0.95731449290362092"/>
  </r>
  <r>
    <x v="0"/>
    <s v="PREP"/>
    <n v="20"/>
    <n v="19"/>
    <n v="10"/>
    <n v="11"/>
    <n v="60"/>
    <n v="0.7679476477883046"/>
    <n v="22.694936708860759"/>
    <n v="5.3055534129377486"/>
    <n v="22.140506329113926"/>
    <n v="4.9144008395218908"/>
    <n v="10.069620253164556"/>
    <n v="2.1089377326145904"/>
    <n v="10.958227848101266"/>
    <n v="2.2883463843764797"/>
    <n v="-0.50794639109448525"/>
    <n v="-0.63904154985848838"/>
    <n v="-3.3012000348745997E-2"/>
    <n v="1.8254295846087756E-2"/>
    <n v="-0.29043641136390791"/>
  </r>
  <r>
    <x v="0"/>
    <s v="PREP"/>
    <n v="18"/>
    <n v="17"/>
    <n v="7"/>
    <n v="10"/>
    <n v="52"/>
    <n v="0.70710678118654757"/>
    <n v="22.694936708860759"/>
    <n v="5.3055534129377486"/>
    <n v="22.140506329113926"/>
    <n v="4.9144008395218908"/>
    <n v="10.069620253164556"/>
    <n v="2.1089377326145904"/>
    <n v="10.958227848101266"/>
    <n v="2.2883463843764797"/>
    <n v="-0.88490989411434762"/>
    <n v="-1.0460087601674006"/>
    <n v="-1.4555291062856295"/>
    <n v="-0.41874248349965643"/>
    <n v="-0.95129756101675844"/>
  </r>
  <r>
    <x v="0"/>
    <s v="PREP"/>
    <n v="17"/>
    <n v="14"/>
    <n v="7"/>
    <n v="9"/>
    <n v="47"/>
    <n v="0.7679476477883046"/>
    <n v="22.694936708860759"/>
    <n v="5.3055534129377486"/>
    <n v="22.140506329113926"/>
    <n v="4.9144008395218908"/>
    <n v="10.069620253164556"/>
    <n v="2.1089377326145904"/>
    <n v="10.958227848101266"/>
    <n v="2.2883463843764797"/>
    <n v="-1.0733916456242787"/>
    <n v="-1.656459575630769"/>
    <n v="-1.4555291062856295"/>
    <n v="-0.85573926284540058"/>
    <n v="-1.2602798975965195"/>
  </r>
  <r>
    <x v="0"/>
    <s v="PREP"/>
    <n v="17"/>
    <n v="12"/>
    <n v="6"/>
    <n v="8"/>
    <n v="43"/>
    <n v="0.85485041426511044"/>
    <n v="22.694936708860759"/>
    <n v="5.3055534129377486"/>
    <n v="22.140506329113926"/>
    <n v="4.9144008395218908"/>
    <n v="10.069620253164556"/>
    <n v="2.1089377326145904"/>
    <n v="10.958227848101266"/>
    <n v="2.2883463843764797"/>
    <n v="-1.0733916456242787"/>
    <n v="-2.0634267859396811"/>
    <n v="-1.9297014749312573"/>
    <n v="-1.2927360421911447"/>
    <n v="-1.5898139871715904"/>
  </r>
  <r>
    <x v="0"/>
    <s v="PREP"/>
    <n v="16"/>
    <n v="13"/>
    <n v="5"/>
    <n v="8"/>
    <n v="42"/>
    <n v="0.83205029433784361"/>
    <n v="22.694936708860759"/>
    <n v="5.3055534129377486"/>
    <n v="22.140506329113926"/>
    <n v="4.9144008395218908"/>
    <n v="10.069620253164556"/>
    <n v="2.1089377326145904"/>
    <n v="10.958227848101266"/>
    <n v="2.2883463843764797"/>
    <n v="-1.26187339713421"/>
    <n v="-1.8599431807852249"/>
    <n v="-2.4038738435768852"/>
    <n v="-1.2927360421911447"/>
    <n v="-1.704606615921866"/>
  </r>
  <r>
    <x v="0"/>
    <s v="PREP"/>
    <n v="15"/>
    <n v="13"/>
    <n v="6"/>
    <n v="10"/>
    <n v="44"/>
    <n v="0.50636968354183332"/>
    <n v="22.694936708860759"/>
    <n v="5.3055534129377486"/>
    <n v="22.140506329113926"/>
    <n v="4.9144008395218908"/>
    <n v="10.069620253164556"/>
    <n v="2.1089377326145904"/>
    <n v="10.958227848101266"/>
    <n v="2.2883463843764797"/>
    <n v="-1.4503551486441411"/>
    <n v="-1.8599431807852249"/>
    <n v="-1.9297014749312573"/>
    <n v="-0.41874248349965643"/>
    <n v="-1.4146855719650699"/>
  </r>
  <r>
    <x v="0"/>
    <s v="PREP"/>
    <n v="15"/>
    <n v="12"/>
    <n v="6"/>
    <n v="10"/>
    <n v="43"/>
    <n v="0.48038446141526137"/>
    <n v="22.694936708860759"/>
    <n v="5.3055534129377486"/>
    <n v="22.140506329113926"/>
    <n v="4.9144008395218908"/>
    <n v="10.069620253164556"/>
    <n v="2.1089377326145904"/>
    <n v="10.958227848101266"/>
    <n v="2.2883463843764797"/>
    <n v="-1.4503551486441411"/>
    <n v="-2.0634267859396811"/>
    <n v="-1.9297014749312573"/>
    <n v="-0.41874248349965643"/>
    <n v="-1.4655564732536839"/>
  </r>
  <r>
    <x v="0"/>
    <s v="PREP"/>
    <n v="13"/>
    <n v="12"/>
    <n v="6"/>
    <n v="8"/>
    <n v="39"/>
    <n v="0.40824829046386318"/>
    <n v="22.694936708860759"/>
    <n v="5.3055534129377486"/>
    <n v="22.140506329113926"/>
    <n v="4.9144008395218908"/>
    <n v="10.069620253164556"/>
    <n v="2.1089377326145904"/>
    <n v="10.958227848101266"/>
    <n v="2.2883463843764797"/>
    <n v="-1.8273186516640034"/>
    <n v="-2.0634267859396811"/>
    <n v="-1.9297014749312573"/>
    <n v="-1.2927360421911447"/>
    <n v="-1.7782957386815217"/>
  </r>
  <r>
    <x v="0"/>
    <s v="PREP"/>
    <n v="13"/>
    <n v="11"/>
    <n v="6"/>
    <n v="7"/>
    <n v="37"/>
    <n v="0.55470019622522926"/>
    <n v="22.694936708860759"/>
    <n v="5.3055534129377486"/>
    <n v="22.140506329113926"/>
    <n v="4.9144008395218908"/>
    <n v="10.069620253164556"/>
    <n v="2.1089377326145904"/>
    <n v="10.958227848101266"/>
    <n v="2.2883463843764797"/>
    <n v="-1.8273186516640034"/>
    <n v="-2.2669103910941373"/>
    <n v="-1.9297014749312573"/>
    <n v="-1.729732821536889"/>
    <n v="-1.9384158348065719"/>
  </r>
  <r>
    <x v="0"/>
    <s v="PREP"/>
    <n v="15"/>
    <n v="15"/>
    <n v="8"/>
    <n v="9"/>
    <n v="47"/>
    <n v="0.65044363558799068"/>
    <n v="22.694936708860759"/>
    <n v="5.3055534129377486"/>
    <n v="22.140506329113926"/>
    <n v="4.9144008395218908"/>
    <n v="10.069620253164556"/>
    <n v="2.1089377326145904"/>
    <n v="10.958227848101266"/>
    <n v="2.2883463843764797"/>
    <n v="-1.4503551486441411"/>
    <n v="-1.4529759704763128"/>
    <n v="-0.98135673764000164"/>
    <n v="-0.85573926284540058"/>
    <n v="-1.1851067799014638"/>
  </r>
  <r>
    <x v="0"/>
    <s v="PREP"/>
    <n v="13"/>
    <n v="14"/>
    <n v="7"/>
    <n v="8"/>
    <n v="42"/>
    <n v="0.59914468951527811"/>
    <n v="22.694936708860759"/>
    <n v="5.3055534129377486"/>
    <n v="22.140506329113926"/>
    <n v="4.9144008395218908"/>
    <n v="10.069620253164556"/>
    <n v="2.1089377326145904"/>
    <n v="10.958227848101266"/>
    <n v="2.2883463843764797"/>
    <n v="-1.8273186516640034"/>
    <n v="-1.656459575630769"/>
    <n v="-1.4555291062856295"/>
    <n v="-1.2927360421911447"/>
    <n v="-1.5580108439428866"/>
  </r>
  <r>
    <x v="0"/>
    <s v="PREP"/>
    <n v="15"/>
    <n v="13"/>
    <n v="7"/>
    <n v="9"/>
    <n v="44"/>
    <n v="0.6504436355879909"/>
    <n v="22.694936708860759"/>
    <n v="5.3055534129377486"/>
    <n v="22.140506329113926"/>
    <n v="4.9144008395218908"/>
    <n v="10.069620253164556"/>
    <n v="2.1089377326145904"/>
    <n v="10.958227848101266"/>
    <n v="2.2883463843764797"/>
    <n v="-1.4503551486441411"/>
    <n v="-1.8599431807852249"/>
    <n v="-1.4555291062856295"/>
    <n v="-0.85573926284540058"/>
    <n v="-1.405391674640099"/>
  </r>
  <r>
    <x v="0"/>
    <s v="PREP"/>
    <n v="19"/>
    <n v="15"/>
    <n v="8"/>
    <n v="10"/>
    <n v="52"/>
    <n v="0.70710678118654746"/>
    <n v="22.694936708860759"/>
    <n v="5.3055534129377486"/>
    <n v="22.140506329113926"/>
    <n v="4.9144008395218908"/>
    <n v="10.069620253164556"/>
    <n v="2.1089377326145904"/>
    <n v="10.958227848101266"/>
    <n v="2.2883463843764797"/>
    <n v="-0.69642814260441643"/>
    <n v="-1.4529759704763128"/>
    <n v="-0.98135673764000164"/>
    <n v="-0.41874248349965643"/>
    <n v="-0.88737583355509675"/>
  </r>
  <r>
    <x v="0"/>
    <s v="PREP"/>
    <n v="20"/>
    <n v="14"/>
    <n v="8"/>
    <n v="11"/>
    <n v="53"/>
    <n v="0.86231649850257619"/>
    <n v="22.694936708860759"/>
    <n v="5.3055534129377486"/>
    <n v="22.140506329113926"/>
    <n v="4.9144008395218908"/>
    <n v="10.069620253164556"/>
    <n v="2.1089377326145904"/>
    <n v="10.958227848101266"/>
    <n v="2.2883463843764797"/>
    <n v="-0.50794639109448525"/>
    <n v="-1.656459575630769"/>
    <n v="-0.98135673764000164"/>
    <n v="1.8254295846087756E-2"/>
    <n v="-0.78187710212979189"/>
  </r>
  <r>
    <x v="0"/>
    <s v="PREP"/>
    <n v="19"/>
    <n v="13"/>
    <n v="8"/>
    <n v="10"/>
    <n v="50"/>
    <n v="0.80064076902543579"/>
    <n v="22.694936708860759"/>
    <n v="5.3055534129377486"/>
    <n v="22.140506329113926"/>
    <n v="4.9144008395218908"/>
    <n v="10.069620253164556"/>
    <n v="2.1089377326145904"/>
    <n v="10.958227848101266"/>
    <n v="2.2883463843764797"/>
    <n v="-0.69642814260441643"/>
    <n v="-1.8599431807852249"/>
    <n v="-0.98135673764000164"/>
    <n v="-0.41874248349965643"/>
    <n v="-0.98911763613232484"/>
  </r>
  <r>
    <x v="0"/>
    <s v="PREP"/>
    <n v="19"/>
    <n v="13"/>
    <n v="8"/>
    <n v="9"/>
    <n v="49"/>
    <n v="0.83205029433784383"/>
    <n v="22.694936708860759"/>
    <n v="5.3055534129377486"/>
    <n v="22.140506329113926"/>
    <n v="4.9144008395218908"/>
    <n v="10.069620253164556"/>
    <n v="2.1089377326145904"/>
    <n v="10.958227848101266"/>
    <n v="2.2883463843764797"/>
    <n v="-0.69642814260441643"/>
    <n v="-1.8599431807852249"/>
    <n v="-0.98135673764000164"/>
    <n v="-0.85573926284540058"/>
    <n v="-1.0983668309687609"/>
  </r>
  <r>
    <x v="0"/>
    <s v="PREP"/>
    <n v="21"/>
    <n v="17"/>
    <n v="8"/>
    <n v="11"/>
    <n v="57"/>
    <n v="0.96076892283052295"/>
    <n v="22.694936708860759"/>
    <n v="5.3055534129377486"/>
    <n v="22.140506329113926"/>
    <n v="4.9144008395218908"/>
    <n v="10.069620253164556"/>
    <n v="2.1089377326145904"/>
    <n v="10.958227848101266"/>
    <n v="2.2883463843764797"/>
    <n v="-0.31946463958455407"/>
    <n v="-1.0460087601674006"/>
    <n v="-0.98135673764000164"/>
    <n v="1.8254295846087756E-2"/>
    <n v="-0.5821439603864671"/>
  </r>
  <r>
    <x v="1"/>
    <s v="PREP"/>
    <n v="22"/>
    <n v="21"/>
    <n v="9"/>
    <n v="10"/>
    <n v="62"/>
    <n v="1.4232501627054275"/>
    <n v="22.694936708860759"/>
    <n v="5.3055534129377486"/>
    <n v="22.140506329113926"/>
    <n v="4.9144008395218908"/>
    <n v="10.069620253164556"/>
    <n v="2.1089377326145904"/>
    <n v="10.958227848101266"/>
    <n v="2.2883463843764797"/>
    <n v="-0.13098288807462291"/>
    <n v="-0.23207433954957621"/>
    <n v="-0.5071843689943738"/>
    <n v="-0.41874248349965643"/>
    <n v="-0.32224602002955732"/>
  </r>
  <r>
    <x v="1"/>
    <s v="PREP"/>
    <n v="17"/>
    <n v="22"/>
    <n v="8"/>
    <n v="8"/>
    <n v="55"/>
    <n v="1.5892265495016833"/>
    <n v="22.694936708860759"/>
    <n v="5.3055534129377486"/>
    <n v="22.140506329113926"/>
    <n v="4.9144008395218908"/>
    <n v="10.069620253164556"/>
    <n v="2.1089377326145904"/>
    <n v="10.958227848101266"/>
    <n v="2.2883463843764797"/>
    <n v="-1.0733916456242787"/>
    <n v="-2.8590734395120113E-2"/>
    <n v="-0.98135673764000164"/>
    <n v="-1.2927360421911447"/>
    <n v="-0.84401878996263635"/>
  </r>
  <r>
    <x v="1"/>
    <s v="PREP"/>
    <n v="12"/>
    <n v="15"/>
    <n v="6"/>
    <n v="9"/>
    <n v="42"/>
    <n v="0.92680869599629845"/>
    <n v="22.694936708860759"/>
    <n v="5.3055534129377486"/>
    <n v="22.140506329113926"/>
    <n v="4.9144008395218908"/>
    <n v="10.069620253164556"/>
    <n v="2.1089377326145904"/>
    <n v="10.958227848101266"/>
    <n v="2.2883463843764797"/>
    <n v="-2.0158004031739347"/>
    <n v="-1.4529759704763128"/>
    <n v="-1.9297014749312573"/>
    <n v="-0.85573926284540058"/>
    <n v="-1.5635542778567264"/>
  </r>
  <r>
    <x v="1"/>
    <s v="PREP"/>
    <n v="24"/>
    <n v="25"/>
    <n v="11"/>
    <n v="13"/>
    <n v="73"/>
    <n v="1.4455945454184551"/>
    <n v="22.694936708860759"/>
    <n v="5.3055534129377486"/>
    <n v="22.140506329113926"/>
    <n v="4.9144008395218908"/>
    <n v="10.069620253164556"/>
    <n v="2.1089377326145904"/>
    <n v="10.958227848101266"/>
    <n v="2.2883463843764797"/>
    <n v="0.24598061494523943"/>
    <n v="0.58186008106824816"/>
    <n v="0.44116036829688182"/>
    <n v="0.89224785453757616"/>
    <n v="0.54031222971198645"/>
  </r>
  <r>
    <x v="1"/>
    <s v="PREP"/>
    <n v="18"/>
    <n v="19"/>
    <n v="7"/>
    <n v="9"/>
    <n v="53"/>
    <n v="1.3204505835470497"/>
    <n v="22.694936708860759"/>
    <n v="5.3055534129377486"/>
    <n v="22.140506329113926"/>
    <n v="4.9144008395218908"/>
    <n v="10.069620253164556"/>
    <n v="2.1089377326145904"/>
    <n v="10.958227848101266"/>
    <n v="2.2883463843764797"/>
    <n v="-0.88490989411434762"/>
    <n v="-0.63904154985848838"/>
    <n v="-1.4555291062856295"/>
    <n v="-0.85573926284540058"/>
    <n v="-0.9588049532759666"/>
  </r>
  <r>
    <x v="1"/>
    <s v="PREP"/>
    <n v="25"/>
    <n v="23"/>
    <n v="11"/>
    <n v="13"/>
    <n v="72"/>
    <n v="1.3913653136029502"/>
    <n v="22.694936708860759"/>
    <n v="5.3055534129377486"/>
    <n v="22.140506329113926"/>
    <n v="4.9144008395218908"/>
    <n v="10.069620253164556"/>
    <n v="2.1089377326145904"/>
    <n v="10.958227848101266"/>
    <n v="2.2883463843764797"/>
    <n v="0.43446236645517061"/>
    <n v="0.17489287075933599"/>
    <n v="0.44116036829688182"/>
    <n v="0.89224785453757616"/>
    <n v="0.48569086501224112"/>
  </r>
  <r>
    <x v="1"/>
    <s v="PREP"/>
    <n v="26"/>
    <n v="24"/>
    <n v="11"/>
    <n v="11"/>
    <n v="72"/>
    <n v="1.5607361839521232"/>
    <n v="22.694936708860759"/>
    <n v="5.3055534129377486"/>
    <n v="22.140506329113926"/>
    <n v="4.9144008395218908"/>
    <n v="10.069620253164556"/>
    <n v="2.1089377326145904"/>
    <n v="10.958227848101266"/>
    <n v="2.2883463843764797"/>
    <n v="0.62294411796510174"/>
    <n v="0.37837647591379209"/>
    <n v="0.44116036829688182"/>
    <n v="1.8254295846087756E-2"/>
    <n v="0.36518381450546589"/>
  </r>
  <r>
    <x v="1"/>
    <s v="PREP"/>
    <n v="21"/>
    <n v="22"/>
    <n v="11"/>
    <n v="12"/>
    <n v="66"/>
    <n v="1.3204505835470495"/>
    <n v="22.694936708860759"/>
    <n v="5.3055534129377486"/>
    <n v="22.140506329113926"/>
    <n v="4.9144008395218908"/>
    <n v="10.069620253164556"/>
    <n v="2.1089377326145904"/>
    <n v="10.958227848101266"/>
    <n v="2.2883463843764797"/>
    <n v="-0.31946463958455407"/>
    <n v="-2.8590734395120113E-2"/>
    <n v="0.44116036829688182"/>
    <n v="0.45525107519183194"/>
    <n v="0.1370890173772599"/>
  </r>
  <r>
    <x v="1"/>
    <s v="PREP"/>
    <n v="20"/>
    <n v="18"/>
    <n v="9"/>
    <n v="10"/>
    <n v="57"/>
    <n v="1.1208970766356101"/>
    <n v="22.694936708860759"/>
    <n v="5.3055534129377486"/>
    <n v="22.140506329113926"/>
    <n v="4.9144008395218908"/>
    <n v="10.069620253164556"/>
    <n v="2.1089377326145904"/>
    <n v="10.958227848101266"/>
    <n v="2.2883463843764797"/>
    <n v="-0.50794639109448525"/>
    <n v="-0.84252515501294456"/>
    <n v="-0.5071843689943738"/>
    <n v="-0.41874248349965643"/>
    <n v="-0.56909959965036494"/>
  </r>
  <r>
    <x v="1"/>
    <s v="PREP"/>
    <n v="24"/>
    <n v="21"/>
    <n v="11"/>
    <n v="10"/>
    <n v="66"/>
    <n v="1.5525000516123695"/>
    <n v="22.694936708860759"/>
    <n v="5.3055534129377486"/>
    <n v="22.140506329113926"/>
    <n v="4.9144008395218908"/>
    <n v="10.069620253164556"/>
    <n v="2.1089377326145904"/>
    <n v="10.958227848101266"/>
    <n v="2.2883463843764797"/>
    <n v="0.24598061494523943"/>
    <n v="-0.23207433954957621"/>
    <n v="0.44116036829688182"/>
    <n v="-0.41874248349965643"/>
    <n v="9.0810400482221471E-3"/>
  </r>
  <r>
    <x v="1"/>
    <s v="PREP"/>
    <n v="25"/>
    <n v="21"/>
    <n v="11"/>
    <n v="10"/>
    <n v="67"/>
    <n v="1.5730095277394143"/>
    <n v="22.694936708860759"/>
    <n v="5.3055534129377486"/>
    <n v="22.140506329113926"/>
    <n v="4.9144008395218908"/>
    <n v="10.069620253164556"/>
    <n v="2.1089377326145904"/>
    <n v="10.958227848101266"/>
    <n v="2.2883463843764797"/>
    <n v="0.43446236645517061"/>
    <n v="-0.23207433954957621"/>
    <n v="0.44116036829688182"/>
    <n v="-0.41874248349965643"/>
    <n v="5.6201477925704943E-2"/>
  </r>
  <r>
    <x v="1"/>
    <s v="PREP"/>
    <n v="16"/>
    <n v="19"/>
    <n v="7"/>
    <n v="11"/>
    <n v="53"/>
    <n v="1.1875421719907091"/>
    <n v="22.694936708860759"/>
    <n v="5.3055534129377486"/>
    <n v="22.140506329113926"/>
    <n v="4.9144008395218908"/>
    <n v="10.069620253164556"/>
    <n v="2.1089377326145904"/>
    <n v="10.958227848101266"/>
    <n v="2.2883463843764797"/>
    <n v="-1.26187339713421"/>
    <n v="-0.63904154985848838"/>
    <n v="-1.4555291062856295"/>
    <n v="1.8254295846087756E-2"/>
    <n v="-0.83454743935805997"/>
  </r>
  <r>
    <x v="1"/>
    <s v="PREP"/>
    <n v="19"/>
    <n v="17"/>
    <n v="5"/>
    <n v="9"/>
    <n v="50"/>
    <n v="1.2142318453899048"/>
    <n v="22.694936708860759"/>
    <n v="5.3055534129377486"/>
    <n v="22.140506329113926"/>
    <n v="4.9144008395218908"/>
    <n v="10.069620253164556"/>
    <n v="2.1089377326145904"/>
    <n v="10.958227848101266"/>
    <n v="2.2883463843764797"/>
    <n v="-0.69642814260441643"/>
    <n v="-1.0460087601674006"/>
    <n v="-2.4038738435768852"/>
    <n v="-0.85573926284540058"/>
    <n v="-1.2505125022985255"/>
  </r>
  <r>
    <x v="1"/>
    <s v="PREP"/>
    <n v="16"/>
    <n v="16"/>
    <n v="7"/>
    <n v="6"/>
    <n v="45"/>
    <n v="1.1266014242982165"/>
    <n v="22.694936708860759"/>
    <n v="5.3055534129377486"/>
    <n v="22.140506329113926"/>
    <n v="4.9144008395218908"/>
    <n v="10.069620253164556"/>
    <n v="2.1089377326145904"/>
    <n v="10.958227848101266"/>
    <n v="2.2883463843764797"/>
    <n v="-1.26187339713421"/>
    <n v="-1.2494923653218568"/>
    <n v="-1.4555291062856295"/>
    <n v="-2.1667296008826331"/>
    <n v="-1.5334061174060825"/>
  </r>
  <r>
    <x v="1"/>
    <s v="PREP"/>
    <n v="24"/>
    <n v="24"/>
    <n v="11"/>
    <n v="11"/>
    <n v="70"/>
    <n v="1.5566235649883127"/>
    <n v="22.694936708860759"/>
    <n v="5.3055534129377486"/>
    <n v="22.140506329113926"/>
    <n v="4.9144008395218908"/>
    <n v="10.069620253164556"/>
    <n v="2.1089377326145904"/>
    <n v="10.958227848101266"/>
    <n v="2.2883463843764797"/>
    <n v="0.24598061494523943"/>
    <n v="0.37837647591379209"/>
    <n v="0.44116036829688182"/>
    <n v="1.8254295846087756E-2"/>
    <n v="0.2709429387505003"/>
  </r>
  <r>
    <x v="1"/>
    <s v="PREP"/>
    <n v="17"/>
    <n v="17"/>
    <n v="8"/>
    <n v="9"/>
    <n v="51"/>
    <n v="0.8623164985025763"/>
    <n v="22.694936708860759"/>
    <n v="5.3055534129377486"/>
    <n v="22.140506329113926"/>
    <n v="4.9144008395218908"/>
    <n v="10.069620253164556"/>
    <n v="2.1089377326145904"/>
    <n v="10.958227848101266"/>
    <n v="2.2883463843764797"/>
    <n v="-1.0733916456242787"/>
    <n v="-1.0460087601674006"/>
    <n v="-0.98135673764000164"/>
    <n v="-0.85573926284540058"/>
    <n v="-0.98912410156927022"/>
  </r>
  <r>
    <x v="1"/>
    <s v="PREP"/>
    <n v="17"/>
    <n v="17"/>
    <n v="9"/>
    <n v="9"/>
    <n v="52"/>
    <n v="1.1547005383792515"/>
    <n v="22.694936708860759"/>
    <n v="5.3055534129377486"/>
    <n v="22.140506329113926"/>
    <n v="4.9144008395218908"/>
    <n v="10.069620253164556"/>
    <n v="2.1089377326145904"/>
    <n v="10.958227848101266"/>
    <n v="2.2883463843764797"/>
    <n v="-1.0733916456242787"/>
    <n v="-1.0460087601674006"/>
    <n v="-0.5071843689943738"/>
    <n v="-0.85573926284540058"/>
    <n v="-0.87058100940786343"/>
  </r>
  <r>
    <x v="1"/>
    <s v="PREP"/>
    <n v="19"/>
    <n v="19"/>
    <n v="9"/>
    <n v="10"/>
    <n v="57"/>
    <n v="1.0439078454267836"/>
    <n v="22.694936708860759"/>
    <n v="5.3055534129377486"/>
    <n v="22.140506329113926"/>
    <n v="4.9144008395218908"/>
    <n v="10.069620253164556"/>
    <n v="2.1089377326145904"/>
    <n v="10.958227848101266"/>
    <n v="2.2883463843764797"/>
    <n v="-0.69642814260441643"/>
    <n v="-0.63904154985848838"/>
    <n v="-0.5071843689943738"/>
    <n v="-0.41874248349965643"/>
    <n v="-0.56534913623923377"/>
  </r>
  <r>
    <x v="1"/>
    <s v="PREP"/>
    <n v="22"/>
    <n v="21"/>
    <n v="11"/>
    <n v="10"/>
    <n v="64"/>
    <n v="1.6052797503622462"/>
    <n v="22.694936708860759"/>
    <n v="5.3055534129377486"/>
    <n v="22.140506329113926"/>
    <n v="4.9144008395218908"/>
    <n v="10.069620253164556"/>
    <n v="2.1089377326145904"/>
    <n v="10.958227848101266"/>
    <n v="2.2883463843764797"/>
    <n v="-0.13098288807462291"/>
    <n v="-0.23207433954957621"/>
    <n v="0.44116036829688182"/>
    <n v="-0.41874248349965643"/>
    <n v="-8.5159835706743431E-2"/>
  </r>
  <r>
    <x v="1"/>
    <s v="PREP"/>
    <n v="22"/>
    <n v="16"/>
    <n v="9"/>
    <n v="9"/>
    <n v="56"/>
    <n v="1.3774744634423892"/>
    <n v="22.694936708860759"/>
    <n v="5.3055534129377486"/>
    <n v="22.140506329113926"/>
    <n v="4.9144008395218908"/>
    <n v="10.069620253164556"/>
    <n v="2.1089377326145904"/>
    <n v="10.958227848101266"/>
    <n v="2.2883463843764797"/>
    <n v="-0.13098288807462291"/>
    <n v="-1.2494923653218568"/>
    <n v="-0.5071843689943738"/>
    <n v="-0.85573926284540058"/>
    <n v="-0.68584972130906352"/>
  </r>
  <r>
    <x v="1"/>
    <s v="PREP"/>
    <n v="20"/>
    <n v="15"/>
    <n v="8"/>
    <n v="13"/>
    <n v="56"/>
    <n v="0.94733093343134178"/>
    <n v="22.694936708860759"/>
    <n v="5.3055534129377486"/>
    <n v="22.140506329113926"/>
    <n v="4.9144008395218908"/>
    <n v="10.069620253164556"/>
    <n v="2.1089377326145904"/>
    <n v="10.958227848101266"/>
    <n v="2.2883463843764797"/>
    <n v="-0.50794639109448525"/>
    <n v="-1.4529759704763128"/>
    <n v="-0.98135673764000164"/>
    <n v="0.89224785453757616"/>
    <n v="-0.5125078111683059"/>
  </r>
  <r>
    <x v="1"/>
    <s v="PREP"/>
    <n v="21"/>
    <n v="20"/>
    <n v="9"/>
    <n v="13"/>
    <n v="63"/>
    <n v="0.80064076902543579"/>
    <n v="22.694936708860759"/>
    <n v="5.3055534129377486"/>
    <n v="22.140506329113926"/>
    <n v="4.9144008395218908"/>
    <n v="10.069620253164556"/>
    <n v="2.1089377326145904"/>
    <n v="10.958227848101266"/>
    <n v="2.2883463843764797"/>
    <n v="-0.31946463958455407"/>
    <n v="-0.43555794470403231"/>
    <n v="-0.5071843689943738"/>
    <n v="0.89224785453757616"/>
    <n v="-9.2489774686345977E-2"/>
  </r>
  <r>
    <x v="1"/>
    <s v="PREP"/>
    <n v="26"/>
    <n v="28"/>
    <n v="11"/>
    <n v="15"/>
    <n v="80"/>
    <n v="1.3445044840729643"/>
    <n v="22.694936708860759"/>
    <n v="5.3055534129377486"/>
    <n v="22.140506329113926"/>
    <n v="4.9144008395218908"/>
    <n v="10.069620253164556"/>
    <n v="2.1089377326145904"/>
    <n v="10.958227848101266"/>
    <n v="2.2883463843764797"/>
    <n v="0.62294411796510174"/>
    <n v="1.1923108965316165"/>
    <n v="0.44116036829688182"/>
    <n v="1.7662414132290645"/>
    <n v="1.0056641990056661"/>
  </r>
  <r>
    <x v="1"/>
    <s v="PREP"/>
    <n v="19"/>
    <n v="16"/>
    <n v="8"/>
    <n v="9"/>
    <n v="52"/>
    <n v="0.99999999999999978"/>
    <n v="22.694936708860759"/>
    <n v="5.3055534129377486"/>
    <n v="22.140506329113926"/>
    <n v="4.9144008395218908"/>
    <n v="10.069620253164556"/>
    <n v="2.1089377326145904"/>
    <n v="10.958227848101266"/>
    <n v="2.2883463843764797"/>
    <n v="-0.69642814260441643"/>
    <n v="-1.2494923653218568"/>
    <n v="-0.98135673764000164"/>
    <n v="-0.85573926284540058"/>
    <n v="-0.94575412710291884"/>
  </r>
  <r>
    <x v="1"/>
    <s v="PREP"/>
    <n v="22"/>
    <n v="22"/>
    <n v="11"/>
    <n v="14"/>
    <n v="69"/>
    <n v="1.1094003924504581"/>
    <n v="22.694936708860759"/>
    <n v="5.3055534129377486"/>
    <n v="22.140506329113926"/>
    <n v="4.9144008395218908"/>
    <n v="10.069620253164556"/>
    <n v="2.1089377326145904"/>
    <n v="10.958227848101266"/>
    <n v="2.2883463843764797"/>
    <n v="-0.13098288807462291"/>
    <n v="-2.8590734395120113E-2"/>
    <n v="0.44116036829688182"/>
    <n v="1.3292446338833204"/>
    <n v="0.4027078449276148"/>
  </r>
  <r>
    <x v="1"/>
    <s v="PREP"/>
    <n v="22"/>
    <n v="22"/>
    <n v="9"/>
    <n v="10"/>
    <n v="63"/>
    <n v="1.4632243987255136"/>
    <n v="22.694936708860759"/>
    <n v="5.3055534129377486"/>
    <n v="22.140506329113926"/>
    <n v="4.9144008395218908"/>
    <n v="10.069620253164556"/>
    <n v="2.1089377326145904"/>
    <n v="10.958227848101266"/>
    <n v="2.2883463843764797"/>
    <n v="-0.13098288807462291"/>
    <n v="-2.8590734395120113E-2"/>
    <n v="-0.5071843689943738"/>
    <n v="-0.41874248349965643"/>
    <n v="-0.27137511874094333"/>
  </r>
  <r>
    <x v="1"/>
    <s v="PREP"/>
    <n v="22"/>
    <n v="19"/>
    <n v="9"/>
    <n v="9"/>
    <n v="59"/>
    <n v="1.3913653136029502"/>
    <n v="22.694936708860759"/>
    <n v="5.3055534129377486"/>
    <n v="22.140506329113926"/>
    <n v="4.9144008395218908"/>
    <n v="10.069620253164556"/>
    <n v="2.1089377326145904"/>
    <n v="10.958227848101266"/>
    <n v="2.2883463843764797"/>
    <n v="-0.13098288807462291"/>
    <n v="-0.63904154985848838"/>
    <n v="-0.5071843689943738"/>
    <n v="-0.85573926284540058"/>
    <n v="-0.53323701744322149"/>
  </r>
  <r>
    <x v="1"/>
    <s v="PREP"/>
    <n v="15"/>
    <n v="15"/>
    <n v="6"/>
    <n v="8"/>
    <n v="44"/>
    <n v="0.76794764778830416"/>
    <n v="22.694936708860759"/>
    <n v="5.3055534129377486"/>
    <n v="22.140506329113926"/>
    <n v="4.9144008395218908"/>
    <n v="10.069620253164556"/>
    <n v="2.1089377326145904"/>
    <n v="10.958227848101266"/>
    <n v="2.2883463843764797"/>
    <n v="-1.4503551486441411"/>
    <n v="-1.4529759704763128"/>
    <n v="-1.9297014749312573"/>
    <n v="-1.2927360421911447"/>
    <n v="-1.5314421590607139"/>
  </r>
  <r>
    <x v="1"/>
    <s v="PREP"/>
    <n v="23"/>
    <n v="21"/>
    <n v="10"/>
    <n v="12"/>
    <n v="66"/>
    <n v="1.1151635501529555"/>
    <n v="22.694936708860759"/>
    <n v="5.3055534129377486"/>
    <n v="22.140506329113926"/>
    <n v="4.9144008395218908"/>
    <n v="10.069620253164556"/>
    <n v="2.1089377326145904"/>
    <n v="10.958227848101266"/>
    <n v="2.2883463843764797"/>
    <n v="5.7498863435308259E-2"/>
    <n v="-0.23207433954957621"/>
    <n v="-3.3012000348745997E-2"/>
    <n v="0.45525107519183194"/>
    <n v="6.1915899682204505E-2"/>
  </r>
  <r>
    <x v="1"/>
    <s v="PREP"/>
    <n v="22"/>
    <n v="21"/>
    <n v="10"/>
    <n v="11"/>
    <n v="64"/>
    <n v="1.1875421719907087"/>
    <n v="22.694936708860759"/>
    <n v="5.3055534129377486"/>
    <n v="22.140506329113926"/>
    <n v="4.9144008395218908"/>
    <n v="10.069620253164556"/>
    <n v="2.1089377326145904"/>
    <n v="10.958227848101266"/>
    <n v="2.2883463843764797"/>
    <n v="-0.13098288807462291"/>
    <n v="-0.23207433954957621"/>
    <n v="-3.3012000348745997E-2"/>
    <n v="1.8254295846087756E-2"/>
    <n v="-9.4453733031714351E-2"/>
  </r>
  <r>
    <x v="1"/>
    <s v="PREP"/>
    <n v="13"/>
    <n v="14"/>
    <n v="6"/>
    <n v="7"/>
    <n v="40"/>
    <n v="1.0377490433255416"/>
    <n v="22.694936708860759"/>
    <n v="5.3055534129377486"/>
    <n v="22.140506329113926"/>
    <n v="4.9144008395218908"/>
    <n v="10.069620253164556"/>
    <n v="2.1089377326145904"/>
    <n v="10.958227848101266"/>
    <n v="2.2883463843764797"/>
    <n v="-1.8273186516640034"/>
    <n v="-1.656459575630769"/>
    <n v="-1.9297014749312573"/>
    <n v="-1.729732821536889"/>
    <n v="-1.7858031309407298"/>
  </r>
  <r>
    <x v="1"/>
    <s v="PREP"/>
    <n v="18"/>
    <n v="22"/>
    <n v="10"/>
    <n v="12"/>
    <n v="62"/>
    <n v="0.83205029433784372"/>
    <n v="22.694936708860759"/>
    <n v="5.3055534129377486"/>
    <n v="22.140506329113926"/>
    <n v="4.9144008395218908"/>
    <n v="10.069620253164556"/>
    <n v="2.1089377326145904"/>
    <n v="10.958227848101266"/>
    <n v="2.2883463843764797"/>
    <n v="-0.88490989411434762"/>
    <n v="-2.8590734395120113E-2"/>
    <n v="-3.3012000348745997E-2"/>
    <n v="0.45525107519183194"/>
    <n v="-0.12281538841659545"/>
  </r>
  <r>
    <x v="1"/>
    <s v="PREP"/>
    <n v="12"/>
    <n v="13"/>
    <n v="5"/>
    <n v="7"/>
    <n v="37"/>
    <n v="0.68873723172119472"/>
    <n v="22.694936708860759"/>
    <n v="5.3055534129377486"/>
    <n v="22.140506329113926"/>
    <n v="4.9144008395218908"/>
    <n v="10.069620253164556"/>
    <n v="2.1089377326145904"/>
    <n v="10.958227848101266"/>
    <n v="2.2883463843764797"/>
    <n v="-2.0158004031739347"/>
    <n v="-1.8599431807852249"/>
    <n v="-2.4038738435768852"/>
    <n v="-1.729732821536889"/>
    <n v="-2.0023375622682336"/>
  </r>
  <r>
    <x v="1"/>
    <s v="PREP"/>
    <n v="24"/>
    <n v="24"/>
    <n v="10"/>
    <n v="13"/>
    <n v="71"/>
    <n v="1.3301243435223529"/>
    <n v="22.694936708860759"/>
    <n v="5.3055534129377486"/>
    <n v="22.140506329113926"/>
    <n v="4.9144008395218908"/>
    <n v="10.069620253164556"/>
    <n v="2.1089377326145904"/>
    <n v="10.958227848101266"/>
    <n v="2.2883463843764797"/>
    <n v="0.24598061494523943"/>
    <n v="0.37837647591379209"/>
    <n v="-3.3012000348745997E-2"/>
    <n v="0.89224785453757616"/>
    <n v="0.37089823626196539"/>
  </r>
  <r>
    <x v="1"/>
    <s v="PREP"/>
    <n v="21"/>
    <n v="20"/>
    <n v="8"/>
    <n v="12"/>
    <n v="61"/>
    <n v="1.1821319289469754"/>
    <n v="22.694936708860759"/>
    <n v="5.3055534129377486"/>
    <n v="22.140506329113926"/>
    <n v="4.9144008395218908"/>
    <n v="10.069620253164556"/>
    <n v="2.1089377326145904"/>
    <n v="10.958227848101266"/>
    <n v="2.2883463843764797"/>
    <n v="-0.31946463958455407"/>
    <n v="-0.43555794470403231"/>
    <n v="-0.98135673764000164"/>
    <n v="0.45525107519183194"/>
    <n v="-0.32028206168418905"/>
  </r>
  <r>
    <x v="1"/>
    <s v="PREP"/>
    <n v="21"/>
    <n v="19"/>
    <n v="8"/>
    <n v="11"/>
    <n v="59"/>
    <n v="1.0500305245868344"/>
    <n v="22.694936708860759"/>
    <n v="5.3055534129377486"/>
    <n v="22.140506329113926"/>
    <n v="4.9144008395218908"/>
    <n v="10.069620253164556"/>
    <n v="2.1089377326145904"/>
    <n v="10.958227848101266"/>
    <n v="2.2883463843764797"/>
    <n v="-0.31946463958455407"/>
    <n v="-0.63904154985848838"/>
    <n v="-0.98135673764000164"/>
    <n v="1.8254295846087756E-2"/>
    <n v="-0.48040215780923906"/>
  </r>
  <r>
    <x v="1"/>
    <s v="PREP"/>
    <n v="23"/>
    <n v="23"/>
    <n v="10"/>
    <n v="11"/>
    <n v="67"/>
    <n v="1.6756169931378437"/>
    <n v="22.694936708860759"/>
    <n v="5.3055534129377486"/>
    <n v="22.140506329113926"/>
    <n v="4.9144008395218908"/>
    <n v="10.069620253164556"/>
    <n v="2.1089377326145904"/>
    <n v="10.958227848101266"/>
    <n v="2.2883463843764797"/>
    <n v="5.7498863435308259E-2"/>
    <n v="0.17489287075933599"/>
    <n v="-3.3012000348745997E-2"/>
    <n v="1.8254295846087756E-2"/>
    <n v="5.4408507422996508E-2"/>
  </r>
  <r>
    <x v="1"/>
    <s v="PREP"/>
    <n v="22"/>
    <n v="20"/>
    <n v="11"/>
    <n v="12"/>
    <n v="65"/>
    <n v="1.2909944487358054"/>
    <n v="22.694936708860759"/>
    <n v="5.3055534129377486"/>
    <n v="22.140506329113926"/>
    <n v="4.9144008395218908"/>
    <n v="10.069620253164556"/>
    <n v="2.1089377326145904"/>
    <n v="10.958227848101266"/>
    <n v="2.2883463843764797"/>
    <n v="-0.13098288807462291"/>
    <n v="-0.43555794470403231"/>
    <n v="0.44116036829688182"/>
    <n v="0.45525107519183194"/>
    <n v="8.2467652677514644E-2"/>
  </r>
  <r>
    <x v="1"/>
    <s v="PREP"/>
    <n v="23"/>
    <n v="24"/>
    <n v="9"/>
    <n v="12"/>
    <n v="68"/>
    <n v="1.3634420996046586"/>
    <n v="22.694936708860759"/>
    <n v="5.3055534129377486"/>
    <n v="22.140506329113926"/>
    <n v="4.9144008395218908"/>
    <n v="10.069620253164556"/>
    <n v="2.1089377326145904"/>
    <n v="10.958227848101266"/>
    <n v="2.2883463843764797"/>
    <n v="5.7498863435308259E-2"/>
    <n v="0.37837647591379209"/>
    <n v="-0.5071843689943738"/>
    <n v="0.45525107519183194"/>
    <n v="9.5985511386639619E-2"/>
  </r>
  <r>
    <x v="1"/>
    <s v="PREP"/>
    <n v="24"/>
    <n v="20"/>
    <n v="9"/>
    <n v="9"/>
    <n v="62"/>
    <n v="1.5358952955766085"/>
    <n v="22.694936708860759"/>
    <n v="5.3055534129377486"/>
    <n v="22.140506329113926"/>
    <n v="4.9144008395218908"/>
    <n v="10.069620253164556"/>
    <n v="2.1089377326145904"/>
    <n v="10.958227848101266"/>
    <n v="2.2883463843764797"/>
    <n v="0.24598061494523943"/>
    <n v="-0.43555794470403231"/>
    <n v="-0.5071843689943738"/>
    <n v="-0.85573926284540058"/>
    <n v="-0.3881252403996418"/>
  </r>
  <r>
    <x v="1"/>
    <s v="PREP"/>
    <n v="24"/>
    <n v="24"/>
    <n v="11"/>
    <n v="14"/>
    <n v="73"/>
    <n v="1.3252962900462129"/>
    <n v="22.694936708860759"/>
    <n v="5.3055534129377486"/>
    <n v="22.140506329113926"/>
    <n v="4.9144008395218908"/>
    <n v="10.069620253164556"/>
    <n v="2.1089377326145904"/>
    <n v="10.958227848101266"/>
    <n v="2.2883463843764797"/>
    <n v="0.24598061494523943"/>
    <n v="0.37837647591379209"/>
    <n v="0.44116036829688182"/>
    <n v="1.3292446338833204"/>
    <n v="0.59869052325980843"/>
  </r>
  <r>
    <x v="1"/>
    <s v="PREP"/>
    <n v="27"/>
    <n v="23"/>
    <n v="10"/>
    <n v="11"/>
    <n v="71"/>
    <n v="1.713446070320696"/>
    <n v="22.694936708860759"/>
    <n v="5.3055534129377486"/>
    <n v="22.140506329113926"/>
    <n v="4.9144008395218908"/>
    <n v="10.069620253164556"/>
    <n v="2.1089377326145904"/>
    <n v="10.958227848101266"/>
    <n v="2.2883463843764797"/>
    <n v="0.81142586947503292"/>
    <n v="0.17489287075933599"/>
    <n v="-3.3012000348745997E-2"/>
    <n v="1.8254295846087756E-2"/>
    <n v="0.24289025893292768"/>
  </r>
  <r>
    <x v="1"/>
    <s v="PREP"/>
    <n v="23"/>
    <n v="23"/>
    <n v="8"/>
    <n v="11"/>
    <n v="65"/>
    <n v="1.5811388300841898"/>
    <n v="22.694936708860759"/>
    <n v="5.3055534129377486"/>
    <n v="22.140506329113926"/>
    <n v="4.9144008395218908"/>
    <n v="10.069620253164556"/>
    <n v="2.1089377326145904"/>
    <n v="10.958227848101266"/>
    <n v="2.2883463843764797"/>
    <n v="5.7498863435308259E-2"/>
    <n v="0.17489287075933599"/>
    <n v="-0.98135673764000164"/>
    <n v="1.8254295846087756E-2"/>
    <n v="-0.18267767689981743"/>
  </r>
  <r>
    <x v="2"/>
    <s v="PREP"/>
    <n v="21"/>
    <n v="23"/>
    <n v="12"/>
    <n v="10"/>
    <n v="66"/>
    <n v="1.3821202589704018"/>
    <n v="22.694936708860759"/>
    <n v="5.3055534129377486"/>
    <n v="22.140506329113926"/>
    <n v="4.9144008395218908"/>
    <n v="10.069620253164556"/>
    <n v="2.1089377326145904"/>
    <n v="10.958227848101266"/>
    <n v="2.2883463843764797"/>
    <n v="-0.31946463958455407"/>
    <n v="0.17489287075933599"/>
    <n v="0.91533273694250961"/>
    <n v="-0.41874248349965643"/>
    <n v="8.8004621154408783E-2"/>
  </r>
  <r>
    <x v="2"/>
    <s v="PREP"/>
    <n v="16"/>
    <n v="19"/>
    <n v="10"/>
    <n v="8"/>
    <n v="53"/>
    <n v="1.1875421719907087"/>
    <n v="22.694936708860759"/>
    <n v="5.3055534129377486"/>
    <n v="22.140506329113926"/>
    <n v="4.9144008395218908"/>
    <n v="10.069620253164556"/>
    <n v="2.1089377326145904"/>
    <n v="10.958227848101266"/>
    <n v="2.2883463843764797"/>
    <n v="-1.26187339713421"/>
    <n v="-0.63904154985848838"/>
    <n v="-3.3012000348745997E-2"/>
    <n v="-1.2927360421911447"/>
    <n v="-0.80666574738314722"/>
  </r>
  <r>
    <x v="2"/>
    <s v="PREP"/>
    <n v="24"/>
    <n v="24"/>
    <n v="11"/>
    <n v="11"/>
    <n v="70"/>
    <n v="1.5566235649883122"/>
    <n v="22.694936708860759"/>
    <n v="5.3055534129377486"/>
    <n v="22.140506329113926"/>
    <n v="4.9144008395218908"/>
    <n v="10.069620253164556"/>
    <n v="2.1089377326145904"/>
    <n v="10.958227848101266"/>
    <n v="2.2883463843764797"/>
    <n v="0.24598061494523943"/>
    <n v="0.37837647591379209"/>
    <n v="0.44116036829688182"/>
    <n v="1.8254295846087756E-2"/>
    <n v="0.2709429387505003"/>
  </r>
  <r>
    <x v="2"/>
    <s v="PREP"/>
    <n v="25"/>
    <n v="23"/>
    <n v="11"/>
    <n v="11"/>
    <n v="70"/>
    <n v="1.6092680291808414"/>
    <n v="22.694936708860759"/>
    <n v="5.3055534129377486"/>
    <n v="22.140506329113926"/>
    <n v="4.9144008395218908"/>
    <n v="10.069620253164556"/>
    <n v="2.1089377326145904"/>
    <n v="10.958227848101266"/>
    <n v="2.2883463843764797"/>
    <n v="0.43446236645517061"/>
    <n v="0.17489287075933599"/>
    <n v="0.44116036829688182"/>
    <n v="1.8254295846087756E-2"/>
    <n v="0.26719247533936907"/>
  </r>
  <r>
    <x v="2"/>
    <s v="PREP"/>
    <n v="25"/>
    <n v="26"/>
    <n v="12"/>
    <n v="13"/>
    <n v="76"/>
    <n v="1.5730095277394136"/>
    <n v="22.694936708860759"/>
    <n v="5.3055534129377486"/>
    <n v="22.140506329113926"/>
    <n v="4.9144008395218908"/>
    <n v="10.069620253164556"/>
    <n v="2.1089377326145904"/>
    <n v="10.958227848101266"/>
    <n v="2.2883463843764797"/>
    <n v="0.43446236645517061"/>
    <n v="0.78534368622270434"/>
    <n v="0.91533273694250961"/>
    <n v="0.89224785453757616"/>
    <n v="0.75684666103949017"/>
  </r>
  <r>
    <x v="2"/>
    <s v="PREP"/>
    <n v="23"/>
    <n v="25"/>
    <n v="12"/>
    <n v="11"/>
    <n v="71"/>
    <n v="1.5063966175050878"/>
    <n v="22.694936708860759"/>
    <n v="5.3055534129377486"/>
    <n v="22.140506329113926"/>
    <n v="4.9144008395218908"/>
    <n v="10.069620253164556"/>
    <n v="2.1089377326145904"/>
    <n v="10.958227848101266"/>
    <n v="2.2883463843764797"/>
    <n v="5.7498863435308259E-2"/>
    <n v="0.58186008106824816"/>
    <n v="0.91533273694250961"/>
    <n v="1.8254295846087756E-2"/>
    <n v="0.39323649432303848"/>
  </r>
  <r>
    <x v="2"/>
    <s v="PREP"/>
    <n v="15"/>
    <n v="17"/>
    <n v="10"/>
    <n v="12"/>
    <n v="54"/>
    <n v="0.89871703427291716"/>
    <n v="22.694936708860759"/>
    <n v="5.3055534129377486"/>
    <n v="22.140506329113926"/>
    <n v="4.9144008395218908"/>
    <n v="10.069620253164556"/>
    <n v="2.1089377326145904"/>
    <n v="10.958227848101266"/>
    <n v="2.2883463843764797"/>
    <n v="-1.4503551486441411"/>
    <n v="-1.0460087601674006"/>
    <n v="-3.3012000348745997E-2"/>
    <n v="0.45525107519183194"/>
    <n v="-0.51853120849211398"/>
  </r>
  <r>
    <x v="2"/>
    <s v="PREP"/>
    <n v="26"/>
    <n v="22"/>
    <n v="11"/>
    <n v="10"/>
    <n v="69"/>
    <n v="1.7021856236720769"/>
    <n v="22.694936708860759"/>
    <n v="5.3055534129377486"/>
    <n v="22.140506329113926"/>
    <n v="4.9144008395218908"/>
    <n v="10.069620253164556"/>
    <n v="2.1089377326145904"/>
    <n v="10.958227848101266"/>
    <n v="2.2883463843764797"/>
    <n v="0.62294411796510174"/>
    <n v="-2.8590734395120113E-2"/>
    <n v="0.44116036829688182"/>
    <n v="-0.41874248349965643"/>
    <n v="0.15419281709180171"/>
  </r>
  <r>
    <x v="2"/>
    <s v="PREP"/>
    <n v="19"/>
    <n v="19"/>
    <n v="10"/>
    <n v="11"/>
    <n v="59"/>
    <n v="1.1266014242982163"/>
    <n v="22.694936708860759"/>
    <n v="5.3055534129377486"/>
    <n v="22.140506329113926"/>
    <n v="4.9144008395218908"/>
    <n v="10.069620253164556"/>
    <n v="2.1089377326145904"/>
    <n v="10.958227848101266"/>
    <n v="2.2883463843764797"/>
    <n v="-0.69642814260441643"/>
    <n v="-0.63904154985848838"/>
    <n v="-3.3012000348745997E-2"/>
    <n v="1.8254295846087756E-2"/>
    <n v="-0.33755684924139073"/>
  </r>
  <r>
    <x v="2"/>
    <s v="PREP"/>
    <n v="22"/>
    <n v="18"/>
    <n v="8"/>
    <n v="9"/>
    <n v="57"/>
    <n v="1.2608503439122307"/>
    <n v="22.694936708860759"/>
    <n v="5.3055534129377486"/>
    <n v="22.140506329113926"/>
    <n v="4.9144008395218908"/>
    <n v="10.069620253164556"/>
    <n v="2.1089377326145904"/>
    <n v="10.958227848101266"/>
    <n v="2.2883463843764797"/>
    <n v="-0.13098288807462291"/>
    <n v="-0.84252515501294456"/>
    <n v="-0.98135673764000164"/>
    <n v="-0.85573926284540058"/>
    <n v="-0.70265101089324244"/>
  </r>
  <r>
    <x v="2"/>
    <s v="PREP"/>
    <n v="20"/>
    <n v="20"/>
    <n v="10"/>
    <n v="9"/>
    <n v="59"/>
    <n v="1.3913653136029502"/>
    <n v="22.694936708860759"/>
    <n v="5.3055534129377486"/>
    <n v="22.140506329113926"/>
    <n v="4.9144008395218908"/>
    <n v="10.069620253164556"/>
    <n v="2.1089377326145904"/>
    <n v="10.958227848101266"/>
    <n v="2.2883463843764797"/>
    <n v="-0.50794639109448525"/>
    <n v="-0.43555794470403231"/>
    <n v="-3.3012000348745997E-2"/>
    <n v="-0.85573926284540058"/>
    <n v="-0.45806389974816603"/>
  </r>
  <r>
    <x v="2"/>
    <s v="PREP"/>
    <n v="18"/>
    <n v="19"/>
    <n v="10"/>
    <n v="8"/>
    <n v="55"/>
    <n v="1.3008872711759818"/>
    <n v="22.694936708860759"/>
    <n v="5.3055534129377486"/>
    <n v="22.140506329113926"/>
    <n v="4.9144008395218908"/>
    <n v="10.069620253164556"/>
    <n v="2.1089377326145904"/>
    <n v="10.958227848101266"/>
    <n v="2.2883463843764797"/>
    <n v="-0.88490989411434762"/>
    <n v="-0.63904154985848838"/>
    <n v="-3.3012000348745997E-2"/>
    <n v="-1.2927360421911447"/>
    <n v="-0.71242487162818169"/>
  </r>
  <r>
    <x v="2"/>
    <s v="PREP"/>
    <n v="24"/>
    <n v="24"/>
    <n v="11"/>
    <n v="12"/>
    <n v="71"/>
    <n v="1.4500221041639683"/>
    <n v="22.694936708860759"/>
    <n v="5.3055534129377486"/>
    <n v="22.140506329113926"/>
    <n v="4.9144008395218908"/>
    <n v="10.069620253164556"/>
    <n v="2.1089377326145904"/>
    <n v="10.958227848101266"/>
    <n v="2.2883463843764797"/>
    <n v="0.24598061494523943"/>
    <n v="0.37837647591379209"/>
    <n v="0.44116036829688182"/>
    <n v="0.45525107519183194"/>
    <n v="0.38019213358693632"/>
  </r>
  <r>
    <x v="2"/>
    <s v="PREP"/>
    <n v="24"/>
    <n v="24"/>
    <n v="11"/>
    <n v="10"/>
    <n v="69"/>
    <n v="1.6525039276108333"/>
    <n v="22.694936708860759"/>
    <n v="5.3055534129377486"/>
    <n v="22.140506329113926"/>
    <n v="4.9144008395218908"/>
    <n v="10.069620253164556"/>
    <n v="2.1089377326145904"/>
    <n v="10.958227848101266"/>
    <n v="2.2883463843764797"/>
    <n v="0.24598061494523943"/>
    <n v="0.37837647591379209"/>
    <n v="0.44116036829688182"/>
    <n v="-0.41874248349965643"/>
    <n v="0.16169374391406421"/>
  </r>
  <r>
    <x v="2"/>
    <s v="PREP"/>
    <n v="23"/>
    <n v="22"/>
    <n v="10"/>
    <n v="11"/>
    <n v="66"/>
    <n v="1.497861723788195"/>
    <n v="22.694936708860759"/>
    <n v="5.3055534129377486"/>
    <n v="22.140506329113926"/>
    <n v="4.9144008395218908"/>
    <n v="10.069620253164556"/>
    <n v="2.1089377326145904"/>
    <n v="10.958227848101266"/>
    <n v="2.2883463843764797"/>
    <n v="5.7498863435308259E-2"/>
    <n v="-2.8590734395120113E-2"/>
    <n v="-3.3012000348745997E-2"/>
    <n v="1.8254295846087756E-2"/>
    <n v="3.5376061343824761E-3"/>
  </r>
  <r>
    <x v="2"/>
    <s v="PREP"/>
    <n v="23"/>
    <n v="21"/>
    <n v="10"/>
    <n v="10"/>
    <n v="64"/>
    <n v="1.4411533842457842"/>
    <n v="22.694936708860759"/>
    <n v="5.3055534129377486"/>
    <n v="22.140506329113926"/>
    <n v="4.9144008395218908"/>
    <n v="10.069620253164556"/>
    <n v="2.1089377326145904"/>
    <n v="10.958227848101266"/>
    <n v="2.2883463843764797"/>
    <n v="5.7498863435308259E-2"/>
    <n v="-0.23207433954957621"/>
    <n v="-3.3012000348745997E-2"/>
    <n v="-0.41874248349965643"/>
    <n v="-0.15658248999066759"/>
  </r>
  <r>
    <x v="3"/>
    <s v="PREP"/>
    <n v="12"/>
    <n v="15"/>
    <n v="9"/>
    <n v="9"/>
    <n v="45"/>
    <n v="1.3301243435223524"/>
    <n v="22.694936708860759"/>
    <n v="5.3055534129377486"/>
    <n v="22.140506329113926"/>
    <n v="4.9144008395218908"/>
    <n v="10.069620253164556"/>
    <n v="2.1089377326145904"/>
    <n v="10.958227848101266"/>
    <n v="2.2883463843764797"/>
    <n v="-2.0158004031739347"/>
    <n v="-1.4529759704763128"/>
    <n v="-0.5071843689943738"/>
    <n v="-0.85573926284540058"/>
    <n v="-1.2079250013725056"/>
  </r>
  <r>
    <x v="3"/>
    <s v="PREP"/>
    <n v="26"/>
    <n v="20"/>
    <n v="9"/>
    <n v="8"/>
    <n v="63"/>
    <n v="1.7722938923964167"/>
    <n v="22.694936708860759"/>
    <n v="5.3055534129377486"/>
    <n v="22.140506329113926"/>
    <n v="4.9144008395218908"/>
    <n v="10.069620253164556"/>
    <n v="2.1089377326145904"/>
    <n v="10.958227848101266"/>
    <n v="2.2883463843764797"/>
    <n v="0.62294411796510174"/>
    <n v="-0.43555794470403231"/>
    <n v="-0.5071843689943738"/>
    <n v="-1.2927360421911447"/>
    <n v="-0.40313355948111229"/>
  </r>
  <r>
    <x v="3"/>
    <s v="PREP"/>
    <n v="11"/>
    <n v="13"/>
    <n v="7"/>
    <n v="7"/>
    <n v="38"/>
    <n v="0.9540735874430285"/>
    <n v="22.694936708860759"/>
    <n v="5.3055534129377486"/>
    <n v="22.140506329113926"/>
    <n v="4.9144008395218908"/>
    <n v="10.069620253164556"/>
    <n v="2.1089377326145904"/>
    <n v="10.958227848101266"/>
    <n v="2.2883463843764797"/>
    <n v="-2.2042821546838658"/>
    <n v="-1.8599431807852249"/>
    <n v="-1.4555291062856295"/>
    <n v="-1.729732821536889"/>
    <n v="-1.8123718158229023"/>
  </r>
  <r>
    <x v="3"/>
    <s v="PREP"/>
    <n v="29"/>
    <n v="19"/>
    <n v="8"/>
    <n v="14"/>
    <n v="70"/>
    <n v="1.9381460874790264"/>
    <n v="22.694936708860759"/>
    <n v="5.3055534129377486"/>
    <n v="22.140506329113926"/>
    <n v="4.9144008395218908"/>
    <n v="10.069620253164556"/>
    <n v="2.1089377326145904"/>
    <n v="10.958227848101266"/>
    <n v="2.2883463843764797"/>
    <n v="1.1883893724948953"/>
    <n v="-0.63904154985848838"/>
    <n v="-0.98135673764000164"/>
    <n v="1.3292446338833204"/>
    <n v="0.22430892971993141"/>
  </r>
  <r>
    <x v="3"/>
    <s v="PREP"/>
    <n v="28"/>
    <n v="17"/>
    <n v="7"/>
    <n v="7"/>
    <n v="59"/>
    <n v="2.1838568563966754"/>
    <n v="22.694936708860759"/>
    <n v="5.3055534129377486"/>
    <n v="22.140506329113926"/>
    <n v="4.9144008395218908"/>
    <n v="10.069620253164556"/>
    <n v="2.1089377326145904"/>
    <n v="10.958227848101266"/>
    <n v="2.2883463843764797"/>
    <n v="0.99990762098496411"/>
    <n v="-1.0460087601674006"/>
    <n v="-1.4555291062856295"/>
    <n v="-1.729732821536889"/>
    <n v="-0.80784076675123873"/>
  </r>
  <r>
    <x v="3"/>
    <s v="PREP"/>
    <n v="23"/>
    <n v="16"/>
    <n v="5"/>
    <n v="9"/>
    <n v="53"/>
    <n v="1.5525000516123699"/>
    <n v="22.694936708860759"/>
    <n v="5.3055534129377486"/>
    <n v="22.140506329113926"/>
    <n v="4.9144008395218908"/>
    <n v="10.069620253164556"/>
    <n v="2.1089377326145904"/>
    <n v="10.958227848101266"/>
    <n v="2.2883463843764797"/>
    <n v="5.7498863435308259E-2"/>
    <n v="-1.2494923653218568"/>
    <n v="-2.4038738435768852"/>
    <n v="-0.85573926284540058"/>
    <n v="-1.1129016520772086"/>
  </r>
  <r>
    <x v="3"/>
    <s v="PREP"/>
    <n v="12"/>
    <n v="14"/>
    <n v="5"/>
    <n v="7"/>
    <n v="38"/>
    <n v="0.75955452531275003"/>
    <n v="22.694936708860759"/>
    <n v="5.3055534129377486"/>
    <n v="22.140506329113926"/>
    <n v="4.9144008395218908"/>
    <n v="10.069620253164556"/>
    <n v="2.1089377326145904"/>
    <n v="10.958227848101266"/>
    <n v="2.2883463843764797"/>
    <n v="-2.0158004031739347"/>
    <n v="-1.656459575630769"/>
    <n v="-2.4038738435768852"/>
    <n v="-1.729732821536889"/>
    <n v="-1.9514666609796194"/>
  </r>
  <r>
    <x v="3"/>
    <s v="PREP"/>
    <n v="31"/>
    <n v="32"/>
    <n v="11"/>
    <n v="10"/>
    <n v="84"/>
    <n v="2.7873339895374514"/>
    <n v="22.694936708860759"/>
    <n v="5.3055534129377486"/>
    <n v="22.140506329113926"/>
    <n v="4.9144008395218908"/>
    <n v="10.069620253164556"/>
    <n v="2.1089377326145904"/>
    <n v="10.958227848101266"/>
    <n v="2.2883463843764797"/>
    <n v="1.5653528755147577"/>
    <n v="2.0062453171494408"/>
    <n v="0.44116036829688182"/>
    <n v="-0.41874248349965643"/>
    <n v="0.89850401936535595"/>
  </r>
  <r>
    <x v="3"/>
    <s v="PREP"/>
    <n v="19"/>
    <n v="17"/>
    <n v="6"/>
    <n v="9"/>
    <n v="51"/>
    <n v="1.6052797503622465"/>
    <n v="22.694936708860759"/>
    <n v="5.3055534129377486"/>
    <n v="22.140506329113926"/>
    <n v="4.9144008395218908"/>
    <n v="10.069620253164556"/>
    <n v="2.1089377326145904"/>
    <n v="10.958227848101266"/>
    <n v="2.2883463843764797"/>
    <n v="-0.69642814260441643"/>
    <n v="-1.0460087601674006"/>
    <n v="-1.9297014749312573"/>
    <n v="-0.85573926284540058"/>
    <n v="-1.1319694101371187"/>
  </r>
  <r>
    <x v="4"/>
    <s v="PREP"/>
    <n v="20"/>
    <n v="23"/>
    <n v="7"/>
    <n v="15"/>
    <n v="65"/>
    <n v="1.2247448713915889"/>
    <n v="22.694936708860759"/>
    <n v="5.3055534129377486"/>
    <n v="22.140506329113926"/>
    <n v="4.9144008395218908"/>
    <n v="10.069620253164556"/>
    <n v="2.1089377326145904"/>
    <n v="10.958227848101266"/>
    <n v="2.2883463843764797"/>
    <n v="-0.50794639109448525"/>
    <n v="0.17489287075933599"/>
    <n v="-1.4555291062856295"/>
    <n v="1.7662414132290645"/>
    <n v="-5.5853033479285608E-3"/>
  </r>
  <r>
    <x v="4"/>
    <s v="PREP"/>
    <n v="23"/>
    <n v="24"/>
    <n v="11"/>
    <n v="13"/>
    <n v="71"/>
    <n v="1.3301243435223524"/>
    <n v="22.694936708860759"/>
    <n v="5.3055534129377486"/>
    <n v="22.140506329113926"/>
    <n v="4.9144008395218908"/>
    <n v="10.069620253164556"/>
    <n v="2.1089377326145904"/>
    <n v="10.958227848101266"/>
    <n v="2.2883463843764797"/>
    <n v="5.7498863435308259E-2"/>
    <n v="0.37837647591379209"/>
    <n v="0.44116036829688182"/>
    <n v="0.89224785453757616"/>
    <n v="0.44232089054588958"/>
  </r>
  <r>
    <x v="4"/>
    <s v="PREP"/>
    <n v="26"/>
    <n v="25"/>
    <n v="10"/>
    <n v="14"/>
    <n v="75"/>
    <n v="1.8327504901034286"/>
    <n v="22.694936708860759"/>
    <n v="5.3055534129377486"/>
    <n v="22.140506329113926"/>
    <n v="4.9144008395218908"/>
    <n v="10.069620253164556"/>
    <n v="2.1089377326145904"/>
    <n v="10.958227848101266"/>
    <n v="2.2883463843764797"/>
    <n v="0.62294411796510174"/>
    <n v="0.58186008106824816"/>
    <n v="-3.3012000348745997E-2"/>
    <n v="1.3292446338833204"/>
    <n v="0.6252592081419811"/>
  </r>
  <r>
    <x v="4"/>
    <s v="PREP"/>
    <n v="18"/>
    <n v="16"/>
    <n v="7"/>
    <n v="9"/>
    <n v="50"/>
    <n v="1.214231845389905"/>
    <n v="22.694936708860759"/>
    <n v="5.3055534129377486"/>
    <n v="22.140506329113926"/>
    <n v="4.9144008395218908"/>
    <n v="10.069620253164556"/>
    <n v="2.1089377326145904"/>
    <n v="10.958227848101266"/>
    <n v="2.2883463843764797"/>
    <n v="-0.88490989411434762"/>
    <n v="-1.2494923653218568"/>
    <n v="-1.4555291062856295"/>
    <n v="-0.85573926284540058"/>
    <n v="-1.1114176571418086"/>
  </r>
  <r>
    <x v="4"/>
    <s v="PREP"/>
    <n v="14"/>
    <n v="21"/>
    <n v="4"/>
    <n v="10"/>
    <n v="49"/>
    <n v="2.2786635759382499"/>
    <n v="22.694936708860759"/>
    <n v="5.3055534129377486"/>
    <n v="22.140506329113926"/>
    <n v="4.9144008395218908"/>
    <n v="10.069620253164556"/>
    <n v="2.1089377326145904"/>
    <n v="10.958227848101266"/>
    <n v="2.2883463843764797"/>
    <n v="-1.6388369001540724"/>
    <n v="-0.23207433954957621"/>
    <n v="-2.8780462122225128"/>
    <n v="-0.41874248349965643"/>
    <n v="-1.2919249838564544"/>
  </r>
  <r>
    <x v="4"/>
    <s v="PREP"/>
    <n v="18"/>
    <n v="18"/>
    <n v="7"/>
    <n v="7"/>
    <n v="50"/>
    <n v="1.5730095277394138"/>
    <n v="22.694936708860759"/>
    <n v="5.3055534129377486"/>
    <n v="22.140506329113926"/>
    <n v="4.9144008395218908"/>
    <n v="10.069620253164556"/>
    <n v="2.1089377326145904"/>
    <n v="10.958227848101266"/>
    <n v="2.2883463843764797"/>
    <n v="-0.88490989411434762"/>
    <n v="-0.84252515501294456"/>
    <n v="-1.4555291062856295"/>
    <n v="-1.729732821536889"/>
    <n v="-1.2281742442374526"/>
  </r>
  <r>
    <x v="4"/>
    <s v="PREP"/>
    <n v="24"/>
    <n v="25"/>
    <n v="4"/>
    <n v="10"/>
    <n v="63"/>
    <n v="2.0754980866510833"/>
    <n v="22.694936708860759"/>
    <n v="5.3055534129377486"/>
    <n v="22.140506329113926"/>
    <n v="4.9144008395218908"/>
    <n v="10.069620253164556"/>
    <n v="2.1089377326145904"/>
    <n v="10.958227848101266"/>
    <n v="2.2883463843764797"/>
    <n v="0.24598061494523943"/>
    <n v="0.58186008106824816"/>
    <n v="-2.8780462122225128"/>
    <n v="-0.41874248349965643"/>
    <n v="-0.61723699992717029"/>
  </r>
  <r>
    <x v="4"/>
    <s v="PREP"/>
    <n v="16"/>
    <n v="20"/>
    <n v="9"/>
    <n v="10"/>
    <n v="55"/>
    <n v="1.4232501627054273"/>
    <n v="22.694936708860759"/>
    <n v="5.3055534129377486"/>
    <n v="22.140506329113926"/>
    <n v="4.9144008395218908"/>
    <n v="10.069620253164556"/>
    <n v="2.1089377326145904"/>
    <n v="10.958227848101266"/>
    <n v="2.2883463843764797"/>
    <n v="-1.26187339713421"/>
    <n v="-0.43555794470403231"/>
    <n v="-0.5071843689943738"/>
    <n v="-0.41874248349965643"/>
    <n v="-0.65583954858306814"/>
  </r>
  <r>
    <x v="4"/>
    <s v="PREP"/>
    <n v="14"/>
    <n v="19"/>
    <n v="6"/>
    <n v="10"/>
    <n v="49"/>
    <n v="1.3634420996046583"/>
    <n v="22.694936708860759"/>
    <n v="5.3055534129377486"/>
    <n v="22.140506329113926"/>
    <n v="4.9144008395218908"/>
    <n v="10.069620253164556"/>
    <n v="2.1089377326145904"/>
    <n v="10.958227848101266"/>
    <n v="2.2883463843764797"/>
    <n v="-1.6388369001540724"/>
    <n v="-0.63904154985848838"/>
    <n v="-1.9297014749312573"/>
    <n v="-0.41874248349965643"/>
    <n v="-1.1565806021108687"/>
  </r>
  <r>
    <x v="4"/>
    <s v="PREP"/>
    <n v="21"/>
    <n v="21"/>
    <n v="10"/>
    <n v="10"/>
    <n v="62"/>
    <n v="1.4232501627054273"/>
    <n v="22.694936708860759"/>
    <n v="5.3055534129377486"/>
    <n v="22.140506329113926"/>
    <n v="4.9144008395218908"/>
    <n v="10.069620253164556"/>
    <n v="2.1089377326145904"/>
    <n v="10.958227848101266"/>
    <n v="2.2883463843764797"/>
    <n v="-0.31946463958455407"/>
    <n v="-0.23207433954957621"/>
    <n v="-3.3012000348745997E-2"/>
    <n v="-0.41874248349965643"/>
    <n v="-0.25082336574563319"/>
  </r>
  <r>
    <x v="4"/>
    <s v="PREP"/>
    <n v="26"/>
    <n v="26"/>
    <n v="12"/>
    <n v="12"/>
    <n v="76"/>
    <n v="1.8187062180825986"/>
    <n v="22.694936708860759"/>
    <n v="5.3055534129377486"/>
    <n v="22.140506329113926"/>
    <n v="4.9144008395218908"/>
    <n v="10.069620253164556"/>
    <n v="2.1089377326145904"/>
    <n v="10.958227848101266"/>
    <n v="2.2883463843764797"/>
    <n v="0.62294411796510174"/>
    <n v="0.78534368622270434"/>
    <n v="0.91533273694250961"/>
    <n v="0.45525107519183194"/>
    <n v="0.69471790408053691"/>
  </r>
  <r>
    <x v="4"/>
    <s v="PREP"/>
    <n v="16"/>
    <n v="19"/>
    <n v="10"/>
    <n v="11"/>
    <n v="56"/>
    <n v="1.031553471276484"/>
    <n v="22.694936708860759"/>
    <n v="5.3055534129377486"/>
    <n v="22.140506329113926"/>
    <n v="4.9144008395218908"/>
    <n v="10.069620253164556"/>
    <n v="2.1089377326145904"/>
    <n v="10.958227848101266"/>
    <n v="2.2883463843764797"/>
    <n v="-1.26187339713421"/>
    <n v="-0.63904154985848838"/>
    <n v="-3.3012000348745997E-2"/>
    <n v="1.8254295846087756E-2"/>
    <n v="-0.47891816287383909"/>
  </r>
  <r>
    <x v="4"/>
    <s v="PREP"/>
    <n v="26"/>
    <n v="26"/>
    <n v="12"/>
    <n v="12"/>
    <n v="76"/>
    <n v="1.8187062180825986"/>
    <n v="22.694936708860759"/>
    <n v="5.3055534129377486"/>
    <n v="22.140506329113926"/>
    <n v="4.9144008395218908"/>
    <n v="10.069620253164556"/>
    <n v="2.1089377326145904"/>
    <n v="10.958227848101266"/>
    <n v="2.2883463843764797"/>
    <n v="0.62294411796510174"/>
    <n v="0.78534368622270434"/>
    <n v="0.91533273694250961"/>
    <n v="0.45525107519183194"/>
    <n v="0.69471790408053691"/>
  </r>
  <r>
    <x v="4"/>
    <s v="PREP"/>
    <n v="27"/>
    <n v="27"/>
    <n v="12"/>
    <n v="14"/>
    <n v="80"/>
    <n v="1.8187062180825984"/>
    <n v="22.694936708860759"/>
    <n v="5.3055534129377486"/>
    <n v="22.140506329113926"/>
    <n v="4.9144008395218908"/>
    <n v="10.069620253164556"/>
    <n v="2.1089377326145904"/>
    <n v="10.958227848101266"/>
    <n v="2.2883463843764797"/>
    <n v="0.81142586947503292"/>
    <n v="0.98882729137716041"/>
    <n v="0.91533273694250961"/>
    <n v="1.3292446338833204"/>
    <n v="1.0112076329195059"/>
  </r>
  <r>
    <x v="4"/>
    <s v="PREP"/>
    <n v="31"/>
    <n v="28"/>
    <n v="13"/>
    <n v="14"/>
    <n v="86"/>
    <n v="2.2560460078960247"/>
    <n v="22.694936708860759"/>
    <n v="5.3055534129377486"/>
    <n v="22.140506329113926"/>
    <n v="4.9144008395218908"/>
    <n v="10.069620253164556"/>
    <n v="2.1089377326145904"/>
    <n v="10.958227848101266"/>
    <n v="2.2883463843764797"/>
    <n v="1.5653528755147577"/>
    <n v="1.1923108965316165"/>
    <n v="1.3895051055881373"/>
    <n v="1.3292446338833204"/>
    <n v="1.3691033778794579"/>
  </r>
  <r>
    <x v="4"/>
    <s v="PREP"/>
    <n v="25"/>
    <n v="26"/>
    <n v="10"/>
    <n v="13"/>
    <n v="74"/>
    <n v="1.7021856236720769"/>
    <n v="22.694936708860759"/>
    <n v="5.3055534129377486"/>
    <n v="22.140506329113926"/>
    <n v="4.9144008395218908"/>
    <n v="10.069620253164556"/>
    <n v="2.1089377326145904"/>
    <n v="10.958227848101266"/>
    <n v="2.2883463843764797"/>
    <n v="0.43446236645517061"/>
    <n v="0.78534368622270434"/>
    <n v="-3.3012000348745997E-2"/>
    <n v="0.89224785453757616"/>
    <n v="0.51976047671667625"/>
  </r>
  <r>
    <x v="4"/>
    <s v="PREP"/>
    <n v="25"/>
    <n v="23"/>
    <n v="8"/>
    <n v="12"/>
    <n v="68"/>
    <n v="1.6408253082847342"/>
    <n v="22.694936708860759"/>
    <n v="5.3055534129377486"/>
    <n v="22.140506329113926"/>
    <n v="4.9144008395218908"/>
    <n v="10.069620253164556"/>
    <n v="2.1089377326145904"/>
    <n v="10.958227848101266"/>
    <n v="2.2883463843764797"/>
    <n v="0.43446236645517061"/>
    <n v="0.17489287075933599"/>
    <n v="-0.98135673764000164"/>
    <n v="0.45525107519183194"/>
    <n v="2.0812393691584219E-2"/>
  </r>
  <r>
    <x v="4"/>
    <s v="PREP"/>
    <n v="21"/>
    <n v="20"/>
    <n v="9"/>
    <n v="9"/>
    <n v="59"/>
    <n v="1.5607361839521232"/>
    <n v="22.694936708860759"/>
    <n v="5.3055534129377486"/>
    <n v="22.140506329113926"/>
    <n v="4.9144008395218908"/>
    <n v="10.069620253164556"/>
    <n v="2.1089377326145904"/>
    <n v="10.958227848101266"/>
    <n v="2.2883463843764797"/>
    <n v="-0.31946463958455407"/>
    <n v="-0.43555794470403231"/>
    <n v="-0.5071843689943738"/>
    <n v="-0.85573926284540058"/>
    <n v="-0.52948655403209011"/>
  </r>
  <r>
    <x v="4"/>
    <s v="PREP"/>
    <n v="23"/>
    <n v="22"/>
    <n v="11"/>
    <n v="12"/>
    <n v="68"/>
    <n v="1.4232501627054275"/>
    <n v="22.694936708860759"/>
    <n v="5.3055534129377486"/>
    <n v="22.140506329113926"/>
    <n v="4.9144008395218908"/>
    <n v="10.069620253164556"/>
    <n v="2.1089377326145904"/>
    <n v="10.958227848101266"/>
    <n v="2.2883463843764797"/>
    <n v="5.7498863435308259E-2"/>
    <n v="-2.8590734395120113E-2"/>
    <n v="0.44116036829688182"/>
    <n v="0.45525107519183194"/>
    <n v="0.23132989313222546"/>
  </r>
  <r>
    <x v="4"/>
    <s v="PREP"/>
    <n v="20"/>
    <n v="22"/>
    <n v="10"/>
    <n v="11"/>
    <n v="63"/>
    <n v="1.1435437497937309"/>
    <n v="22.694936708860759"/>
    <n v="5.3055534129377486"/>
    <n v="22.140506329113926"/>
    <n v="4.9144008395218908"/>
    <n v="10.069620253164556"/>
    <n v="2.1089377326145904"/>
    <n v="10.958227848101266"/>
    <n v="2.2883463843764797"/>
    <n v="-0.50794639109448525"/>
    <n v="-2.8590734395120113E-2"/>
    <n v="-3.3012000348745997E-2"/>
    <n v="1.8254295846087756E-2"/>
    <n v="-0.13782370749806591"/>
  </r>
  <r>
    <x v="4"/>
    <s v="PREP"/>
    <n v="23"/>
    <n v="19"/>
    <n v="9"/>
    <n v="10"/>
    <n v="61"/>
    <n v="1.6012815380508714"/>
    <n v="22.694936708860759"/>
    <n v="5.3055534129377486"/>
    <n v="22.140506329113926"/>
    <n v="4.9144008395218908"/>
    <n v="10.069620253164556"/>
    <n v="2.1089377326145904"/>
    <n v="10.958227848101266"/>
    <n v="2.2883463843764797"/>
    <n v="5.7498863435308259E-2"/>
    <n v="-0.63904154985848838"/>
    <n v="-0.5071843689943738"/>
    <n v="-0.41874248349965643"/>
    <n v="-0.37686738472930259"/>
  </r>
  <r>
    <x v="4"/>
    <s v="PREP"/>
    <n v="25"/>
    <n v="25"/>
    <n v="11"/>
    <n v="12"/>
    <n v="73"/>
    <n v="1.6092680291808414"/>
    <n v="22.694936708860759"/>
    <n v="5.3055534129377486"/>
    <n v="22.140506329113926"/>
    <n v="4.9144008395218908"/>
    <n v="10.069620253164556"/>
    <n v="2.1089377326145904"/>
    <n v="10.958227848101266"/>
    <n v="2.2883463843764797"/>
    <n v="0.43446236645517061"/>
    <n v="0.58186008106824816"/>
    <n v="0.44116036829688182"/>
    <n v="0.45525107519183194"/>
    <n v="0.47818347275303313"/>
  </r>
  <r>
    <x v="4"/>
    <s v="PREP"/>
    <n v="24"/>
    <n v="21"/>
    <n v="11"/>
    <n v="10"/>
    <n v="66"/>
    <n v="1.84668795692624"/>
    <n v="22.694936708860759"/>
    <n v="5.3055534129377486"/>
    <n v="22.140506329113926"/>
    <n v="4.9144008395218908"/>
    <n v="10.069620253164556"/>
    <n v="2.1089377326145904"/>
    <n v="10.958227848101266"/>
    <n v="2.2883463843764797"/>
    <n v="0.24598061494523943"/>
    <n v="-0.23207433954957621"/>
    <n v="0.44116036829688182"/>
    <n v="-0.41874248349965643"/>
    <n v="9.0810400482221471E-3"/>
  </r>
  <r>
    <x v="4"/>
    <s v="PREP"/>
    <n v="24"/>
    <n v="24"/>
    <n v="11"/>
    <n v="10"/>
    <n v="69"/>
    <n v="2.0159619451027746"/>
    <n v="22.694936708860759"/>
    <n v="5.3055534129377486"/>
    <n v="22.140506329113926"/>
    <n v="4.9144008395218908"/>
    <n v="10.069620253164556"/>
    <n v="2.1089377326145904"/>
    <n v="10.958227848101266"/>
    <n v="2.2883463843764797"/>
    <n v="0.24598061494523943"/>
    <n v="0.37837647591379209"/>
    <n v="0.44116036829688182"/>
    <n v="-0.41874248349965643"/>
    <n v="0.16169374391406421"/>
  </r>
  <r>
    <x v="4"/>
    <s v="PREP"/>
    <n v="19"/>
    <n v="21"/>
    <n v="9"/>
    <n v="6"/>
    <n v="55"/>
    <n v="1.8776690404970264"/>
    <n v="22.694936708860759"/>
    <n v="5.3055534129377486"/>
    <n v="22.140506329113926"/>
    <n v="4.9144008395218908"/>
    <n v="10.069620253164556"/>
    <n v="2.1089377326145904"/>
    <n v="10.958227848101266"/>
    <n v="2.2883463843764797"/>
    <n v="-0.69642814260441643"/>
    <n v="-0.23207433954957621"/>
    <n v="-0.5071843689943738"/>
    <n v="-2.1667296008826331"/>
    <n v="-0.9006041130077499"/>
  </r>
  <r>
    <x v="4"/>
    <s v="PREP"/>
    <n v="24"/>
    <n v="26"/>
    <n v="12"/>
    <n v="12"/>
    <n v="74"/>
    <n v="1.887883090687176"/>
    <n v="22.694936708860759"/>
    <n v="5.3055534129377486"/>
    <n v="22.140506329113926"/>
    <n v="4.9144008395218908"/>
    <n v="10.069620253164556"/>
    <n v="2.1089377326145904"/>
    <n v="10.958227848101266"/>
    <n v="2.2883463843764797"/>
    <n v="0.24598061494523943"/>
    <n v="0.78534368622270434"/>
    <n v="0.91533273694250961"/>
    <n v="0.45525107519183194"/>
    <n v="0.60047702832557137"/>
  </r>
  <r>
    <x v="4"/>
    <s v="PREP"/>
    <n v="21"/>
    <n v="17"/>
    <n v="7"/>
    <n v="9"/>
    <n v="54"/>
    <n v="1.5191090506255001"/>
    <n v="22.694936708860759"/>
    <n v="5.3055534129377486"/>
    <n v="22.140506329113926"/>
    <n v="4.9144008395218908"/>
    <n v="10.069620253164556"/>
    <n v="2.1089377326145904"/>
    <n v="10.958227848101266"/>
    <n v="2.2883463843764797"/>
    <n v="-0.31946463958455407"/>
    <n v="-1.0460087601674006"/>
    <n v="-1.4555291062856295"/>
    <n v="-0.85573926284540058"/>
    <n v="-0.91918544222074616"/>
  </r>
  <r>
    <x v="4"/>
    <s v="PREP"/>
    <n v="28"/>
    <n v="27"/>
    <n v="11"/>
    <n v="14"/>
    <n v="80"/>
    <n v="2.1152680620571416"/>
    <n v="22.694936708860759"/>
    <n v="5.3055534129377486"/>
    <n v="22.140506329113926"/>
    <n v="4.9144008395218908"/>
    <n v="10.069620253164556"/>
    <n v="2.1089377326145904"/>
    <n v="10.958227848101266"/>
    <n v="2.2883463843764797"/>
    <n v="0.99990762098496411"/>
    <n v="0.98882729137716041"/>
    <n v="0.44116036829688182"/>
    <n v="1.3292446338833204"/>
    <n v="0.93978497863558164"/>
  </r>
  <r>
    <x v="4"/>
    <s v="PREP"/>
    <n v="29"/>
    <n v="20"/>
    <n v="12"/>
    <n v="14"/>
    <n v="75"/>
    <n v="1.9215378456610455"/>
    <n v="22.694936708860759"/>
    <n v="5.3055534129377486"/>
    <n v="22.140506329113926"/>
    <n v="4.9144008395218908"/>
    <n v="10.069620253164556"/>
    <n v="2.1089377326145904"/>
    <n v="10.958227848101266"/>
    <n v="2.2883463843764797"/>
    <n v="1.1883893724948953"/>
    <n v="-0.43555794470403231"/>
    <n v="0.91533273694250961"/>
    <n v="1.3292446338833204"/>
    <n v="0.74935219965417321"/>
  </r>
  <r>
    <x v="4"/>
    <s v="PREP"/>
    <n v="24"/>
    <n v="23"/>
    <n v="11"/>
    <n v="13"/>
    <n v="71"/>
    <n v="1.6641005886756877"/>
    <n v="22.694936708860759"/>
    <n v="5.3055534129377486"/>
    <n v="22.140506329113926"/>
    <n v="4.9144008395218908"/>
    <n v="10.069620253164556"/>
    <n v="2.1089377326145904"/>
    <n v="10.958227848101266"/>
    <n v="2.2883463843764797"/>
    <n v="0.24598061494523943"/>
    <n v="0.17489287075933599"/>
    <n v="0.44116036829688182"/>
    <n v="0.89224785453757616"/>
    <n v="0.43857042713475836"/>
  </r>
  <r>
    <x v="4"/>
    <s v="PREP"/>
    <n v="22"/>
    <n v="21"/>
    <n v="10"/>
    <n v="9"/>
    <n v="62"/>
    <n v="1.5892265495016826"/>
    <n v="22.694936708860759"/>
    <n v="5.3055534129377486"/>
    <n v="22.140506329113926"/>
    <n v="4.9144008395218908"/>
    <n v="10.069620253164556"/>
    <n v="2.1089377326145904"/>
    <n v="10.958227848101266"/>
    <n v="2.2883463843764797"/>
    <n v="-0.13098288807462291"/>
    <n v="-0.23207433954957621"/>
    <n v="-3.3012000348745997E-2"/>
    <n v="-0.85573926284540058"/>
    <n v="-0.31295212270458644"/>
  </r>
  <r>
    <x v="4"/>
    <s v="PREP"/>
    <n v="23"/>
    <n v="20"/>
    <n v="9"/>
    <n v="10"/>
    <n v="62"/>
    <n v="1.6408253082847339"/>
    <n v="22.694936708860759"/>
    <n v="5.3055534129377486"/>
    <n v="22.140506329113926"/>
    <n v="4.9144008395218908"/>
    <n v="10.069620253164556"/>
    <n v="2.1089377326145904"/>
    <n v="10.958227848101266"/>
    <n v="2.2883463843764797"/>
    <n v="5.7498863435308259E-2"/>
    <n v="-0.43555794470403231"/>
    <n v="-0.5071843689943738"/>
    <n v="-0.41874248349965643"/>
    <n v="-0.3259964834406886"/>
  </r>
  <r>
    <x v="4"/>
    <s v="PREP"/>
    <n v="23"/>
    <n v="23"/>
    <n v="7"/>
    <n v="9"/>
    <n v="62"/>
    <n v="1.9644272343292228"/>
    <n v="22.694936708860759"/>
    <n v="5.3055534129377486"/>
    <n v="22.140506329113926"/>
    <n v="4.9144008395218908"/>
    <n v="10.069620253164556"/>
    <n v="2.1089377326145904"/>
    <n v="10.958227848101266"/>
    <n v="2.2883463843764797"/>
    <n v="5.7498863435308259E-2"/>
    <n v="0.17489287075933599"/>
    <n v="-1.4555291062856295"/>
    <n v="-0.85573926284540058"/>
    <n v="-0.51971915873409646"/>
  </r>
  <r>
    <x v="4"/>
    <s v="PREP"/>
    <n v="24"/>
    <n v="24"/>
    <n v="10"/>
    <n v="11"/>
    <n v="69"/>
    <n v="1.7974340685458345"/>
    <n v="22.694936708860759"/>
    <n v="5.3055534129377486"/>
    <n v="22.140506329113926"/>
    <n v="4.9144008395218908"/>
    <n v="10.069620253164556"/>
    <n v="2.1089377326145904"/>
    <n v="10.958227848101266"/>
    <n v="2.2883463843764797"/>
    <n v="0.24598061494523943"/>
    <n v="0.37837647591379209"/>
    <n v="-3.3012000348745997E-2"/>
    <n v="1.8254295846087756E-2"/>
    <n v="0.15239984658909331"/>
  </r>
  <r>
    <x v="4"/>
    <s v="PREP"/>
    <n v="26"/>
    <n v="24"/>
    <n v="10"/>
    <n v="11"/>
    <n v="71"/>
    <n v="1.8081014266989468"/>
    <n v="22.694936708860759"/>
    <n v="5.3055534129377486"/>
    <n v="22.140506329113926"/>
    <n v="4.9144008395218908"/>
    <n v="10.069620253164556"/>
    <n v="2.1089377326145904"/>
    <n v="10.958227848101266"/>
    <n v="2.2883463843764797"/>
    <n v="0.62294411796510174"/>
    <n v="0.37837647591379209"/>
    <n v="-3.3012000348745997E-2"/>
    <n v="1.8254295846087756E-2"/>
    <n v="0.2466407223440589"/>
  </r>
  <r>
    <x v="4"/>
    <s v="PREP"/>
    <n v="21"/>
    <n v="18"/>
    <n v="8"/>
    <n v="10"/>
    <n v="57"/>
    <n v="1.8045526471705551"/>
    <n v="22.694936708860759"/>
    <n v="5.3055534129377486"/>
    <n v="22.140506329113926"/>
    <n v="4.9144008395218908"/>
    <n v="10.069620253164556"/>
    <n v="2.1089377326145904"/>
    <n v="10.958227848101266"/>
    <n v="2.2883463843764797"/>
    <n v="-0.31946463958455407"/>
    <n v="-0.84252515501294456"/>
    <n v="-0.98135673764000164"/>
    <n v="-0.41874248349965643"/>
    <n v="-0.64052225393428919"/>
  </r>
  <r>
    <x v="4"/>
    <s v="PREP"/>
    <n v="26"/>
    <n v="26"/>
    <n v="11"/>
    <n v="12"/>
    <n v="75"/>
    <n v="1.9215378456610457"/>
    <n v="22.694936708860759"/>
    <n v="5.3055534129377486"/>
    <n v="22.140506329113926"/>
    <n v="4.9144008395218908"/>
    <n v="10.069620253164556"/>
    <n v="2.1089377326145904"/>
    <n v="10.958227848101266"/>
    <n v="2.2883463843764797"/>
    <n v="0.62294411796510174"/>
    <n v="0.78534368622270434"/>
    <n v="0.44116036829688182"/>
    <n v="0.45525107519183194"/>
    <n v="0.57617481191913"/>
  </r>
  <r>
    <x v="5"/>
    <s v="PREP"/>
    <n v="7"/>
    <n v="13"/>
    <n v="9"/>
    <n v="9"/>
    <n v="38"/>
    <n v="1.3204505835470495"/>
    <n v="22.694936708860759"/>
    <n v="5.3055534129377486"/>
    <n v="22.140506329113926"/>
    <n v="4.9144008395218908"/>
    <n v="10.069620253164556"/>
    <n v="2.1089377326145904"/>
    <n v="10.958227848101266"/>
    <n v="2.2883463843764797"/>
    <n v="-2.9582091607235905"/>
    <n v="-1.8599431807852249"/>
    <n v="-0.5071843689943738"/>
    <n v="-0.85573926284540058"/>
    <n v="-1.5452689933371473"/>
  </r>
  <r>
    <x v="5"/>
    <s v="PREP"/>
    <n v="27"/>
    <n v="28"/>
    <n v="14"/>
    <n v="15"/>
    <n v="84"/>
    <n v="1.8081014266989472"/>
    <n v="22.694936708860759"/>
    <n v="5.3055534129377486"/>
    <n v="22.140506329113926"/>
    <n v="4.9144008395218908"/>
    <n v="10.069620253164556"/>
    <n v="2.1089377326145904"/>
    <n v="10.958227848101266"/>
    <n v="2.2883463843764797"/>
    <n v="0.81142586947503292"/>
    <n v="1.1923108965316165"/>
    <n v="1.8636774742337652"/>
    <n v="1.7662414132290645"/>
    <n v="1.4084139133673697"/>
  </r>
  <r>
    <x v="5"/>
    <s v="PREP"/>
    <n v="7"/>
    <n v="8"/>
    <n v="3"/>
    <n v="9"/>
    <n v="27"/>
    <n v="1.0377490433255416"/>
    <n v="22.694936708860759"/>
    <n v="5.3055534129377486"/>
    <n v="22.140506329113926"/>
    <n v="4.9144008395218908"/>
    <n v="10.069620253164556"/>
    <n v="2.1089377326145904"/>
    <n v="10.958227848101266"/>
    <n v="2.2883463843764797"/>
    <n v="-2.9582091607235905"/>
    <n v="-2.8773612065575054"/>
    <n v="-3.3522185808681408"/>
    <n v="-0.85573926284540058"/>
    <n v="-2.5108820527486593"/>
  </r>
  <r>
    <x v="5"/>
    <s v="PREP"/>
    <n v="28"/>
    <n v="26"/>
    <n v="11"/>
    <n v="15"/>
    <n v="80"/>
    <n v="1.7246329970051526"/>
    <n v="22.694936708860759"/>
    <n v="5.3055534129377486"/>
    <n v="22.140506329113926"/>
    <n v="4.9144008395218908"/>
    <n v="10.069620253164556"/>
    <n v="2.1089377326145904"/>
    <n v="10.958227848101266"/>
    <n v="2.2883463843764797"/>
    <n v="0.99990762098496411"/>
    <n v="0.78534368622270434"/>
    <n v="0.44116036829688182"/>
    <n v="1.7662414132290645"/>
    <n v="0.99816327218340373"/>
  </r>
  <r>
    <x v="5"/>
    <s v="PREP"/>
    <n v="28"/>
    <n v="26"/>
    <n v="13"/>
    <n v="12"/>
    <n v="79"/>
    <n v="1.8009968749527976"/>
    <n v="22.694936708860759"/>
    <n v="5.3055534129377486"/>
    <n v="22.140506329113926"/>
    <n v="4.9144008395218908"/>
    <n v="10.069620253164556"/>
    <n v="2.1089377326145904"/>
    <n v="10.958227848101266"/>
    <n v="2.2883463843764797"/>
    <n v="0.99990762098496411"/>
    <n v="0.78534368622270434"/>
    <n v="1.3895051055881373"/>
    <n v="0.45525107519183194"/>
    <n v="0.90750187199690946"/>
  </r>
  <r>
    <x v="5"/>
    <s v="PREP"/>
    <n v="18"/>
    <n v="27"/>
    <n v="13"/>
    <n v="13"/>
    <n v="71"/>
    <n v="2.0662116951635836"/>
    <n v="22.694936708860759"/>
    <n v="5.3055534129377486"/>
    <n v="22.140506329113926"/>
    <n v="4.9144008395218908"/>
    <n v="10.069620253164556"/>
    <n v="2.1089377326145904"/>
    <n v="10.958227848101266"/>
    <n v="2.2883463843764797"/>
    <n v="-0.88490989411434762"/>
    <n v="0.98882729137716041"/>
    <n v="1.3895051055881373"/>
    <n v="0.89224785453757616"/>
    <n v="0.59641758934713152"/>
  </r>
  <r>
    <x v="5"/>
    <s v="PREP"/>
    <n v="18"/>
    <n v="22"/>
    <n v="11"/>
    <n v="7"/>
    <n v="58"/>
    <n v="2.0254787341673333"/>
    <n v="22.694936708860759"/>
    <n v="5.3055534129377486"/>
    <n v="22.140506329113926"/>
    <n v="4.9144008395218908"/>
    <n v="10.069620253164556"/>
    <n v="2.1089377326145904"/>
    <n v="10.958227848101266"/>
    <n v="2.2883463843764797"/>
    <n v="-0.88490989411434762"/>
    <n v="-2.8590734395120113E-2"/>
    <n v="0.44116036829688182"/>
    <n v="-1.729732821536889"/>
    <n v="-0.55051827043736878"/>
  </r>
  <r>
    <x v="5"/>
    <s v="PREP"/>
    <n v="31"/>
    <n v="29"/>
    <n v="14"/>
    <n v="14"/>
    <n v="88"/>
    <n v="1.9215378456610459"/>
    <n v="22.694936708860759"/>
    <n v="5.3055534129377486"/>
    <n v="22.140506329113926"/>
    <n v="4.9144008395218908"/>
    <n v="10.069620253164556"/>
    <n v="2.1089377326145904"/>
    <n v="10.958227848101266"/>
    <n v="2.2883463843764797"/>
    <n v="1.5653528755147577"/>
    <n v="1.3957945016860727"/>
    <n v="1.8636774742337652"/>
    <n v="1.3292446338833204"/>
    <n v="1.5385173713294789"/>
  </r>
  <r>
    <x v="5"/>
    <s v="PREP"/>
    <n v="25"/>
    <n v="17"/>
    <n v="6"/>
    <n v="9"/>
    <n v="57"/>
    <n v="1.7097008285302211"/>
    <n v="22.694936708860759"/>
    <n v="5.3055534129377486"/>
    <n v="22.140506329113926"/>
    <n v="4.9144008395218908"/>
    <n v="10.069620253164556"/>
    <n v="2.1089377326145904"/>
    <n v="10.958227848101266"/>
    <n v="2.2883463843764797"/>
    <n v="0.43446236645517061"/>
    <n v="-1.0460087601674006"/>
    <n v="-1.9297014749312573"/>
    <n v="-0.85573926284540058"/>
    <n v="-0.84924678287222188"/>
  </r>
  <r>
    <x v="5"/>
    <s v="PREP"/>
    <n v="13"/>
    <n v="13"/>
    <n v="6"/>
    <n v="10"/>
    <n v="42"/>
    <n v="1.3008872711759818"/>
    <n v="22.694936708860759"/>
    <n v="5.3055534129377486"/>
    <n v="22.140506329113926"/>
    <n v="4.9144008395218908"/>
    <n v="10.069620253164556"/>
    <n v="2.1089377326145904"/>
    <n v="10.958227848101266"/>
    <n v="2.2883463843764797"/>
    <n v="-1.8273186516640034"/>
    <n v="-1.8599431807852249"/>
    <n v="-1.9297014749312573"/>
    <n v="-0.41874248349965643"/>
    <n v="-1.5089264477200355"/>
  </r>
  <r>
    <x v="5"/>
    <s v="PREP"/>
    <n v="24"/>
    <n v="15"/>
    <n v="8"/>
    <n v="9"/>
    <n v="56"/>
    <n v="1.7021856236720769"/>
    <n v="22.694936708860759"/>
    <n v="5.3055534129377486"/>
    <n v="22.140506329113926"/>
    <n v="4.9144008395218908"/>
    <n v="10.069620253164556"/>
    <n v="2.1089377326145904"/>
    <n v="10.958227848101266"/>
    <n v="2.2883463843764797"/>
    <n v="0.24598061494523943"/>
    <n v="-1.4529759704763128"/>
    <n v="-0.98135673764000164"/>
    <n v="-0.85573926284540058"/>
    <n v="-0.76102283900411893"/>
  </r>
  <r>
    <x v="5"/>
    <s v="PREP"/>
    <n v="27"/>
    <n v="26"/>
    <n v="12"/>
    <n v="12"/>
    <n v="77"/>
    <n v="1.8912755158683456"/>
    <n v="22.694936708860759"/>
    <n v="5.3055534129377486"/>
    <n v="22.140506329113926"/>
    <n v="4.9144008395218908"/>
    <n v="10.069620253164556"/>
    <n v="2.1089377326145904"/>
    <n v="10.958227848101266"/>
    <n v="2.2883463843764797"/>
    <n v="0.81142586947503292"/>
    <n v="0.78534368622270434"/>
    <n v="0.91533273694250961"/>
    <n v="0.45525107519183194"/>
    <n v="0.74183834195801968"/>
  </r>
  <r>
    <x v="5"/>
    <s v="PREP"/>
    <n v="22"/>
    <n v="21"/>
    <n v="12"/>
    <n v="11"/>
    <n v="66"/>
    <n v="1.8912755158683456"/>
    <n v="22.694936708860759"/>
    <n v="5.3055534129377486"/>
    <n v="22.140506329113926"/>
    <n v="4.9144008395218908"/>
    <n v="10.069620253164556"/>
    <n v="2.1089377326145904"/>
    <n v="10.958227848101266"/>
    <n v="2.2883463843764797"/>
    <n v="-0.13098288807462291"/>
    <n v="-0.23207433954957621"/>
    <n v="0.91533273694250961"/>
    <n v="1.8254295846087756E-2"/>
    <n v="0.14263245129109955"/>
  </r>
  <r>
    <x v="5"/>
    <s v="PREP"/>
    <n v="28"/>
    <n v="28"/>
    <n v="12"/>
    <n v="9"/>
    <n v="77"/>
    <n v="2.361550989693654"/>
    <n v="22.694936708860759"/>
    <n v="5.3055534129377486"/>
    <n v="22.140506329113926"/>
    <n v="4.9144008395218908"/>
    <n v="10.069620253164556"/>
    <n v="2.1089377326145904"/>
    <n v="10.958227848101266"/>
    <n v="2.2883463843764797"/>
    <n v="0.99990762098496411"/>
    <n v="1.1923108965316165"/>
    <n v="0.91533273694250961"/>
    <n v="-0.85573926284540058"/>
    <n v="0.56295299790342246"/>
  </r>
  <r>
    <x v="5"/>
    <s v="PREP"/>
    <n v="29"/>
    <n v="27"/>
    <n v="12"/>
    <n v="12"/>
    <n v="80"/>
    <n v="1.9935794376846321"/>
    <n v="22.694936708860759"/>
    <n v="5.3055534129377486"/>
    <n v="22.140506329113926"/>
    <n v="4.9144008395218908"/>
    <n v="10.069620253164556"/>
    <n v="2.1089377326145904"/>
    <n v="10.958227848101266"/>
    <n v="2.2883463843764797"/>
    <n v="1.1883893724948953"/>
    <n v="0.98882729137716041"/>
    <n v="0.91533273694250961"/>
    <n v="0.45525107519183194"/>
    <n v="0.88695011900159926"/>
  </r>
  <r>
    <x v="5"/>
    <s v="PREP"/>
    <n v="15"/>
    <n v="9"/>
    <n v="7"/>
    <n v="8"/>
    <n v="39"/>
    <n v="0.81649658092772603"/>
    <n v="22.694936708860759"/>
    <n v="5.3055534129377486"/>
    <n v="22.140506329113926"/>
    <n v="4.9144008395218908"/>
    <n v="10.069620253164556"/>
    <n v="2.1089377326145904"/>
    <n v="10.958227848101266"/>
    <n v="2.2883463843764797"/>
    <n v="-1.4503551486441411"/>
    <n v="-2.6738776014030492"/>
    <n v="-1.4555291062856295"/>
    <n v="-1.2927360421911447"/>
    <n v="-1.7181244746309909"/>
  </r>
  <r>
    <x v="5"/>
    <s v="PREP"/>
    <n v="13"/>
    <n v="12"/>
    <n v="10"/>
    <n v="10"/>
    <n v="45"/>
    <n v="1.3301243435223524"/>
    <n v="22.694936708860759"/>
    <n v="5.3055534129377486"/>
    <n v="22.140506329113926"/>
    <n v="4.9144008395218908"/>
    <n v="10.069620253164556"/>
    <n v="2.1089377326145904"/>
    <n v="10.958227848101266"/>
    <n v="2.2883463843764797"/>
    <n v="-1.8273186516640034"/>
    <n v="-2.0634267859396811"/>
    <n v="-3.3012000348745997E-2"/>
    <n v="-0.41874248349965643"/>
    <n v="-1.0856249803630218"/>
  </r>
  <r>
    <x v="5"/>
    <s v="PREP"/>
    <n v="27"/>
    <n v="11"/>
    <n v="11"/>
    <n v="11"/>
    <n v="60"/>
    <n v="2.1031112483834331"/>
    <n v="22.694936708860759"/>
    <n v="5.3055534129377486"/>
    <n v="22.140506329113926"/>
    <n v="4.9144008395218908"/>
    <n v="10.069620253164556"/>
    <n v="2.1089377326145904"/>
    <n v="10.958227848101266"/>
    <n v="2.2883463843764797"/>
    <n v="0.81142586947503292"/>
    <n v="-2.2669103910941373"/>
    <n v="0.44116036829688182"/>
    <n v="1.8254295846087756E-2"/>
    <n v="-0.24901746436903369"/>
  </r>
  <r>
    <x v="5"/>
    <s v="PREP"/>
    <n v="17"/>
    <n v="13"/>
    <n v="8"/>
    <n v="7"/>
    <n v="45"/>
    <n v="1.3913653136029502"/>
    <n v="22.694936708860759"/>
    <n v="5.3055534129377486"/>
    <n v="22.140506329113926"/>
    <n v="4.9144008395218908"/>
    <n v="10.069620253164556"/>
    <n v="2.1089377326145904"/>
    <n v="10.958227848101266"/>
    <n v="2.2883463843764797"/>
    <n v="-1.0733916456242787"/>
    <n v="-1.8599431807852249"/>
    <n v="-0.98135673764000164"/>
    <n v="-1.729732821536889"/>
    <n v="-1.4111060963965985"/>
  </r>
  <r>
    <x v="5"/>
    <s v="PREP"/>
    <n v="25"/>
    <n v="14"/>
    <n v="8"/>
    <n v="7"/>
    <n v="54"/>
    <n v="1.863963243832607"/>
    <n v="22.694936708860759"/>
    <n v="5.3055534129377486"/>
    <n v="22.140506329113926"/>
    <n v="4.9144008395218908"/>
    <n v="10.069620253164556"/>
    <n v="2.1089377326145904"/>
    <n v="10.958227848101266"/>
    <n v="2.2883463843764797"/>
    <n v="0.43446236645517061"/>
    <n v="-1.656459575630769"/>
    <n v="-0.98135673764000164"/>
    <n v="-1.729732821536889"/>
    <n v="-0.98327169208812226"/>
  </r>
  <r>
    <x v="6"/>
    <s v="PREP"/>
    <n v="19"/>
    <n v="23"/>
    <n v="10"/>
    <n v="8"/>
    <n v="60"/>
    <n v="1.556623564988312"/>
    <n v="22.694936708860759"/>
    <n v="5.3055534129377486"/>
    <n v="22.140506329113926"/>
    <n v="4.9144008395218908"/>
    <n v="10.069620253164556"/>
    <n v="2.1089377326145904"/>
    <n v="10.958227848101266"/>
    <n v="2.2883463843764797"/>
    <n v="-0.69642814260441643"/>
    <n v="0.17489287075933599"/>
    <n v="-3.3012000348745997E-2"/>
    <n v="-1.2927360421911447"/>
    <n v="-0.46182082859624274"/>
  </r>
  <r>
    <x v="6"/>
    <s v="PREP"/>
    <n v="27"/>
    <n v="24"/>
    <n v="12"/>
    <n v="10"/>
    <n v="73"/>
    <n v="1.9381460874790259"/>
    <n v="22.694936708860759"/>
    <n v="5.3055534129377486"/>
    <n v="22.140506329113926"/>
    <n v="4.9144008395218908"/>
    <n v="10.069620253164556"/>
    <n v="2.1089377326145904"/>
    <n v="10.958227848101266"/>
    <n v="2.2883463843764797"/>
    <n v="0.81142586947503292"/>
    <n v="0.37837647591379209"/>
    <n v="0.91533273694250961"/>
    <n v="-0.41874248349965643"/>
    <n v="0.42159814970791948"/>
  </r>
  <r>
    <x v="6"/>
    <s v="PREP"/>
    <n v="23"/>
    <n v="23"/>
    <n v="8"/>
    <n v="9"/>
    <n v="63"/>
    <n v="1.6251232694862388"/>
    <n v="22.694936708860759"/>
    <n v="5.3055534129377486"/>
    <n v="22.140506329113926"/>
    <n v="4.9144008395218908"/>
    <n v="10.069620253164556"/>
    <n v="2.1089377326145904"/>
    <n v="10.958227848101266"/>
    <n v="2.2883463843764797"/>
    <n v="5.7498863435308259E-2"/>
    <n v="0.17489287075933599"/>
    <n v="-0.98135673764000164"/>
    <n v="-0.85573926284540058"/>
    <n v="-0.4011760665726895"/>
  </r>
  <r>
    <x v="6"/>
    <s v="PREP"/>
    <n v="19"/>
    <n v="19"/>
    <n v="9"/>
    <n v="9"/>
    <n v="56"/>
    <n v="1.315587028960544"/>
    <n v="22.694936708860759"/>
    <n v="5.3055534129377486"/>
    <n v="22.140506329113926"/>
    <n v="4.9144008395218908"/>
    <n v="10.069620253164556"/>
    <n v="2.1089377326145904"/>
    <n v="10.958227848101266"/>
    <n v="2.2883463843764797"/>
    <n v="-0.69642814260441643"/>
    <n v="-0.63904154985848838"/>
    <n v="-0.5071843689943738"/>
    <n v="-0.85573926284540058"/>
    <n v="-0.6745983310756698"/>
  </r>
  <r>
    <x v="6"/>
    <s v="PREP"/>
    <n v="24"/>
    <n v="22"/>
    <n v="10"/>
    <n v="7"/>
    <n v="63"/>
    <n v="2.1543039806456381"/>
    <n v="22.694936708860759"/>
    <n v="5.3055534129377486"/>
    <n v="22.140506329113926"/>
    <n v="4.9144008395218908"/>
    <n v="10.069620253164556"/>
    <n v="2.1089377326145904"/>
    <n v="10.958227848101266"/>
    <n v="2.2883463843764797"/>
    <n v="0.24598061494523943"/>
    <n v="-2.8590734395120113E-2"/>
    <n v="-3.3012000348745997E-2"/>
    <n v="-1.729732821536889"/>
    <n v="-0.38633873533387891"/>
  </r>
  <r>
    <x v="6"/>
    <s v="PREP"/>
    <n v="16"/>
    <n v="18"/>
    <n v="10"/>
    <n v="4"/>
    <n v="48"/>
    <n v="1.7504578155735613"/>
    <n v="22.694936708860759"/>
    <n v="5.3055534129377486"/>
    <n v="22.140506329113926"/>
    <n v="4.9144008395218908"/>
    <n v="10.069620253164556"/>
    <n v="2.1089377326145904"/>
    <n v="10.958227848101266"/>
    <n v="2.2883463843764797"/>
    <n v="-1.26187339713421"/>
    <n v="-0.84252515501294456"/>
    <n v="-3.3012000348745997E-2"/>
    <n v="-3.0407231595741213"/>
    <n v="-1.2945334280175054"/>
  </r>
  <r>
    <x v="6"/>
    <s v="PREP"/>
    <n v="21"/>
    <n v="18"/>
    <n v="9"/>
    <n v="7"/>
    <n v="55"/>
    <n v="1.6408253082847344"/>
    <n v="22.694936708860759"/>
    <n v="5.3055534129377486"/>
    <n v="22.140506329113926"/>
    <n v="4.9144008395218908"/>
    <n v="10.069620253164556"/>
    <n v="2.1089377326145904"/>
    <n v="10.958227848101266"/>
    <n v="2.2883463843764797"/>
    <n v="-0.31946463958455407"/>
    <n v="-0.84252515501294456"/>
    <n v="-0.5071843689943738"/>
    <n v="-1.729732821536889"/>
    <n v="-0.84972674628219036"/>
  </r>
  <r>
    <x v="6"/>
    <s v="PREP"/>
    <n v="20"/>
    <n v="22"/>
    <n v="11"/>
    <n v="6"/>
    <n v="59"/>
    <n v="1.9414506867883019"/>
    <n v="22.694936708860759"/>
    <n v="5.3055534129377486"/>
    <n v="22.140506329113926"/>
    <n v="4.9144008395218908"/>
    <n v="10.069620253164556"/>
    <n v="2.1089377326145904"/>
    <n v="10.958227848101266"/>
    <n v="2.2883463843764797"/>
    <n v="-0.50794639109448525"/>
    <n v="-2.8590734395120113E-2"/>
    <n v="0.44116036829688182"/>
    <n v="-2.1667296008826331"/>
    <n v="-0.56552658951883916"/>
  </r>
  <r>
    <x v="7"/>
    <s v="PREP"/>
    <n v="29"/>
    <n v="30"/>
    <n v="12"/>
    <n v="12"/>
    <n v="83"/>
    <n v="2.3287500774185546"/>
    <n v="22.694936708860759"/>
    <n v="5.3055534129377486"/>
    <n v="22.140506329113926"/>
    <n v="4.9144008395218908"/>
    <n v="10.069620253164556"/>
    <n v="2.1089377326145904"/>
    <n v="10.958227848101266"/>
    <n v="2.2883463843764797"/>
    <n v="1.1883893724948953"/>
    <n v="1.5992781068405286"/>
    <n v="0.91533273694250961"/>
    <n v="0.45525107519183194"/>
    <n v="1.0395628228674414"/>
  </r>
  <r>
    <x v="7"/>
    <s v="PREP"/>
    <n v="26"/>
    <n v="29"/>
    <n v="13"/>
    <n v="15"/>
    <n v="83"/>
    <n v="2.0223114472661199"/>
    <n v="22.694936708860759"/>
    <n v="5.3055534129377486"/>
    <n v="22.140506329113926"/>
    <n v="4.9144008395218908"/>
    <n v="10.069620253164556"/>
    <n v="2.1089377326145904"/>
    <n v="10.958227848101266"/>
    <n v="2.2883463843764797"/>
    <n v="0.62294411796510174"/>
    <n v="1.3957945016860727"/>
    <n v="1.3895051055881373"/>
    <n v="1.7662414132290645"/>
    <n v="1.293621284617094"/>
  </r>
  <r>
    <x v="7"/>
    <s v="PREP"/>
    <n v="29"/>
    <n v="33"/>
    <n v="13"/>
    <n v="14"/>
    <n v="89"/>
    <n v="2.3397348085539469"/>
    <n v="22.694936708860759"/>
    <n v="5.3055534129377486"/>
    <n v="22.140506329113926"/>
    <n v="4.9144008395218908"/>
    <n v="10.069620253164556"/>
    <n v="2.1089377326145904"/>
    <n v="10.958227848101266"/>
    <n v="2.2883463843764797"/>
    <n v="1.1883893724948953"/>
    <n v="2.2097289223038969"/>
    <n v="1.3895051055881373"/>
    <n v="1.3292446338833204"/>
    <n v="1.5292170085675625"/>
  </r>
  <r>
    <x v="7"/>
    <s v="PREP"/>
    <n v="34"/>
    <n v="30"/>
    <n v="14"/>
    <n v="15"/>
    <n v="93"/>
    <n v="2.3038429433649132"/>
    <n v="22.694936708860759"/>
    <n v="5.3055534129377486"/>
    <n v="22.140506329113926"/>
    <n v="4.9144008395218908"/>
    <n v="10.069620253164556"/>
    <n v="2.1089377326145904"/>
    <n v="10.958227848101266"/>
    <n v="2.2883463843764797"/>
    <n v="2.1307981300445511"/>
    <n v="1.5992781068405286"/>
    <n v="1.8636774742337652"/>
    <n v="1.7662414132290645"/>
    <n v="1.8399987810869773"/>
  </r>
  <r>
    <x v="7"/>
    <s v="PREP"/>
    <n v="30"/>
    <n v="30"/>
    <n v="13"/>
    <n v="14"/>
    <n v="87"/>
    <n v="2.1750331562459531"/>
    <n v="22.694936708860759"/>
    <n v="5.3055534129377486"/>
    <n v="22.140506329113926"/>
    <n v="4.9144008395218908"/>
    <n v="10.069620253164556"/>
    <n v="2.1089377326145904"/>
    <n v="10.958227848101266"/>
    <n v="2.2883463843764797"/>
    <n v="1.3768711240048266"/>
    <n v="1.5992781068405286"/>
    <n v="1.3895051055881373"/>
    <n v="1.3292446338833204"/>
    <n v="1.4237247425792032"/>
  </r>
  <r>
    <x v="7"/>
    <s v="PREP"/>
    <n v="35"/>
    <n v="31"/>
    <n v="14"/>
    <n v="13"/>
    <n v="93"/>
    <n v="2.609155477868712"/>
    <n v="22.694936708860759"/>
    <n v="5.3055534129377486"/>
    <n v="22.140506329113926"/>
    <n v="4.9144008395218908"/>
    <n v="10.069620253164556"/>
    <n v="2.1089377326145904"/>
    <n v="10.958227848101266"/>
    <n v="2.2883463843764797"/>
    <n v="2.3192798815544822"/>
    <n v="1.8027617119949848"/>
    <n v="1.8636774742337652"/>
    <n v="0.89224785453757616"/>
    <n v="1.719491730580202"/>
  </r>
  <r>
    <x v="7"/>
    <s v="PREP"/>
    <n v="35"/>
    <n v="33"/>
    <n v="14"/>
    <n v="12"/>
    <n v="94"/>
    <n v="2.8622207623290854"/>
    <n v="22.694936708860759"/>
    <n v="5.3055534129377486"/>
    <n v="22.140506329113926"/>
    <n v="4.9144008395218908"/>
    <n v="10.069620253164556"/>
    <n v="2.1089377326145904"/>
    <n v="10.958227848101266"/>
    <n v="2.2883463843764797"/>
    <n v="2.3192798815544822"/>
    <n v="2.2097289223038969"/>
    <n v="1.8636774742337652"/>
    <n v="0.45525107519183194"/>
    <n v="1.7119843383209941"/>
  </r>
  <r>
    <x v="7"/>
    <s v="PREP"/>
    <n v="35"/>
    <n v="31"/>
    <n v="13"/>
    <n v="12"/>
    <n v="91"/>
    <n v="2.70801280154532"/>
    <n v="22.694936708860759"/>
    <n v="5.3055534129377486"/>
    <n v="22.140506329113926"/>
    <n v="4.9144008395218908"/>
    <n v="10.069620253164556"/>
    <n v="2.1089377326145904"/>
    <n v="10.958227848101266"/>
    <n v="2.2883463843764797"/>
    <n v="2.3192798815544822"/>
    <n v="1.8027617119949848"/>
    <n v="1.3895051055881373"/>
    <n v="0.45525107519183194"/>
    <n v="1.491699443582359"/>
  </r>
  <r>
    <x v="7"/>
    <s v="PREP"/>
    <n v="28"/>
    <n v="25"/>
    <n v="12"/>
    <n v="10"/>
    <n v="75"/>
    <n v="2.1273554065179203"/>
    <n v="22.694936708860759"/>
    <n v="5.3055534129377486"/>
    <n v="22.140506329113926"/>
    <n v="4.9144008395218908"/>
    <n v="10.069620253164556"/>
    <n v="2.1089377326145904"/>
    <n v="10.958227848101266"/>
    <n v="2.2883463843764797"/>
    <n v="0.99990762098496411"/>
    <n v="0.58186008106824816"/>
    <n v="0.91533273694250961"/>
    <n v="-0.41874248349965643"/>
    <n v="0.51958948887401635"/>
  </r>
  <r>
    <x v="7"/>
    <s v="PREP"/>
    <n v="31"/>
    <n v="23"/>
    <n v="7"/>
    <n v="13"/>
    <n v="74"/>
    <n v="2.015961945102775"/>
    <n v="22.694936708860759"/>
    <n v="5.3055534129377486"/>
    <n v="22.140506329113926"/>
    <n v="4.9144008395218908"/>
    <n v="10.069620253164556"/>
    <n v="2.1089377326145904"/>
    <n v="10.958227848101266"/>
    <n v="2.2883463843764797"/>
    <n v="1.5653528755147577"/>
    <n v="0.17489287075933599"/>
    <n v="-1.4555291062856295"/>
    <n v="0.89224785453757616"/>
    <n v="0.29424112363151012"/>
  </r>
  <r>
    <x v="7"/>
    <s v="PREP"/>
    <n v="24"/>
    <n v="24"/>
    <n v="12"/>
    <n v="14"/>
    <n v="74"/>
    <n v="1.6012815380508714"/>
    <n v="22.694936708860759"/>
    <n v="5.3055534129377486"/>
    <n v="22.140506329113926"/>
    <n v="4.9144008395218908"/>
    <n v="10.069620253164556"/>
    <n v="2.1089377326145904"/>
    <n v="10.958227848101266"/>
    <n v="2.2883463843764797"/>
    <n v="0.24598061494523943"/>
    <n v="0.37837647591379209"/>
    <n v="0.91533273694250961"/>
    <n v="1.3292446338833204"/>
    <n v="0.71723361542121533"/>
  </r>
  <r>
    <x v="7"/>
    <s v="PREP"/>
    <n v="30"/>
    <n v="28"/>
    <n v="11"/>
    <n v="10"/>
    <n v="79"/>
    <n v="2.396578758061112"/>
    <n v="22.694936708860759"/>
    <n v="5.3055534129377486"/>
    <n v="22.140506329113926"/>
    <n v="4.9144008395218908"/>
    <n v="10.069620253164556"/>
    <n v="2.1089377326145904"/>
    <n v="10.958227848101266"/>
    <n v="2.2883463843764797"/>
    <n v="1.3768711240048266"/>
    <n v="1.1923108965316165"/>
    <n v="0.44116036829688182"/>
    <n v="-0.41874248349965643"/>
    <n v="0.64789997633341723"/>
  </r>
  <r>
    <x v="7"/>
    <s v="PREP"/>
    <n v="26"/>
    <n v="28"/>
    <n v="12"/>
    <n v="12"/>
    <n v="78"/>
    <n v="1.957890020745122"/>
    <n v="22.694936708860759"/>
    <n v="5.3055534129377486"/>
    <n v="22.140506329113926"/>
    <n v="4.9144008395218908"/>
    <n v="10.069620253164556"/>
    <n v="2.1089377326145904"/>
    <n v="10.958227848101266"/>
    <n v="2.2883463843764797"/>
    <n v="0.62294411796510174"/>
    <n v="1.1923108965316165"/>
    <n v="0.91533273694250961"/>
    <n v="0.45525107519183194"/>
    <n v="0.79645970665776489"/>
  </r>
  <r>
    <x v="7"/>
    <s v="PREP"/>
    <n v="27"/>
    <n v="28"/>
    <n v="12"/>
    <n v="12"/>
    <n v="79"/>
    <n v="2.0191391920625676"/>
    <n v="22.694936708860759"/>
    <n v="5.3055534129377486"/>
    <n v="22.140506329113926"/>
    <n v="4.9144008395218908"/>
    <n v="10.069620253164556"/>
    <n v="2.1089377326145904"/>
    <n v="10.958227848101266"/>
    <n v="2.2883463843764797"/>
    <n v="0.81142586947503292"/>
    <n v="1.1923108965316165"/>
    <n v="0.91533273694250961"/>
    <n v="0.45525107519183194"/>
    <n v="0.84358014453524766"/>
  </r>
  <r>
    <x v="7"/>
    <s v="PREP"/>
    <n v="28"/>
    <n v="25"/>
    <n v="11"/>
    <n v="12"/>
    <n v="76"/>
    <n v="2.3038429433649137"/>
    <n v="22.694936708860759"/>
    <n v="5.3055534129377486"/>
    <n v="22.140506329113926"/>
    <n v="4.9144008395218908"/>
    <n v="10.069620253164556"/>
    <n v="2.1089377326145904"/>
    <n v="10.958227848101266"/>
    <n v="2.2883463843764797"/>
    <n v="0.99990762098496411"/>
    <n v="0.58186008106824816"/>
    <n v="0.44116036829688182"/>
    <n v="0.45525107519183194"/>
    <n v="0.61954478638548149"/>
  </r>
  <r>
    <x v="8"/>
    <s v="PREP"/>
    <n v="22"/>
    <n v="21"/>
    <n v="5"/>
    <n v="10"/>
    <n v="58"/>
    <n v="1.8536173919925962"/>
    <n v="22.694936708860759"/>
    <n v="5.3055534129377486"/>
    <n v="22.140506329113926"/>
    <n v="4.9144008395218908"/>
    <n v="10.069620253164556"/>
    <n v="2.1089377326145904"/>
    <n v="10.958227848101266"/>
    <n v="2.2883463843764797"/>
    <n v="-0.13098288807462291"/>
    <n v="-0.23207433954957621"/>
    <n v="-2.4038738435768852"/>
    <n v="-0.41874248349965643"/>
    <n v="-0.79641838867518511"/>
  </r>
  <r>
    <x v="8"/>
    <s v="PREP"/>
    <n v="23"/>
    <n v="24"/>
    <n v="7"/>
    <n v="9"/>
    <n v="63"/>
    <n v="1.9935794376846327"/>
    <n v="22.694936708860759"/>
    <n v="5.3055534129377486"/>
    <n v="22.140506329113926"/>
    <n v="4.9144008395218908"/>
    <n v="10.069620253164556"/>
    <n v="2.1089377326145904"/>
    <n v="10.958227848101266"/>
    <n v="2.2883463843764797"/>
    <n v="5.7498863435308259E-2"/>
    <n v="0.37837647591379209"/>
    <n v="-1.4555291062856295"/>
    <n v="-0.85573926284540058"/>
    <n v="-0.46884825744548242"/>
  </r>
  <r>
    <x v="8"/>
    <s v="PREP"/>
    <n v="23"/>
    <n v="24"/>
    <n v="8"/>
    <n v="12"/>
    <n v="67"/>
    <n v="1.7722938923964169"/>
    <n v="22.694936708860759"/>
    <n v="5.3055534129377486"/>
    <n v="22.140506329113926"/>
    <n v="4.9144008395218908"/>
    <n v="10.069620253164556"/>
    <n v="2.1089377326145904"/>
    <n v="10.958227848101266"/>
    <n v="2.2883463843764797"/>
    <n v="5.7498863435308259E-2"/>
    <n v="0.37837647591379209"/>
    <n v="-0.98135673764000164"/>
    <n v="0.45525107519183194"/>
    <n v="-2.2557580774767327E-2"/>
  </r>
  <r>
    <x v="8"/>
    <s v="PREP"/>
    <n v="30"/>
    <n v="30"/>
    <n v="12"/>
    <n v="14"/>
    <n v="86"/>
    <n v="2.2926862533740322"/>
    <n v="22.694936708860759"/>
    <n v="5.3055534129377486"/>
    <n v="22.140506329113926"/>
    <n v="4.9144008395218908"/>
    <n v="10.069620253164556"/>
    <n v="2.1089377326145904"/>
    <n v="10.958227848101266"/>
    <n v="2.2883463843764797"/>
    <n v="1.3768711240048266"/>
    <n v="1.5992781068405286"/>
    <n v="0.91533273694250961"/>
    <n v="1.3292446338833204"/>
    <n v="1.3051816504177962"/>
  </r>
  <r>
    <x v="8"/>
    <s v="PREP"/>
    <n v="26"/>
    <n v="23"/>
    <n v="7"/>
    <n v="8"/>
    <n v="64"/>
    <n v="2.1779783615981456"/>
    <n v="22.694936708860759"/>
    <n v="5.3055534129377486"/>
    <n v="22.140506329113926"/>
    <n v="4.9144008395218908"/>
    <n v="10.069620253164556"/>
    <n v="2.1089377326145904"/>
    <n v="10.958227848101266"/>
    <n v="2.2883463843764797"/>
    <n v="0.62294411796510174"/>
    <n v="0.17489287075933599"/>
    <n v="-1.4555291062856295"/>
    <n v="-1.2927360421911447"/>
    <n v="-0.48760703993808407"/>
  </r>
  <r>
    <x v="8"/>
    <s v="PREP"/>
    <n v="34"/>
    <n v="31"/>
    <n v="9"/>
    <n v="13"/>
    <n v="87"/>
    <n v="2.6262969933798228"/>
    <n v="22.694936708860759"/>
    <n v="5.3055534129377486"/>
    <n v="22.140506329113926"/>
    <n v="4.9144008395218908"/>
    <n v="10.069620253164556"/>
    <n v="2.1089377326145904"/>
    <n v="10.958227848101266"/>
    <n v="2.2883463843764797"/>
    <n v="2.1307981300445511"/>
    <n v="1.8027617119949848"/>
    <n v="-0.5071843689943738"/>
    <n v="0.89224785453757616"/>
    <n v="1.0796558318956846"/>
  </r>
  <r>
    <x v="8"/>
    <s v="PREP"/>
    <n v="33"/>
    <n v="30"/>
    <n v="9"/>
    <n v="10"/>
    <n v="82"/>
    <n v="2.8978329657583606"/>
    <n v="22.694936708860759"/>
    <n v="5.3055534129377486"/>
    <n v="22.140506329113926"/>
    <n v="4.9144008395218908"/>
    <n v="10.069620253164556"/>
    <n v="2.1089377326145904"/>
    <n v="10.958227848101266"/>
    <n v="2.2883463843764797"/>
    <n v="1.94231637853462"/>
    <n v="1.5992781068405286"/>
    <n v="-0.5071843689943738"/>
    <n v="-0.41874248349965643"/>
    <n v="0.6539169082202797"/>
  </r>
  <r>
    <x v="8"/>
    <s v="PREP"/>
    <n v="27"/>
    <n v="28"/>
    <n v="9"/>
    <n v="12"/>
    <n v="76"/>
    <n v="2.3750843439814178"/>
    <n v="22.694936708860759"/>
    <n v="5.3055534129377486"/>
    <n v="22.140506329113926"/>
    <n v="4.9144008395218908"/>
    <n v="10.069620253164556"/>
    <n v="2.1089377326145904"/>
    <n v="10.958227848101266"/>
    <n v="2.2883463843764797"/>
    <n v="0.81142586947503292"/>
    <n v="1.1923108965316165"/>
    <n v="-0.5071843689943738"/>
    <n v="0.45525107519183194"/>
    <n v="0.48795086805102683"/>
  </r>
  <r>
    <x v="8"/>
    <s v="PREP"/>
    <n v="27"/>
    <n v="26"/>
    <n v="10"/>
    <n v="10"/>
    <n v="73"/>
    <n v="2.2926862533740326"/>
    <n v="22.694936708860759"/>
    <n v="5.3055534129377486"/>
    <n v="22.140506329113926"/>
    <n v="4.9144008395218908"/>
    <n v="10.069620253164556"/>
    <n v="2.1089377326145904"/>
    <n v="10.958227848101266"/>
    <n v="2.2883463843764797"/>
    <n v="0.81142586947503292"/>
    <n v="0.78534368622270434"/>
    <n v="-3.3012000348745997E-2"/>
    <n v="-0.41874248349965643"/>
    <n v="0.28625376796233371"/>
  </r>
  <r>
    <x v="8"/>
    <s v="PREP"/>
    <n v="28"/>
    <n v="25"/>
    <n v="11"/>
    <n v="11"/>
    <n v="75"/>
    <n v="1.9644272343292228"/>
    <n v="22.694936708860759"/>
    <n v="5.3055534129377486"/>
    <n v="22.140506329113926"/>
    <n v="4.9144008395218908"/>
    <n v="10.069620253164556"/>
    <n v="2.1089377326145904"/>
    <n v="10.958227848101266"/>
    <n v="2.2883463843764797"/>
    <n v="0.99990762098496411"/>
    <n v="0.58186008106824816"/>
    <n v="0.44116036829688182"/>
    <n v="1.8254295846087756E-2"/>
    <n v="0.51029559154904547"/>
  </r>
  <r>
    <x v="8"/>
    <s v="PREP"/>
    <n v="18"/>
    <n v="21"/>
    <n v="10"/>
    <n v="10"/>
    <n v="59"/>
    <n v="1.4500221041639685"/>
    <n v="22.694936708860759"/>
    <n v="5.3055534129377486"/>
    <n v="22.140506329113926"/>
    <n v="4.9144008395218908"/>
    <n v="10.069620253164556"/>
    <n v="2.1089377326145904"/>
    <n v="10.958227848101266"/>
    <n v="2.2883463843764797"/>
    <n v="-0.88490989411434762"/>
    <n v="-0.23207433954957621"/>
    <n v="-3.3012000348745997E-2"/>
    <n v="-0.41874248349965643"/>
    <n v="-0.39218467937808155"/>
  </r>
  <r>
    <x v="8"/>
    <s v="PREP"/>
    <n v="23"/>
    <n v="23"/>
    <n v="12"/>
    <n v="12"/>
    <n v="70"/>
    <n v="1.6092680291808414"/>
    <n v="22.694936708860759"/>
    <n v="5.3055534129377486"/>
    <n v="22.140506329113926"/>
    <n v="4.9144008395218908"/>
    <n v="10.069620253164556"/>
    <n v="2.1089377326145904"/>
    <n v="10.958227848101266"/>
    <n v="2.2883463843764797"/>
    <n v="5.7498863435308259E-2"/>
    <n v="0.17489287075933599"/>
    <n v="0.91533273694250961"/>
    <n v="0.45525107519183194"/>
    <n v="0.40074388658224647"/>
  </r>
  <r>
    <x v="8"/>
    <s v="PREP"/>
    <n v="26"/>
    <n v="25"/>
    <n v="11"/>
    <n v="11"/>
    <n v="73"/>
    <n v="1.9381460874790259"/>
    <n v="22.694936708860759"/>
    <n v="5.3055534129377486"/>
    <n v="22.140506329113926"/>
    <n v="4.9144008395218908"/>
    <n v="10.069620253164556"/>
    <n v="2.1089377326145904"/>
    <n v="10.958227848101266"/>
    <n v="2.2883463843764797"/>
    <n v="0.62294411796510174"/>
    <n v="0.58186008106824816"/>
    <n v="0.44116036829688182"/>
    <n v="1.8254295846087756E-2"/>
    <n v="0.41605471579407993"/>
  </r>
  <r>
    <x v="8"/>
    <s v="PREP"/>
    <n v="28"/>
    <n v="29"/>
    <n v="9"/>
    <n v="8"/>
    <n v="74"/>
    <n v="2.7198227694899346"/>
    <n v="22.694936708860759"/>
    <n v="5.3055534129377486"/>
    <n v="22.140506329113926"/>
    <n v="4.9144008395218908"/>
    <n v="10.069620253164556"/>
    <n v="2.1089377326145904"/>
    <n v="10.958227848101266"/>
    <n v="2.2883463843764797"/>
    <n v="0.99990762098496411"/>
    <n v="1.3957945016860727"/>
    <n v="-0.5071843689943738"/>
    <n v="-1.2927360421911447"/>
    <n v="0.1489454278713796"/>
  </r>
  <r>
    <x v="8"/>
    <s v="PREP"/>
    <n v="26"/>
    <n v="26"/>
    <n v="12"/>
    <n v="10"/>
    <n v="74"/>
    <n v="2.1750331562459526"/>
    <n v="22.694936708860759"/>
    <n v="5.3055534129377486"/>
    <n v="22.140506329113926"/>
    <n v="4.9144008395218908"/>
    <n v="10.069620253164556"/>
    <n v="2.1089377326145904"/>
    <n v="10.958227848101266"/>
    <n v="2.2883463843764797"/>
    <n v="0.62294411796510174"/>
    <n v="0.78534368622270434"/>
    <n v="0.91533273694250961"/>
    <n v="-0.41874248349965643"/>
    <n v="0.4762195144076648"/>
  </r>
  <r>
    <x v="8"/>
    <s v="PREP"/>
    <n v="28"/>
    <n v="27"/>
    <n v="12"/>
    <n v="9"/>
    <n v="76"/>
    <n v="2.3397348085539469"/>
    <n v="22.694936708860759"/>
    <n v="5.3055534129377486"/>
    <n v="22.140506329113926"/>
    <n v="4.9144008395218908"/>
    <n v="10.069620253164556"/>
    <n v="2.1089377326145904"/>
    <n v="10.958227848101266"/>
    <n v="2.2883463843764797"/>
    <n v="0.99990762098496411"/>
    <n v="0.98882729137716041"/>
    <n v="0.91533273694250961"/>
    <n v="-0.85573926284540058"/>
    <n v="0.5120820966148083"/>
  </r>
  <r>
    <x v="9"/>
    <s v="PREP"/>
    <n v="31"/>
    <n v="30"/>
    <n v="11"/>
    <n v="14"/>
    <n v="86"/>
    <n v="2.9591232242693541"/>
    <n v="22.694936708860759"/>
    <n v="5.3055534129377486"/>
    <n v="22.140506329113926"/>
    <n v="4.9144008395218908"/>
    <n v="10.069620253164556"/>
    <n v="2.1089377326145904"/>
    <n v="10.958227848101266"/>
    <n v="2.2883463843764797"/>
    <n v="1.5653528755147577"/>
    <n v="1.5992781068405286"/>
    <n v="0.44116036829688182"/>
    <n v="1.3292446338833204"/>
    <n v="1.2337589961338722"/>
  </r>
  <r>
    <x v="9"/>
    <s v="PREP"/>
    <n v="27"/>
    <n v="27"/>
    <n v="15"/>
    <n v="13"/>
    <n v="82"/>
    <n v="2.6262969933798228"/>
    <n v="22.694936708860759"/>
    <n v="5.3055534129377486"/>
    <n v="22.140506329113926"/>
    <n v="4.9144008395218908"/>
    <n v="10.069620253164556"/>
    <n v="2.1089377326145904"/>
    <n v="10.958227848101266"/>
    <n v="2.2883463843764797"/>
    <n v="0.81142586947503292"/>
    <n v="0.98882729137716041"/>
    <n v="2.3378498428793932"/>
    <n v="0.89224785453757616"/>
    <n v="1.2575877145672907"/>
  </r>
  <r>
    <x v="9"/>
    <s v="PREP"/>
    <n v="34"/>
    <n v="29"/>
    <n v="15"/>
    <n v="15"/>
    <n v="93"/>
    <n v="2.4099154150493138"/>
    <n v="22.694936708860759"/>
    <n v="5.3055534129377486"/>
    <n v="22.140506329113926"/>
    <n v="4.9144008395218908"/>
    <n v="10.069620253164556"/>
    <n v="2.1089377326145904"/>
    <n v="10.958227848101266"/>
    <n v="2.2883463843764797"/>
    <n v="2.1307981300445511"/>
    <n v="1.3957945016860727"/>
    <n v="2.3378498428793932"/>
    <n v="1.7662414132290645"/>
    <n v="1.9076709719597704"/>
  </r>
  <r>
    <x v="9"/>
    <s v="PREP"/>
    <n v="23"/>
    <n v="34"/>
    <n v="14"/>
    <n v="13"/>
    <n v="84"/>
    <n v="2.6017745423519636"/>
    <n v="22.694936708860759"/>
    <n v="5.3055534129377486"/>
    <n v="22.140506329113926"/>
    <n v="4.9144008395218908"/>
    <n v="10.069620253164556"/>
    <n v="2.1089377326145904"/>
    <n v="10.958227848101266"/>
    <n v="2.2883463843764797"/>
    <n v="5.7498863435308259E-2"/>
    <n v="2.4132125274583531"/>
    <n v="1.8636774742337652"/>
    <n v="0.89224785453757616"/>
    <n v="1.3066591799162506"/>
  </r>
  <r>
    <x v="9"/>
    <s v="PREP"/>
    <n v="32"/>
    <n v="30"/>
    <n v="15"/>
    <n v="9"/>
    <n v="86"/>
    <n v="2.9022537661405354"/>
    <n v="22.694936708860759"/>
    <n v="5.3055534129377486"/>
    <n v="22.140506329113926"/>
    <n v="4.9144008395218908"/>
    <n v="10.069620253164556"/>
    <n v="2.1089377326145904"/>
    <n v="10.958227848101266"/>
    <n v="2.2883463843764797"/>
    <n v="1.7538346270246887"/>
    <n v="1.5992781068405286"/>
    <n v="2.3378498428793932"/>
    <n v="-0.85573926284540058"/>
    <n v="1.2088058284748024"/>
  </r>
  <r>
    <x v="9"/>
    <s v="PREP"/>
    <n v="34"/>
    <n v="27"/>
    <n v="13"/>
    <n v="13"/>
    <n v="87"/>
    <n v="2.5943726083138543"/>
    <n v="22.694936708860759"/>
    <n v="5.3055534129377486"/>
    <n v="22.140506329113926"/>
    <n v="4.9144008395218908"/>
    <n v="10.069620253164556"/>
    <n v="2.1089377326145904"/>
    <n v="10.958227848101266"/>
    <n v="2.2883463843764797"/>
    <n v="2.1307981300445511"/>
    <n v="0.98882729137716041"/>
    <n v="1.3895051055881373"/>
    <n v="0.89224785453757616"/>
    <n v="1.3503445953868563"/>
  </r>
  <r>
    <x v="10"/>
    <s v="PREP"/>
    <n v="21"/>
    <n v="24"/>
    <n v="10"/>
    <n v="7"/>
    <n v="62"/>
    <n v="2.3149458652362389"/>
    <n v="22.694936708860759"/>
    <n v="5.3055534129377486"/>
    <n v="22.140506329113926"/>
    <n v="4.9144008395218908"/>
    <n v="10.069620253164556"/>
    <n v="2.1089377326145904"/>
    <n v="10.958227848101266"/>
    <n v="2.2883463843764797"/>
    <n v="-0.31946463958455407"/>
    <n v="0.37837647591379209"/>
    <n v="-3.3012000348745997E-2"/>
    <n v="-1.729732821536889"/>
    <n v="-0.42595824638909924"/>
  </r>
  <r>
    <x v="10"/>
    <s v="PREP"/>
    <n v="23"/>
    <n v="21"/>
    <n v="10"/>
    <n v="10"/>
    <n v="64"/>
    <n v="1.7059473644448737"/>
    <n v="22.694936708860759"/>
    <n v="5.3055534129377486"/>
    <n v="22.140506329113926"/>
    <n v="4.9144008395218908"/>
    <n v="10.069620253164556"/>
    <n v="2.1089377326145904"/>
    <n v="10.958227848101266"/>
    <n v="2.2883463843764797"/>
    <n v="5.7498863435308259E-2"/>
    <n v="-0.23207433954957621"/>
    <n v="-3.3012000348745997E-2"/>
    <n v="-0.41874248349965643"/>
    <n v="-0.15658248999066759"/>
  </r>
  <r>
    <x v="10"/>
    <s v="PREP"/>
    <n v="17"/>
    <n v="22"/>
    <n v="11"/>
    <n v="10"/>
    <n v="60"/>
    <n v="1.5566235649883124"/>
    <n v="22.694936708860759"/>
    <n v="5.3055534129377486"/>
    <n v="22.140506329113926"/>
    <n v="4.9144008395218908"/>
    <n v="10.069620253164556"/>
    <n v="2.1089377326145904"/>
    <n v="10.958227848101266"/>
    <n v="2.2883463843764797"/>
    <n v="-1.0733916456242787"/>
    <n v="-2.8590734395120113E-2"/>
    <n v="0.44116036829688182"/>
    <n v="-0.41874248349965643"/>
    <n v="-0.26989112380554336"/>
  </r>
  <r>
    <x v="10"/>
    <s v="PREP"/>
    <n v="22"/>
    <n v="28"/>
    <n v="12"/>
    <n v="10"/>
    <n v="72"/>
    <n v="2.1061570302086774"/>
    <n v="22.694936708860759"/>
    <n v="5.3055534129377486"/>
    <n v="22.140506329113926"/>
    <n v="4.9144008395218908"/>
    <n v="10.069620253164556"/>
    <n v="2.1089377326145904"/>
    <n v="10.958227848101266"/>
    <n v="2.2883463843764797"/>
    <n v="-0.13098288807462291"/>
    <n v="1.1923108965316165"/>
    <n v="0.91533273694250961"/>
    <n v="-0.41874248349965643"/>
    <n v="0.38947956547496171"/>
  </r>
  <r>
    <x v="10"/>
    <s v="PREP"/>
    <n v="23"/>
    <n v="22"/>
    <n v="10"/>
    <n v="12"/>
    <n v="67"/>
    <n v="1.3445044840729643"/>
    <n v="22.694936708860759"/>
    <n v="5.3055534129377486"/>
    <n v="22.140506329113926"/>
    <n v="4.9144008395218908"/>
    <n v="10.069620253164556"/>
    <n v="2.1089377326145904"/>
    <n v="10.958227848101266"/>
    <n v="2.2883463843764797"/>
    <n v="5.7498863435308259E-2"/>
    <n v="-2.8590734395120113E-2"/>
    <n v="-3.3012000348745997E-2"/>
    <n v="0.45525107519183194"/>
    <n v="0.11278680097081853"/>
  </r>
  <r>
    <x v="10"/>
    <s v="PREP"/>
    <n v="25"/>
    <n v="23"/>
    <n v="9"/>
    <n v="8"/>
    <n v="65"/>
    <n v="2.1984843263788196"/>
    <n v="22.694936708860759"/>
    <n v="5.3055534129377486"/>
    <n v="22.140506329113926"/>
    <n v="4.9144008395218908"/>
    <n v="10.069620253164556"/>
    <n v="2.1089377326145904"/>
    <n v="10.958227848101266"/>
    <n v="2.2883463843764797"/>
    <n v="0.43446236645517061"/>
    <n v="0.17489287075933599"/>
    <n v="-0.5071843689943738"/>
    <n v="-1.2927360421911447"/>
    <n v="-0.29764129349275298"/>
  </r>
  <r>
    <x v="10"/>
    <s v="PREP"/>
    <n v="22"/>
    <n v="18"/>
    <n v="4"/>
    <n v="7"/>
    <n v="51"/>
    <n v="1.9348358440936906"/>
    <n v="22.694936708860759"/>
    <n v="5.3055534129377486"/>
    <n v="22.140506329113926"/>
    <n v="4.9144008395218908"/>
    <n v="10.069620253164556"/>
    <n v="2.1089377326145904"/>
    <n v="10.958227848101266"/>
    <n v="2.2883463843764797"/>
    <n v="-0.13098288807462291"/>
    <n v="-0.84252515501294456"/>
    <n v="-2.8780462122225128"/>
    <n v="-1.729732821536889"/>
    <n v="-1.3953217692117423"/>
  </r>
  <r>
    <x v="10"/>
    <s v="PREP"/>
    <n v="29"/>
    <n v="28"/>
    <n v="12"/>
    <n v="6"/>
    <n v="75"/>
    <n v="2.9198700357449177"/>
    <n v="22.694936708860759"/>
    <n v="5.3055534129377486"/>
    <n v="22.140506329113926"/>
    <n v="4.9144008395218908"/>
    <n v="10.069620253164556"/>
    <n v="2.1089377326145904"/>
    <n v="10.958227848101266"/>
    <n v="2.2883463843764797"/>
    <n v="1.1883893724948953"/>
    <n v="1.1923108965316165"/>
    <n v="0.91533273694250961"/>
    <n v="-2.1667296008826331"/>
    <n v="0.28232585127159704"/>
  </r>
  <r>
    <x v="10"/>
    <s v="PREP"/>
    <n v="26"/>
    <n v="28"/>
    <n v="12"/>
    <n v="7"/>
    <n v="73"/>
    <n v="2.754948926884778"/>
    <n v="22.694936708860759"/>
    <n v="5.3055534129377486"/>
    <n v="22.140506329113926"/>
    <n v="4.9144008395218908"/>
    <n v="10.069620253164556"/>
    <n v="2.1089377326145904"/>
    <n v="10.958227848101266"/>
    <n v="2.2883463843764797"/>
    <n v="0.62294411796510174"/>
    <n v="1.1923108965316165"/>
    <n v="0.91533273694250961"/>
    <n v="-1.729732821536889"/>
    <n v="0.25021373247558465"/>
  </r>
  <r>
    <x v="10"/>
    <s v="PREP"/>
    <n v="28"/>
    <n v="30"/>
    <n v="12"/>
    <n v="14"/>
    <n v="84"/>
    <n v="2.3315011121372935"/>
    <n v="22.694936708860759"/>
    <n v="5.3055534129377486"/>
    <n v="22.140506329113926"/>
    <n v="4.9144008395218908"/>
    <n v="10.069620253164556"/>
    <n v="2.1089377326145904"/>
    <n v="10.958227848101266"/>
    <n v="2.2883463843764797"/>
    <n v="0.99990762098496411"/>
    <n v="1.5992781068405286"/>
    <n v="0.91533273694250961"/>
    <n v="1.3292446338833204"/>
    <n v="1.2109407746628307"/>
  </r>
  <r>
    <x v="10"/>
    <s v="PREP"/>
    <n v="25"/>
    <n v="30"/>
    <n v="11"/>
    <n v="8"/>
    <n v="74"/>
    <n v="2.5620504608813945"/>
    <n v="22.694936708860759"/>
    <n v="5.3055534129377486"/>
    <n v="22.140506329113926"/>
    <n v="4.9144008395218908"/>
    <n v="10.069620253164556"/>
    <n v="2.1089377326145904"/>
    <n v="10.958227848101266"/>
    <n v="2.2883463843764797"/>
    <n v="0.43446236645517061"/>
    <n v="1.5992781068405286"/>
    <n v="0.44116036829688182"/>
    <n v="-1.2927360421911447"/>
    <n v="0.29554119985035915"/>
  </r>
  <r>
    <x v="10"/>
    <s v="PREP"/>
    <n v="29"/>
    <n v="32"/>
    <n v="13"/>
    <n v="15"/>
    <n v="89"/>
    <n v="2.3397348085539469"/>
    <n v="22.694936708860759"/>
    <n v="5.3055534129377486"/>
    <n v="22.140506329113926"/>
    <n v="4.9144008395218908"/>
    <n v="10.069620253164556"/>
    <n v="2.1089377326145904"/>
    <n v="10.958227848101266"/>
    <n v="2.2883463843764797"/>
    <n v="1.1883893724948953"/>
    <n v="2.0062453171494408"/>
    <n v="1.3895051055881373"/>
    <n v="1.7662414132290645"/>
    <n v="1.5875953021153844"/>
  </r>
  <r>
    <x v="10"/>
    <s v="PREP"/>
    <n v="23"/>
    <n v="23"/>
    <n v="11"/>
    <n v="10"/>
    <n v="67"/>
    <n v="1.863963243832607"/>
    <n v="22.694936708860759"/>
    <n v="5.3055534129377486"/>
    <n v="22.140506329113926"/>
    <n v="4.9144008395218908"/>
    <n v="10.069620253164556"/>
    <n v="2.1089377326145904"/>
    <n v="10.958227848101266"/>
    <n v="2.2883463843764797"/>
    <n v="5.7498863435308259E-2"/>
    <n v="0.17489287075933599"/>
    <n v="0.44116036829688182"/>
    <n v="-0.41874248349965643"/>
    <n v="6.3702404747967414E-2"/>
  </r>
  <r>
    <x v="10"/>
    <s v="PREP"/>
    <n v="17"/>
    <n v="19"/>
    <n v="7"/>
    <n v="9"/>
    <n v="52"/>
    <n v="1.6329931618554521"/>
    <n v="22.694936708860759"/>
    <n v="5.3055534129377486"/>
    <n v="22.140506329113926"/>
    <n v="4.9144008395218908"/>
    <n v="10.069620253164556"/>
    <n v="2.1089377326145904"/>
    <n v="10.958227848101266"/>
    <n v="2.2883463843764797"/>
    <n v="-1.0733916456242787"/>
    <n v="-0.63904154985848838"/>
    <n v="-1.4555291062856295"/>
    <n v="-0.85573926284540058"/>
    <n v="-1.0059253911534494"/>
  </r>
  <r>
    <x v="11"/>
    <s v="PREP"/>
    <n v="24"/>
    <n v="23"/>
    <n v="11"/>
    <n v="10"/>
    <n v="68"/>
    <n v="1.6408253082847342"/>
    <n v="22.694936708860759"/>
    <n v="5.3055534129377486"/>
    <n v="22.140506329113926"/>
    <n v="4.9144008395218908"/>
    <n v="10.069620253164556"/>
    <n v="2.1089377326145904"/>
    <n v="10.958227848101266"/>
    <n v="2.2883463843764797"/>
    <n v="0.24598061494523943"/>
    <n v="0.17489287075933599"/>
    <n v="0.44116036829688182"/>
    <n v="-0.41874248349965643"/>
    <n v="0.11082284262545018"/>
  </r>
  <r>
    <x v="11"/>
    <s v="PREP"/>
    <n v="13"/>
    <n v="15"/>
    <n v="9"/>
    <n v="9"/>
    <n v="46"/>
    <n v="0.77625002580618474"/>
    <n v="22.694936708860759"/>
    <n v="5.3055534129377486"/>
    <n v="22.140506329113926"/>
    <n v="4.9144008395218908"/>
    <n v="10.069620253164556"/>
    <n v="2.1089377326145904"/>
    <n v="10.958227848101266"/>
    <n v="2.2883463843764797"/>
    <n v="-1.8273186516640034"/>
    <n v="-1.4529759704763128"/>
    <n v="-0.5071843689943738"/>
    <n v="-0.85573926284540058"/>
    <n v="-1.1608045634950226"/>
  </r>
  <r>
    <x v="11"/>
    <s v="PREP"/>
    <n v="31"/>
    <n v="30"/>
    <n v="13"/>
    <n v="14"/>
    <n v="88"/>
    <n v="1.9215378456610457"/>
    <n v="22.694936708860759"/>
    <n v="5.3055534129377486"/>
    <n v="22.140506329113926"/>
    <n v="4.9144008395218908"/>
    <n v="10.069620253164556"/>
    <n v="2.1089377326145904"/>
    <n v="10.958227848101266"/>
    <n v="2.2883463843764797"/>
    <n v="1.5653528755147577"/>
    <n v="1.5992781068405286"/>
    <n v="1.3895051055881373"/>
    <n v="1.3292446338833204"/>
    <n v="1.470845180456686"/>
  </r>
  <r>
    <x v="11"/>
    <s v="PREP"/>
    <n v="23"/>
    <n v="24"/>
    <n v="10"/>
    <n v="12"/>
    <n v="69"/>
    <n v="1.5483655567842813"/>
    <n v="22.694936708860759"/>
    <n v="5.3055534129377486"/>
    <n v="22.140506329113926"/>
    <n v="4.9144008395218908"/>
    <n v="10.069620253164556"/>
    <n v="2.1089377326145904"/>
    <n v="10.958227848101266"/>
    <n v="2.2883463843764797"/>
    <n v="5.7498863435308259E-2"/>
    <n v="0.37837647591379209"/>
    <n v="-3.3012000348745997E-2"/>
    <n v="0.45525107519183194"/>
    <n v="0.21452860354804656"/>
  </r>
  <r>
    <x v="11"/>
    <s v="PREP"/>
    <n v="23"/>
    <n v="21"/>
    <n v="9"/>
    <n v="8"/>
    <n v="61"/>
    <n v="1.6525039276108333"/>
    <n v="22.694936708860759"/>
    <n v="5.3055534129377486"/>
    <n v="22.140506329113926"/>
    <n v="4.9144008395218908"/>
    <n v="10.069620253164556"/>
    <n v="2.1089377326145904"/>
    <n v="10.958227848101266"/>
    <n v="2.2883463843764797"/>
    <n v="5.7498863435308259E-2"/>
    <n v="-0.23207433954957621"/>
    <n v="-0.5071843689943738"/>
    <n v="-1.2927360421911447"/>
    <n v="-0.49362397182494661"/>
  </r>
  <r>
    <x v="11"/>
    <s v="PREP"/>
    <n v="11"/>
    <n v="11"/>
    <n v="6"/>
    <n v="6"/>
    <n v="34"/>
    <n v="0.86971849262290402"/>
    <n v="22.694936708860759"/>
    <n v="5.3055534129377486"/>
    <n v="22.140506329113926"/>
    <n v="4.9144008395218908"/>
    <n v="10.069620253164556"/>
    <n v="2.1089377326145904"/>
    <n v="10.958227848101266"/>
    <n v="2.2883463843764797"/>
    <n v="-2.2042821546838658"/>
    <n v="-2.2669103910941373"/>
    <n v="-1.9297014749312573"/>
    <n v="-2.1667296008826331"/>
    <n v="-2.1419059053979734"/>
  </r>
  <r>
    <x v="11"/>
    <s v="PREP"/>
    <n v="10"/>
    <n v="8"/>
    <n v="5"/>
    <n v="8"/>
    <n v="31"/>
    <n v="0.5063696835418332"/>
    <n v="22.694936708860759"/>
    <n v="5.3055534129377486"/>
    <n v="22.140506329113926"/>
    <n v="4.9144008395218908"/>
    <n v="10.069620253164556"/>
    <n v="2.1089377326145904"/>
    <n v="10.958227848101266"/>
    <n v="2.2883463843764797"/>
    <n v="-2.3927639061937969"/>
    <n v="-2.8773612065575054"/>
    <n v="-2.4038738435768852"/>
    <n v="-1.2927360421911447"/>
    <n v="-2.241683749629833"/>
  </r>
  <r>
    <x v="11"/>
    <s v="PREP"/>
    <n v="28"/>
    <n v="27"/>
    <n v="11"/>
    <n v="15"/>
    <n v="81"/>
    <n v="1.6408253082847344"/>
    <n v="22.694936708860759"/>
    <n v="5.3055534129377486"/>
    <n v="22.140506329113926"/>
    <n v="4.9144008395218908"/>
    <n v="10.069620253164556"/>
    <n v="2.1089377326145904"/>
    <n v="10.958227848101266"/>
    <n v="2.2883463843764797"/>
    <n v="0.99990762098496411"/>
    <n v="0.98882729137716041"/>
    <n v="0.44116036829688182"/>
    <n v="1.7662414132290645"/>
    <n v="1.0490341734720177"/>
  </r>
  <r>
    <x v="11"/>
    <s v="PREP"/>
    <n v="23"/>
    <n v="20"/>
    <n v="10"/>
    <n v="13"/>
    <n v="66"/>
    <n v="0.75955452531274981"/>
    <n v="22.694936708860759"/>
    <n v="5.3055534129377486"/>
    <n v="22.140506329113926"/>
    <n v="4.9144008395218908"/>
    <n v="10.069620253164556"/>
    <n v="2.1089377326145904"/>
    <n v="10.958227848101266"/>
    <n v="2.2883463843764797"/>
    <n v="5.7498863435308259E-2"/>
    <n v="-0.43555794470403231"/>
    <n v="-3.3012000348745997E-2"/>
    <n v="0.89224785453757616"/>
    <n v="0.12029419323002652"/>
  </r>
  <r>
    <x v="11"/>
    <s v="PREP"/>
    <n v="14"/>
    <n v="13"/>
    <n v="6"/>
    <n v="8"/>
    <n v="41"/>
    <n v="0.55470019622522915"/>
    <n v="22.694936708860759"/>
    <n v="5.3055534129377486"/>
    <n v="22.140506329113926"/>
    <n v="4.9144008395218908"/>
    <n v="10.069620253164556"/>
    <n v="2.1089377326145904"/>
    <n v="10.958227848101266"/>
    <n v="2.2883463843764797"/>
    <n v="-1.6388369001540724"/>
    <n v="-1.8599431807852249"/>
    <n v="-1.9297014749312573"/>
    <n v="-1.2927360421911447"/>
    <n v="-1.6803043995154248"/>
  </r>
  <r>
    <x v="11"/>
    <s v="PREP"/>
    <n v="29"/>
    <n v="25"/>
    <n v="13"/>
    <n v="13"/>
    <n v="80"/>
    <n v="1.7722938923964169"/>
    <n v="22.694936708860759"/>
    <n v="5.3055534129377486"/>
    <n v="22.140506329113926"/>
    <n v="4.9144008395218908"/>
    <n v="10.069620253164556"/>
    <n v="2.1089377326145904"/>
    <n v="10.958227848101266"/>
    <n v="2.2883463843764797"/>
    <n v="1.1883893724948953"/>
    <n v="0.58186008106824816"/>
    <n v="1.3895051055881373"/>
    <n v="0.89224785453757616"/>
    <n v="1.0130006034222143"/>
  </r>
  <r>
    <x v="11"/>
    <s v="PREP"/>
    <n v="31"/>
    <n v="30"/>
    <n v="14"/>
    <n v="10"/>
    <n v="85"/>
    <n v="2.4703368398993897"/>
    <n v="22.694936708860759"/>
    <n v="5.3055534129377486"/>
    <n v="22.140506329113926"/>
    <n v="4.9144008395218908"/>
    <n v="10.069620253164556"/>
    <n v="2.1089377326145904"/>
    <n v="10.958227848101266"/>
    <n v="2.2883463843764797"/>
    <n v="1.5653528755147577"/>
    <n v="1.5992781068405286"/>
    <n v="1.8636774742337652"/>
    <n v="-0.41874248349965643"/>
    <n v="1.1523914932723489"/>
  </r>
  <r>
    <x v="11"/>
    <s v="PREP"/>
    <n v="21"/>
    <n v="20"/>
    <n v="9"/>
    <n v="10"/>
    <n v="60"/>
    <n v="1.1929278784054484"/>
    <n v="22.694936708860759"/>
    <n v="5.3055534129377486"/>
    <n v="22.140506329113926"/>
    <n v="4.9144008395218908"/>
    <n v="10.069620253164556"/>
    <n v="2.1089377326145904"/>
    <n v="10.958227848101266"/>
    <n v="2.2883463843764797"/>
    <n v="-0.31946463958455407"/>
    <n v="-0.43555794470403231"/>
    <n v="-0.5071843689943738"/>
    <n v="-0.41874248349965643"/>
    <n v="-0.42023735919565414"/>
  </r>
  <r>
    <x v="11"/>
    <s v="PREP"/>
    <n v="16"/>
    <n v="15"/>
    <n v="7"/>
    <n v="8"/>
    <n v="46"/>
    <n v="0.96741792204684518"/>
    <n v="22.694936708860759"/>
    <n v="5.3055534129377486"/>
    <n v="22.140506329113926"/>
    <n v="4.9144008395218908"/>
    <n v="10.069620253164556"/>
    <n v="2.1089377326145904"/>
    <n v="10.958227848101266"/>
    <n v="2.2883463843764797"/>
    <n v="-1.26187339713421"/>
    <n v="-1.4529759704763128"/>
    <n v="-1.4555291062856295"/>
    <n v="-1.2927360421911447"/>
    <n v="-1.3657786290218241"/>
  </r>
  <r>
    <x v="11"/>
    <s v="PREP"/>
    <n v="12"/>
    <n v="20"/>
    <n v="7"/>
    <n v="7"/>
    <n v="46"/>
    <n v="1.3301243435223524"/>
    <n v="22.694936708860759"/>
    <n v="5.3055534129377486"/>
    <n v="22.140506329113926"/>
    <n v="4.9144008395218908"/>
    <n v="10.069620253164556"/>
    <n v="2.1089377326145904"/>
    <n v="10.958227848101266"/>
    <n v="2.2883463843764797"/>
    <n v="-2.0158004031739347"/>
    <n v="-0.43555794470403231"/>
    <n v="-1.4555291062856295"/>
    <n v="-1.729732821536889"/>
    <n v="-1.4091550689251213"/>
  </r>
  <r>
    <x v="11"/>
    <s v="PREP"/>
    <n v="20"/>
    <n v="23"/>
    <n v="10"/>
    <n v="12"/>
    <n v="65"/>
    <n v="1.2247448713915889"/>
    <n v="22.694936708860759"/>
    <n v="5.3055534129377486"/>
    <n v="22.140506329113926"/>
    <n v="4.9144008395218908"/>
    <n v="10.069620253164556"/>
    <n v="2.1089377326145904"/>
    <n v="10.958227848101266"/>
    <n v="2.2883463843764797"/>
    <n v="-0.50794639109448525"/>
    <n v="0.17489287075933599"/>
    <n v="-3.3012000348745997E-2"/>
    <n v="0.45525107519183194"/>
    <n v="2.2296388626984173E-2"/>
  </r>
  <r>
    <x v="11"/>
    <s v="PREP"/>
    <n v="21"/>
    <n v="22"/>
    <n v="11"/>
    <n v="15"/>
    <n v="69"/>
    <n v="1.031553471276484"/>
    <n v="22.694936708860759"/>
    <n v="5.3055534129377486"/>
    <n v="22.140506329113926"/>
    <n v="4.9144008395218908"/>
    <n v="10.069620253164556"/>
    <n v="2.1089377326145904"/>
    <n v="10.958227848101266"/>
    <n v="2.2883463843764797"/>
    <n v="-0.31946463958455407"/>
    <n v="-2.8590734395120113E-2"/>
    <n v="0.44116036829688182"/>
    <n v="1.7662414132290645"/>
    <n v="0.46483660188656806"/>
  </r>
  <r>
    <x v="11"/>
    <s v="PREP"/>
    <n v="27"/>
    <n v="28"/>
    <n v="13"/>
    <n v="15"/>
    <n v="83"/>
    <n v="1.3867504905630728"/>
    <n v="22.694936708860759"/>
    <n v="5.3055534129377486"/>
    <n v="22.140506329113926"/>
    <n v="4.9144008395218908"/>
    <n v="10.069620253164556"/>
    <n v="2.1089377326145904"/>
    <n v="10.958227848101266"/>
    <n v="2.2883463843764797"/>
    <n v="0.81142586947503292"/>
    <n v="1.1923108965316165"/>
    <n v="1.3895051055881373"/>
    <n v="1.7662414132290645"/>
    <n v="1.2898708212059626"/>
  </r>
  <r>
    <x v="11"/>
    <s v="PREP"/>
    <n v="21"/>
    <n v="21"/>
    <n v="10"/>
    <n v="13"/>
    <n v="65"/>
    <n v="1.080123449734643"/>
    <n v="22.694936708860759"/>
    <n v="5.3055534129377486"/>
    <n v="22.140506329113926"/>
    <n v="4.9144008395218908"/>
    <n v="10.069620253164556"/>
    <n v="2.1089377326145904"/>
    <n v="10.958227848101266"/>
    <n v="2.2883463843764797"/>
    <n v="-0.31946463958455407"/>
    <n v="-0.23207433954957621"/>
    <n v="-3.3012000348745997E-2"/>
    <n v="0.89224785453757616"/>
    <n v="7.6924218763674973E-2"/>
  </r>
  <r>
    <x v="11"/>
    <s v="PREP"/>
    <n v="21"/>
    <n v="18"/>
    <n v="9"/>
    <n v="13"/>
    <n v="61"/>
    <n v="0.85485041426511055"/>
    <n v="22.694936708860759"/>
    <n v="5.3055534129377486"/>
    <n v="22.140506329113926"/>
    <n v="4.9144008395218908"/>
    <n v="10.069620253164556"/>
    <n v="2.1089377326145904"/>
    <n v="10.958227848101266"/>
    <n v="2.2883463843764797"/>
    <n v="-0.31946463958455407"/>
    <n v="-0.84252515501294456"/>
    <n v="-0.5071843689943738"/>
    <n v="0.89224785453757616"/>
    <n v="-0.19423157726357407"/>
  </r>
  <r>
    <x v="11"/>
    <s v="PREP"/>
    <n v="23"/>
    <n v="21"/>
    <n v="8"/>
    <n v="13"/>
    <n v="65"/>
    <n v="1.2909944487358056"/>
    <n v="22.694936708860759"/>
    <n v="5.3055534129377486"/>
    <n v="22.140506329113926"/>
    <n v="4.9144008395218908"/>
    <n v="10.069620253164556"/>
    <n v="2.1089377326145904"/>
    <n v="10.958227848101266"/>
    <n v="2.2883463843764797"/>
    <n v="5.7498863435308259E-2"/>
    <n v="-0.23207433954957621"/>
    <n v="-0.98135673764000164"/>
    <n v="0.89224785453757616"/>
    <n v="-6.5921089804173355E-2"/>
  </r>
  <r>
    <x v="12"/>
    <s v="PREP"/>
    <n v="8"/>
    <n v="9"/>
    <n v="5"/>
    <n v="7"/>
    <n v="29"/>
    <n v="0.43852900965351455"/>
    <n v="22.694936708860759"/>
    <n v="5.3055534129377486"/>
    <n v="22.140506329113926"/>
    <n v="4.9144008395218908"/>
    <n v="10.069620253164556"/>
    <n v="2.1089377326145904"/>
    <n v="10.958227848101266"/>
    <n v="2.2883463843764797"/>
    <n v="-2.7697274092136595"/>
    <n v="-2.6738776014030492"/>
    <n v="-2.4038738435768852"/>
    <n v="-1.729732821536889"/>
    <n v="-2.3943029189326208"/>
  </r>
  <r>
    <x v="12"/>
    <s v="PREP"/>
    <n v="12"/>
    <n v="12"/>
    <n v="5"/>
    <n v="9"/>
    <n v="38"/>
    <n v="0.64051261522034852"/>
    <n v="22.694936708860759"/>
    <n v="5.3055534129377486"/>
    <n v="22.140506329113926"/>
    <n v="4.9144008395218908"/>
    <n v="10.069620253164556"/>
    <n v="2.1089377326145904"/>
    <n v="10.958227848101266"/>
    <n v="2.2883463843764797"/>
    <n v="-2.0158004031739347"/>
    <n v="-2.0634267859396811"/>
    <n v="-2.4038738435768852"/>
    <n v="-0.85573926284540058"/>
    <n v="-1.8347100738839752"/>
  </r>
  <r>
    <x v="12"/>
    <s v="PREP"/>
    <n v="13"/>
    <n v="13"/>
    <n v="5"/>
    <n v="9"/>
    <n v="40"/>
    <n v="0.49354811679282456"/>
    <n v="22.694936708860759"/>
    <n v="5.3055534129377486"/>
    <n v="22.140506329113926"/>
    <n v="4.9144008395218908"/>
    <n v="10.069620253164556"/>
    <n v="2.1089377326145904"/>
    <n v="10.958227848101266"/>
    <n v="2.2883463843764797"/>
    <n v="-1.8273186516640034"/>
    <n v="-1.8599431807852249"/>
    <n v="-2.4038738435768852"/>
    <n v="-0.85573926284540058"/>
    <n v="-1.7367187347178783"/>
  </r>
  <r>
    <x v="12"/>
    <s v="PREP"/>
    <n v="15"/>
    <n v="13"/>
    <n v="6"/>
    <n v="12"/>
    <n v="46"/>
    <n v="0.5188745216627707"/>
    <n v="22.694936708860759"/>
    <n v="5.3055534129377486"/>
    <n v="22.140506329113926"/>
    <n v="4.9144008395218908"/>
    <n v="10.069620253164556"/>
    <n v="2.1089377326145904"/>
    <n v="10.958227848101266"/>
    <n v="2.2883463843764797"/>
    <n v="-1.4503551486441411"/>
    <n v="-1.8599431807852249"/>
    <n v="-1.9297014749312573"/>
    <n v="0.45525107519183194"/>
    <n v="-1.1961871822921979"/>
  </r>
  <r>
    <x v="12"/>
    <s v="PREP"/>
    <n v="14"/>
    <n v="14"/>
    <n v="7"/>
    <n v="11"/>
    <n v="46"/>
    <n v="0.51887452166277082"/>
    <n v="22.694936708860759"/>
    <n v="5.3055534129377486"/>
    <n v="22.140506329113926"/>
    <n v="4.9144008395218908"/>
    <n v="10.069620253164556"/>
    <n v="2.1089377326145904"/>
    <n v="10.958227848101266"/>
    <n v="2.2883463843764797"/>
    <n v="-1.6388369001540724"/>
    <n v="-1.656459575630769"/>
    <n v="-1.4555291062856295"/>
    <n v="1.8254295846087756E-2"/>
    <n v="-1.1831428215560957"/>
  </r>
  <r>
    <x v="12"/>
    <s v="PREP"/>
    <n v="15"/>
    <n v="16"/>
    <n v="8"/>
    <n v="12"/>
    <n v="51"/>
    <n v="0.27735009811261468"/>
    <n v="22.694936708860759"/>
    <n v="5.3055534129377486"/>
    <n v="22.140506329113926"/>
    <n v="4.9144008395218908"/>
    <n v="10.069620253164556"/>
    <n v="2.1089377326145904"/>
    <n v="10.958227848101266"/>
    <n v="2.2883463843764797"/>
    <n v="-1.4503551486441411"/>
    <n v="-1.2494923653218568"/>
    <n v="-0.98135673764000164"/>
    <n v="0.45525107519183194"/>
    <n v="-0.80648829410354184"/>
  </r>
  <r>
    <x v="12"/>
    <s v="PREP"/>
    <n v="15"/>
    <n v="15"/>
    <n v="8"/>
    <n v="9"/>
    <n v="47"/>
    <n v="0.50636968354183309"/>
    <n v="22.694936708860759"/>
    <n v="5.3055534129377486"/>
    <n v="22.140506329113926"/>
    <n v="4.9144008395218908"/>
    <n v="10.069620253164556"/>
    <n v="2.1089377326145904"/>
    <n v="10.958227848101266"/>
    <n v="2.2883463843764797"/>
    <n v="-1.4503551486441411"/>
    <n v="-1.4529759704763128"/>
    <n v="-0.98135673764000164"/>
    <n v="-0.85573926284540058"/>
    <n v="-1.1851067799014638"/>
  </r>
  <r>
    <x v="12"/>
    <s v="PREP"/>
    <n v="13"/>
    <n v="15"/>
    <n v="8"/>
    <n v="10"/>
    <n v="46"/>
    <n v="0.51887452166277082"/>
    <n v="22.694936708860759"/>
    <n v="5.3055534129377486"/>
    <n v="22.140506329113926"/>
    <n v="4.9144008395218908"/>
    <n v="10.069620253164556"/>
    <n v="2.1089377326145904"/>
    <n v="10.958227848101266"/>
    <n v="2.2883463843764797"/>
    <n v="-1.8273186516640034"/>
    <n v="-1.4529759704763128"/>
    <n v="-0.98135673764000164"/>
    <n v="-0.41874248349965643"/>
    <n v="-1.1700984608199936"/>
  </r>
  <r>
    <x v="12"/>
    <s v="PREP"/>
    <n v="10"/>
    <n v="8"/>
    <n v="5"/>
    <n v="6"/>
    <n v="29"/>
    <n v="0.4385290096535146"/>
    <n v="22.694936708860759"/>
    <n v="5.3055534129377486"/>
    <n v="22.140506329113926"/>
    <n v="4.9144008395218908"/>
    <n v="10.069620253164556"/>
    <n v="2.1089377326145904"/>
    <n v="10.958227848101266"/>
    <n v="2.2883463843764797"/>
    <n v="-2.3927639061937969"/>
    <n v="-2.8773612065575054"/>
    <n v="-2.4038738435768852"/>
    <n v="-2.1667296008826331"/>
    <n v="-2.460182139302705"/>
  </r>
  <r>
    <x v="12"/>
    <s v="PREP"/>
    <n v="21"/>
    <n v="20"/>
    <n v="10"/>
    <n v="15"/>
    <n v="66"/>
    <n v="0.27735009811261452"/>
    <n v="22.694936708860759"/>
    <n v="5.3055534129377486"/>
    <n v="22.140506329113926"/>
    <n v="4.9144008395218908"/>
    <n v="10.069620253164556"/>
    <n v="2.1089377326145904"/>
    <n v="10.958227848101266"/>
    <n v="2.2883463843764797"/>
    <n v="-0.31946463958455407"/>
    <n v="-0.43555794470403231"/>
    <n v="-3.3012000348745997E-2"/>
    <n v="1.7662414132290645"/>
    <n v="0.24455170714793303"/>
  </r>
  <r>
    <x v="12"/>
    <s v="PREP"/>
    <n v="19"/>
    <n v="20"/>
    <n v="10"/>
    <n v="15"/>
    <n v="64"/>
    <n v="0.27735009811261452"/>
    <n v="22.694936708860759"/>
    <n v="5.3055534129377486"/>
    <n v="22.140506329113926"/>
    <n v="4.9144008395218908"/>
    <n v="10.069620253164556"/>
    <n v="2.1089377326145904"/>
    <n v="10.958227848101266"/>
    <n v="2.2883463843764797"/>
    <n v="-0.69642814260441643"/>
    <n v="-0.43555794470403231"/>
    <n v="-3.3012000348745997E-2"/>
    <n v="1.7662414132290645"/>
    <n v="0.15031083139296741"/>
  </r>
  <r>
    <x v="12"/>
    <s v="PREP"/>
    <n v="20"/>
    <n v="19"/>
    <n v="9"/>
    <n v="15"/>
    <n v="63"/>
    <n v="0.55470019622522904"/>
    <n v="22.694936708860759"/>
    <n v="5.3055534129377486"/>
    <n v="22.140506329113926"/>
    <n v="4.9144008395218908"/>
    <n v="10.069620253164556"/>
    <n v="2.1089377326145904"/>
    <n v="10.958227848101266"/>
    <n v="2.2883463843764797"/>
    <n v="-0.50794639109448525"/>
    <n v="-0.63904154985848838"/>
    <n v="-0.5071843689943738"/>
    <n v="1.7662414132290645"/>
    <n v="2.8017275820429288E-2"/>
  </r>
  <r>
    <x v="12"/>
    <s v="PREP"/>
    <n v="22"/>
    <n v="20"/>
    <n v="9"/>
    <n v="13"/>
    <n v="64"/>
    <n v="0.64051261522034897"/>
    <n v="22.694936708860759"/>
    <n v="5.3055534129377486"/>
    <n v="22.140506329113926"/>
    <n v="4.9144008395218908"/>
    <n v="10.069620253164556"/>
    <n v="2.1089377326145904"/>
    <n v="10.958227848101266"/>
    <n v="2.2883463843764797"/>
    <n v="-0.13098288807462291"/>
    <n v="-0.43555794470403231"/>
    <n v="-0.5071843689943738"/>
    <n v="0.89224785453757616"/>
    <n v="-4.5369336808863209E-2"/>
  </r>
  <r>
    <x v="12"/>
    <s v="PREP"/>
    <n v="21"/>
    <n v="21"/>
    <n v="11"/>
    <n v="13"/>
    <n v="66"/>
    <n v="0.64051261522034864"/>
    <n v="22.694936708860759"/>
    <n v="5.3055534129377486"/>
    <n v="22.140506329113926"/>
    <n v="4.9144008395218908"/>
    <n v="10.069620253164556"/>
    <n v="2.1089377326145904"/>
    <n v="10.958227848101266"/>
    <n v="2.2883463843764797"/>
    <n v="-0.31946463958455407"/>
    <n v="-0.23207433954957621"/>
    <n v="0.44116036829688182"/>
    <n v="0.89224785453757616"/>
    <n v="0.19546731092508191"/>
  </r>
  <r>
    <x v="12"/>
    <s v="PREP"/>
    <n v="19"/>
    <n v="16"/>
    <n v="9"/>
    <n v="13"/>
    <n v="57"/>
    <n v="0.5063696835418332"/>
    <n v="22.694936708860759"/>
    <n v="5.3055534129377486"/>
    <n v="22.140506329113926"/>
    <n v="4.9144008395218908"/>
    <n v="10.069620253164556"/>
    <n v="2.1089377326145904"/>
    <n v="10.958227848101266"/>
    <n v="2.2883463843764797"/>
    <n v="-0.69642814260441643"/>
    <n v="-1.2494923653218568"/>
    <n v="-0.5071843689943738"/>
    <n v="0.89224785453757616"/>
    <n v="-0.39021425559576772"/>
  </r>
  <r>
    <x v="12"/>
    <s v="PREP"/>
    <n v="23"/>
    <n v="22"/>
    <n v="11"/>
    <n v="13"/>
    <n v="69"/>
    <n v="0.75106761619881046"/>
    <n v="22.694936708860759"/>
    <n v="5.3055534129377486"/>
    <n v="22.140506329113926"/>
    <n v="4.9144008395218908"/>
    <n v="10.069620253164556"/>
    <n v="2.1089377326145904"/>
    <n v="10.958227848101266"/>
    <n v="2.2883463843764797"/>
    <n v="5.7498863435308259E-2"/>
    <n v="-2.8590734395120113E-2"/>
    <n v="0.44116036829688182"/>
    <n v="0.89224785453757616"/>
    <n v="0.34057908796866154"/>
  </r>
  <r>
    <x v="12"/>
    <s v="PREP"/>
    <n v="21"/>
    <n v="22"/>
    <n v="10"/>
    <n v="15"/>
    <n v="68"/>
    <n v="0.43852900965351449"/>
    <n v="22.694936708860759"/>
    <n v="5.3055534129377486"/>
    <n v="22.140506329113926"/>
    <n v="4.9144008395218908"/>
    <n v="10.069620253164556"/>
    <n v="2.1089377326145904"/>
    <n v="10.958227848101266"/>
    <n v="2.2883463843764797"/>
    <n v="-0.31946463958455407"/>
    <n v="-2.8590734395120113E-2"/>
    <n v="-3.3012000348745997E-2"/>
    <n v="1.7662414132290645"/>
    <n v="0.34629350972516104"/>
  </r>
  <r>
    <x v="12"/>
    <s v="PREP"/>
    <n v="14"/>
    <n v="16"/>
    <n v="9"/>
    <n v="15"/>
    <n v="54"/>
    <n v="0.80064076902543579"/>
    <n v="22.694936708860759"/>
    <n v="5.3055534129377486"/>
    <n v="22.140506329113926"/>
    <n v="4.9144008395218908"/>
    <n v="10.069620253164556"/>
    <n v="2.1089377326145904"/>
    <n v="10.958227848101266"/>
    <n v="2.2883463843764797"/>
    <n v="-1.6388369001540724"/>
    <n v="-1.2494923653218568"/>
    <n v="-0.5071843689943738"/>
    <n v="1.7662414132290645"/>
    <n v="-0.40731805531030957"/>
  </r>
  <r>
    <x v="12"/>
    <s v="PREP"/>
    <n v="18"/>
    <n v="17"/>
    <n v="9"/>
    <n v="15"/>
    <n v="59"/>
    <n v="0.51887452166277093"/>
    <n v="22.694936708860759"/>
    <n v="5.3055534129377486"/>
    <n v="22.140506329113926"/>
    <n v="4.9144008395218908"/>
    <n v="10.069620253164556"/>
    <n v="2.1089377326145904"/>
    <n v="10.958227848101266"/>
    <n v="2.2883463843764797"/>
    <n v="-0.88490989411434762"/>
    <n v="-1.0460087601674006"/>
    <n v="-0.5071843689943738"/>
    <n v="1.7662414132290645"/>
    <n v="-0.16796540251176445"/>
  </r>
  <r>
    <x v="12"/>
    <s v="PREP"/>
    <n v="16"/>
    <n v="15"/>
    <n v="9"/>
    <n v="15"/>
    <n v="55"/>
    <n v="0.59914468951527811"/>
    <n v="22.694936708860759"/>
    <n v="5.3055534129377486"/>
    <n v="22.140506329113926"/>
    <n v="4.9144008395218908"/>
    <n v="10.069620253164556"/>
    <n v="2.1089377326145904"/>
    <n v="10.958227848101266"/>
    <n v="2.2883463843764797"/>
    <n v="-1.26187339713421"/>
    <n v="-1.4529759704763128"/>
    <n v="-0.5071843689943738"/>
    <n v="1.7662414132290645"/>
    <n v="-0.36394808084395797"/>
  </r>
  <r>
    <x v="12"/>
    <s v="PREP"/>
    <n v="14"/>
    <n v="15"/>
    <n v="6"/>
    <n v="13"/>
    <n v="48"/>
    <n v="0.75106761619881079"/>
    <n v="22.694936708860759"/>
    <n v="5.3055534129377486"/>
    <n v="22.140506329113926"/>
    <n v="4.9144008395218908"/>
    <n v="10.069620253164556"/>
    <n v="2.1089377326145904"/>
    <n v="10.958227848101266"/>
    <n v="2.2883463843764797"/>
    <n v="-1.6388369001540724"/>
    <n v="-1.4529759704763128"/>
    <n v="-1.9297014749312573"/>
    <n v="0.89224785453757616"/>
    <n v="-1.0323166227560165"/>
  </r>
  <r>
    <x v="12"/>
    <s v="PREP"/>
    <n v="18"/>
    <n v="17"/>
    <n v="9"/>
    <n v="15"/>
    <n v="59"/>
    <n v="0.51887452166277093"/>
    <n v="22.694936708860759"/>
    <n v="5.3055534129377486"/>
    <n v="22.140506329113926"/>
    <n v="4.9144008395218908"/>
    <n v="10.069620253164556"/>
    <n v="2.1089377326145904"/>
    <n v="10.958227848101266"/>
    <n v="2.2883463843764797"/>
    <n v="-0.88490989411434762"/>
    <n v="-1.0460087601674006"/>
    <n v="-0.5071843689943738"/>
    <n v="1.7662414132290645"/>
    <n v="-0.16796540251176445"/>
  </r>
  <r>
    <x v="13"/>
    <s v="PREP"/>
    <n v="24"/>
    <n v="22"/>
    <n v="10"/>
    <n v="9"/>
    <n v="65"/>
    <n v="1.5275252316519465"/>
    <n v="22.694936708860759"/>
    <n v="5.3055534129377486"/>
    <n v="22.140506329113926"/>
    <n v="4.9144008395218908"/>
    <n v="10.069620253164556"/>
    <n v="2.1089377326145904"/>
    <n v="10.958227848101266"/>
    <n v="2.2883463843764797"/>
    <n v="0.24598061494523943"/>
    <n v="-2.8590734395120113E-2"/>
    <n v="-3.3012000348745997E-2"/>
    <n v="-0.85573926284540058"/>
    <n v="-0.16784034566100681"/>
  </r>
  <r>
    <x v="13"/>
    <s v="PREP"/>
    <n v="15"/>
    <n v="21"/>
    <n v="9"/>
    <n v="6"/>
    <n v="51"/>
    <n v="1.6563785025137652"/>
    <n v="22.694936708860759"/>
    <n v="5.3055534129377486"/>
    <n v="22.140506329113926"/>
    <n v="4.9144008395218908"/>
    <n v="10.069620253164556"/>
    <n v="2.1089377326145904"/>
    <n v="10.958227848101266"/>
    <n v="2.2883463843764797"/>
    <n v="-1.4503551486441411"/>
    <n v="-0.23207433954957621"/>
    <n v="-0.5071843689943738"/>
    <n v="-2.1667296008826331"/>
    <n v="-1.0890858645176809"/>
  </r>
  <r>
    <x v="13"/>
    <s v="PREP"/>
    <n v="28"/>
    <n v="26"/>
    <n v="13"/>
    <n v="11"/>
    <n v="78"/>
    <n v="1.9148542155126764"/>
    <n v="22.694936708860759"/>
    <n v="5.3055534129377486"/>
    <n v="22.140506329113926"/>
    <n v="4.9144008395218908"/>
    <n v="10.069620253164556"/>
    <n v="2.1089377326145904"/>
    <n v="10.958227848101266"/>
    <n v="2.2883463843764797"/>
    <n v="0.99990762098496411"/>
    <n v="0.78534368622270434"/>
    <n v="1.3895051055881373"/>
    <n v="1.8254295846087756E-2"/>
    <n v="0.79825267716047343"/>
  </r>
  <r>
    <x v="13"/>
    <s v="PREP"/>
    <n v="28"/>
    <n v="28"/>
    <n v="13"/>
    <n v="11"/>
    <n v="80"/>
    <n v="1.908147174886057"/>
    <n v="22.694936708860759"/>
    <n v="5.3055534129377486"/>
    <n v="22.140506329113926"/>
    <n v="4.9144008395218908"/>
    <n v="10.069620253164556"/>
    <n v="2.1089377326145904"/>
    <n v="10.958227848101266"/>
    <n v="2.2883463843764797"/>
    <n v="0.99990762098496411"/>
    <n v="1.1923108965316165"/>
    <n v="1.3895051055881373"/>
    <n v="1.8254295846087756E-2"/>
    <n v="0.89999447973770152"/>
  </r>
  <r>
    <x v="13"/>
    <s v="PREP"/>
    <n v="28"/>
    <n v="23"/>
    <n v="12"/>
    <n v="13"/>
    <n v="76"/>
    <n v="1.5191090506254998"/>
    <n v="22.694936708860759"/>
    <n v="5.3055534129377486"/>
    <n v="22.140506329113926"/>
    <n v="4.9144008395218908"/>
    <n v="10.069620253164556"/>
    <n v="2.1089377326145904"/>
    <n v="10.958227848101266"/>
    <n v="2.2883463843764797"/>
    <n v="0.99990762098496411"/>
    <n v="0.17489287075933599"/>
    <n v="0.91533273694250961"/>
    <n v="0.89224785453757616"/>
    <n v="0.74559527080609644"/>
  </r>
  <r>
    <x v="13"/>
    <s v="PREP"/>
    <n v="25"/>
    <n v="25"/>
    <n v="12"/>
    <n v="10"/>
    <n v="72"/>
    <n v="1.6132464481796021"/>
    <n v="22.694936708860759"/>
    <n v="5.3055534129377486"/>
    <n v="22.140506329113926"/>
    <n v="4.9144008395218908"/>
    <n v="10.069620253164556"/>
    <n v="2.1089377326145904"/>
    <n v="10.958227848101266"/>
    <n v="2.2883463843764797"/>
    <n v="0.43446236645517061"/>
    <n v="0.58186008106824816"/>
    <n v="0.91533273694250961"/>
    <n v="-0.41874248349965643"/>
    <n v="0.37822817524156799"/>
  </r>
  <r>
    <x v="13"/>
    <s v="PREP"/>
    <n v="17"/>
    <n v="25"/>
    <n v="11"/>
    <n v="10"/>
    <n v="63"/>
    <n v="1.6251232694862383"/>
    <n v="22.694936708860759"/>
    <n v="5.3055534129377486"/>
    <n v="22.140506329113926"/>
    <n v="4.9144008395218908"/>
    <n v="10.069620253164556"/>
    <n v="2.1089377326145904"/>
    <n v="10.958227848101266"/>
    <n v="2.2883463843764797"/>
    <n v="-1.0733916456242787"/>
    <n v="0.58186008106824816"/>
    <n v="0.44116036829688182"/>
    <n v="-0.41874248349965643"/>
    <n v="-0.11727841993970128"/>
  </r>
  <r>
    <x v="13"/>
    <s v="PREP"/>
    <n v="26"/>
    <n v="22"/>
    <n v="9"/>
    <n v="11"/>
    <n v="68"/>
    <n v="1.5358952955766092"/>
    <n v="22.694936708860759"/>
    <n v="5.3055534129377486"/>
    <n v="22.140506329113926"/>
    <n v="4.9144008395218908"/>
    <n v="10.069620253164556"/>
    <n v="2.1089377326145904"/>
    <n v="10.958227848101266"/>
    <n v="2.2883463843764797"/>
    <n v="0.62294411796510174"/>
    <n v="-2.8590734395120113E-2"/>
    <n v="-0.5071843689943738"/>
    <n v="1.8254295846087756E-2"/>
    <n v="2.6355827605423883E-2"/>
  </r>
  <r>
    <x v="13"/>
    <s v="PREP"/>
    <n v="22"/>
    <n v="26"/>
    <n v="11"/>
    <n v="8"/>
    <n v="67"/>
    <n v="2.0349510168614966"/>
    <n v="22.694936708860759"/>
    <n v="5.3055534129377486"/>
    <n v="22.140506329113926"/>
    <n v="4.9144008395218908"/>
    <n v="10.069620253164556"/>
    <n v="2.1089377326145904"/>
    <n v="10.958227848101266"/>
    <n v="2.2883463843764797"/>
    <n v="-0.13098288807462291"/>
    <n v="0.78534368622270434"/>
    <n v="0.44116036829688182"/>
    <n v="-1.2927360421911447"/>
    <n v="-4.9303718936545338E-2"/>
  </r>
  <r>
    <x v="13"/>
    <s v="PREP"/>
    <n v="29"/>
    <n v="28"/>
    <n v="12"/>
    <n v="11"/>
    <n v="80"/>
    <n v="2.034951016861497"/>
    <n v="22.694936708860759"/>
    <n v="5.3055534129377486"/>
    <n v="22.140506329113926"/>
    <n v="4.9144008395218908"/>
    <n v="10.069620253164556"/>
    <n v="2.1089377326145904"/>
    <n v="10.958227848101266"/>
    <n v="2.2883463843764797"/>
    <n v="1.1883893724948953"/>
    <n v="1.1923108965316165"/>
    <n v="0.91533273694250961"/>
    <n v="1.8254295846087756E-2"/>
    <n v="0.82857182545377728"/>
  </r>
  <r>
    <x v="13"/>
    <s v="PREP"/>
    <n v="15"/>
    <n v="15"/>
    <n v="8"/>
    <n v="9"/>
    <n v="47"/>
    <n v="0.96076892283052273"/>
    <n v="22.694936708860759"/>
    <n v="5.3055534129377486"/>
    <n v="22.140506329113926"/>
    <n v="4.9144008395218908"/>
    <n v="10.069620253164556"/>
    <n v="2.1089377326145904"/>
    <n v="10.958227848101266"/>
    <n v="2.2883463843764797"/>
    <n v="-1.4503551486441411"/>
    <n v="-1.4529759704763128"/>
    <n v="-0.98135673764000164"/>
    <n v="-0.85573926284540058"/>
    <n v="-1.1851067799014638"/>
  </r>
  <r>
    <x v="13"/>
    <s v="PREP"/>
    <n v="29"/>
    <n v="27"/>
    <n v="12"/>
    <n v="13"/>
    <n v="81"/>
    <n v="1.739436985245808"/>
    <n v="22.694936708860759"/>
    <n v="5.3055534129377486"/>
    <n v="22.140506329113926"/>
    <n v="4.9144008395218908"/>
    <n v="10.069620253164556"/>
    <n v="2.1089377326145904"/>
    <n v="10.958227848101266"/>
    <n v="2.2883463843764797"/>
    <n v="1.1883893724948953"/>
    <n v="0.98882729137716041"/>
    <n v="0.91533273694250961"/>
    <n v="0.89224785453757616"/>
    <n v="0.99619931383803528"/>
  </r>
  <r>
    <x v="13"/>
    <s v="PREP"/>
    <n v="25"/>
    <n v="22"/>
    <n v="9"/>
    <n v="11"/>
    <n v="67"/>
    <n v="1.6251232694862388"/>
    <n v="22.694936708860759"/>
    <n v="5.3055534129377486"/>
    <n v="22.140506329113926"/>
    <n v="4.9144008395218908"/>
    <n v="10.069620253164556"/>
    <n v="2.1089377326145904"/>
    <n v="10.958227848101266"/>
    <n v="2.2883463843764797"/>
    <n v="0.43446236645517061"/>
    <n v="-2.8590734395120113E-2"/>
    <n v="-0.5071843689943738"/>
    <n v="1.8254295846087756E-2"/>
    <n v="-2.0764610272058885E-2"/>
  </r>
  <r>
    <x v="13"/>
    <s v="PREP"/>
    <n v="29"/>
    <n v="27"/>
    <n v="13"/>
    <n v="12"/>
    <n v="81"/>
    <n v="1.7867030229749126"/>
    <n v="22.694936708860759"/>
    <n v="5.3055534129377486"/>
    <n v="22.140506329113926"/>
    <n v="4.9144008395218908"/>
    <n v="10.069620253164556"/>
    <n v="2.1089377326145904"/>
    <n v="10.958227848101266"/>
    <n v="2.2883463843764797"/>
    <n v="1.1883893724948953"/>
    <n v="0.98882729137716041"/>
    <n v="1.3895051055881373"/>
    <n v="0.45525107519183194"/>
    <n v="1.0054932111630062"/>
  </r>
  <r>
    <x v="13"/>
    <s v="PREP"/>
    <n v="19"/>
    <n v="22"/>
    <n v="9"/>
    <n v="7"/>
    <n v="57"/>
    <n v="1.7577666482623882"/>
    <n v="22.694936708860759"/>
    <n v="5.3055534129377486"/>
    <n v="22.140506329113926"/>
    <n v="4.9144008395218908"/>
    <n v="10.069620253164556"/>
    <n v="2.1089377326145904"/>
    <n v="10.958227848101266"/>
    <n v="2.2883463843764797"/>
    <n v="-0.69642814260441643"/>
    <n v="-2.8590734395120113E-2"/>
    <n v="-0.5071843689943738"/>
    <n v="-1.729732821536889"/>
    <n v="-0.74048401688269982"/>
  </r>
  <r>
    <x v="13"/>
    <s v="PREP"/>
    <n v="30"/>
    <n v="28"/>
    <n v="12"/>
    <n v="10"/>
    <n v="80"/>
    <n v="2.0754980866510833"/>
    <n v="22.694936708860759"/>
    <n v="5.3055534129377486"/>
    <n v="22.140506329113926"/>
    <n v="4.9144008395218908"/>
    <n v="10.069620253164556"/>
    <n v="2.1089377326145904"/>
    <n v="10.958227848101266"/>
    <n v="2.2883463843764797"/>
    <n v="1.3768711240048266"/>
    <n v="1.1923108965316165"/>
    <n v="0.91533273694250961"/>
    <n v="-0.41874248349965643"/>
    <n v="0.76644306849482413"/>
  </r>
  <r>
    <x v="13"/>
    <s v="PREP"/>
    <n v="29"/>
    <n v="28"/>
    <n v="13"/>
    <n v="11"/>
    <n v="81"/>
    <n v="1.9644272343292228"/>
    <n v="22.694936708860759"/>
    <n v="5.3055534129377486"/>
    <n v="22.140506329113926"/>
    <n v="4.9144008395218908"/>
    <n v="10.069620253164556"/>
    <n v="2.1089377326145904"/>
    <n v="10.958227848101266"/>
    <n v="2.2883463843764797"/>
    <n v="1.1883893724948953"/>
    <n v="1.1923108965316165"/>
    <n v="1.3895051055881373"/>
    <n v="1.8254295846087756E-2"/>
    <n v="0.94711491761518429"/>
  </r>
  <r>
    <x v="13"/>
    <s v="PREP"/>
    <n v="24"/>
    <n v="24"/>
    <n v="10"/>
    <n v="10"/>
    <n v="68"/>
    <n v="1.5892265495016835"/>
    <n v="22.694936708860759"/>
    <n v="5.3055534129377486"/>
    <n v="22.140506329113926"/>
    <n v="4.9144008395218908"/>
    <n v="10.069620253164556"/>
    <n v="2.1089377326145904"/>
    <n v="10.958227848101266"/>
    <n v="2.2883463843764797"/>
    <n v="0.24598061494523943"/>
    <n v="0.37837647591379209"/>
    <n v="-3.3012000348745997E-2"/>
    <n v="-0.41874248349965643"/>
    <n v="4.3150651752657268E-2"/>
  </r>
  <r>
    <x v="13"/>
    <s v="PREP"/>
    <n v="29"/>
    <n v="26"/>
    <n v="12"/>
    <n v="13"/>
    <n v="80"/>
    <n v="1.6756169931378437"/>
    <n v="22.694936708860759"/>
    <n v="5.3055534129377486"/>
    <n v="22.140506329113926"/>
    <n v="4.9144008395218908"/>
    <n v="10.069620253164556"/>
    <n v="2.1089377326145904"/>
    <n v="10.958227848101266"/>
    <n v="2.2883463843764797"/>
    <n v="1.1883893724948953"/>
    <n v="0.78534368622270434"/>
    <n v="0.91533273694250961"/>
    <n v="0.89224785453757616"/>
    <n v="0.94532841254942135"/>
  </r>
  <r>
    <x v="13"/>
    <s v="PREP"/>
    <n v="23"/>
    <n v="24"/>
    <n v="11"/>
    <n v="10"/>
    <n v="68"/>
    <n v="1.739436985245808"/>
    <n v="22.694936708860759"/>
    <n v="5.3055534129377486"/>
    <n v="22.140506329113926"/>
    <n v="4.9144008395218908"/>
    <n v="10.069620253164556"/>
    <n v="2.1089377326145904"/>
    <n v="10.958227848101266"/>
    <n v="2.2883463843764797"/>
    <n v="5.7498863435308259E-2"/>
    <n v="0.37837647591379209"/>
    <n v="0.44116036829688182"/>
    <n v="-0.41874248349965643"/>
    <n v="0.11457330603658143"/>
  </r>
  <r>
    <x v="13"/>
    <s v="PREP"/>
    <n v="29"/>
    <n v="29"/>
    <n v="13"/>
    <n v="13"/>
    <n v="84"/>
    <n v="1.7614096918559583"/>
    <n v="22.694936708860759"/>
    <n v="5.3055534129377486"/>
    <n v="22.140506329113926"/>
    <n v="4.9144008395218908"/>
    <n v="10.069620253164556"/>
    <n v="2.1089377326145904"/>
    <n v="10.958227848101266"/>
    <n v="2.2883463843764797"/>
    <n v="1.1883893724948953"/>
    <n v="1.3957945016860727"/>
    <n v="1.3895051055881373"/>
    <n v="0.89224785453757616"/>
    <n v="1.2164842085766703"/>
  </r>
  <r>
    <x v="13"/>
    <s v="PREP"/>
    <n v="28"/>
    <n v="28"/>
    <n v="12"/>
    <n v="13"/>
    <n v="81"/>
    <n v="1.5892265495016829"/>
    <n v="22.694936708860759"/>
    <n v="5.3055534129377486"/>
    <n v="22.140506329113926"/>
    <n v="4.9144008395218908"/>
    <n v="10.069620253164556"/>
    <n v="2.1089377326145904"/>
    <n v="10.958227848101266"/>
    <n v="2.2883463843764797"/>
    <n v="0.99990762098496411"/>
    <n v="1.1923108965316165"/>
    <n v="0.91533273694250961"/>
    <n v="0.89224785453757616"/>
    <n v="0.99994977724916656"/>
  </r>
  <r>
    <x v="13"/>
    <s v="PREP"/>
    <n v="25"/>
    <n v="24"/>
    <n v="11"/>
    <n v="10"/>
    <n v="70"/>
    <n v="1.7097008285302209"/>
    <n v="22.694936708860759"/>
    <n v="5.3055534129377486"/>
    <n v="22.140506329113926"/>
    <n v="4.9144008395218908"/>
    <n v="10.069620253164556"/>
    <n v="2.1089377326145904"/>
    <n v="10.958227848101266"/>
    <n v="2.2883463843764797"/>
    <n v="0.43446236645517061"/>
    <n v="0.37837647591379209"/>
    <n v="0.44116036829688182"/>
    <n v="-0.41874248349965643"/>
    <n v="0.20881418179154704"/>
  </r>
  <r>
    <x v="13"/>
    <s v="PREP"/>
    <n v="24"/>
    <n v="26"/>
    <n v="13"/>
    <n v="10"/>
    <n v="73"/>
    <n v="1.8501559185854912"/>
    <n v="22.694936708860759"/>
    <n v="5.3055534129377486"/>
    <n v="22.140506329113926"/>
    <n v="4.9144008395218908"/>
    <n v="10.069620253164556"/>
    <n v="2.1089377326145904"/>
    <n v="10.958227848101266"/>
    <n v="2.2883463843764797"/>
    <n v="0.24598061494523943"/>
    <n v="0.78534368622270434"/>
    <n v="1.3895051055881373"/>
    <n v="-0.41874248349965643"/>
    <n v="0.50052173081410622"/>
  </r>
  <r>
    <x v="13"/>
    <s v="PREP"/>
    <n v="23"/>
    <n v="27"/>
    <n v="10"/>
    <n v="11"/>
    <n v="71"/>
    <n v="1.983909634004895"/>
    <n v="22.694936708860759"/>
    <n v="5.3055534129377486"/>
    <n v="22.140506329113926"/>
    <n v="4.9144008395218908"/>
    <n v="10.069620253164556"/>
    <n v="2.1089377326145904"/>
    <n v="10.958227848101266"/>
    <n v="2.2883463843764797"/>
    <n v="5.7498863435308259E-2"/>
    <n v="0.98882729137716041"/>
    <n v="-3.3012000348745997E-2"/>
    <n v="1.8254295846087756E-2"/>
    <n v="0.25789211257745265"/>
  </r>
  <r>
    <x v="13"/>
    <s v="PREP"/>
    <n v="23"/>
    <n v="23"/>
    <n v="11"/>
    <n v="10"/>
    <n v="67"/>
    <n v="1.6756169931378437"/>
    <n v="22.694936708860759"/>
    <n v="5.3055534129377486"/>
    <n v="22.140506329113926"/>
    <n v="4.9144008395218908"/>
    <n v="10.069620253164556"/>
    <n v="2.1089377326145904"/>
    <n v="10.958227848101266"/>
    <n v="2.2883463843764797"/>
    <n v="5.7498863435308259E-2"/>
    <n v="0.17489287075933599"/>
    <n v="0.44116036829688182"/>
    <n v="-0.41874248349965643"/>
    <n v="6.3702404747967414E-2"/>
  </r>
  <r>
    <x v="13"/>
    <s v="PREP"/>
    <n v="23"/>
    <n v="26"/>
    <n v="11"/>
    <n v="9"/>
    <n v="69"/>
    <n v="2.1363760352762253"/>
    <n v="22.694936708860759"/>
    <n v="5.3055534129377486"/>
    <n v="22.140506329113926"/>
    <n v="4.9144008395218908"/>
    <n v="10.069620253164556"/>
    <n v="2.1089377326145904"/>
    <n v="10.958227848101266"/>
    <n v="2.2883463843764797"/>
    <n v="5.7498863435308259E-2"/>
    <n v="0.78534368622270434"/>
    <n v="0.44116036829688182"/>
    <n v="-0.85573926284540058"/>
    <n v="0.10706591377737346"/>
  </r>
  <r>
    <x v="13"/>
    <s v="PREP"/>
    <n v="23"/>
    <n v="27"/>
    <n v="12"/>
    <n v="8"/>
    <n v="70"/>
    <n v="2.433737233777904"/>
    <n v="22.694936708860759"/>
    <n v="5.3055534129377486"/>
    <n v="22.140506329113926"/>
    <n v="4.9144008395218908"/>
    <n v="10.069620253164556"/>
    <n v="2.1089377326145904"/>
    <n v="10.958227848101266"/>
    <n v="2.2883463843764797"/>
    <n v="5.7498863435308259E-2"/>
    <n v="0.98882729137716041"/>
    <n v="0.91533273694250961"/>
    <n v="-1.2927360421911447"/>
    <n v="0.16723071239095838"/>
  </r>
  <r>
    <x v="13"/>
    <s v="PREP"/>
    <n v="31"/>
    <n v="25"/>
    <n v="12"/>
    <n v="12"/>
    <n v="80"/>
    <n v="2.3397348085539469"/>
    <n v="22.694936708860759"/>
    <n v="5.3055534129377486"/>
    <n v="22.140506329113926"/>
    <n v="4.9144008395218908"/>
    <n v="10.069620253164556"/>
    <n v="2.1089377326145904"/>
    <n v="10.958227848101266"/>
    <n v="2.2883463843764797"/>
    <n v="1.5653528755147577"/>
    <n v="0.58186008106824816"/>
    <n v="0.91533273694250961"/>
    <n v="0.45525107519183194"/>
    <n v="0.87944919217933681"/>
  </r>
  <r>
    <x v="13"/>
    <s v="PREP"/>
    <n v="25"/>
    <n v="23"/>
    <n v="10"/>
    <n v="9"/>
    <n v="67"/>
    <n v="2.034951016861497"/>
    <n v="22.694936708860759"/>
    <n v="5.3055534129377486"/>
    <n v="22.140506329113926"/>
    <n v="4.9144008395218908"/>
    <n v="10.069620253164556"/>
    <n v="2.1089377326145904"/>
    <n v="10.958227848101266"/>
    <n v="2.2883463843764797"/>
    <n v="0.43446236645517061"/>
    <n v="0.17489287075933599"/>
    <n v="-3.3012000348745997E-2"/>
    <n v="-0.85573926284540058"/>
    <n v="-6.9849006494909993E-2"/>
  </r>
  <r>
    <x v="13"/>
    <s v="PREP"/>
    <n v="26"/>
    <n v="24"/>
    <n v="11"/>
    <n v="11"/>
    <n v="72"/>
    <n v="1.8536173919925962"/>
    <n v="22.694936708860759"/>
    <n v="5.3055534129377486"/>
    <n v="22.140506329113926"/>
    <n v="4.9144008395218908"/>
    <n v="10.069620253164556"/>
    <n v="2.1089377326145904"/>
    <n v="10.958227848101266"/>
    <n v="2.2883463843764797"/>
    <n v="0.62294411796510174"/>
    <n v="0.37837647591379209"/>
    <n v="0.44116036829688182"/>
    <n v="1.8254295846087756E-2"/>
    <n v="0.36518381450546589"/>
  </r>
  <r>
    <x v="13"/>
    <s v="PREP"/>
    <n v="27"/>
    <n v="26"/>
    <n v="11"/>
    <n v="12"/>
    <n v="76"/>
    <n v="2.1543039806456381"/>
    <n v="22.694936708860759"/>
    <n v="5.3055534129377486"/>
    <n v="22.140506329113926"/>
    <n v="4.9144008395218908"/>
    <n v="10.069620253164556"/>
    <n v="2.1089377326145904"/>
    <n v="10.958227848101266"/>
    <n v="2.2883463843764797"/>
    <n v="0.81142586947503292"/>
    <n v="0.78534368622270434"/>
    <n v="0.44116036829688182"/>
    <n v="0.45525107519183194"/>
    <n v="0.62329524979661277"/>
  </r>
  <r>
    <x v="13"/>
    <s v="PREP"/>
    <n v="24"/>
    <n v="22"/>
    <n v="10"/>
    <n v="8"/>
    <n v="64"/>
    <n v="1.6563785025137652"/>
    <n v="22.694936708860759"/>
    <n v="5.3055534129377486"/>
    <n v="22.140506329113926"/>
    <n v="4.9144008395218908"/>
    <n v="10.069620253164556"/>
    <n v="2.1089377326145904"/>
    <n v="10.958227848101266"/>
    <n v="2.2883463843764797"/>
    <n v="0.24598061494523943"/>
    <n v="-2.8590734395120113E-2"/>
    <n v="-3.3012000348745997E-2"/>
    <n v="-1.2927360421911447"/>
    <n v="-0.27708954049744283"/>
  </r>
  <r>
    <x v="13"/>
    <s v="PREP"/>
    <n v="22"/>
    <n v="24"/>
    <n v="11"/>
    <n v="10"/>
    <n v="67"/>
    <n v="1.7246329970051526"/>
    <n v="22.694936708860759"/>
    <n v="5.3055534129377486"/>
    <n v="22.140506329113926"/>
    <n v="4.9144008395218908"/>
    <n v="10.069620253164556"/>
    <n v="2.1089377326145904"/>
    <n v="10.958227848101266"/>
    <n v="2.2883463843764797"/>
    <n v="-0.13098288807462291"/>
    <n v="0.37837647591379209"/>
    <n v="0.44116036829688182"/>
    <n v="-0.41874248349965643"/>
    <n v="6.7452868159098636E-2"/>
  </r>
  <r>
    <x v="13"/>
    <s v="PREP"/>
    <n v="27"/>
    <n v="26"/>
    <n v="13"/>
    <n v="9"/>
    <n v="75"/>
    <n v="2.0475125621855637"/>
    <n v="22.694936708860759"/>
    <n v="5.3055534129377486"/>
    <n v="22.140506329113926"/>
    <n v="4.9144008395218908"/>
    <n v="10.069620253164556"/>
    <n v="2.1089377326145904"/>
    <n v="10.958227848101266"/>
    <n v="2.2883463843764797"/>
    <n v="0.81142586947503292"/>
    <n v="0.78534368622270434"/>
    <n v="1.3895051055881373"/>
    <n v="-0.85573926284540058"/>
    <n v="0.53263384961011861"/>
  </r>
  <r>
    <x v="13"/>
    <s v="PREP"/>
    <n v="27"/>
    <n v="25"/>
    <n v="13"/>
    <n v="10"/>
    <n v="75"/>
    <n v="1.9644272343292228"/>
    <n v="22.694936708860759"/>
    <n v="5.3055534129377486"/>
    <n v="22.140506329113926"/>
    <n v="4.9144008395218908"/>
    <n v="10.069620253164556"/>
    <n v="2.1089377326145904"/>
    <n v="10.958227848101266"/>
    <n v="2.2883463843764797"/>
    <n v="0.81142586947503292"/>
    <n v="0.58186008106824816"/>
    <n v="1.3895051055881373"/>
    <n v="-0.41874248349965643"/>
    <n v="0.59101214315794048"/>
  </r>
  <r>
    <x v="13"/>
    <s v="PREP"/>
    <n v="21"/>
    <n v="20"/>
    <n v="10"/>
    <n v="7"/>
    <n v="58"/>
    <n v="1.5607361839521232"/>
    <n v="22.694936708860759"/>
    <n v="5.3055534129377486"/>
    <n v="22.140506329113926"/>
    <n v="4.9144008395218908"/>
    <n v="10.069620253164556"/>
    <n v="2.1089377326145904"/>
    <n v="10.958227848101266"/>
    <n v="2.2883463843764797"/>
    <n v="-0.31946463958455407"/>
    <n v="-0.43555794470403231"/>
    <n v="-3.3012000348745997E-2"/>
    <n v="-1.729732821536889"/>
    <n v="-0.62944185154355536"/>
  </r>
  <r>
    <x v="13"/>
    <s v="PREP"/>
    <n v="18"/>
    <n v="24"/>
    <n v="10"/>
    <n v="10"/>
    <n v="62"/>
    <n v="1.6408253082847337"/>
    <n v="22.694936708860759"/>
    <n v="5.3055534129377486"/>
    <n v="22.140506329113926"/>
    <n v="4.9144008395218908"/>
    <n v="10.069620253164556"/>
    <n v="2.1089377326145904"/>
    <n v="10.958227848101266"/>
    <n v="2.2883463843764797"/>
    <n v="-0.88490989411434762"/>
    <n v="0.37837647591379209"/>
    <n v="-3.3012000348745997E-2"/>
    <n v="-0.41874248349965643"/>
    <n v="-0.23957197551223947"/>
  </r>
  <r>
    <x v="13"/>
    <s v="PREP"/>
    <n v="25"/>
    <n v="27"/>
    <n v="13"/>
    <n v="14"/>
    <n v="79"/>
    <n v="1.497861723788195"/>
    <n v="22.694936708860759"/>
    <n v="5.3055534129377486"/>
    <n v="22.140506329113926"/>
    <n v="4.9144008395218908"/>
    <n v="10.069620253164556"/>
    <n v="2.1089377326145904"/>
    <n v="10.958227848101266"/>
    <n v="2.2883463843764797"/>
    <n v="0.43446236645517061"/>
    <n v="0.98882729137716041"/>
    <n v="1.3895051055881373"/>
    <n v="1.3292446338833204"/>
    <n v="1.0355098493259471"/>
  </r>
  <r>
    <x v="13"/>
    <s v="PREP"/>
    <n v="30"/>
    <n v="26"/>
    <n v="13"/>
    <n v="15"/>
    <n v="84"/>
    <n v="1.6641005886756872"/>
    <n v="22.694936708860759"/>
    <n v="5.3055534129377486"/>
    <n v="22.140506329113926"/>
    <n v="4.9144008395218908"/>
    <n v="10.069620253164556"/>
    <n v="2.1089377326145904"/>
    <n v="10.958227848101266"/>
    <n v="2.2883463843764797"/>
    <n v="1.3768711240048266"/>
    <n v="0.78534368622270434"/>
    <n v="1.3895051055881373"/>
    <n v="1.7662414132290645"/>
    <n v="1.3294903322611831"/>
  </r>
  <r>
    <x v="13"/>
    <s v="PREP"/>
    <n v="26"/>
    <n v="26"/>
    <n v="11"/>
    <n v="15"/>
    <n v="78"/>
    <n v="1.35400640077266"/>
    <n v="22.694936708860759"/>
    <n v="5.3055534129377486"/>
    <n v="22.140506329113926"/>
    <n v="4.9144008395218908"/>
    <n v="10.069620253164556"/>
    <n v="2.1089377326145904"/>
    <n v="10.958227848101266"/>
    <n v="2.2883463843764797"/>
    <n v="0.62294411796510174"/>
    <n v="0.78534368622270434"/>
    <n v="0.44116036829688182"/>
    <n v="1.7662414132290645"/>
    <n v="0.90392239642843819"/>
  </r>
  <r>
    <x v="13"/>
    <s v="PREP"/>
    <n v="29"/>
    <n v="26"/>
    <n v="11"/>
    <n v="14"/>
    <n v="80"/>
    <n v="1.8187062180825984"/>
    <n v="22.694936708860759"/>
    <n v="5.3055534129377486"/>
    <n v="22.140506329113926"/>
    <n v="4.9144008395218908"/>
    <n v="10.069620253164556"/>
    <n v="2.1089377326145904"/>
    <n v="10.958227848101266"/>
    <n v="2.2883463843764797"/>
    <n v="1.1883893724948953"/>
    <n v="0.78534368622270434"/>
    <n v="0.44116036829688182"/>
    <n v="1.3292446338833204"/>
    <n v="0.93603451522445047"/>
  </r>
  <r>
    <x v="13"/>
    <s v="PREP"/>
    <n v="22"/>
    <n v="30"/>
    <n v="12"/>
    <n v="15"/>
    <n v="79"/>
    <n v="1.8912755158683456"/>
    <n v="22.694936708860759"/>
    <n v="5.3055534129377486"/>
    <n v="22.140506329113926"/>
    <n v="4.9144008395218908"/>
    <n v="10.069620253164556"/>
    <n v="2.1089377326145904"/>
    <n v="10.958227848101266"/>
    <n v="2.2883463843764797"/>
    <n v="-0.13098288807462291"/>
    <n v="1.5992781068405286"/>
    <n v="0.91533273694250961"/>
    <n v="1.7662414132290645"/>
    <n v="1.0374673422343699"/>
  </r>
  <r>
    <x v="13"/>
    <s v="PREP"/>
    <n v="32"/>
    <n v="31"/>
    <n v="13"/>
    <n v="14"/>
    <n v="90"/>
    <n v="2.0599975105785306"/>
    <n v="22.694936708860759"/>
    <n v="5.3055534129377486"/>
    <n v="22.140506329113926"/>
    <n v="4.9144008395218908"/>
    <n v="10.069620253164556"/>
    <n v="2.1089377326145904"/>
    <n v="10.958227848101266"/>
    <n v="2.2883463843764797"/>
    <n v="1.7538346270246887"/>
    <n v="1.8027617119949848"/>
    <n v="1.3895051055881373"/>
    <n v="1.3292446338833204"/>
    <n v="1.5688365196227827"/>
  </r>
  <r>
    <x v="13"/>
    <s v="PREP"/>
    <n v="32"/>
    <n v="30"/>
    <n v="13"/>
    <n v="14"/>
    <n v="89"/>
    <n v="1.9935794376846323"/>
    <n v="22.694936708860759"/>
    <n v="5.3055534129377486"/>
    <n v="22.140506329113926"/>
    <n v="4.9144008395218908"/>
    <n v="10.069620253164556"/>
    <n v="2.1089377326145904"/>
    <n v="10.958227848101266"/>
    <n v="2.2883463843764797"/>
    <n v="1.7538346270246887"/>
    <n v="1.5992781068405286"/>
    <n v="1.3895051055881373"/>
    <n v="1.3292446338833204"/>
    <n v="1.5179656183341688"/>
  </r>
  <r>
    <x v="14"/>
    <s v="PREP"/>
    <n v="23"/>
    <n v="21"/>
    <n v="10"/>
    <n v="9"/>
    <n v="63"/>
    <n v="1.5191090506254996"/>
    <n v="22.694936708860759"/>
    <n v="5.3055534129377486"/>
    <n v="22.140506329113926"/>
    <n v="4.9144008395218908"/>
    <n v="10.069620253164556"/>
    <n v="2.1089377326145904"/>
    <n v="10.958227848101266"/>
    <n v="2.2883463843764797"/>
    <n v="5.7498863435308259E-2"/>
    <n v="-0.23207433954957621"/>
    <n v="-3.3012000348745997E-2"/>
    <n v="-0.85573926284540058"/>
    <n v="-0.26583168482710362"/>
  </r>
  <r>
    <x v="14"/>
    <s v="PREP"/>
    <n v="20"/>
    <n v="26"/>
    <n v="12"/>
    <n v="10"/>
    <n v="68"/>
    <n v="1.8776690404970273"/>
    <n v="22.694936708860759"/>
    <n v="5.3055534129377486"/>
    <n v="22.140506329113926"/>
    <n v="4.9144008395218908"/>
    <n v="10.069620253164556"/>
    <n v="2.1089377326145904"/>
    <n v="10.958227848101266"/>
    <n v="2.2883463843764797"/>
    <n v="-0.50794639109448525"/>
    <n v="0.78534368622270434"/>
    <n v="0.91533273694250961"/>
    <n v="-0.41874248349965643"/>
    <n v="0.19349688714276808"/>
  </r>
  <r>
    <x v="14"/>
    <s v="PREP"/>
    <n v="19"/>
    <n v="24"/>
    <n v="9"/>
    <n v="8"/>
    <n v="60"/>
    <n v="1.894661866862684"/>
    <n v="22.694936708860759"/>
    <n v="5.3055534129377486"/>
    <n v="22.140506329113926"/>
    <n v="4.9144008395218908"/>
    <n v="10.069620253164556"/>
    <n v="2.1089377326145904"/>
    <n v="10.958227848101266"/>
    <n v="2.2883463843764797"/>
    <n v="-0.69642814260441643"/>
    <n v="0.37837647591379209"/>
    <n v="-0.5071843689943738"/>
    <n v="-1.2927360421911447"/>
    <n v="-0.52949301946903571"/>
  </r>
  <r>
    <x v="14"/>
    <s v="PREP"/>
    <n v="22"/>
    <n v="24"/>
    <n v="11"/>
    <n v="9"/>
    <n v="66"/>
    <n v="1.7541160386140584"/>
    <n v="22.694936708860759"/>
    <n v="5.3055534129377486"/>
    <n v="22.140506329113926"/>
    <n v="4.9144008395218908"/>
    <n v="10.069620253164556"/>
    <n v="2.1089377326145904"/>
    <n v="10.958227848101266"/>
    <n v="2.2883463843764797"/>
    <n v="-0.13098288807462291"/>
    <n v="0.37837647591379209"/>
    <n v="0.44116036829688182"/>
    <n v="-0.85573926284540058"/>
    <n v="-4.1796326677337403E-2"/>
  </r>
  <r>
    <x v="14"/>
    <s v="PREP"/>
    <n v="23"/>
    <n v="26"/>
    <n v="12"/>
    <n v="7"/>
    <n v="68"/>
    <n v="2.1661735138967262"/>
    <n v="22.694936708860759"/>
    <n v="5.3055534129377486"/>
    <n v="22.140506329113926"/>
    <n v="4.9144008395218908"/>
    <n v="10.069620253164556"/>
    <n v="2.1089377326145904"/>
    <n v="10.958227848101266"/>
    <n v="2.2883463843764797"/>
    <n v="5.7498863435308259E-2"/>
    <n v="0.78534368622270434"/>
    <n v="0.91533273694250961"/>
    <n v="-1.729732821536889"/>
    <n v="7.1106162659083094E-3"/>
  </r>
  <r>
    <x v="14"/>
    <s v="PREP"/>
    <n v="28"/>
    <n v="28"/>
    <n v="12"/>
    <n v="9"/>
    <n v="77"/>
    <n v="2.361550989693654"/>
    <n v="22.694936708860759"/>
    <n v="5.3055534129377486"/>
    <n v="22.140506329113926"/>
    <n v="4.9144008395218908"/>
    <n v="10.069620253164556"/>
    <n v="2.1089377326145904"/>
    <n v="10.958227848101266"/>
    <n v="2.2883463843764797"/>
    <n v="0.99990762098496411"/>
    <n v="1.1923108965316165"/>
    <n v="0.91533273694250961"/>
    <n v="-0.85573926284540058"/>
    <n v="0.56295299790342246"/>
  </r>
  <r>
    <x v="14"/>
    <s v="PREP"/>
    <n v="25"/>
    <n v="27"/>
    <n v="12"/>
    <n v="7"/>
    <n v="71"/>
    <n v="2.3315011121372931"/>
    <n v="22.694936708860759"/>
    <n v="5.3055534129377486"/>
    <n v="22.140506329113926"/>
    <n v="4.9144008395218908"/>
    <n v="10.069620253164556"/>
    <n v="2.1089377326145904"/>
    <n v="10.958227848101266"/>
    <n v="2.2883463843764797"/>
    <n v="0.43446236645517061"/>
    <n v="0.98882729137716041"/>
    <n v="0.91533273694250961"/>
    <n v="-1.729732821536889"/>
    <n v="0.15222239330948795"/>
  </r>
  <r>
    <x v="14"/>
    <s v="PREP"/>
    <n v="23"/>
    <n v="20"/>
    <n v="8"/>
    <n v="7"/>
    <n v="58"/>
    <n v="1.9839096340048947"/>
    <n v="22.694936708860759"/>
    <n v="5.3055534129377486"/>
    <n v="22.140506329113926"/>
    <n v="4.9144008395218908"/>
    <n v="10.069620253164556"/>
    <n v="2.1089377326145904"/>
    <n v="10.958227848101266"/>
    <n v="2.2883463843764797"/>
    <n v="5.7498863435308259E-2"/>
    <n v="-0.43555794470403231"/>
    <n v="-0.98135673764000164"/>
    <n v="-1.729732821536889"/>
    <n v="-0.77228716011140364"/>
  </r>
  <r>
    <x v="14"/>
    <s v="PREP"/>
    <n v="14"/>
    <n v="12"/>
    <n v="7"/>
    <n v="11"/>
    <n v="44"/>
    <n v="0.86971849262290402"/>
    <n v="22.694936708860759"/>
    <n v="5.3055534129377486"/>
    <n v="22.140506329113926"/>
    <n v="4.9144008395218908"/>
    <n v="10.069620253164556"/>
    <n v="2.1089377326145904"/>
    <n v="10.958227848101266"/>
    <n v="2.2883463843764797"/>
    <n v="-1.6388369001540724"/>
    <n v="-2.0634267859396811"/>
    <n v="-1.4555291062856295"/>
    <n v="1.8254295846087756E-2"/>
    <n v="-1.2848846241333238"/>
  </r>
  <r>
    <x v="14"/>
    <s v="PREP"/>
    <n v="11"/>
    <n v="15"/>
    <n v="9"/>
    <n v="11"/>
    <n v="46"/>
    <n v="0.77625002580618474"/>
    <n v="22.694936708860759"/>
    <n v="5.3055534129377486"/>
    <n v="22.140506329113926"/>
    <n v="4.9144008395218908"/>
    <n v="10.069620253164556"/>
    <n v="2.1089377326145904"/>
    <n v="10.958227848101266"/>
    <n v="2.2883463843764797"/>
    <n v="-2.2042821546838658"/>
    <n v="-1.4529759704763128"/>
    <n v="-0.5071843689943738"/>
    <n v="1.8254295846087756E-2"/>
    <n v="-1.0365470495771163"/>
  </r>
  <r>
    <x v="14"/>
    <s v="PREP"/>
    <n v="19"/>
    <n v="21"/>
    <n v="11"/>
    <n v="12"/>
    <n v="63"/>
    <n v="0.98709623358564902"/>
    <n v="22.694936708860759"/>
    <n v="5.3055534129377486"/>
    <n v="22.140506329113926"/>
    <n v="4.9144008395218908"/>
    <n v="10.069620253164556"/>
    <n v="2.1089377326145904"/>
    <n v="10.958227848101266"/>
    <n v="2.2883463843764797"/>
    <n v="-0.69642814260441643"/>
    <n v="-0.23207433954957621"/>
    <n v="0.44116036829688182"/>
    <n v="0.45525107519183194"/>
    <n v="-8.0227596663197259E-3"/>
  </r>
  <r>
    <x v="14"/>
    <s v="PREP"/>
    <n v="15"/>
    <n v="26"/>
    <n v="11"/>
    <n v="9"/>
    <n v="61"/>
    <n v="2.0568833780186053"/>
    <n v="22.694936708860759"/>
    <n v="5.3055534129377486"/>
    <n v="22.140506329113926"/>
    <n v="4.9144008395218908"/>
    <n v="10.069620253164556"/>
    <n v="2.1089377326145904"/>
    <n v="10.958227848101266"/>
    <n v="2.2883463843764797"/>
    <n v="-1.4503551486441411"/>
    <n v="0.78534368622270434"/>
    <n v="0.44116036829688182"/>
    <n v="-0.85573926284540058"/>
    <n v="-0.26989758924248886"/>
  </r>
  <r>
    <x v="14"/>
    <s v="PREP"/>
    <n v="18"/>
    <n v="26"/>
    <n v="11"/>
    <n v="11"/>
    <n v="66"/>
    <n v="1.497861723788195"/>
    <n v="22.694936708860759"/>
    <n v="5.3055534129377486"/>
    <n v="22.140506329113926"/>
    <n v="4.9144008395218908"/>
    <n v="10.069620253164556"/>
    <n v="2.1089377326145904"/>
    <n v="10.958227848101266"/>
    <n v="2.2883463843764797"/>
    <n v="-0.88490989411434762"/>
    <n v="0.78534368622270434"/>
    <n v="0.44116036829688182"/>
    <n v="1.8254295846087756E-2"/>
    <n v="8.9962114062831569E-2"/>
  </r>
  <r>
    <x v="14"/>
    <s v="PREP"/>
    <n v="18"/>
    <n v="21"/>
    <n v="10"/>
    <n v="10"/>
    <n v="59"/>
    <n v="1.3913653136029502"/>
    <n v="22.694936708860759"/>
    <n v="5.3055534129377486"/>
    <n v="22.140506329113926"/>
    <n v="4.9144008395218908"/>
    <n v="10.069620253164556"/>
    <n v="2.1089377326145904"/>
    <n v="10.958227848101266"/>
    <n v="2.2883463843764797"/>
    <n v="-0.88490989411434762"/>
    <n v="-0.23207433954957621"/>
    <n v="-3.3012000348745997E-2"/>
    <n v="-0.41874248349965643"/>
    <n v="-0.39218467937808155"/>
  </r>
  <r>
    <x v="14"/>
    <s v="PREP"/>
    <n v="22"/>
    <n v="22"/>
    <n v="10"/>
    <n v="12"/>
    <n v="66"/>
    <n v="1.4411533842457842"/>
    <n v="22.694936708860759"/>
    <n v="5.3055534129377486"/>
    <n v="22.140506329113926"/>
    <n v="4.9144008395218908"/>
    <n v="10.069620253164556"/>
    <n v="2.1089377326145904"/>
    <n v="10.958227848101266"/>
    <n v="2.2883463843764797"/>
    <n v="-0.13098288807462291"/>
    <n v="-2.8590734395120113E-2"/>
    <n v="-3.3012000348745997E-2"/>
    <n v="0.45525107519183194"/>
    <n v="6.5666363093335733E-2"/>
  </r>
  <r>
    <x v="14"/>
    <s v="PREP"/>
    <n v="24"/>
    <n v="20"/>
    <n v="9"/>
    <n v="11"/>
    <n v="64"/>
    <n v="1.5525000516123695"/>
    <n v="22.694936708860759"/>
    <n v="5.3055534129377486"/>
    <n v="22.140506329113926"/>
    <n v="4.9144008395218908"/>
    <n v="10.069620253164556"/>
    <n v="2.1089377326145904"/>
    <n v="10.958227848101266"/>
    <n v="2.2883463843764797"/>
    <n v="0.24598061494523943"/>
    <n v="-0.43555794470403231"/>
    <n v="-0.5071843689943738"/>
    <n v="1.8254295846087756E-2"/>
    <n v="-0.16962685072676972"/>
  </r>
  <r>
    <x v="14"/>
    <s v="PREP"/>
    <n v="25"/>
    <n v="23"/>
    <n v="9"/>
    <n v="10"/>
    <n v="67"/>
    <n v="1.9081471748860572"/>
    <n v="22.694936708860759"/>
    <n v="5.3055534129377486"/>
    <n v="22.140506329113926"/>
    <n v="4.9144008395218908"/>
    <n v="10.069620253164556"/>
    <n v="2.1089377326145904"/>
    <n v="10.958227848101266"/>
    <n v="2.2883463843764797"/>
    <n v="0.43446236645517061"/>
    <n v="0.17489287075933599"/>
    <n v="-0.5071843689943738"/>
    <n v="-0.41874248349965643"/>
    <n v="-7.9142903819880914E-2"/>
  </r>
  <r>
    <x v="14"/>
    <s v="PREP"/>
    <n v="22"/>
    <n v="20"/>
    <n v="9"/>
    <n v="10"/>
    <n v="61"/>
    <n v="1.4366984945013912"/>
    <n v="22.694936708860759"/>
    <n v="5.3055534129377486"/>
    <n v="22.140506329113926"/>
    <n v="4.9144008395218908"/>
    <n v="10.069620253164556"/>
    <n v="2.1089377326145904"/>
    <n v="10.958227848101266"/>
    <n v="2.2883463843764797"/>
    <n v="-0.13098288807462291"/>
    <n v="-0.43555794470403231"/>
    <n v="-0.5071843689943738"/>
    <n v="-0.41874248349965643"/>
    <n v="-0.37311692131817137"/>
  </r>
  <r>
    <x v="14"/>
    <s v="PREP"/>
    <n v="20"/>
    <n v="18"/>
    <n v="8"/>
    <n v="11"/>
    <n v="57"/>
    <n v="0.96076892283052262"/>
    <n v="22.694936708860759"/>
    <n v="5.3055534129377486"/>
    <n v="22.140506329113926"/>
    <n v="4.9144008395218908"/>
    <n v="10.069620253164556"/>
    <n v="2.1089377326145904"/>
    <n v="10.958227848101266"/>
    <n v="2.2883463843764797"/>
    <n v="-0.50794639109448525"/>
    <n v="-0.84252515501294456"/>
    <n v="-0.98135673764000164"/>
    <n v="1.8254295846087756E-2"/>
    <n v="-0.57839349697533593"/>
  </r>
  <r>
    <x v="14"/>
    <s v="PREP"/>
    <n v="20"/>
    <n v="24"/>
    <n v="11"/>
    <n v="12"/>
    <n v="67"/>
    <n v="1.5191090506255001"/>
    <n v="22.694936708860759"/>
    <n v="5.3055534129377486"/>
    <n v="22.140506329113926"/>
    <n v="4.9144008395218908"/>
    <n v="10.069620253164556"/>
    <n v="2.1089377326145904"/>
    <n v="10.958227848101266"/>
    <n v="2.2883463843764797"/>
    <n v="-0.50794639109448525"/>
    <n v="0.37837647591379209"/>
    <n v="0.44116036829688182"/>
    <n v="0.45525107519183194"/>
    <n v="0.19171038207700514"/>
  </r>
  <r>
    <x v="14"/>
    <s v="PREP"/>
    <n v="25"/>
    <n v="25"/>
    <n v="11"/>
    <n v="12"/>
    <n v="73"/>
    <n v="1.7577666482623882"/>
    <n v="22.694936708860759"/>
    <n v="5.3055534129377486"/>
    <n v="22.140506329113926"/>
    <n v="4.9144008395218908"/>
    <n v="10.069620253164556"/>
    <n v="2.1089377326145904"/>
    <n v="10.958227848101266"/>
    <n v="2.2883463843764797"/>
    <n v="0.43446236645517061"/>
    <n v="0.58186008106824816"/>
    <n v="0.44116036829688182"/>
    <n v="0.45525107519183194"/>
    <n v="0.47818347275303313"/>
  </r>
  <r>
    <x v="15"/>
    <s v="PREP"/>
    <n v="22"/>
    <n v="24"/>
    <n v="11"/>
    <n v="10"/>
    <n v="67"/>
    <n v="1.5730095277394143"/>
    <n v="22.694936708860759"/>
    <n v="5.3055534129377486"/>
    <n v="22.140506329113926"/>
    <n v="4.9144008395218908"/>
    <n v="10.069620253164556"/>
    <n v="2.1089377326145904"/>
    <n v="10.958227848101266"/>
    <n v="2.2883463843764797"/>
    <n v="-0.13098288807462291"/>
    <n v="0.37837647591379209"/>
    <n v="0.44116036829688182"/>
    <n v="-0.41874248349965643"/>
    <n v="6.7452868159098636E-2"/>
  </r>
  <r>
    <x v="15"/>
    <s v="PREP"/>
    <n v="25"/>
    <n v="25"/>
    <n v="13"/>
    <n v="14"/>
    <n v="77"/>
    <n v="1.4411533842457842"/>
    <n v="22.694936708860759"/>
    <n v="5.3055534129377486"/>
    <n v="22.140506329113926"/>
    <n v="4.9144008395218908"/>
    <n v="10.069620253164556"/>
    <n v="2.1089377326145904"/>
    <n v="10.958227848101266"/>
    <n v="2.2883463843764797"/>
    <n v="0.43446236645517061"/>
    <n v="0.58186008106824816"/>
    <n v="1.3895051055881373"/>
    <n v="1.3292446338833204"/>
    <n v="0.93376804674871905"/>
  </r>
  <r>
    <x v="15"/>
    <s v="PREP"/>
    <n v="29"/>
    <n v="30"/>
    <n v="13"/>
    <n v="14"/>
    <n v="86"/>
    <n v="1.9381460874790259"/>
    <n v="22.694936708860759"/>
    <n v="5.3055534129377486"/>
    <n v="22.140506329113926"/>
    <n v="4.9144008395218908"/>
    <n v="10.069620253164556"/>
    <n v="2.1089377326145904"/>
    <n v="10.958227848101266"/>
    <n v="2.2883463843764797"/>
    <n v="1.1883893724948953"/>
    <n v="1.5992781068405286"/>
    <n v="1.3895051055881373"/>
    <n v="1.3292446338833204"/>
    <n v="1.3766043047017202"/>
  </r>
  <r>
    <x v="15"/>
    <s v="PREP"/>
    <n v="32"/>
    <n v="31"/>
    <n v="12"/>
    <n v="9"/>
    <n v="84"/>
    <n v="3.0445411426405071"/>
    <n v="22.694936708860759"/>
    <n v="5.3055534129377486"/>
    <n v="22.140506329113926"/>
    <n v="4.9144008395218908"/>
    <n v="10.069620253164556"/>
    <n v="2.1089377326145904"/>
    <n v="10.958227848101266"/>
    <n v="2.2883463843764797"/>
    <n v="1.7538346270246887"/>
    <n v="1.8027617119949848"/>
    <n v="0.91533273694250961"/>
    <n v="-0.85573926284540058"/>
    <n v="0.90404745327919578"/>
  </r>
  <r>
    <x v="15"/>
    <s v="PREP"/>
    <n v="30"/>
    <n v="29"/>
    <n v="14"/>
    <n v="13"/>
    <n v="86"/>
    <n v="2.1809195896250402"/>
    <n v="22.694936708860759"/>
    <n v="5.3055534129377486"/>
    <n v="22.140506329113926"/>
    <n v="4.9144008395218908"/>
    <n v="10.069620253164556"/>
    <n v="2.1089377326145904"/>
    <n v="10.958227848101266"/>
    <n v="2.2883463843764797"/>
    <n v="1.3768711240048266"/>
    <n v="1.3957945016860727"/>
    <n v="1.8636774742337652"/>
    <n v="0.89224785453757616"/>
    <n v="1.3821477386155601"/>
  </r>
  <r>
    <x v="15"/>
    <s v="PREP"/>
    <n v="20"/>
    <n v="21"/>
    <n v="6"/>
    <n v="11"/>
    <n v="58"/>
    <n v="1.5063966175050876"/>
    <n v="22.694936708860759"/>
    <n v="5.3055534129377486"/>
    <n v="22.140506329113926"/>
    <n v="4.9144008395218908"/>
    <n v="10.069620253164556"/>
    <n v="2.1089377326145904"/>
    <n v="10.958227848101266"/>
    <n v="2.2883463843764797"/>
    <n v="-0.50794639109448525"/>
    <n v="-0.23207433954957621"/>
    <n v="-1.9297014749312573"/>
    <n v="1.8254295846087756E-2"/>
    <n v="-0.66286697743230771"/>
  </r>
  <r>
    <x v="15"/>
    <s v="PREP"/>
    <n v="32"/>
    <n v="31"/>
    <n v="15"/>
    <n v="9"/>
    <n v="87"/>
    <n v="2.8397363546819911"/>
    <n v="22.694936708860759"/>
    <n v="5.3055534129377486"/>
    <n v="22.140506329113926"/>
    <n v="4.9144008395218908"/>
    <n v="10.069620253164556"/>
    <n v="2.1089377326145904"/>
    <n v="10.958227848101266"/>
    <n v="2.2883463843764797"/>
    <n v="1.7538346270246887"/>
    <n v="1.8027617119949848"/>
    <n v="2.3378498428793932"/>
    <n v="-0.85573926284540058"/>
    <n v="1.2596767297634166"/>
  </r>
  <r>
    <x v="15"/>
    <s v="PREP"/>
    <n v="33"/>
    <n v="32"/>
    <n v="13"/>
    <n v="10"/>
    <n v="88"/>
    <n v="2.7735009811261451"/>
    <n v="22.694936708860759"/>
    <n v="5.3055534129377486"/>
    <n v="22.140506329113926"/>
    <n v="4.9144008395218908"/>
    <n v="10.069620253164556"/>
    <n v="2.1089377326145904"/>
    <n v="10.958227848101266"/>
    <n v="2.2883463843764797"/>
    <n v="1.94231637853462"/>
    <n v="2.0062453171494408"/>
    <n v="1.3895051055881373"/>
    <n v="-0.41874248349965643"/>
    <n v="1.2298310794431355"/>
  </r>
  <r>
    <x v="15"/>
    <s v="PREP"/>
    <n v="27"/>
    <n v="22"/>
    <n v="12"/>
    <n v="10"/>
    <n v="71"/>
    <n v="2.0662116951635836"/>
    <n v="22.694936708860759"/>
    <n v="5.3055534129377486"/>
    <n v="22.140506329113926"/>
    <n v="4.9144008395218908"/>
    <n v="10.069620253164556"/>
    <n v="2.1089377326145904"/>
    <n v="10.958227848101266"/>
    <n v="2.2883463843764797"/>
    <n v="0.81142586947503292"/>
    <n v="-2.8590734395120113E-2"/>
    <n v="0.91533273694250961"/>
    <n v="-0.41874248349965643"/>
    <n v="0.3198563471306915"/>
  </r>
  <r>
    <x v="15"/>
    <s v="PREP"/>
    <n v="23"/>
    <n v="26"/>
    <n v="12"/>
    <n v="9"/>
    <n v="70"/>
    <n v="2.1031112483834331"/>
    <n v="22.694936708860759"/>
    <n v="5.3055534129377486"/>
    <n v="22.140506329113926"/>
    <n v="4.9144008395218908"/>
    <n v="10.069620253164556"/>
    <n v="2.1089377326145904"/>
    <n v="10.958227848101266"/>
    <n v="2.2883463843764797"/>
    <n v="5.7498863435308259E-2"/>
    <n v="0.78534368622270434"/>
    <n v="0.91533273694250961"/>
    <n v="-0.85573926284540058"/>
    <n v="0.22560900593878042"/>
  </r>
  <r>
    <x v="15"/>
    <s v="PREP"/>
    <n v="28"/>
    <n v="29"/>
    <n v="14"/>
    <n v="11"/>
    <n v="82"/>
    <n v="2.3232382351872349"/>
    <n v="22.694936708860759"/>
    <n v="5.3055534129377486"/>
    <n v="22.140506329113926"/>
    <n v="4.9144008395218908"/>
    <n v="10.069620253164556"/>
    <n v="2.1089377326145904"/>
    <n v="10.958227848101266"/>
    <n v="2.2883463843764797"/>
    <n v="0.99990762098496411"/>
    <n v="1.3957945016860727"/>
    <n v="1.8636774742337652"/>
    <n v="1.8254295846087756E-2"/>
    <n v="1.0694084731877225"/>
  </r>
  <r>
    <x v="15"/>
    <s v="PREP"/>
    <n v="30"/>
    <n v="29"/>
    <n v="12"/>
    <n v="12"/>
    <n v="83"/>
    <n v="2.3287500774185546"/>
    <n v="22.694936708860759"/>
    <n v="5.3055534129377486"/>
    <n v="22.140506329113926"/>
    <n v="4.9144008395218908"/>
    <n v="10.069620253164556"/>
    <n v="2.1089377326145904"/>
    <n v="10.958227848101266"/>
    <n v="2.2883463843764797"/>
    <n v="1.3768711240048266"/>
    <n v="1.3957945016860727"/>
    <n v="0.91533273694250961"/>
    <n v="0.45525107519183194"/>
    <n v="1.03581235945631"/>
  </r>
  <r>
    <x v="15"/>
    <s v="PREP"/>
    <n v="26"/>
    <n v="27"/>
    <n v="11"/>
    <n v="9"/>
    <n v="73"/>
    <n v="2.1031112483834331"/>
    <n v="22.694936708860759"/>
    <n v="5.3055534129377486"/>
    <n v="22.140506329113926"/>
    <n v="4.9144008395218908"/>
    <n v="10.069620253164556"/>
    <n v="2.1089377326145904"/>
    <n v="10.958227848101266"/>
    <n v="2.2883463843764797"/>
    <n v="0.62294411796510174"/>
    <n v="0.98882729137716041"/>
    <n v="0.44116036829688182"/>
    <n v="-0.85573926284540058"/>
    <n v="0.29929812869843581"/>
  </r>
  <r>
    <x v="15"/>
    <s v="PREP"/>
    <n v="30"/>
    <n v="30"/>
    <n v="12"/>
    <n v="12"/>
    <n v="84"/>
    <n v="2.4019223070763074"/>
    <n v="22.694936708860759"/>
    <n v="5.3055534129377486"/>
    <n v="22.140506329113926"/>
    <n v="4.9144008395218908"/>
    <n v="10.069620253164556"/>
    <n v="2.1089377326145904"/>
    <n v="10.958227848101266"/>
    <n v="2.2883463843764797"/>
    <n v="1.3768711240048266"/>
    <n v="1.5992781068405286"/>
    <n v="0.91533273694250961"/>
    <n v="0.45525107519183194"/>
    <n v="1.0866832607449242"/>
  </r>
  <r>
    <x v="15"/>
    <s v="PREP"/>
    <n v="31"/>
    <n v="31"/>
    <n v="13"/>
    <n v="12"/>
    <n v="87"/>
    <n v="2.5943726083138539"/>
    <n v="22.694936708860759"/>
    <n v="5.3055534129377486"/>
    <n v="22.140506329113926"/>
    <n v="4.9144008395218908"/>
    <n v="10.069620253164556"/>
    <n v="2.1089377326145904"/>
    <n v="10.958227848101266"/>
    <n v="2.2883463843764797"/>
    <n v="1.5653528755147577"/>
    <n v="1.8027617119949848"/>
    <n v="1.3895051055881373"/>
    <n v="0.45525107519183194"/>
    <n v="1.3032176920724279"/>
  </r>
  <r>
    <x v="15"/>
    <s v="PREP"/>
    <n v="30"/>
    <n v="29"/>
    <n v="13"/>
    <n v="10"/>
    <n v="82"/>
    <n v="2.5943726083138543"/>
    <n v="22.694936708860759"/>
    <n v="5.3055534129377486"/>
    <n v="22.140506329113926"/>
    <n v="4.9144008395218908"/>
    <n v="10.069620253164556"/>
    <n v="2.1089377326145904"/>
    <n v="10.958227848101266"/>
    <n v="2.2883463843764797"/>
    <n v="1.3768711240048266"/>
    <n v="1.3957945016860727"/>
    <n v="1.3895051055881373"/>
    <n v="-0.41874248349965643"/>
    <n v="0.93585706194484497"/>
  </r>
  <r>
    <x v="15"/>
    <s v="PREP"/>
    <n v="26"/>
    <n v="28"/>
    <n v="13"/>
    <n v="12"/>
    <n v="79"/>
    <n v="1.9774368283857795"/>
    <n v="22.694936708860759"/>
    <n v="5.3055534129377486"/>
    <n v="22.140506329113926"/>
    <n v="4.9144008395218908"/>
    <n v="10.069620253164556"/>
    <n v="2.1089377326145904"/>
    <n v="10.958227848101266"/>
    <n v="2.2883463843764797"/>
    <n v="0.62294411796510174"/>
    <n v="1.1923108965316165"/>
    <n v="1.3895051055881373"/>
    <n v="0.45525107519183194"/>
    <n v="0.91500279881917179"/>
  </r>
  <r>
    <x v="15"/>
    <s v="PREP"/>
    <n v="21"/>
    <n v="23"/>
    <n v="11"/>
    <n v="10"/>
    <n v="65"/>
    <n v="1.683250823060346"/>
    <n v="22.694936708860759"/>
    <n v="5.3055534129377486"/>
    <n v="22.140506329113926"/>
    <n v="4.9144008395218908"/>
    <n v="10.069620253164556"/>
    <n v="2.1089377326145904"/>
    <n v="10.958227848101266"/>
    <n v="2.2883463843764797"/>
    <n v="-0.31946463958455407"/>
    <n v="0.17489287075933599"/>
    <n v="0.44116036829688182"/>
    <n v="-0.41874248349965643"/>
    <n v="-3.0538471006998177E-2"/>
  </r>
  <r>
    <x v="15"/>
    <s v="PREP"/>
    <n v="29"/>
    <n v="31"/>
    <n v="14"/>
    <n v="12"/>
    <n v="86"/>
    <n v="2.1809195896250406"/>
    <n v="22.694936708860759"/>
    <n v="5.3055534129377486"/>
    <n v="22.140506329113926"/>
    <n v="4.9144008395218908"/>
    <n v="10.069620253164556"/>
    <n v="2.1089377326145904"/>
    <n v="10.958227848101266"/>
    <n v="2.2883463843764797"/>
    <n v="1.1883893724948953"/>
    <n v="1.8027617119949848"/>
    <n v="1.8636774742337652"/>
    <n v="0.45525107519183194"/>
    <n v="1.3275199084788694"/>
  </r>
  <r>
    <x v="15"/>
    <s v="PREP"/>
    <n v="25"/>
    <n v="24"/>
    <n v="11"/>
    <n v="10"/>
    <n v="70"/>
    <n v="1.7577666482623882"/>
    <n v="22.694936708860759"/>
    <n v="5.3055534129377486"/>
    <n v="22.140506329113926"/>
    <n v="4.9144008395218908"/>
    <n v="10.069620253164556"/>
    <n v="2.1089377326145904"/>
    <n v="10.958227848101266"/>
    <n v="2.2883463843764797"/>
    <n v="0.43446236645517061"/>
    <n v="0.37837647591379209"/>
    <n v="0.44116036829688182"/>
    <n v="-0.41874248349965643"/>
    <n v="0.20881418179154704"/>
  </r>
  <r>
    <x v="15"/>
    <s v="PREP"/>
    <n v="24"/>
    <n v="27"/>
    <n v="12"/>
    <n v="13"/>
    <n v="76"/>
    <n v="1.7246329970051524"/>
    <n v="22.694936708860759"/>
    <n v="5.3055534129377486"/>
    <n v="22.140506329113926"/>
    <n v="4.9144008395218908"/>
    <n v="10.069620253164556"/>
    <n v="2.1089377326145904"/>
    <n v="10.958227848101266"/>
    <n v="2.2883463843764797"/>
    <n v="0.24598061494523943"/>
    <n v="0.98882729137716041"/>
    <n v="0.91533273694250961"/>
    <n v="0.89224785453757616"/>
    <n v="0.76059712445062133"/>
  </r>
  <r>
    <x v="15"/>
    <s v="PREP"/>
    <n v="32"/>
    <n v="29"/>
    <n v="14"/>
    <n v="11"/>
    <n v="86"/>
    <n v="2.433737233777904"/>
    <n v="22.694936708860759"/>
    <n v="5.3055534129377486"/>
    <n v="22.140506329113926"/>
    <n v="4.9144008395218908"/>
    <n v="10.069620253164556"/>
    <n v="2.1089377326145904"/>
    <n v="10.958227848101266"/>
    <n v="2.2883463843764797"/>
    <n v="1.7538346270246887"/>
    <n v="1.3957945016860727"/>
    <n v="1.8636774742337652"/>
    <n v="1.8254295846087756E-2"/>
    <n v="1.2578902246976535"/>
  </r>
  <r>
    <x v="15"/>
    <s v="PREP"/>
    <n v="21"/>
    <n v="22"/>
    <n v="8"/>
    <n v="10"/>
    <n v="61"/>
    <n v="1.5483655567842807"/>
    <n v="22.694936708860759"/>
    <n v="5.3055534129377486"/>
    <n v="22.140506329113926"/>
    <n v="4.9144008395218908"/>
    <n v="10.069620253164556"/>
    <n v="2.1089377326145904"/>
    <n v="10.958227848101266"/>
    <n v="2.2883463843764797"/>
    <n v="-0.31946463958455407"/>
    <n v="-2.8590734395120113E-2"/>
    <n v="-0.98135673764000164"/>
    <n v="-0.41874248349965643"/>
    <n v="-0.43703864877983306"/>
  </r>
  <r>
    <x v="15"/>
    <s v="PREP"/>
    <n v="22"/>
    <n v="24"/>
    <n v="9"/>
    <n v="11"/>
    <n v="66"/>
    <n v="1.8009968749527976"/>
    <n v="22.694936708860759"/>
    <n v="5.3055534129377486"/>
    <n v="22.140506329113926"/>
    <n v="4.9144008395218908"/>
    <n v="10.069620253164556"/>
    <n v="2.1089377326145904"/>
    <n v="10.958227848101266"/>
    <n v="2.2883463843764797"/>
    <n v="-0.13098288807462291"/>
    <n v="0.37837647591379209"/>
    <n v="-0.5071843689943738"/>
    <n v="1.8254295846087756E-2"/>
    <n v="-6.038412132727921E-2"/>
  </r>
  <r>
    <x v="15"/>
    <s v="PREP"/>
    <n v="19"/>
    <n v="21"/>
    <n v="8"/>
    <n v="8"/>
    <n v="56"/>
    <n v="1.7021856236720769"/>
    <n v="22.694936708860759"/>
    <n v="5.3055534129377486"/>
    <n v="22.140506329113926"/>
    <n v="4.9144008395218908"/>
    <n v="10.069620253164556"/>
    <n v="2.1089377326145904"/>
    <n v="10.958227848101266"/>
    <n v="2.2883463843764797"/>
    <n v="-0.69642814260441643"/>
    <n v="-0.23207433954957621"/>
    <n v="-0.98135673764000164"/>
    <n v="-1.2927360421911447"/>
    <n v="-0.80064881549628475"/>
  </r>
  <r>
    <x v="15"/>
    <s v="PREP"/>
    <n v="27"/>
    <n v="22"/>
    <n v="12"/>
    <n v="10"/>
    <n v="71"/>
    <n v="1.9414506867883019"/>
    <n v="22.694936708860759"/>
    <n v="5.3055534129377486"/>
    <n v="22.140506329113926"/>
    <n v="4.9144008395218908"/>
    <n v="10.069620253164556"/>
    <n v="2.1089377326145904"/>
    <n v="10.958227848101266"/>
    <n v="2.2883463843764797"/>
    <n v="0.81142586947503292"/>
    <n v="-2.8590734395120113E-2"/>
    <n v="0.91533273694250961"/>
    <n v="-0.41874248349965643"/>
    <n v="0.3198563471306915"/>
  </r>
  <r>
    <x v="15"/>
    <s v="PREP"/>
    <n v="20"/>
    <n v="18"/>
    <n v="9"/>
    <n v="8"/>
    <n v="55"/>
    <n v="1.6408253082847342"/>
    <n v="22.694936708860759"/>
    <n v="5.3055534129377486"/>
    <n v="22.140506329113926"/>
    <n v="4.9144008395218908"/>
    <n v="10.069620253164556"/>
    <n v="2.1089377326145904"/>
    <n v="10.958227848101266"/>
    <n v="2.2883463843764797"/>
    <n v="-0.50794639109448525"/>
    <n v="-0.84252515501294456"/>
    <n v="-0.5071843689943738"/>
    <n v="-1.2927360421911447"/>
    <n v="-0.78759798932323699"/>
  </r>
  <r>
    <x v="16"/>
    <s v="PREP"/>
    <n v="27"/>
    <n v="28"/>
    <n v="13"/>
    <n v="11"/>
    <n v="79"/>
    <n v="2.0599975105785306"/>
    <n v="22.694936708860759"/>
    <n v="5.3055534129377486"/>
    <n v="22.140506329113926"/>
    <n v="4.9144008395218908"/>
    <n v="10.069620253164556"/>
    <n v="2.1089377326145904"/>
    <n v="10.958227848101266"/>
    <n v="2.2883463843764797"/>
    <n v="0.81142586947503292"/>
    <n v="1.1923108965316165"/>
    <n v="1.3895051055881373"/>
    <n v="1.8254295846087756E-2"/>
    <n v="0.85287404186021853"/>
  </r>
  <r>
    <x v="16"/>
    <s v="PREP"/>
    <n v="18"/>
    <n v="19"/>
    <n v="11"/>
    <n v="10"/>
    <n v="58"/>
    <n v="1.3913653136029502"/>
    <n v="22.694936708860759"/>
    <n v="5.3055534129377486"/>
    <n v="22.140506329113926"/>
    <n v="4.9144008395218908"/>
    <n v="10.069620253164556"/>
    <n v="2.1089377326145904"/>
    <n v="10.958227848101266"/>
    <n v="2.2883463843764797"/>
    <n v="-0.88490989411434762"/>
    <n v="-0.63904154985848838"/>
    <n v="0.44116036829688182"/>
    <n v="-0.41874248349965643"/>
    <n v="-0.37538338979390268"/>
  </r>
  <r>
    <x v="16"/>
    <s v="PREP"/>
    <n v="32"/>
    <n v="32"/>
    <n v="14"/>
    <n v="14"/>
    <n v="92"/>
    <n v="2.2159098380250968"/>
    <n v="22.694936708860759"/>
    <n v="5.3055534129377486"/>
    <n v="22.140506329113926"/>
    <n v="4.9144008395218908"/>
    <n v="10.069620253164556"/>
    <n v="2.1089377326145904"/>
    <n v="10.958227848101266"/>
    <n v="2.2883463843764797"/>
    <n v="1.7538346270246887"/>
    <n v="2.0062453171494408"/>
    <n v="1.8636774742337652"/>
    <n v="1.3292446338833204"/>
    <n v="1.7382505130728036"/>
  </r>
  <r>
    <x v="16"/>
    <s v="PREP"/>
    <n v="26"/>
    <n v="28"/>
    <n v="11"/>
    <n v="11"/>
    <n v="76"/>
    <n v="2.034951016861497"/>
    <n v="22.694936708860759"/>
    <n v="5.3055534129377486"/>
    <n v="22.140506329113926"/>
    <n v="4.9144008395218908"/>
    <n v="10.069620253164556"/>
    <n v="2.1089377326145904"/>
    <n v="10.958227848101266"/>
    <n v="2.2883463843764797"/>
    <n v="0.62294411796510174"/>
    <n v="1.1923108965316165"/>
    <n v="0.44116036829688182"/>
    <n v="1.8254295846087756E-2"/>
    <n v="0.56866741965992196"/>
  </r>
  <r>
    <x v="16"/>
    <s v="PREP"/>
    <n v="24"/>
    <n v="20"/>
    <n v="11"/>
    <n v="10"/>
    <n v="65"/>
    <n v="1.683250823060346"/>
    <n v="22.694936708860759"/>
    <n v="5.3055534129377486"/>
    <n v="22.140506329113926"/>
    <n v="4.9144008395218908"/>
    <n v="10.069620253164556"/>
    <n v="2.1089377326145904"/>
    <n v="10.958227848101266"/>
    <n v="2.2883463843764797"/>
    <n v="0.24598061494523943"/>
    <n v="-0.43555794470403231"/>
    <n v="0.44116036829688182"/>
    <n v="-0.41874248349965643"/>
    <n v="-4.1789861240391871E-2"/>
  </r>
  <r>
    <x v="16"/>
    <s v="PREP"/>
    <n v="22"/>
    <n v="23"/>
    <n v="9"/>
    <n v="10"/>
    <n v="64"/>
    <n v="1.9348358440936906"/>
    <n v="22.694936708860759"/>
    <n v="5.3055534129377486"/>
    <n v="22.140506329113926"/>
    <n v="4.9144008395218908"/>
    <n v="10.069620253164556"/>
    <n v="2.1089377326145904"/>
    <n v="10.958227848101266"/>
    <n v="2.2883463843764797"/>
    <n v="-0.13098288807462291"/>
    <n v="0.17489287075933599"/>
    <n v="-0.5071843689943738"/>
    <n v="-0.41874248349965643"/>
    <n v="-0.22050421745232929"/>
  </r>
  <r>
    <x v="16"/>
    <s v="PREP"/>
    <n v="21"/>
    <n v="16"/>
    <n v="10"/>
    <n v="12"/>
    <n v="59"/>
    <n v="1.2659242088545835"/>
    <n v="22.694936708860759"/>
    <n v="5.3055534129377486"/>
    <n v="22.140506329113926"/>
    <n v="4.9144008395218908"/>
    <n v="10.069620253164556"/>
    <n v="2.1089377326145904"/>
    <n v="10.958227848101266"/>
    <n v="2.2883463843764797"/>
    <n v="-0.31946463958455407"/>
    <n v="-1.2494923653218568"/>
    <n v="-3.3012000348745997E-2"/>
    <n v="0.45525107519183194"/>
    <n v="-0.28667948251583125"/>
  </r>
  <r>
    <x v="16"/>
    <s v="PREP"/>
    <n v="32"/>
    <n v="31"/>
    <n v="9"/>
    <n v="9"/>
    <n v="81"/>
    <n v="2.6189643676412167"/>
    <n v="22.694936708860759"/>
    <n v="5.3055534129377486"/>
    <n v="22.140506329113926"/>
    <n v="4.9144008395218908"/>
    <n v="10.069620253164556"/>
    <n v="2.1089377326145904"/>
    <n v="10.958227848101266"/>
    <n v="2.2883463843764797"/>
    <n v="1.7538346270246887"/>
    <n v="1.8027617119949848"/>
    <n v="-0.5071843689943738"/>
    <n v="-0.85573926284540058"/>
    <n v="0.54841817679497473"/>
  </r>
  <r>
    <x v="16"/>
    <s v="PREP"/>
    <n v="22"/>
    <n v="23"/>
    <n v="9"/>
    <n v="12"/>
    <n v="66"/>
    <n v="1.4411533842457842"/>
    <n v="22.694936708860759"/>
    <n v="5.3055534129377486"/>
    <n v="22.140506329113926"/>
    <n v="4.9144008395218908"/>
    <n v="10.069620253164556"/>
    <n v="2.1089377326145904"/>
    <n v="10.958227848101266"/>
    <n v="2.2883463843764797"/>
    <n v="-0.13098288807462291"/>
    <n v="0.17489287075933599"/>
    <n v="-0.5071843689943738"/>
    <n v="0.45525107519183194"/>
    <n v="-2.0058277794571949E-3"/>
  </r>
  <r>
    <x v="16"/>
    <s v="PREP"/>
    <n v="30"/>
    <n v="27"/>
    <n v="12"/>
    <n v="8"/>
    <n v="77"/>
    <n v="2.6287366566958377"/>
    <n v="22.694936708860759"/>
    <n v="5.3055534129377486"/>
    <n v="22.140506329113926"/>
    <n v="4.9144008395218908"/>
    <n v="10.069620253164556"/>
    <n v="2.1089377326145904"/>
    <n v="10.958227848101266"/>
    <n v="2.2883463843764797"/>
    <n v="1.3768711240048266"/>
    <n v="0.98882729137716041"/>
    <n v="0.91533273694250961"/>
    <n v="-1.2927360421911447"/>
    <n v="0.49707377753333798"/>
  </r>
  <r>
    <x v="16"/>
    <s v="PREP"/>
    <n v="25"/>
    <n v="23"/>
    <n v="7"/>
    <n v="10"/>
    <n v="65"/>
    <n v="1.9148542155126762"/>
    <n v="22.694936708860759"/>
    <n v="5.3055534129377486"/>
    <n v="22.140506329113926"/>
    <n v="4.9144008395218908"/>
    <n v="10.069620253164556"/>
    <n v="2.1089377326145904"/>
    <n v="10.958227848101266"/>
    <n v="2.2883463843764797"/>
    <n v="0.43446236645517061"/>
    <n v="0.17489287075933599"/>
    <n v="-1.4555291062856295"/>
    <n v="-0.41874248349965643"/>
    <n v="-0.31622908814269485"/>
  </r>
  <r>
    <x v="16"/>
    <s v="PREP"/>
    <n v="25"/>
    <n v="22"/>
    <n v="10"/>
    <n v="10"/>
    <n v="67"/>
    <n v="1.863963243832607"/>
    <n v="22.694936708860759"/>
    <n v="5.3055534129377486"/>
    <n v="22.140506329113926"/>
    <n v="4.9144008395218908"/>
    <n v="10.069620253164556"/>
    <n v="2.1089377326145904"/>
    <n v="10.958227848101266"/>
    <n v="2.2883463843764797"/>
    <n v="0.43446236645517061"/>
    <n v="-2.8590734395120113E-2"/>
    <n v="-3.3012000348745997E-2"/>
    <n v="-0.41874248349965643"/>
    <n v="-1.1470712947087985E-2"/>
  </r>
  <r>
    <x v="16"/>
    <s v="PREP"/>
    <n v="33"/>
    <n v="33"/>
    <n v="10"/>
    <n v="15"/>
    <n v="91"/>
    <n v="2.2730302828309759"/>
    <n v="22.694936708860759"/>
    <n v="5.3055534129377486"/>
    <n v="22.140506329113926"/>
    <n v="4.9144008395218908"/>
    <n v="10.069620253164556"/>
    <n v="2.1089377326145904"/>
    <n v="10.958227848101266"/>
    <n v="2.2883463843764797"/>
    <n v="1.94231637853462"/>
    <n v="2.2097289223038969"/>
    <n v="-3.3012000348745997E-2"/>
    <n v="1.7662414132290645"/>
    <n v="1.4713186784297088"/>
  </r>
  <r>
    <x v="16"/>
    <s v="PREP"/>
    <n v="29"/>
    <n v="29"/>
    <n v="13"/>
    <n v="15"/>
    <n v="86"/>
    <n v="1.5566235649883124"/>
    <n v="22.694936708860759"/>
    <n v="5.3055534129377486"/>
    <n v="22.140506329113926"/>
    <n v="4.9144008395218908"/>
    <n v="10.069620253164556"/>
    <n v="2.1089377326145904"/>
    <n v="10.958227848101266"/>
    <n v="2.2883463843764797"/>
    <n v="1.1883893724948953"/>
    <n v="1.3957945016860727"/>
    <n v="1.3895051055881373"/>
    <n v="1.7662414132290645"/>
    <n v="1.4349825982495423"/>
  </r>
  <r>
    <x v="16"/>
    <s v="PREP"/>
    <n v="26"/>
    <n v="27"/>
    <n v="13"/>
    <n v="14"/>
    <n v="80"/>
    <n v="1.6756169931378435"/>
    <n v="22.694936708860759"/>
    <n v="5.3055534129377486"/>
    <n v="22.140506329113926"/>
    <n v="4.9144008395218908"/>
    <n v="10.069620253164556"/>
    <n v="2.1089377326145904"/>
    <n v="10.958227848101266"/>
    <n v="2.2883463843764797"/>
    <n v="0.62294411796510174"/>
    <n v="0.98882729137716041"/>
    <n v="1.3895051055881373"/>
    <n v="1.3292446338833204"/>
    <n v="1.0826302872034299"/>
  </r>
  <r>
    <x v="16"/>
    <s v="PREP"/>
    <n v="33"/>
    <n v="33"/>
    <n v="14"/>
    <n v="15"/>
    <n v="95"/>
    <n v="2.2503560971771921"/>
    <n v="22.694936708860759"/>
    <n v="5.3055534129377486"/>
    <n v="22.140506329113926"/>
    <n v="4.9144008395218908"/>
    <n v="10.069620253164556"/>
    <n v="2.1089377326145904"/>
    <n v="10.958227848101266"/>
    <n v="2.2883463843764797"/>
    <n v="1.94231637853462"/>
    <n v="2.2097289223038969"/>
    <n v="1.8636774742337652"/>
    <n v="1.7662414132290645"/>
    <n v="1.9454910470753366"/>
  </r>
  <r>
    <x v="16"/>
    <s v="PREP"/>
    <n v="25"/>
    <n v="22"/>
    <n v="12"/>
    <n v="15"/>
    <n v="74"/>
    <n v="1.5483655567842816"/>
    <n v="22.694936708860759"/>
    <n v="5.3055534129377486"/>
    <n v="22.140506329113926"/>
    <n v="4.9144008395218908"/>
    <n v="10.069620253164556"/>
    <n v="2.1089377326145904"/>
    <n v="10.958227848101266"/>
    <n v="2.2883463843764797"/>
    <n v="0.43446236645517061"/>
    <n v="-2.8590734395120113E-2"/>
    <n v="0.91533273694250961"/>
    <n v="1.7662414132290645"/>
    <n v="0.77186144555790615"/>
  </r>
  <r>
    <x v="16"/>
    <s v="PREP"/>
    <n v="28"/>
    <n v="27"/>
    <n v="12"/>
    <n v="11"/>
    <n v="78"/>
    <n v="2.0412414523193152"/>
    <n v="22.694936708860759"/>
    <n v="5.3055534129377486"/>
    <n v="22.140506329113926"/>
    <n v="4.9144008395218908"/>
    <n v="10.069620253164556"/>
    <n v="2.1089377326145904"/>
    <n v="10.958227848101266"/>
    <n v="2.2883463843764797"/>
    <n v="0.99990762098496411"/>
    <n v="0.98882729137716041"/>
    <n v="0.91533273694250961"/>
    <n v="1.8254295846087756E-2"/>
    <n v="0.73058048628768046"/>
  </r>
  <r>
    <x v="16"/>
    <s v="PREP"/>
    <n v="27"/>
    <n v="26"/>
    <n v="12"/>
    <n v="9"/>
    <n v="74"/>
    <n v="2.0970064133034736"/>
    <n v="22.694936708860759"/>
    <n v="5.3055534129377486"/>
    <n v="22.140506329113926"/>
    <n v="4.9144008395218908"/>
    <n v="10.069620253164556"/>
    <n v="2.1089377326145904"/>
    <n v="10.958227848101266"/>
    <n v="2.2883463843764797"/>
    <n v="0.81142586947503292"/>
    <n v="0.78534368622270434"/>
    <n v="0.91533273694250961"/>
    <n v="-0.85573926284540058"/>
    <n v="0.41409075744871154"/>
  </r>
  <r>
    <x v="16"/>
    <s v="PREP"/>
    <n v="27"/>
    <n v="26"/>
    <n v="13"/>
    <n v="10"/>
    <n v="76"/>
    <n v="2.1926450482675728"/>
    <n v="22.694936708860759"/>
    <n v="5.3055534129377486"/>
    <n v="22.140506329113926"/>
    <n v="4.9144008395218908"/>
    <n v="10.069620253164556"/>
    <n v="2.1089377326145904"/>
    <n v="10.958227848101266"/>
    <n v="2.2883463843764797"/>
    <n v="0.81142586947503292"/>
    <n v="0.78534368622270434"/>
    <n v="1.3895051055881373"/>
    <n v="-0.41874248349965643"/>
    <n v="0.64188304444655464"/>
  </r>
  <r>
    <x v="16"/>
    <s v="PREP"/>
    <n v="29"/>
    <n v="26"/>
    <n v="13"/>
    <n v="14"/>
    <n v="82"/>
    <n v="1.8432134703923737"/>
    <n v="22.694936708860759"/>
    <n v="5.3055534129377486"/>
    <n v="22.140506329113926"/>
    <n v="4.9144008395218908"/>
    <n v="10.069620253164556"/>
    <n v="2.1089377326145904"/>
    <n v="10.958227848101266"/>
    <n v="2.2883463843764797"/>
    <n v="1.1883893724948953"/>
    <n v="0.78534368622270434"/>
    <n v="1.3895051055881373"/>
    <n v="1.3292446338833204"/>
    <n v="1.1731206995472643"/>
  </r>
  <r>
    <x v="16"/>
    <s v="PREP"/>
    <n v="32"/>
    <n v="29"/>
    <n v="13"/>
    <n v="12"/>
    <n v="86"/>
    <n v="2.1423686866978779"/>
    <n v="22.694936708860759"/>
    <n v="5.3055534129377486"/>
    <n v="22.140506329113926"/>
    <n v="4.9144008395218908"/>
    <n v="10.069620253164556"/>
    <n v="2.1089377326145904"/>
    <n v="10.958227848101266"/>
    <n v="2.2883463843764797"/>
    <n v="1.7538346270246887"/>
    <n v="1.3957945016860727"/>
    <n v="1.3895051055881373"/>
    <n v="0.45525107519183194"/>
    <n v="1.2485963273726826"/>
  </r>
  <r>
    <x v="16"/>
    <s v="PREP"/>
    <n v="29"/>
    <n v="26"/>
    <n v="12"/>
    <n v="10"/>
    <n v="77"/>
    <n v="2.1000610491736689"/>
    <n v="22.694936708860759"/>
    <n v="5.3055534129377486"/>
    <n v="22.140506329113926"/>
    <n v="4.9144008395218908"/>
    <n v="10.069620253164556"/>
    <n v="2.1089377326145904"/>
    <n v="10.958227848101266"/>
    <n v="2.2883463843764797"/>
    <n v="1.1883893724948953"/>
    <n v="0.78534368622270434"/>
    <n v="0.91533273694250961"/>
    <n v="-0.41874248349965643"/>
    <n v="0.61758082804011327"/>
  </r>
  <r>
    <x v="16"/>
    <s v="PREP"/>
    <n v="31"/>
    <n v="29"/>
    <n v="12"/>
    <n v="11"/>
    <n v="83"/>
    <n v="2.2188007849009166"/>
    <n v="22.694936708860759"/>
    <n v="5.3055534129377486"/>
    <n v="22.140506329113926"/>
    <n v="4.9144008395218908"/>
    <n v="10.069620253164556"/>
    <n v="2.1089377326145904"/>
    <n v="10.958227848101266"/>
    <n v="2.2883463843764797"/>
    <n v="1.5653528755147577"/>
    <n v="1.3957945016860727"/>
    <n v="0.91533273694250961"/>
    <n v="1.8254295846087756E-2"/>
    <n v="0.97368360249735686"/>
  </r>
  <r>
    <x v="16"/>
    <s v="PREP"/>
    <n v="29"/>
    <n v="30"/>
    <n v="13"/>
    <n v="13"/>
    <n v="85"/>
    <n v="2.1838568563966754"/>
    <n v="22.694936708860759"/>
    <n v="5.3055534129377486"/>
    <n v="22.140506329113926"/>
    <n v="4.9144008395218908"/>
    <n v="10.069620253164556"/>
    <n v="2.1089377326145904"/>
    <n v="10.958227848101266"/>
    <n v="2.2883463843764797"/>
    <n v="1.1883893724948953"/>
    <n v="1.5992781068405286"/>
    <n v="1.3895051055881373"/>
    <n v="0.89224785453757616"/>
    <n v="1.2673551098652842"/>
  </r>
  <r>
    <x v="16"/>
    <s v="PREP"/>
    <n v="26"/>
    <n v="27"/>
    <n v="12"/>
    <n v="11"/>
    <n v="76"/>
    <n v="1.9935794376846323"/>
    <n v="22.694936708860759"/>
    <n v="5.3055534129377486"/>
    <n v="22.140506329113926"/>
    <n v="4.9144008395218908"/>
    <n v="10.069620253164556"/>
    <n v="2.1089377326145904"/>
    <n v="10.958227848101266"/>
    <n v="2.2883463843764797"/>
    <n v="0.62294411796510174"/>
    <n v="0.98882729137716041"/>
    <n v="0.91533273694250961"/>
    <n v="1.8254295846087756E-2"/>
    <n v="0.63633961053271493"/>
  </r>
  <r>
    <x v="16"/>
    <s v="PREP"/>
    <n v="32"/>
    <n v="32"/>
    <n v="14"/>
    <n v="15"/>
    <n v="93"/>
    <n v="2.0754980866510828"/>
    <n v="22.694936708860759"/>
    <n v="5.3055534129377486"/>
    <n v="22.140506329113926"/>
    <n v="4.9144008395218908"/>
    <n v="10.069620253164556"/>
    <n v="2.1089377326145904"/>
    <n v="10.958227848101266"/>
    <n v="2.2883463843764797"/>
    <n v="1.7538346270246887"/>
    <n v="2.0062453171494408"/>
    <n v="1.8636774742337652"/>
    <n v="1.7662414132290645"/>
    <n v="1.8474997079092397"/>
  </r>
  <r>
    <x v="16"/>
    <s v="PREP"/>
    <n v="25"/>
    <n v="27"/>
    <n v="12"/>
    <n v="14"/>
    <n v="78"/>
    <n v="1.8708286933869709"/>
    <n v="22.694936708860759"/>
    <n v="5.3055534129377486"/>
    <n v="22.140506329113926"/>
    <n v="4.9144008395218908"/>
    <n v="10.069620253164556"/>
    <n v="2.1089377326145904"/>
    <n v="10.958227848101266"/>
    <n v="2.2883463843764797"/>
    <n v="0.43446236645517061"/>
    <n v="0.98882729137716041"/>
    <n v="0.91533273694250961"/>
    <n v="1.3292446338833204"/>
    <n v="0.91696675716454035"/>
  </r>
  <r>
    <x v="16"/>
    <s v="PREP"/>
    <n v="32"/>
    <n v="29"/>
    <n v="11"/>
    <n v="13"/>
    <n v="85"/>
    <n v="2.3669736167866557"/>
    <n v="22.694936708860759"/>
    <n v="5.3055534129377486"/>
    <n v="22.140506329113926"/>
    <n v="4.9144008395218908"/>
    <n v="10.069620253164556"/>
    <n v="2.1089377326145904"/>
    <n v="10.958227848101266"/>
    <n v="2.2883463843764797"/>
    <n v="1.7538346270246887"/>
    <n v="1.3957945016860727"/>
    <n v="0.44116036829688182"/>
    <n v="0.89224785453757616"/>
    <n v="1.1207593378863048"/>
  </r>
  <r>
    <x v="17"/>
    <s v="PREP"/>
    <n v="27"/>
    <n v="26"/>
    <n v="10"/>
    <n v="9"/>
    <n v="72"/>
    <n v="1.8081014266989472"/>
    <n v="22.694936708860759"/>
    <n v="5.3055534129377486"/>
    <n v="22.140506329113926"/>
    <n v="4.9144008395218908"/>
    <n v="10.069620253164556"/>
    <n v="2.1089377326145904"/>
    <n v="10.958227848101266"/>
    <n v="2.2883463843764797"/>
    <n v="0.81142586947503292"/>
    <n v="0.78534368622270434"/>
    <n v="-3.3012000348745997E-2"/>
    <n v="-0.85573926284540058"/>
    <n v="0.17700457312589768"/>
  </r>
  <r>
    <x v="17"/>
    <s v="PREP"/>
    <n v="26"/>
    <n v="22"/>
    <n v="10"/>
    <n v="10"/>
    <n v="68"/>
    <n v="1.739436985245808"/>
    <n v="22.694936708860759"/>
    <n v="5.3055534129377486"/>
    <n v="22.140506329113926"/>
    <n v="4.9144008395218908"/>
    <n v="10.069620253164556"/>
    <n v="2.1089377326145904"/>
    <n v="10.958227848101266"/>
    <n v="2.2883463843764797"/>
    <n v="0.62294411796510174"/>
    <n v="-2.8590734395120113E-2"/>
    <n v="-3.3012000348745997E-2"/>
    <n v="-0.41874248349965643"/>
    <n v="3.5649724930394797E-2"/>
  </r>
  <r>
    <x v="17"/>
    <s v="PREP"/>
    <n v="19"/>
    <n v="22"/>
    <n v="10"/>
    <n v="8"/>
    <n v="59"/>
    <n v="1.6132464481796023"/>
    <n v="22.694936708860759"/>
    <n v="5.3055534129377486"/>
    <n v="22.140506329113926"/>
    <n v="4.9144008395218908"/>
    <n v="10.069620253164556"/>
    <n v="2.1089377326145904"/>
    <n v="10.958227848101266"/>
    <n v="2.2883463843764797"/>
    <n v="-0.69642814260441643"/>
    <n v="-2.8590734395120113E-2"/>
    <n v="-3.3012000348745997E-2"/>
    <n v="-1.2927360421911447"/>
    <n v="-0.51269172988485678"/>
  </r>
  <r>
    <x v="17"/>
    <s v="PREP"/>
    <n v="17"/>
    <n v="22"/>
    <n v="11"/>
    <n v="9"/>
    <n v="59"/>
    <n v="1.5063966175050878"/>
    <n v="22.694936708860759"/>
    <n v="5.3055534129377486"/>
    <n v="22.140506329113926"/>
    <n v="4.9144008395218908"/>
    <n v="10.069620253164556"/>
    <n v="2.1089377326145904"/>
    <n v="10.958227848101266"/>
    <n v="2.2883463843764797"/>
    <n v="-1.0733916456242787"/>
    <n v="-2.8590734395120113E-2"/>
    <n v="0.44116036829688182"/>
    <n v="-0.85573926284540058"/>
    <n v="-0.37914031864197939"/>
  </r>
  <r>
    <x v="17"/>
    <s v="PREP"/>
    <n v="22"/>
    <n v="21"/>
    <n v="9"/>
    <n v="13"/>
    <n v="65"/>
    <n v="1.35400640077266"/>
    <n v="22.694936708860759"/>
    <n v="5.3055534129377486"/>
    <n v="22.140506329113926"/>
    <n v="4.9144008395218908"/>
    <n v="10.069620253164556"/>
    <n v="2.1089377326145904"/>
    <n v="10.958227848101266"/>
    <n v="2.2883463843764797"/>
    <n v="-0.13098288807462291"/>
    <n v="-0.23207433954957621"/>
    <n v="-0.5071843689943738"/>
    <n v="0.89224785453757616"/>
    <n v="5.501564479750809E-3"/>
  </r>
  <r>
    <x v="17"/>
    <s v="PREP"/>
    <n v="28"/>
    <n v="22"/>
    <n v="8"/>
    <n v="9"/>
    <n v="67"/>
    <n v="1.9081471748860577"/>
    <n v="22.694936708860759"/>
    <n v="5.3055534129377486"/>
    <n v="22.140506329113926"/>
    <n v="4.9144008395218908"/>
    <n v="10.069620253164556"/>
    <n v="2.1089377326145904"/>
    <n v="10.958227848101266"/>
    <n v="2.2883463843764797"/>
    <n v="0.99990762098496411"/>
    <n v="-2.8590734395120113E-2"/>
    <n v="-0.98135673764000164"/>
    <n v="-0.85573926284540058"/>
    <n v="-0.21644477847388957"/>
  </r>
  <r>
    <x v="17"/>
    <s v="PREP"/>
    <n v="27"/>
    <n v="26"/>
    <n v="10"/>
    <n v="10"/>
    <n v="73"/>
    <n v="2.1031112483834336"/>
    <n v="22.694936708860759"/>
    <n v="5.3055534129377486"/>
    <n v="22.140506329113926"/>
    <n v="4.9144008395218908"/>
    <n v="10.069620253164556"/>
    <n v="2.1089377326145904"/>
    <n v="10.958227848101266"/>
    <n v="2.2883463843764797"/>
    <n v="0.81142586947503292"/>
    <n v="0.78534368622270434"/>
    <n v="-3.3012000348745997E-2"/>
    <n v="-0.41874248349965643"/>
    <n v="0.28625376796233371"/>
  </r>
  <r>
    <x v="17"/>
    <s v="PREP"/>
    <n v="27"/>
    <n v="26"/>
    <n v="11"/>
    <n v="11"/>
    <n v="75"/>
    <n v="1.9215378456610459"/>
    <n v="22.694936708860759"/>
    <n v="5.3055534129377486"/>
    <n v="22.140506329113926"/>
    <n v="4.9144008395218908"/>
    <n v="10.069620253164556"/>
    <n v="2.1089377326145904"/>
    <n v="10.958227848101266"/>
    <n v="2.2883463843764797"/>
    <n v="0.81142586947503292"/>
    <n v="0.78534368622270434"/>
    <n v="0.44116036829688182"/>
    <n v="1.8254295846087756E-2"/>
    <n v="0.51404605496017675"/>
  </r>
  <r>
    <x v="17"/>
    <s v="PREP"/>
    <n v="27"/>
    <n v="27"/>
    <n v="13"/>
    <n v="15"/>
    <n v="82"/>
    <n v="1.4935759876113539"/>
    <n v="22.694936708860759"/>
    <n v="5.3055534129377486"/>
    <n v="22.140506329113926"/>
    <n v="4.9144008395218908"/>
    <n v="10.069620253164556"/>
    <n v="2.1089377326145904"/>
    <n v="10.958227848101266"/>
    <n v="2.2883463843764797"/>
    <n v="0.81142586947503292"/>
    <n v="0.98882729137716041"/>
    <n v="1.3895051055881373"/>
    <n v="1.7662414132290645"/>
    <n v="1.2389999199173487"/>
  </r>
  <r>
    <x v="17"/>
    <s v="PREP"/>
    <n v="20"/>
    <n v="22"/>
    <n v="10"/>
    <n v="13"/>
    <n v="65"/>
    <n v="1.2909944487358054"/>
    <n v="22.694936708860759"/>
    <n v="5.3055534129377486"/>
    <n v="22.140506329113926"/>
    <n v="4.9144008395218908"/>
    <n v="10.069620253164556"/>
    <n v="2.1089377326145904"/>
    <n v="10.958227848101266"/>
    <n v="2.2883463843764797"/>
    <n v="-0.50794639109448525"/>
    <n v="-2.8590734395120113E-2"/>
    <n v="-3.3012000348745997E-2"/>
    <n v="0.89224785453757616"/>
    <n v="8.0674682174806195E-2"/>
  </r>
  <r>
    <x v="17"/>
    <s v="PREP"/>
    <n v="28"/>
    <n v="28"/>
    <n v="13"/>
    <n v="15"/>
    <n v="84"/>
    <n v="1.4500221041639683"/>
    <n v="22.694936708860759"/>
    <n v="5.3055534129377486"/>
    <n v="22.140506329113926"/>
    <n v="4.9144008395218908"/>
    <n v="10.069620253164556"/>
    <n v="2.1089377326145904"/>
    <n v="10.958227848101266"/>
    <n v="2.2883463843764797"/>
    <n v="0.99990762098496411"/>
    <n v="1.1923108965316165"/>
    <n v="1.3895051055881373"/>
    <n v="1.7662414132290645"/>
    <n v="1.3369912590834456"/>
  </r>
  <r>
    <x v="17"/>
    <s v="PREP"/>
    <n v="25"/>
    <n v="29"/>
    <n v="13"/>
    <n v="15"/>
    <n v="82"/>
    <n v="1.6012815380508714"/>
    <n v="22.694936708860759"/>
    <n v="5.3055534129377486"/>
    <n v="22.140506329113926"/>
    <n v="4.9144008395218908"/>
    <n v="10.069620253164556"/>
    <n v="2.1089377326145904"/>
    <n v="10.958227848101266"/>
    <n v="2.2883463843764797"/>
    <n v="0.43446236645517061"/>
    <n v="1.3957945016860727"/>
    <n v="1.3895051055881373"/>
    <n v="1.7662414132290645"/>
    <n v="1.2465008467396113"/>
  </r>
  <r>
    <x v="17"/>
    <s v="PREP"/>
    <n v="22"/>
    <n v="26"/>
    <n v="13"/>
    <n v="14"/>
    <n v="75"/>
    <n v="1.2351684199496948"/>
    <n v="22.694936708860759"/>
    <n v="5.3055534129377486"/>
    <n v="22.140506329113926"/>
    <n v="4.9144008395218908"/>
    <n v="10.069620253164556"/>
    <n v="2.1089377326145904"/>
    <n v="10.958227848101266"/>
    <n v="2.2883463843764797"/>
    <n v="-0.13098288807462291"/>
    <n v="0.78534368622270434"/>
    <n v="1.3895051055881373"/>
    <n v="1.3292446338833204"/>
    <n v="0.84327763440488468"/>
  </r>
  <r>
    <x v="17"/>
    <s v="PREP"/>
    <n v="30"/>
    <n v="23"/>
    <n v="11"/>
    <n v="14"/>
    <n v="78"/>
    <n v="1.5811388300841898"/>
    <n v="22.694936708860759"/>
    <n v="5.3055534129377486"/>
    <n v="22.140506329113926"/>
    <n v="4.9144008395218908"/>
    <n v="10.069620253164556"/>
    <n v="2.1089377326145904"/>
    <n v="10.958227848101266"/>
    <n v="2.2883463843764797"/>
    <n v="1.3768711240048266"/>
    <n v="0.17489287075933599"/>
    <n v="0.44116036829688182"/>
    <n v="1.3292446338833204"/>
    <n v="0.83054224923609121"/>
  </r>
  <r>
    <x v="17"/>
    <s v="PREP"/>
    <n v="19"/>
    <n v="20"/>
    <n v="9"/>
    <n v="13"/>
    <n v="61"/>
    <n v="0.75106761619881102"/>
    <n v="22.694936708860759"/>
    <n v="5.3055534129377486"/>
    <n v="22.140506329113926"/>
    <n v="4.9144008395218908"/>
    <n v="10.069620253164556"/>
    <n v="2.1089377326145904"/>
    <n v="10.958227848101266"/>
    <n v="2.2883463843764797"/>
    <n v="-0.69642814260441643"/>
    <n v="-0.43555794470403231"/>
    <n v="-0.5071843689943738"/>
    <n v="0.89224785453757616"/>
    <n v="-0.18673065044131162"/>
  </r>
  <r>
    <x v="17"/>
    <s v="PREP"/>
    <n v="24"/>
    <n v="25"/>
    <n v="11"/>
    <n v="15"/>
    <n v="75"/>
    <n v="1.0127393670836666"/>
    <n v="22.694936708860759"/>
    <n v="5.3055534129377486"/>
    <n v="22.140506329113926"/>
    <n v="4.9144008395218908"/>
    <n v="10.069620253164556"/>
    <n v="2.1089377326145904"/>
    <n v="10.958227848101266"/>
    <n v="2.2883463843764797"/>
    <n v="0.24598061494523943"/>
    <n v="0.58186008106824816"/>
    <n v="0.44116036829688182"/>
    <n v="1.7662414132290645"/>
    <n v="0.7588106193848585"/>
  </r>
  <r>
    <x v="17"/>
    <s v="PREP"/>
    <n v="27"/>
    <n v="27"/>
    <n v="12"/>
    <n v="15"/>
    <n v="81"/>
    <n v="1.2351684199496948"/>
    <n v="22.694936708860759"/>
    <n v="5.3055534129377486"/>
    <n v="22.140506329113926"/>
    <n v="4.9144008395218908"/>
    <n v="10.069620253164556"/>
    <n v="2.1089377326145904"/>
    <n v="10.958227848101266"/>
    <n v="2.2883463843764797"/>
    <n v="0.81142586947503292"/>
    <n v="0.98882729137716041"/>
    <n v="0.91533273694250961"/>
    <n v="1.7662414132290645"/>
    <n v="1.1204568277559419"/>
  </r>
  <r>
    <x v="17"/>
    <s v="PREP"/>
    <n v="21"/>
    <n v="21"/>
    <n v="10"/>
    <n v="13"/>
    <n v="65"/>
    <n v="0.91287092917527668"/>
    <n v="22.694936708860759"/>
    <n v="5.3055534129377486"/>
    <n v="22.140506329113926"/>
    <n v="4.9144008395218908"/>
    <n v="10.069620253164556"/>
    <n v="2.1089377326145904"/>
    <n v="10.958227848101266"/>
    <n v="2.2883463843764797"/>
    <n v="-0.31946463958455407"/>
    <n v="-0.23207433954957621"/>
    <n v="-3.3012000348745997E-2"/>
    <n v="0.89224785453757616"/>
    <n v="7.6924218763674973E-2"/>
  </r>
  <r>
    <x v="17"/>
    <s v="PREP"/>
    <n v="21"/>
    <n v="22"/>
    <n v="9"/>
    <n v="13"/>
    <n v="65"/>
    <n v="1.1547005383792515"/>
    <n v="22.694936708860759"/>
    <n v="5.3055534129377486"/>
    <n v="22.140506329113926"/>
    <n v="4.9144008395218908"/>
    <n v="10.069620253164556"/>
    <n v="2.1089377326145904"/>
    <n v="10.958227848101266"/>
    <n v="2.2883463843764797"/>
    <n v="-0.31946463958455407"/>
    <n v="-2.8590734395120113E-2"/>
    <n v="-0.5071843689943738"/>
    <n v="0.89224785453757616"/>
    <n v="9.2520278908820586E-3"/>
  </r>
  <r>
    <x v="17"/>
    <s v="PREP"/>
    <n v="24"/>
    <n v="23"/>
    <n v="11"/>
    <n v="13"/>
    <n v="71"/>
    <n v="1.0500305245868344"/>
    <n v="22.694936708860759"/>
    <n v="5.3055534129377486"/>
    <n v="22.140506329113926"/>
    <n v="4.9144008395218908"/>
    <n v="10.069620253164556"/>
    <n v="2.1089377326145904"/>
    <n v="10.958227848101266"/>
    <n v="2.2883463843764797"/>
    <n v="0.24598061494523943"/>
    <n v="0.17489287075933599"/>
    <n v="0.44116036829688182"/>
    <n v="0.89224785453757616"/>
    <n v="0.43857042713475836"/>
  </r>
  <r>
    <x v="17"/>
    <s v="PREP"/>
    <n v="24"/>
    <n v="21"/>
    <n v="11"/>
    <n v="14"/>
    <n v="70"/>
    <n v="0.96076892283052262"/>
    <n v="22.694936708860759"/>
    <n v="5.3055534129377486"/>
    <n v="22.140506329113926"/>
    <n v="4.9144008395218908"/>
    <n v="10.069620253164556"/>
    <n v="2.1089377326145904"/>
    <n v="10.958227848101266"/>
    <n v="2.2883463843764797"/>
    <n v="0.24598061494523943"/>
    <n v="-0.23207433954957621"/>
    <n v="0.44116036829688182"/>
    <n v="1.3292446338833204"/>
    <n v="0.44607781939396635"/>
  </r>
  <r>
    <x v="17"/>
    <s v="PREP"/>
    <n v="22"/>
    <n v="21"/>
    <n v="9"/>
    <n v="12"/>
    <n v="64"/>
    <n v="1.0377490433255414"/>
    <n v="22.694936708860759"/>
    <n v="5.3055534129377486"/>
    <n v="22.140506329113926"/>
    <n v="4.9144008395218908"/>
    <n v="10.069620253164556"/>
    <n v="2.1089377326145904"/>
    <n v="10.958227848101266"/>
    <n v="2.2883463843764797"/>
    <n v="-0.13098288807462291"/>
    <n v="-0.23207433954957621"/>
    <n v="-0.5071843689943738"/>
    <n v="0.45525107519183194"/>
    <n v="-0.10374763035668524"/>
  </r>
  <r>
    <x v="17"/>
    <s v="PREP"/>
    <n v="24"/>
    <n v="27"/>
    <n v="11"/>
    <n v="12"/>
    <n v="74"/>
    <n v="1.5483655567842813"/>
    <n v="22.694936708860759"/>
    <n v="5.3055534129377486"/>
    <n v="22.140506329113926"/>
    <n v="4.9144008395218908"/>
    <n v="10.069620253164556"/>
    <n v="2.1089377326145904"/>
    <n v="10.958227848101266"/>
    <n v="2.2883463843764797"/>
    <n v="0.24598061494523943"/>
    <n v="0.98882729137716041"/>
    <n v="0.44116036829688182"/>
    <n v="0.45525107519183194"/>
    <n v="0.5328048374527784"/>
  </r>
  <r>
    <x v="17"/>
    <s v="PREP"/>
    <n v="26"/>
    <n v="25"/>
    <n v="10"/>
    <n v="14"/>
    <n v="75"/>
    <n v="1.3634420996046577"/>
    <n v="22.694936708860759"/>
    <n v="5.3055534129377486"/>
    <n v="22.140506329113926"/>
    <n v="4.9144008395218908"/>
    <n v="10.069620253164556"/>
    <n v="2.1089377326145904"/>
    <n v="10.958227848101266"/>
    <n v="2.2883463843764797"/>
    <n v="0.62294411796510174"/>
    <n v="0.58186008106824816"/>
    <n v="-3.3012000348745997E-2"/>
    <n v="1.3292446338833204"/>
    <n v="0.6252592081419811"/>
  </r>
  <r>
    <x v="17"/>
    <s v="PREP"/>
    <n v="23"/>
    <n v="24"/>
    <n v="12"/>
    <n v="13"/>
    <n v="72"/>
    <n v="1.2659242088545835"/>
    <n v="22.694936708860759"/>
    <n v="5.3055534129377486"/>
    <n v="22.140506329113926"/>
    <n v="4.9144008395218908"/>
    <n v="10.069620253164556"/>
    <n v="2.1089377326145904"/>
    <n v="10.958227848101266"/>
    <n v="2.2883463843764797"/>
    <n v="5.7498863435308259E-2"/>
    <n v="0.37837647591379209"/>
    <n v="0.91533273694250961"/>
    <n v="0.89224785453757616"/>
    <n v="0.56086398270729654"/>
  </r>
  <r>
    <x v="17"/>
    <s v="PREP"/>
    <n v="27"/>
    <n v="23"/>
    <n v="10"/>
    <n v="13"/>
    <n v="73"/>
    <n v="1.5566235649883124"/>
    <n v="22.694936708860759"/>
    <n v="5.3055534129377486"/>
    <n v="22.140506329113926"/>
    <n v="4.9144008395218908"/>
    <n v="10.069620253164556"/>
    <n v="2.1089377326145904"/>
    <n v="10.958227848101266"/>
    <n v="2.2883463843764797"/>
    <n v="0.81142586947503292"/>
    <n v="0.17489287075933599"/>
    <n v="-3.3012000348745997E-2"/>
    <n v="0.89224785453757616"/>
    <n v="0.46138864860579976"/>
  </r>
  <r>
    <x v="18"/>
    <s v="PREP"/>
    <n v="13"/>
    <n v="8"/>
    <n v="6"/>
    <n v="9"/>
    <n v="36"/>
    <n v="1.0127393670836666"/>
    <n v="22.694936708860759"/>
    <n v="5.3055534129377486"/>
    <n v="22.140506329113926"/>
    <n v="4.9144008395218908"/>
    <n v="10.069620253164556"/>
    <n v="2.1089377326145904"/>
    <n v="10.958227848101266"/>
    <n v="2.2883463843764797"/>
    <n v="-1.8273186516640034"/>
    <n v="-2.8773612065575054"/>
    <n v="-1.9297014749312573"/>
    <n v="-0.85573926284540058"/>
    <n v="-1.8725301489995416"/>
  </r>
  <r>
    <x v="18"/>
    <s v="PREP"/>
    <n v="16"/>
    <n v="17"/>
    <n v="9"/>
    <n v="13"/>
    <n v="55"/>
    <n v="0.92680869599629834"/>
    <n v="22.694936708860759"/>
    <n v="5.3055534129377486"/>
    <n v="22.140506329113926"/>
    <n v="4.9144008395218908"/>
    <n v="10.069620253164556"/>
    <n v="2.1089377326145904"/>
    <n v="10.958227848101266"/>
    <n v="2.2883463843764797"/>
    <n v="-1.26187339713421"/>
    <n v="-1.0460087601674006"/>
    <n v="-0.5071843689943738"/>
    <n v="0.89224785453757616"/>
    <n v="-0.48070466793960209"/>
  </r>
  <r>
    <x v="18"/>
    <s v="PREP"/>
    <n v="18"/>
    <n v="18"/>
    <n v="9"/>
    <n v="9"/>
    <n v="54"/>
    <n v="1.2142318453899048"/>
    <n v="22.694936708860759"/>
    <n v="5.3055534129377486"/>
    <n v="22.140506329113926"/>
    <n v="4.9144008395218908"/>
    <n v="10.069620253164556"/>
    <n v="2.1089377326145904"/>
    <n v="10.958227848101266"/>
    <n v="2.2883463843764797"/>
    <n v="-0.88490989411434762"/>
    <n v="-0.84252515501294456"/>
    <n v="-0.5071843689943738"/>
    <n v="-0.85573926284540058"/>
    <n v="-0.77258967024176672"/>
  </r>
  <r>
    <x v="18"/>
    <s v="PREP"/>
    <n v="20"/>
    <n v="25"/>
    <n v="11"/>
    <n v="13"/>
    <n v="69"/>
    <n v="1.0315534712764842"/>
    <n v="22.694936708860759"/>
    <n v="5.3055534129377486"/>
    <n v="22.140506329113926"/>
    <n v="4.9144008395218908"/>
    <n v="10.069620253164556"/>
    <n v="2.1089377326145904"/>
    <n v="10.958227848101266"/>
    <n v="2.2883463843764797"/>
    <n v="-0.50794639109448525"/>
    <n v="0.58186008106824816"/>
    <n v="0.44116036829688182"/>
    <n v="0.89224785453757616"/>
    <n v="0.35183047820205526"/>
  </r>
  <r>
    <x v="18"/>
    <s v="PREP"/>
    <n v="15"/>
    <n v="10"/>
    <n v="4"/>
    <n v="8"/>
    <n v="37"/>
    <n v="0.98709623358564913"/>
    <n v="22.694936708860759"/>
    <n v="5.3055534129377486"/>
    <n v="22.140506329113926"/>
    <n v="4.9144008395218908"/>
    <n v="10.069620253164556"/>
    <n v="2.1089377326145904"/>
    <n v="10.958227848101266"/>
    <n v="2.2883463843764797"/>
    <n v="-1.4503551486441411"/>
    <n v="-2.4703939962485935"/>
    <n v="-2.8780462122225128"/>
    <n v="-1.2927360421911447"/>
    <n v="-2.0228828498265981"/>
  </r>
  <r>
    <x v="18"/>
    <s v="PREP"/>
    <n v="26"/>
    <n v="22"/>
    <n v="11"/>
    <n v="13"/>
    <n v="72"/>
    <n v="1.1266014242982163"/>
    <n v="22.694936708860759"/>
    <n v="5.3055534129377486"/>
    <n v="22.140506329113926"/>
    <n v="4.9144008395218908"/>
    <n v="10.069620253164556"/>
    <n v="2.1089377326145904"/>
    <n v="10.958227848101266"/>
    <n v="2.2883463843764797"/>
    <n v="0.62294411796510174"/>
    <n v="-2.8590734395120113E-2"/>
    <n v="0.44116036829688182"/>
    <n v="0.89224785453757616"/>
    <n v="0.48194040160110985"/>
  </r>
  <r>
    <x v="18"/>
    <s v="PREP"/>
    <n v="25"/>
    <n v="27"/>
    <n v="12"/>
    <n v="11"/>
    <n v="75"/>
    <n v="1.5892265495016826"/>
    <n v="22.694936708860759"/>
    <n v="5.3055534129377486"/>
    <n v="22.140506329113926"/>
    <n v="4.9144008395218908"/>
    <n v="10.069620253164556"/>
    <n v="2.1089377326145904"/>
    <n v="10.958227848101266"/>
    <n v="2.2883463843764797"/>
    <n v="0.43446236645517061"/>
    <n v="0.98882729137716041"/>
    <n v="0.91533273694250961"/>
    <n v="1.8254295846087756E-2"/>
    <n v="0.58921917265523216"/>
  </r>
  <r>
    <x v="18"/>
    <s v="PREP"/>
    <n v="19"/>
    <n v="18"/>
    <n v="9"/>
    <n v="13"/>
    <n v="59"/>
    <n v="1.1266014242982161"/>
    <n v="22.694936708860759"/>
    <n v="5.3055534129377486"/>
    <n v="22.140506329113926"/>
    <n v="4.9144008395218908"/>
    <n v="10.069620253164556"/>
    <n v="2.1089377326145904"/>
    <n v="10.958227848101266"/>
    <n v="2.2883463843764797"/>
    <n v="-0.69642814260441643"/>
    <n v="-0.84252515501294456"/>
    <n v="-0.5071843689943738"/>
    <n v="0.89224785453757616"/>
    <n v="-0.28847245301853963"/>
  </r>
  <r>
    <x v="18"/>
    <s v="PREP"/>
    <n v="21"/>
    <n v="18"/>
    <n v="9"/>
    <n v="11"/>
    <n v="59"/>
    <n v="0.96741792204684529"/>
    <n v="22.694936708860759"/>
    <n v="5.3055534129377486"/>
    <n v="22.140506329113926"/>
    <n v="4.9144008395218908"/>
    <n v="10.069620253164556"/>
    <n v="2.1089377326145904"/>
    <n v="10.958227848101266"/>
    <n v="2.2883463843764797"/>
    <n v="-0.31946463958455407"/>
    <n v="-0.84252515501294456"/>
    <n v="-0.5071843689943738"/>
    <n v="1.8254295846087756E-2"/>
    <n v="-0.41272996693644615"/>
  </r>
  <r>
    <x v="18"/>
    <s v="PREP"/>
    <n v="29"/>
    <n v="20"/>
    <n v="10"/>
    <n v="8"/>
    <n v="67"/>
    <n v="2.1543039806456381"/>
    <n v="22.694936708860759"/>
    <n v="5.3055534129377486"/>
    <n v="22.140506329113926"/>
    <n v="4.9144008395218908"/>
    <n v="10.069620253164556"/>
    <n v="2.1089377326145904"/>
    <n v="10.958227848101266"/>
    <n v="2.2883463843764797"/>
    <n v="1.1883893724948953"/>
    <n v="-0.43555794470403231"/>
    <n v="-3.3012000348745997E-2"/>
    <n v="-1.2927360421911447"/>
    <n v="-0.14322915368725692"/>
  </r>
  <r>
    <x v="18"/>
    <s v="PREP"/>
    <n v="25"/>
    <n v="25"/>
    <n v="9"/>
    <n v="13"/>
    <n v="72"/>
    <n v="1.198289379030556"/>
    <n v="22.694936708860759"/>
    <n v="5.3055534129377486"/>
    <n v="22.140506329113926"/>
    <n v="4.9144008395218908"/>
    <n v="10.069620253164556"/>
    <n v="2.1089377326145904"/>
    <n v="10.958227848101266"/>
    <n v="2.2883463843764797"/>
    <n v="0.43446236645517061"/>
    <n v="0.58186008106824816"/>
    <n v="-0.5071843689943738"/>
    <n v="0.89224785453757616"/>
    <n v="0.3503464832666553"/>
  </r>
  <r>
    <x v="18"/>
    <s v="PREP"/>
    <n v="15"/>
    <n v="19"/>
    <n v="8"/>
    <n v="10"/>
    <n v="52"/>
    <n v="1.2247448713915889"/>
    <n v="22.694936708860759"/>
    <n v="5.3055534129377486"/>
    <n v="22.140506329113926"/>
    <n v="4.9144008395218908"/>
    <n v="10.069620253164556"/>
    <n v="2.1089377326145904"/>
    <n v="10.958227848101266"/>
    <n v="2.2883463843764797"/>
    <n v="-1.4503551486441411"/>
    <n v="-0.63904154985848838"/>
    <n v="-0.98135673764000164"/>
    <n v="-0.41874248349965643"/>
    <n v="-0.87237397991057186"/>
  </r>
  <r>
    <x v="18"/>
    <s v="PREP"/>
    <n v="21"/>
    <n v="21"/>
    <n v="11"/>
    <n v="7"/>
    <n v="60"/>
    <n v="1.6602440351979151"/>
    <n v="22.694936708860759"/>
    <n v="5.3055534129377486"/>
    <n v="22.140506329113926"/>
    <n v="4.9144008395218908"/>
    <n v="10.069620253164556"/>
    <n v="2.1089377326145904"/>
    <n v="10.958227848101266"/>
    <n v="2.2883463843764797"/>
    <n v="-0.31946463958455407"/>
    <n v="-0.23207433954957621"/>
    <n v="0.44116036829688182"/>
    <n v="-1.729732821536889"/>
    <n v="-0.46002785809353436"/>
  </r>
  <r>
    <x v="18"/>
    <s v="PREP"/>
    <n v="18"/>
    <n v="19"/>
    <n v="9"/>
    <n v="8"/>
    <n v="54"/>
    <n v="1.0681880176381129"/>
    <n v="22.694936708860759"/>
    <n v="5.3055534129377486"/>
    <n v="22.140506329113926"/>
    <n v="4.9144008395218908"/>
    <n v="10.069620253164556"/>
    <n v="2.1089377326145904"/>
    <n v="10.958227848101266"/>
    <n v="2.2883463843764797"/>
    <n v="-0.88490989411434762"/>
    <n v="-0.63904154985848838"/>
    <n v="-0.5071843689943738"/>
    <n v="-1.2927360421911447"/>
    <n v="-0.83096796378958859"/>
  </r>
  <r>
    <x v="18"/>
    <s v="PREP"/>
    <n v="24"/>
    <n v="20"/>
    <n v="8"/>
    <n v="9"/>
    <n v="61"/>
    <n v="1.5483655567842809"/>
    <n v="22.694936708860759"/>
    <n v="5.3055534129377486"/>
    <n v="22.140506329113926"/>
    <n v="4.9144008395218908"/>
    <n v="10.069620253164556"/>
    <n v="2.1089377326145904"/>
    <n v="10.958227848101266"/>
    <n v="2.2883463843764797"/>
    <n v="0.24598061494523943"/>
    <n v="-0.43555794470403231"/>
    <n v="-0.98135673764000164"/>
    <n v="-0.85573926284540058"/>
    <n v="-0.50666833256104882"/>
  </r>
  <r>
    <x v="18"/>
    <s v="PREP"/>
    <n v="20"/>
    <n v="24"/>
    <n v="9"/>
    <n v="8"/>
    <n v="61"/>
    <n v="1.6525039276108333"/>
    <n v="22.694936708860759"/>
    <n v="5.3055534129377486"/>
    <n v="22.140506329113926"/>
    <n v="4.9144008395218908"/>
    <n v="10.069620253164556"/>
    <n v="2.1089377326145904"/>
    <n v="10.958227848101266"/>
    <n v="2.2883463843764797"/>
    <n v="-0.50794639109448525"/>
    <n v="0.37837647591379209"/>
    <n v="-0.5071843689943738"/>
    <n v="-1.2927360421911447"/>
    <n v="-0.48237258159155294"/>
  </r>
  <r>
    <x v="18"/>
    <s v="PREP"/>
    <n v="22"/>
    <n v="20"/>
    <n v="10"/>
    <n v="13"/>
    <n v="65"/>
    <n v="0.81649658092772581"/>
    <n v="22.694936708860759"/>
    <n v="5.3055534129377486"/>
    <n v="22.140506329113926"/>
    <n v="4.9144008395218908"/>
    <n v="10.069620253164556"/>
    <n v="2.1089377326145904"/>
    <n v="10.958227848101266"/>
    <n v="2.2883463843764797"/>
    <n v="-0.13098288807462291"/>
    <n v="-0.43555794470403231"/>
    <n v="-3.3012000348745997E-2"/>
    <n v="0.89224785453757616"/>
    <n v="7.3173755352543751E-2"/>
  </r>
  <r>
    <x v="18"/>
    <s v="PREP"/>
    <n v="19"/>
    <n v="15"/>
    <n v="7"/>
    <n v="8"/>
    <n v="49"/>
    <n v="1.0127393670836664"/>
    <n v="22.694936708860759"/>
    <n v="5.3055534129377486"/>
    <n v="22.140506329113926"/>
    <n v="4.9144008395218908"/>
    <n v="10.069620253164556"/>
    <n v="2.1089377326145904"/>
    <n v="10.958227848101266"/>
    <n v="2.2883463843764797"/>
    <n v="-0.69642814260441643"/>
    <n v="-1.4529759704763128"/>
    <n v="-1.4555291062856295"/>
    <n v="-1.2927360421911447"/>
    <n v="-1.2244173153893758"/>
  </r>
  <r>
    <x v="18"/>
    <s v="PREP"/>
    <n v="22"/>
    <n v="24"/>
    <n v="10"/>
    <n v="14"/>
    <n v="70"/>
    <n v="0.86971849262290402"/>
    <n v="22.694936708860759"/>
    <n v="5.3055534129377486"/>
    <n v="22.140506329113926"/>
    <n v="4.9144008395218908"/>
    <n v="10.069620253164556"/>
    <n v="2.1089377326145904"/>
    <n v="10.958227848101266"/>
    <n v="2.2883463843764797"/>
    <n v="-0.13098288807462291"/>
    <n v="0.37837647591379209"/>
    <n v="-3.3012000348745997E-2"/>
    <n v="1.3292446338833204"/>
    <n v="0.38590655534343588"/>
  </r>
  <r>
    <x v="18"/>
    <s v="PREP"/>
    <n v="19"/>
    <n v="18"/>
    <n v="9"/>
    <n v="12"/>
    <n v="58"/>
    <n v="0.66022529177352485"/>
    <n v="22.694936708860759"/>
    <n v="5.3055534129377486"/>
    <n v="22.140506329113926"/>
    <n v="4.9144008395218908"/>
    <n v="10.069620253164556"/>
    <n v="2.1089377326145904"/>
    <n v="10.958227848101266"/>
    <n v="2.2883463843764797"/>
    <n v="-0.69642814260441643"/>
    <n v="-0.84252515501294456"/>
    <n v="-0.5071843689943738"/>
    <n v="0.45525107519183194"/>
    <n v="-0.39772164785497566"/>
  </r>
  <r>
    <x v="18"/>
    <s v="PREP"/>
    <n v="22"/>
    <n v="21"/>
    <n v="10"/>
    <n v="12"/>
    <n v="65"/>
    <n v="0.81649658092772603"/>
    <n v="22.694936708860759"/>
    <n v="5.3055534129377486"/>
    <n v="22.140506329113926"/>
    <n v="4.9144008395218908"/>
    <n v="10.069620253164556"/>
    <n v="2.1089377326145904"/>
    <n v="10.958227848101266"/>
    <n v="2.2883463843764797"/>
    <n v="-0.13098288807462291"/>
    <n v="-0.23207433954957621"/>
    <n v="-3.3012000348745997E-2"/>
    <n v="0.45525107519183194"/>
    <n v="1.4795461804721702E-2"/>
  </r>
  <r>
    <x v="18"/>
    <s v="PREP"/>
    <n v="14"/>
    <n v="17"/>
    <n v="8"/>
    <n v="13"/>
    <n v="52"/>
    <n v="0.57735026918962573"/>
    <n v="22.694936708860759"/>
    <n v="5.3055534129377486"/>
    <n v="22.140506329113926"/>
    <n v="4.9144008395218908"/>
    <n v="10.069620253164556"/>
    <n v="2.1089377326145904"/>
    <n v="10.958227848101266"/>
    <n v="2.2883463843764797"/>
    <n v="-1.6388369001540724"/>
    <n v="-1.0460087601674006"/>
    <n v="-0.98135673764000164"/>
    <n v="0.89224785453757616"/>
    <n v="-0.69348863585597464"/>
  </r>
  <r>
    <x v="18"/>
    <s v="PREP"/>
    <n v="17"/>
    <n v="15"/>
    <n v="7"/>
    <n v="10"/>
    <n v="49"/>
    <n v="0.59914468951527811"/>
    <n v="22.694936708860759"/>
    <n v="5.3055534129377486"/>
    <n v="22.140506329113926"/>
    <n v="4.9144008395218908"/>
    <n v="10.069620253164556"/>
    <n v="2.1089377326145904"/>
    <n v="10.958227848101266"/>
    <n v="2.2883463843764797"/>
    <n v="-1.0733916456242787"/>
    <n v="-1.4529759704763128"/>
    <n v="-1.4555291062856295"/>
    <n v="-0.41874248349965643"/>
    <n v="-1.1001598014714693"/>
  </r>
  <r>
    <x v="18"/>
    <s v="PREP"/>
    <n v="15"/>
    <n v="13"/>
    <n v="5"/>
    <n v="10"/>
    <n v="43"/>
    <n v="0.75106761619881079"/>
    <n v="22.694936708860759"/>
    <n v="5.3055534129377486"/>
    <n v="22.140506329113926"/>
    <n v="4.9144008395218908"/>
    <n v="10.069620253164556"/>
    <n v="2.1089377326145904"/>
    <n v="10.958227848101266"/>
    <n v="2.2883463843764797"/>
    <n v="-1.4503551486441411"/>
    <n v="-1.8599431807852249"/>
    <n v="-2.4038738435768852"/>
    <n v="-0.41874248349965643"/>
    <n v="-1.5332286641264767"/>
  </r>
  <r>
    <x v="18"/>
    <s v="PREP"/>
    <n v="15"/>
    <n v="13"/>
    <n v="7"/>
    <n v="10"/>
    <n v="45"/>
    <n v="0.5188745216627707"/>
    <n v="22.694936708860759"/>
    <n v="5.3055534129377486"/>
    <n v="22.140506329113926"/>
    <n v="4.9144008395218908"/>
    <n v="10.069620253164556"/>
    <n v="2.1089377326145904"/>
    <n v="10.958227848101266"/>
    <n v="2.2883463843764797"/>
    <n v="-1.4503551486441411"/>
    <n v="-1.8599431807852249"/>
    <n v="-1.4555291062856295"/>
    <n v="-0.41874248349965643"/>
    <n v="-1.2961424798036629"/>
  </r>
  <r>
    <x v="18"/>
    <s v="PREP"/>
    <n v="22"/>
    <n v="18"/>
    <n v="7"/>
    <n v="10"/>
    <n v="57"/>
    <n v="1.2608503439122305"/>
    <n v="22.694936708860759"/>
    <n v="5.3055534129377486"/>
    <n v="22.140506329113926"/>
    <n v="4.9144008395218908"/>
    <n v="10.069620253164556"/>
    <n v="2.1089377326145904"/>
    <n v="10.958227848101266"/>
    <n v="2.2883463843764797"/>
    <n v="-0.13098288807462291"/>
    <n v="-0.84252515501294456"/>
    <n v="-1.4555291062856295"/>
    <n v="-0.41874248349965643"/>
    <n v="-0.71194490821821332"/>
  </r>
  <r>
    <x v="18"/>
    <s v="PREP"/>
    <n v="24"/>
    <n v="22"/>
    <n v="10"/>
    <n v="11"/>
    <n v="67"/>
    <n v="1.3445044840729645"/>
    <n v="22.694936708860759"/>
    <n v="5.3055534129377486"/>
    <n v="22.140506329113926"/>
    <n v="4.9144008395218908"/>
    <n v="10.069620253164556"/>
    <n v="2.1089377326145904"/>
    <n v="10.958227848101266"/>
    <n v="2.2883463843764797"/>
    <n v="0.24598061494523943"/>
    <n v="-2.8590734395120113E-2"/>
    <n v="-3.3012000348745997E-2"/>
    <n v="1.8254295846087756E-2"/>
    <n v="5.0658044011865272E-2"/>
  </r>
  <r>
    <x v="18"/>
    <s v="PREP"/>
    <n v="25"/>
    <n v="22"/>
    <n v="9"/>
    <n v="13"/>
    <n v="69"/>
    <n v="1.2506408613597126"/>
    <n v="22.694936708860759"/>
    <n v="5.3055534129377486"/>
    <n v="22.140506329113926"/>
    <n v="4.9144008395218908"/>
    <n v="10.069620253164556"/>
    <n v="2.1089377326145904"/>
    <n v="10.958227848101266"/>
    <n v="2.2883463843764797"/>
    <n v="0.43446236645517061"/>
    <n v="-2.8590734395120113E-2"/>
    <n v="-0.5071843689943738"/>
    <n v="0.89224785453757616"/>
    <n v="0.19773377940081321"/>
  </r>
  <r>
    <x v="18"/>
    <s v="PREP"/>
    <n v="24"/>
    <n v="23"/>
    <n v="10"/>
    <n v="13"/>
    <n v="70"/>
    <n v="1.2608503439122305"/>
    <n v="22.694936708860759"/>
    <n v="5.3055534129377486"/>
    <n v="22.140506329113926"/>
    <n v="4.9144008395218908"/>
    <n v="10.069620253164556"/>
    <n v="2.1089377326145904"/>
    <n v="10.958227848101266"/>
    <n v="2.2883463843764797"/>
    <n v="0.24598061494523943"/>
    <n v="0.17489287075933599"/>
    <n v="-3.3012000348745997E-2"/>
    <n v="0.89224785453757616"/>
    <n v="0.3200273349733514"/>
  </r>
  <r>
    <x v="18"/>
    <s v="PREP"/>
    <n v="21"/>
    <n v="20"/>
    <n v="9"/>
    <n v="13"/>
    <n v="63"/>
    <n v="0.80064076902543568"/>
    <n v="22.694936708860759"/>
    <n v="5.3055534129377486"/>
    <n v="22.140506329113926"/>
    <n v="4.9144008395218908"/>
    <n v="10.069620253164556"/>
    <n v="2.1089377326145904"/>
    <n v="10.958227848101266"/>
    <n v="2.2883463843764797"/>
    <n v="-0.31946463958455407"/>
    <n v="-0.43555794470403231"/>
    <n v="-0.5071843689943738"/>
    <n v="0.89224785453757616"/>
    <n v="-9.2489774686345977E-2"/>
  </r>
  <r>
    <x v="18"/>
    <s v="PREP"/>
    <n v="26"/>
    <n v="22"/>
    <n v="10"/>
    <n v="14"/>
    <n v="72"/>
    <n v="1.1982893790305562"/>
    <n v="22.694936708860759"/>
    <n v="5.3055534129377486"/>
    <n v="22.140506329113926"/>
    <n v="4.9144008395218908"/>
    <n v="10.069620253164556"/>
    <n v="2.1089377326145904"/>
    <n v="10.958227848101266"/>
    <n v="2.2883463843764797"/>
    <n v="0.62294411796510174"/>
    <n v="-2.8590734395120113E-2"/>
    <n v="-3.3012000348745997E-2"/>
    <n v="1.3292446338833204"/>
    <n v="0.47264650427613897"/>
  </r>
  <r>
    <x v="18"/>
    <s v="PREP"/>
    <n v="24"/>
    <n v="22"/>
    <n v="9"/>
    <n v="10"/>
    <n v="65"/>
    <n v="1.5811388300841895"/>
    <n v="22.694936708860759"/>
    <n v="5.3055534129377486"/>
    <n v="22.140506329113926"/>
    <n v="4.9144008395218908"/>
    <n v="10.069620253164556"/>
    <n v="2.1089377326145904"/>
    <n v="10.958227848101266"/>
    <n v="2.2883463843764797"/>
    <n v="0.24598061494523943"/>
    <n v="-2.8590734395120113E-2"/>
    <n v="-0.5071843689943738"/>
    <n v="-0.41874248349965643"/>
    <n v="-0.17713424298597774"/>
  </r>
  <r>
    <x v="19"/>
    <s v="PREP"/>
    <n v="24"/>
    <n v="23"/>
    <n v="10"/>
    <n v="12"/>
    <n v="69"/>
    <n v="1.5483655567842816"/>
    <n v="22.694936708860759"/>
    <n v="5.3055534129377486"/>
    <n v="22.140506329113926"/>
    <n v="4.9144008395218908"/>
    <n v="10.069620253164556"/>
    <n v="2.1089377326145904"/>
    <n v="10.958227848101266"/>
    <n v="2.2883463843764797"/>
    <n v="0.24598061494523943"/>
    <n v="0.17489287075933599"/>
    <n v="-3.3012000348745997E-2"/>
    <n v="0.45525107519183194"/>
    <n v="0.21077814013691532"/>
  </r>
  <r>
    <x v="19"/>
    <s v="PREP"/>
    <n v="23"/>
    <n v="24"/>
    <n v="11"/>
    <n v="13"/>
    <n v="71"/>
    <n v="1.3301243435223524"/>
    <n v="22.694936708860759"/>
    <n v="5.3055534129377486"/>
    <n v="22.140506329113926"/>
    <n v="4.9144008395218908"/>
    <n v="10.069620253164556"/>
    <n v="2.1089377326145904"/>
    <n v="10.958227848101266"/>
    <n v="2.2883463843764797"/>
    <n v="5.7498863435308259E-2"/>
    <n v="0.37837647591379209"/>
    <n v="0.44116036829688182"/>
    <n v="0.89224785453757616"/>
    <n v="0.44232089054588958"/>
  </r>
  <r>
    <x v="19"/>
    <s v="PREP"/>
    <n v="17"/>
    <n v="16"/>
    <n v="7"/>
    <n v="7"/>
    <n v="47"/>
    <n v="1.192927878405448"/>
    <n v="22.694936708860759"/>
    <n v="5.3055534129377486"/>
    <n v="22.140506329113926"/>
    <n v="4.9144008395218908"/>
    <n v="10.069620253164556"/>
    <n v="2.1089377326145904"/>
    <n v="10.958227848101266"/>
    <n v="2.2883463843764797"/>
    <n v="-1.0733916456242787"/>
    <n v="-1.2494923653218568"/>
    <n v="-1.4555291062856295"/>
    <n v="-1.729732821536889"/>
    <n v="-1.3770364846921637"/>
  </r>
  <r>
    <x v="19"/>
    <s v="PREP"/>
    <n v="21"/>
    <n v="20"/>
    <n v="11"/>
    <n v="10"/>
    <n v="62"/>
    <n v="1.2351684199496948"/>
    <n v="22.694936708860759"/>
    <n v="5.3055534129377486"/>
    <n v="22.140506329113926"/>
    <n v="4.9144008395218908"/>
    <n v="10.069620253164556"/>
    <n v="2.1089377326145904"/>
    <n v="10.958227848101266"/>
    <n v="2.2883463843764797"/>
    <n v="-0.31946463958455407"/>
    <n v="-0.43555794470403231"/>
    <n v="0.44116036829688182"/>
    <n v="-0.41874248349965643"/>
    <n v="-0.18315117487284024"/>
  </r>
  <r>
    <x v="19"/>
    <s v="PREP"/>
    <n v="25"/>
    <n v="20"/>
    <n v="12"/>
    <n v="12"/>
    <n v="69"/>
    <n v="1.4366984945013914"/>
    <n v="22.694936708860759"/>
    <n v="5.3055534129377486"/>
    <n v="22.140506329113926"/>
    <n v="4.9144008395218908"/>
    <n v="10.069620253164556"/>
    <n v="2.1089377326145904"/>
    <n v="10.958227848101266"/>
    <n v="2.2883463843764797"/>
    <n v="0.43446236645517061"/>
    <n v="-0.43555794470403231"/>
    <n v="0.91533273694250961"/>
    <n v="0.45525107519183194"/>
    <n v="0.34237205847136998"/>
  </r>
  <r>
    <x v="19"/>
    <s v="PREP"/>
    <n v="22"/>
    <n v="22"/>
    <n v="11"/>
    <n v="12"/>
    <n v="67"/>
    <n v="1.281025230440697"/>
    <n v="22.694936708860759"/>
    <n v="5.3055534129377486"/>
    <n v="22.140506329113926"/>
    <n v="4.9144008395218908"/>
    <n v="10.069620253164556"/>
    <n v="2.1089377326145904"/>
    <n v="10.958227848101266"/>
    <n v="2.2883463843764797"/>
    <n v="-0.13098288807462291"/>
    <n v="-2.8590734395120113E-2"/>
    <n v="0.44116036829688182"/>
    <n v="0.45525107519183194"/>
    <n v="0.18420945525474269"/>
  </r>
  <r>
    <x v="19"/>
    <s v="PREP"/>
    <n v="15"/>
    <n v="20"/>
    <n v="11"/>
    <n v="9"/>
    <n v="55"/>
    <n v="1.2351684199496948"/>
    <n v="22.694936708860759"/>
    <n v="5.3055534129377486"/>
    <n v="22.140506329113926"/>
    <n v="4.9144008395218908"/>
    <n v="10.069620253164556"/>
    <n v="2.1089377326145904"/>
    <n v="10.958227848101266"/>
    <n v="2.2883463843764797"/>
    <n v="-1.4503551486441411"/>
    <n v="-0.43555794470403231"/>
    <n v="0.44116036829688182"/>
    <n v="-0.85573926284540058"/>
    <n v="-0.57512299697417302"/>
  </r>
  <r>
    <x v="19"/>
    <s v="PREP"/>
    <n v="24"/>
    <n v="25"/>
    <n v="12"/>
    <n v="13"/>
    <n v="74"/>
    <n v="1.3774744634423888"/>
    <n v="22.694936708860759"/>
    <n v="5.3055534129377486"/>
    <n v="22.140506329113926"/>
    <n v="4.9144008395218908"/>
    <n v="10.069620253164556"/>
    <n v="2.1089377326145904"/>
    <n v="10.958227848101266"/>
    <n v="2.2883463843764797"/>
    <n v="0.24598061494523943"/>
    <n v="0.58186008106824816"/>
    <n v="0.91533273694250961"/>
    <n v="0.89224785453757616"/>
    <n v="0.65885532187339335"/>
  </r>
  <r>
    <x v="19"/>
    <s v="PREP"/>
    <n v="18"/>
    <n v="20"/>
    <n v="10"/>
    <n v="10"/>
    <n v="58"/>
    <n v="1.0500305245868344"/>
    <n v="22.694936708860759"/>
    <n v="5.3055534129377486"/>
    <n v="22.140506329113926"/>
    <n v="4.9144008395218908"/>
    <n v="10.069620253164556"/>
    <n v="2.1089377326145904"/>
    <n v="10.958227848101266"/>
    <n v="2.2883463843764797"/>
    <n v="-0.88490989411434762"/>
    <n v="-0.43555794470403231"/>
    <n v="-3.3012000348745997E-2"/>
    <n v="-0.41874248349965643"/>
    <n v="-0.44305558066669559"/>
  </r>
  <r>
    <x v="19"/>
    <s v="PREP"/>
    <n v="18"/>
    <n v="19"/>
    <n v="9"/>
    <n v="8"/>
    <n v="54"/>
    <n v="1.2142318453899048"/>
    <n v="22.694936708860759"/>
    <n v="5.3055534129377486"/>
    <n v="22.140506329113926"/>
    <n v="4.9144008395218908"/>
    <n v="10.069620253164556"/>
    <n v="2.1089377326145904"/>
    <n v="10.958227848101266"/>
    <n v="2.2883463843764797"/>
    <n v="-0.88490989411434762"/>
    <n v="-0.63904154985848838"/>
    <n v="-0.5071843689943738"/>
    <n v="-1.2927360421911447"/>
    <n v="-0.83096796378958859"/>
  </r>
  <r>
    <x v="19"/>
    <s v="PREP"/>
    <n v="23"/>
    <n v="21"/>
    <n v="10"/>
    <n v="9"/>
    <n v="63"/>
    <n v="1.4051188470584872"/>
    <n v="22.694936708860759"/>
    <n v="5.3055534129377486"/>
    <n v="22.140506329113926"/>
    <n v="4.9144008395218908"/>
    <n v="10.069620253164556"/>
    <n v="2.1089377326145904"/>
    <n v="10.958227848101266"/>
    <n v="2.2883463843764797"/>
    <n v="5.7498863435308259E-2"/>
    <n v="-0.23207433954957621"/>
    <n v="-3.3012000348745997E-2"/>
    <n v="-0.85573926284540058"/>
    <n v="-0.26583168482710362"/>
  </r>
  <r>
    <x v="19"/>
    <s v="PREP"/>
    <n v="16"/>
    <n v="18"/>
    <n v="9"/>
    <n v="10"/>
    <n v="53"/>
    <n v="0.75955452531274981"/>
    <n v="22.694936708860759"/>
    <n v="5.3055534129377486"/>
    <n v="22.140506329113926"/>
    <n v="4.9144008395218908"/>
    <n v="10.069620253164556"/>
    <n v="2.1089377326145904"/>
    <n v="10.958227848101266"/>
    <n v="2.2883463843764797"/>
    <n v="-1.26187339713421"/>
    <n v="-0.84252515501294456"/>
    <n v="-0.5071843689943738"/>
    <n v="-0.41874248349965643"/>
    <n v="-0.75758135116029612"/>
  </r>
  <r>
    <x v="19"/>
    <s v="PREP"/>
    <n v="24"/>
    <n v="26"/>
    <n v="10"/>
    <n v="12"/>
    <n v="72"/>
    <n v="1.5607361839521232"/>
    <n v="22.694936708860759"/>
    <n v="5.3055534129377486"/>
    <n v="22.140506329113926"/>
    <n v="4.9144008395218908"/>
    <n v="10.069620253164556"/>
    <n v="2.1089377326145904"/>
    <n v="10.958227848101266"/>
    <n v="2.2883463843764797"/>
    <n v="0.24598061494523943"/>
    <n v="0.78534368622270434"/>
    <n v="-3.3012000348745997E-2"/>
    <n v="0.45525107519183194"/>
    <n v="0.36339084400275745"/>
  </r>
  <r>
    <x v="19"/>
    <s v="PREP"/>
    <n v="18"/>
    <n v="18"/>
    <n v="9"/>
    <n v="10"/>
    <n v="55"/>
    <n v="1.0919284281983375"/>
    <n v="22.694936708860759"/>
    <n v="5.3055534129377486"/>
    <n v="22.140506329113926"/>
    <n v="4.9144008395218908"/>
    <n v="10.069620253164556"/>
    <n v="2.1089377326145904"/>
    <n v="10.958227848101266"/>
    <n v="2.2883463843764797"/>
    <n v="-0.88490989411434762"/>
    <n v="-0.84252515501294456"/>
    <n v="-0.5071843689943738"/>
    <n v="-0.41874248349965643"/>
    <n v="-0.66334047540533059"/>
  </r>
  <r>
    <x v="19"/>
    <s v="PREP"/>
    <n v="17"/>
    <n v="16"/>
    <n v="8"/>
    <n v="9"/>
    <n v="50"/>
    <n v="0.98709623358564946"/>
    <n v="22.694936708860759"/>
    <n v="5.3055534129377486"/>
    <n v="22.140506329113926"/>
    <n v="4.9144008395218908"/>
    <n v="10.069620253164556"/>
    <n v="2.1089377326145904"/>
    <n v="10.958227848101266"/>
    <n v="2.2883463843764797"/>
    <n v="-1.0733916456242787"/>
    <n v="-1.2494923653218568"/>
    <n v="-0.98135673764000164"/>
    <n v="-0.85573926284540058"/>
    <n v="-1.0399950028578844"/>
  </r>
  <r>
    <x v="19"/>
    <s v="PREP"/>
    <n v="24"/>
    <n v="26"/>
    <n v="10"/>
    <n v="12"/>
    <n v="72"/>
    <n v="1.2659242088545832"/>
    <n v="22.694936708860759"/>
    <n v="5.3055534129377486"/>
    <n v="22.140506329113926"/>
    <n v="4.9144008395218908"/>
    <n v="10.069620253164556"/>
    <n v="2.1089377326145904"/>
    <n v="10.958227848101266"/>
    <n v="2.2883463843764797"/>
    <n v="0.24598061494523943"/>
    <n v="0.78534368622270434"/>
    <n v="-3.3012000348745997E-2"/>
    <n v="0.45525107519183194"/>
    <n v="0.36339084400275745"/>
  </r>
  <r>
    <x v="19"/>
    <s v="PREP"/>
    <n v="17"/>
    <n v="19"/>
    <n v="8"/>
    <n v="9"/>
    <n v="53"/>
    <n v="0.86231649850257641"/>
    <n v="22.694936708860759"/>
    <n v="5.3055534129377486"/>
    <n v="22.140506329113926"/>
    <n v="4.9144008395218908"/>
    <n v="10.069620253164556"/>
    <n v="2.1089377326145904"/>
    <n v="10.958227848101266"/>
    <n v="2.2883463843764797"/>
    <n v="-1.0733916456242787"/>
    <n v="-0.63904154985848838"/>
    <n v="-0.98135673764000164"/>
    <n v="-0.85573926284540058"/>
    <n v="-0.88738229899204235"/>
  </r>
  <r>
    <x v="19"/>
    <s v="PREP"/>
    <n v="21"/>
    <n v="21"/>
    <n v="9"/>
    <n v="12"/>
    <n v="63"/>
    <n v="1.0681880176381127"/>
    <n v="22.694936708860759"/>
    <n v="5.3055534129377486"/>
    <n v="22.140506329113926"/>
    <n v="4.9144008395218908"/>
    <n v="10.069620253164556"/>
    <n v="2.1089377326145904"/>
    <n v="10.958227848101266"/>
    <n v="2.2883463843764797"/>
    <n v="-0.31946463958455407"/>
    <n v="-0.23207433954957621"/>
    <n v="-0.5071843689943738"/>
    <n v="0.45525107519183194"/>
    <n v="-0.15086806823416804"/>
  </r>
  <r>
    <x v="19"/>
    <s v="PREP"/>
    <n v="21"/>
    <n v="23"/>
    <n v="10"/>
    <n v="12"/>
    <n v="66"/>
    <n v="1.1151635501529555"/>
    <n v="22.694936708860759"/>
    <n v="5.3055534129377486"/>
    <n v="22.140506329113926"/>
    <n v="4.9144008395218908"/>
    <n v="10.069620253164556"/>
    <n v="2.1089377326145904"/>
    <n v="10.958227848101266"/>
    <n v="2.2883463843764797"/>
    <n v="-0.31946463958455407"/>
    <n v="0.17489287075933599"/>
    <n v="-3.3012000348745997E-2"/>
    <n v="0.45525107519183194"/>
    <n v="6.9416826504466969E-2"/>
  </r>
  <r>
    <x v="19"/>
    <s v="PREP"/>
    <n v="18"/>
    <n v="22"/>
    <n v="9"/>
    <n v="12"/>
    <n v="61"/>
    <n v="1.0315534712764838"/>
    <n v="22.694936708860759"/>
    <n v="5.3055534129377486"/>
    <n v="22.140506329113926"/>
    <n v="4.9144008395218908"/>
    <n v="10.069620253164556"/>
    <n v="2.1089377326145904"/>
    <n v="10.958227848101266"/>
    <n v="2.2883463843764797"/>
    <n v="-0.88490989411434762"/>
    <n v="-2.8590734395120113E-2"/>
    <n v="-0.5071843689943738"/>
    <n v="0.45525107519183194"/>
    <n v="-0.24135848057800241"/>
  </r>
  <r>
    <x v="19"/>
    <s v="PREP"/>
    <n v="20"/>
    <n v="19"/>
    <n v="8"/>
    <n v="11"/>
    <n v="58"/>
    <n v="1.0500305245868342"/>
    <n v="22.694936708860759"/>
    <n v="5.3055534129377486"/>
    <n v="22.140506329113926"/>
    <n v="4.9144008395218908"/>
    <n v="10.069620253164556"/>
    <n v="2.1089377326145904"/>
    <n v="10.958227848101266"/>
    <n v="2.2883463843764797"/>
    <n v="-0.50794639109448525"/>
    <n v="-0.63904154985848838"/>
    <n v="-0.98135673764000164"/>
    <n v="1.8254295846087756E-2"/>
    <n v="-0.52752259568672177"/>
  </r>
  <r>
    <x v="19"/>
    <s v="PREP"/>
    <n v="22"/>
    <n v="22"/>
    <n v="10"/>
    <n v="12"/>
    <n v="66"/>
    <n v="1.0377490433255412"/>
    <n v="22.694936708860759"/>
    <n v="5.3055534129377486"/>
    <n v="22.140506329113926"/>
    <n v="4.9144008395218908"/>
    <n v="10.069620253164556"/>
    <n v="2.1089377326145904"/>
    <n v="10.958227848101266"/>
    <n v="2.2883463843764797"/>
    <n v="-0.13098288807462291"/>
    <n v="-2.8590734395120113E-2"/>
    <n v="-3.3012000348745997E-2"/>
    <n v="0.45525107519183194"/>
    <n v="6.5666363093335733E-2"/>
  </r>
  <r>
    <x v="19"/>
    <s v="PREP"/>
    <n v="18"/>
    <n v="18"/>
    <n v="10"/>
    <n v="10"/>
    <n v="56"/>
    <n v="0.85485041426511055"/>
    <n v="22.694936708860759"/>
    <n v="5.3055534129377486"/>
    <n v="22.140506329113926"/>
    <n v="4.9144008395218908"/>
    <n v="10.069620253164556"/>
    <n v="2.1089377326145904"/>
    <n v="10.958227848101266"/>
    <n v="2.2883463843764797"/>
    <n v="-0.88490989411434762"/>
    <n v="-0.84252515501294456"/>
    <n v="-3.3012000348745997E-2"/>
    <n v="-0.41874248349965643"/>
    <n v="-0.54479738324392368"/>
  </r>
  <r>
    <x v="19"/>
    <s v="PREP"/>
    <n v="29"/>
    <n v="25"/>
    <n v="12"/>
    <n v="14"/>
    <n v="80"/>
    <n v="1.6756169931378435"/>
    <n v="22.694936708860759"/>
    <n v="5.3055534129377486"/>
    <n v="22.140506329113926"/>
    <n v="4.9144008395218908"/>
    <n v="10.069620253164556"/>
    <n v="2.1089377326145904"/>
    <n v="10.958227848101266"/>
    <n v="2.2883463843764797"/>
    <n v="1.1883893724948953"/>
    <n v="0.58186008106824816"/>
    <n v="0.91533273694250961"/>
    <n v="1.3292446338833204"/>
    <n v="1.0037067060972433"/>
  </r>
  <r>
    <x v="19"/>
    <s v="PREP"/>
    <n v="26"/>
    <n v="26"/>
    <n v="12"/>
    <n v="14"/>
    <n v="78"/>
    <n v="1.3540064007726598"/>
    <n v="22.694936708860759"/>
    <n v="5.3055534129377486"/>
    <n v="22.140506329113926"/>
    <n v="4.9144008395218908"/>
    <n v="10.069620253164556"/>
    <n v="2.1089377326145904"/>
    <n v="10.958227848101266"/>
    <n v="2.2883463843764797"/>
    <n v="0.62294411796510174"/>
    <n v="0.78534368622270434"/>
    <n v="0.91533273694250961"/>
    <n v="1.3292446338833204"/>
    <n v="0.91321629375340896"/>
  </r>
  <r>
    <x v="19"/>
    <s v="PREP"/>
    <n v="25"/>
    <n v="25"/>
    <n v="12"/>
    <n v="13"/>
    <n v="75"/>
    <n v="1.4806443503784736"/>
    <n v="22.694936708860759"/>
    <n v="5.3055534129377486"/>
    <n v="22.140506329113926"/>
    <n v="4.9144008395218908"/>
    <n v="10.069620253164556"/>
    <n v="2.1089377326145904"/>
    <n v="10.958227848101266"/>
    <n v="2.2883463843764797"/>
    <n v="0.43446236645517061"/>
    <n v="0.58186008106824816"/>
    <n v="0.91533273694250961"/>
    <n v="0.89224785453757616"/>
    <n v="0.70597575975087612"/>
  </r>
  <r>
    <x v="19"/>
    <s v="PREP"/>
    <n v="23"/>
    <n v="23"/>
    <n v="12"/>
    <n v="14"/>
    <n v="72"/>
    <n v="1.3301243435223526"/>
    <n v="22.694936708860759"/>
    <n v="5.3055534129377486"/>
    <n v="22.140506329113926"/>
    <n v="4.9144008395218908"/>
    <n v="10.069620253164556"/>
    <n v="2.1089377326145904"/>
    <n v="10.958227848101266"/>
    <n v="2.2883463843764797"/>
    <n v="5.7498863435308259E-2"/>
    <n v="0.17489287075933599"/>
    <n v="0.91533273694250961"/>
    <n v="1.3292446338833204"/>
    <n v="0.61924227625511863"/>
  </r>
  <r>
    <x v="19"/>
    <s v="PREP"/>
    <n v="20"/>
    <n v="23"/>
    <n v="11"/>
    <n v="14"/>
    <n v="68"/>
    <n v="1.3008872711759818"/>
    <n v="22.694936708860759"/>
    <n v="5.3055534129377486"/>
    <n v="22.140506329113926"/>
    <n v="4.9144008395218908"/>
    <n v="10.069620253164556"/>
    <n v="2.1089377326145904"/>
    <n v="10.958227848101266"/>
    <n v="2.2883463843764797"/>
    <n v="-0.50794639109448525"/>
    <n v="0.17489287075933599"/>
    <n v="0.44116036829688182"/>
    <n v="1.3292446338833204"/>
    <n v="0.35933787046126325"/>
  </r>
  <r>
    <x v="19"/>
    <s v="PREP"/>
    <n v="25"/>
    <n v="24"/>
    <n v="11"/>
    <n v="12"/>
    <n v="72"/>
    <n v="1.5607361839521232"/>
    <n v="22.694936708860759"/>
    <n v="5.3055534129377486"/>
    <n v="22.140506329113926"/>
    <n v="4.9144008395218908"/>
    <n v="10.069620253164556"/>
    <n v="2.1089377326145904"/>
    <n v="10.958227848101266"/>
    <n v="2.2883463843764797"/>
    <n v="0.43446236645517061"/>
    <n v="0.37837647591379209"/>
    <n v="0.44116036829688182"/>
    <n v="0.45525107519183194"/>
    <n v="0.42731257146441914"/>
  </r>
  <r>
    <x v="19"/>
    <s v="PREP"/>
    <n v="24"/>
    <n v="24"/>
    <n v="10"/>
    <n v="13"/>
    <n v="71"/>
    <n v="1.2659242088545835"/>
    <n v="22.694936708860759"/>
    <n v="5.3055534129377486"/>
    <n v="22.140506329113926"/>
    <n v="4.9144008395218908"/>
    <n v="10.069620253164556"/>
    <n v="2.1089377326145904"/>
    <n v="10.958227848101266"/>
    <n v="2.2883463843764797"/>
    <n v="0.24598061494523943"/>
    <n v="0.37837647591379209"/>
    <n v="-3.3012000348745997E-2"/>
    <n v="0.89224785453757616"/>
    <n v="0.37089823626196539"/>
  </r>
  <r>
    <x v="20"/>
    <s v="PREP"/>
    <n v="25"/>
    <n v="27"/>
    <n v="11"/>
    <n v="11"/>
    <n v="74"/>
    <n v="1.8432134703923735"/>
    <n v="22.694936708860759"/>
    <n v="5.3055534129377486"/>
    <n v="22.140506329113926"/>
    <n v="4.9144008395218908"/>
    <n v="10.069620253164556"/>
    <n v="2.1089377326145904"/>
    <n v="10.958227848101266"/>
    <n v="2.2883463843764797"/>
    <n v="0.43446236645517061"/>
    <n v="0.98882729137716041"/>
    <n v="0.44116036829688182"/>
    <n v="1.8254295846087756E-2"/>
    <n v="0.4706760804938252"/>
  </r>
  <r>
    <x v="20"/>
    <s v="PREP"/>
    <n v="19"/>
    <n v="20"/>
    <n v="8"/>
    <n v="9"/>
    <n v="56"/>
    <n v="1.4935759876113539"/>
    <n v="22.694936708860759"/>
    <n v="5.3055534129377486"/>
    <n v="22.140506329113926"/>
    <n v="4.9144008395218908"/>
    <n v="10.069620253164556"/>
    <n v="2.1089377326145904"/>
    <n v="10.958227848101266"/>
    <n v="2.2883463843764797"/>
    <n v="-0.69642814260441643"/>
    <n v="-0.43555794470403231"/>
    <n v="-0.98135673764000164"/>
    <n v="-0.85573926284540058"/>
    <n v="-0.74227052194846266"/>
  </r>
  <r>
    <x v="20"/>
    <s v="PREP"/>
    <n v="28"/>
    <n v="28"/>
    <n v="12"/>
    <n v="11"/>
    <n v="79"/>
    <n v="2.2532028485964322"/>
    <n v="22.694936708860759"/>
    <n v="5.3055534129377486"/>
    <n v="22.140506329113926"/>
    <n v="4.9144008395218908"/>
    <n v="10.069620253164556"/>
    <n v="2.1089377326145904"/>
    <n v="10.958227848101266"/>
    <n v="2.2883463843764797"/>
    <n v="0.99990762098496411"/>
    <n v="1.1923108965316165"/>
    <n v="0.91533273694250961"/>
    <n v="1.8254295846087756E-2"/>
    <n v="0.78145138757629451"/>
  </r>
  <r>
    <x v="20"/>
    <s v="PREP"/>
    <n v="26"/>
    <n v="30"/>
    <n v="12"/>
    <n v="8"/>
    <n v="76"/>
    <n v="2.7642405179408032"/>
    <n v="22.694936708860759"/>
    <n v="5.3055534129377486"/>
    <n v="22.140506329113926"/>
    <n v="4.9144008395218908"/>
    <n v="10.069620253164556"/>
    <n v="2.1089377326145904"/>
    <n v="10.958227848101266"/>
    <n v="2.2883463843764797"/>
    <n v="0.62294411796510174"/>
    <n v="1.5992781068405286"/>
    <n v="0.91533273694250961"/>
    <n v="-1.2927360421911447"/>
    <n v="0.46120472988924882"/>
  </r>
  <r>
    <x v="20"/>
    <s v="PREP"/>
    <n v="26"/>
    <n v="29"/>
    <n v="11"/>
    <n v="14"/>
    <n v="80"/>
    <n v="2.034951016861497"/>
    <n v="22.694936708860759"/>
    <n v="5.3055534129377486"/>
    <n v="22.140506329113926"/>
    <n v="4.9144008395218908"/>
    <n v="10.069620253164556"/>
    <n v="2.1089377326145904"/>
    <n v="10.958227848101266"/>
    <n v="2.2883463843764797"/>
    <n v="0.62294411796510174"/>
    <n v="1.3957945016860727"/>
    <n v="0.44116036829688182"/>
    <n v="1.3292446338833204"/>
    <n v="0.94728590545784419"/>
  </r>
  <r>
    <x v="20"/>
    <s v="PREP"/>
    <n v="29"/>
    <n v="24"/>
    <n v="12"/>
    <n v="9"/>
    <n v="74"/>
    <n v="2.3588350014578308"/>
    <n v="22.694936708860759"/>
    <n v="5.3055534129377486"/>
    <n v="22.140506329113926"/>
    <n v="4.9144008395218908"/>
    <n v="10.069620253164556"/>
    <n v="2.1089377326145904"/>
    <n v="10.958227848101266"/>
    <n v="2.2883463843764797"/>
    <n v="1.1883893724948953"/>
    <n v="0.37837647591379209"/>
    <n v="0.91533273694250961"/>
    <n v="-0.85573926284540058"/>
    <n v="0.4065898306264491"/>
  </r>
  <r>
    <x v="20"/>
    <s v="PREP"/>
    <n v="8"/>
    <n v="24"/>
    <n v="11"/>
    <n v="5"/>
    <n v="48"/>
    <n v="2.8102376941169758"/>
    <n v="22.694936708860759"/>
    <n v="5.3055534129377486"/>
    <n v="22.140506329113926"/>
    <n v="4.9144008395218908"/>
    <n v="10.069620253164556"/>
    <n v="2.1089377326145904"/>
    <n v="10.958227848101266"/>
    <n v="2.2883463843764797"/>
    <n v="-2.7697274092136595"/>
    <n v="0.37837647591379209"/>
    <n v="0.44116036829688182"/>
    <n v="-2.6037263802283772"/>
    <n v="-1.1384792363078406"/>
  </r>
  <r>
    <x v="20"/>
    <s v="PREP"/>
    <n v="27"/>
    <n v="29"/>
    <n v="12"/>
    <n v="12"/>
    <n v="80"/>
    <n v="2.3038429433649132"/>
    <n v="22.694936708860759"/>
    <n v="5.3055534129377486"/>
    <n v="22.140506329113926"/>
    <n v="4.9144008395218908"/>
    <n v="10.069620253164556"/>
    <n v="2.1089377326145904"/>
    <n v="10.958227848101266"/>
    <n v="2.2883463843764797"/>
    <n v="0.81142586947503292"/>
    <n v="1.3957945016860727"/>
    <n v="0.91533273694250961"/>
    <n v="0.45525107519183194"/>
    <n v="0.89445104582386181"/>
  </r>
  <r>
    <x v="21"/>
    <s v="PREP"/>
    <n v="27"/>
    <n v="27"/>
    <n v="11"/>
    <n v="10"/>
    <n v="75"/>
    <n v="1.9644272343292228"/>
    <n v="22.694936708860759"/>
    <n v="5.3055534129377486"/>
    <n v="22.140506329113926"/>
    <n v="4.9144008395218908"/>
    <n v="10.069620253164556"/>
    <n v="2.1089377326145904"/>
    <n v="10.958227848101266"/>
    <n v="2.2883463843764797"/>
    <n v="0.81142586947503292"/>
    <n v="0.98882729137716041"/>
    <n v="0.44116036829688182"/>
    <n v="-0.41874248349965643"/>
    <n v="0.45566776141235471"/>
  </r>
  <r>
    <x v="21"/>
    <s v="PREP"/>
    <n v="17"/>
    <n v="17"/>
    <n v="9"/>
    <n v="7"/>
    <n v="50"/>
    <n v="1.0681880176381131"/>
    <n v="22.694936708860759"/>
    <n v="5.3055534129377486"/>
    <n v="22.140506329113926"/>
    <n v="4.9144008395218908"/>
    <n v="10.069620253164556"/>
    <n v="2.1089377326145904"/>
    <n v="10.958227848101266"/>
    <n v="2.2883463843764797"/>
    <n v="-1.0733916456242787"/>
    <n v="-1.0460087601674006"/>
    <n v="-0.5071843689943738"/>
    <n v="-1.729732821536889"/>
    <n v="-1.0890793990807355"/>
  </r>
  <r>
    <x v="21"/>
    <s v="PREP"/>
    <n v="29"/>
    <n v="24"/>
    <n v="12"/>
    <n v="13"/>
    <n v="78"/>
    <n v="1.5275252316519465"/>
    <n v="22.694936708860759"/>
    <n v="5.3055534129377486"/>
    <n v="22.140506329113926"/>
    <n v="4.9144008395218908"/>
    <n v="10.069620253164556"/>
    <n v="2.1089377326145904"/>
    <n v="10.958227848101266"/>
    <n v="2.2883463843764797"/>
    <n v="1.1883893724948953"/>
    <n v="0.37837647591379209"/>
    <n v="0.91533273694250961"/>
    <n v="0.89224785453757616"/>
    <n v="0.84358660997219326"/>
  </r>
  <r>
    <x v="21"/>
    <s v="PREP"/>
    <n v="23"/>
    <n v="21"/>
    <n v="12"/>
    <n v="10"/>
    <n v="66"/>
    <n v="1.8009968749527976"/>
    <n v="22.694936708860759"/>
    <n v="5.3055534129377486"/>
    <n v="22.140506329113926"/>
    <n v="4.9144008395218908"/>
    <n v="10.069620253164556"/>
    <n v="2.1089377326145904"/>
    <n v="10.958227848101266"/>
    <n v="2.2883463843764797"/>
    <n v="5.7498863435308259E-2"/>
    <n v="-0.23207433954957621"/>
    <n v="0.91533273694250961"/>
    <n v="-0.41874248349965643"/>
    <n v="8.0503694332146311E-2"/>
  </r>
  <r>
    <x v="21"/>
    <s v="PREP"/>
    <n v="30"/>
    <n v="23"/>
    <n v="13"/>
    <n v="14"/>
    <n v="80"/>
    <n v="1.863963243832607"/>
    <n v="22.694936708860759"/>
    <n v="5.3055534129377486"/>
    <n v="22.140506329113926"/>
    <n v="4.9144008395218908"/>
    <n v="10.069620253164556"/>
    <n v="2.1089377326145904"/>
    <n v="10.958227848101266"/>
    <n v="2.2883463843764797"/>
    <n v="1.3768711240048266"/>
    <n v="0.17489287075933599"/>
    <n v="1.3895051055881373"/>
    <n v="1.3292446338833204"/>
    <n v="1.067628433558905"/>
  </r>
  <r>
    <x v="21"/>
    <s v="PREP"/>
    <n v="28"/>
    <n v="22"/>
    <n v="11"/>
    <n v="9"/>
    <n v="70"/>
    <n v="2.1423686866978775"/>
    <n v="22.694936708860759"/>
    <n v="5.3055534129377486"/>
    <n v="22.140506329113926"/>
    <n v="4.9144008395218908"/>
    <n v="10.069620253164556"/>
    <n v="2.1089377326145904"/>
    <n v="10.958227848101266"/>
    <n v="2.2883463843764797"/>
    <n v="0.99990762098496411"/>
    <n v="-2.8590734395120113E-2"/>
    <n v="0.44116036829688182"/>
    <n v="-0.85573926284540058"/>
    <n v="0.13918449801033128"/>
  </r>
  <r>
    <x v="21"/>
    <s v="PREP"/>
    <n v="8"/>
    <n v="18"/>
    <n v="12"/>
    <n v="9"/>
    <n v="47"/>
    <n v="1.6602440351979151"/>
    <n v="22.694936708860759"/>
    <n v="5.3055534129377486"/>
    <n v="22.140506329113926"/>
    <n v="4.9144008395218908"/>
    <n v="10.069620253164556"/>
    <n v="2.1089377326145904"/>
    <n v="10.958227848101266"/>
    <n v="2.2883463843764797"/>
    <n v="-2.7697274092136595"/>
    <n v="-0.84252515501294456"/>
    <n v="0.91533273694250961"/>
    <n v="-0.85573926284540058"/>
    <n v="-0.8881647725323738"/>
  </r>
  <r>
    <x v="21"/>
    <s v="PREP"/>
    <n v="30"/>
    <n v="25"/>
    <n v="12"/>
    <n v="12"/>
    <n v="79"/>
    <n v="1.9774368283857795"/>
    <n v="22.694936708860759"/>
    <n v="5.3055534129377486"/>
    <n v="22.140506329113926"/>
    <n v="4.9144008395218908"/>
    <n v="10.069620253164556"/>
    <n v="2.1089377326145904"/>
    <n v="10.958227848101266"/>
    <n v="2.2883463843764797"/>
    <n v="1.3768711240048266"/>
    <n v="0.58186008106824816"/>
    <n v="0.91533273694250961"/>
    <n v="0.45525107519183194"/>
    <n v="0.83232875430185405"/>
  </r>
  <r>
    <x v="21"/>
    <s v="PREP"/>
    <n v="23"/>
    <n v="20"/>
    <n v="10"/>
    <n v="12"/>
    <n v="65"/>
    <n v="1.3540064007726598"/>
    <n v="22.694936708860759"/>
    <n v="5.3055534129377486"/>
    <n v="22.140506329113926"/>
    <n v="4.9144008395218908"/>
    <n v="10.069620253164556"/>
    <n v="2.1089377326145904"/>
    <n v="10.958227848101266"/>
    <n v="2.2883463843764797"/>
    <n v="5.7498863435308259E-2"/>
    <n v="-0.43555794470403231"/>
    <n v="-3.3012000348745997E-2"/>
    <n v="0.45525107519183194"/>
    <n v="1.1044998393590466E-2"/>
  </r>
  <r>
    <x v="21"/>
    <s v="PREP"/>
    <n v="26"/>
    <n v="25"/>
    <n v="8"/>
    <n v="10"/>
    <n v="69"/>
    <n v="2.4961508830135308"/>
    <n v="22.694936708860759"/>
    <n v="5.3055534129377486"/>
    <n v="22.140506329113926"/>
    <n v="4.9144008395218908"/>
    <n v="10.069620253164556"/>
    <n v="2.1089377326145904"/>
    <n v="10.958227848101266"/>
    <n v="2.2883463843764797"/>
    <n v="0.62294411796510174"/>
    <n v="0.58186008106824816"/>
    <n v="-0.98135673764000164"/>
    <n v="-0.41874248349965643"/>
    <n v="-4.8823755526577015E-2"/>
  </r>
  <r>
    <x v="21"/>
    <s v="PREP"/>
    <n v="25"/>
    <n v="23"/>
    <n v="11"/>
    <n v="13"/>
    <n v="72"/>
    <n v="1.5607361839521232"/>
    <n v="22.694936708860759"/>
    <n v="5.3055534129377486"/>
    <n v="22.140506329113926"/>
    <n v="4.9144008395218908"/>
    <n v="10.069620253164556"/>
    <n v="2.1089377326145904"/>
    <n v="10.958227848101266"/>
    <n v="2.2883463843764797"/>
    <n v="0.43446236645517061"/>
    <n v="0.17489287075933599"/>
    <n v="0.44116036829688182"/>
    <n v="0.89224785453757616"/>
    <n v="0.48569086501224112"/>
  </r>
  <r>
    <x v="21"/>
    <s v="PREP"/>
    <n v="33"/>
    <n v="21"/>
    <n v="10"/>
    <n v="12"/>
    <n v="76"/>
    <n v="2.3038429433649137"/>
    <n v="22.694936708860759"/>
    <n v="5.3055534129377486"/>
    <n v="22.140506329113926"/>
    <n v="4.9144008395218908"/>
    <n v="10.069620253164556"/>
    <n v="2.1089377326145904"/>
    <n v="10.958227848101266"/>
    <n v="2.2883463843764797"/>
    <n v="1.94231637853462"/>
    <n v="-0.23207433954957621"/>
    <n v="-3.3012000348745997E-2"/>
    <n v="0.45525107519183194"/>
    <n v="0.53312027845703247"/>
  </r>
  <r>
    <x v="21"/>
    <s v="PREP"/>
    <n v="21"/>
    <n v="24"/>
    <n v="11"/>
    <n v="11"/>
    <n v="67"/>
    <n v="1.6756169931378433"/>
    <n v="22.694936708860759"/>
    <n v="5.3055534129377486"/>
    <n v="22.140506329113926"/>
    <n v="4.9144008395218908"/>
    <n v="10.069620253164556"/>
    <n v="2.1089377326145904"/>
    <n v="10.958227848101266"/>
    <n v="2.2883463843764797"/>
    <n v="-0.31946463958455407"/>
    <n v="0.37837647591379209"/>
    <n v="0.44116036829688182"/>
    <n v="1.8254295846087756E-2"/>
    <n v="0.12958162511805191"/>
  </r>
  <r>
    <x v="21"/>
    <s v="PREP"/>
    <n v="28"/>
    <n v="27"/>
    <n v="12"/>
    <n v="12"/>
    <n v="79"/>
    <n v="1.9774368283857793"/>
    <n v="22.694936708860759"/>
    <n v="5.3055534129377486"/>
    <n v="22.140506329113926"/>
    <n v="4.9144008395218908"/>
    <n v="10.069620253164556"/>
    <n v="2.1089377326145904"/>
    <n v="10.958227848101266"/>
    <n v="2.2883463843764797"/>
    <n v="0.99990762098496411"/>
    <n v="0.98882729137716041"/>
    <n v="0.91533273694250961"/>
    <n v="0.45525107519183194"/>
    <n v="0.83982968112411649"/>
  </r>
  <r>
    <x v="21"/>
    <s v="PREP"/>
    <n v="30"/>
    <n v="29"/>
    <n v="14"/>
    <n v="11"/>
    <n v="84"/>
    <n v="2.3315011121372935"/>
    <n v="22.694936708860759"/>
    <n v="5.3055534129377486"/>
    <n v="22.140506329113926"/>
    <n v="4.9144008395218908"/>
    <n v="10.069620253164556"/>
    <n v="2.1089377326145904"/>
    <n v="10.958227848101266"/>
    <n v="2.2883463843764797"/>
    <n v="1.3768711240048266"/>
    <n v="1.3957945016860727"/>
    <n v="1.8636774742337652"/>
    <n v="1.8254295846087756E-2"/>
    <n v="1.163649348942688"/>
  </r>
  <r>
    <x v="22"/>
    <s v="PREP"/>
    <n v="19"/>
    <n v="15"/>
    <n v="9"/>
    <n v="10"/>
    <n v="53"/>
    <n v="0.9540735874430285"/>
    <n v="22.694936708860759"/>
    <n v="5.3055534129377486"/>
    <n v="22.140506329113926"/>
    <n v="4.9144008395218908"/>
    <n v="10.069620253164556"/>
    <n v="2.1089377326145904"/>
    <n v="10.958227848101266"/>
    <n v="2.2883463843764797"/>
    <n v="-0.69642814260441643"/>
    <n v="-1.4529759704763128"/>
    <n v="-0.5071843689943738"/>
    <n v="-0.41874248349965643"/>
    <n v="-0.76883274139368984"/>
  </r>
  <r>
    <x v="22"/>
    <s v="PREP"/>
    <n v="27"/>
    <n v="25"/>
    <n v="13"/>
    <n v="7"/>
    <n v="72"/>
    <n v="2.106157030208677"/>
    <n v="22.694936708860759"/>
    <n v="5.3055534129377486"/>
    <n v="22.140506329113926"/>
    <n v="4.9144008395218908"/>
    <n v="10.069620253164556"/>
    <n v="2.1089377326145904"/>
    <n v="10.958227848101266"/>
    <n v="2.2883463843764797"/>
    <n v="0.81142586947503292"/>
    <n v="0.58186008106824816"/>
    <n v="1.3895051055881373"/>
    <n v="-1.729732821536889"/>
    <n v="0.2632645586486323"/>
  </r>
  <r>
    <x v="22"/>
    <s v="PREP"/>
    <n v="25"/>
    <n v="21"/>
    <n v="12"/>
    <n v="12"/>
    <n v="70"/>
    <n v="1.6602440351979153"/>
    <n v="22.694936708860759"/>
    <n v="5.3055534129377486"/>
    <n v="22.140506329113926"/>
    <n v="4.9144008395218908"/>
    <n v="10.069620253164556"/>
    <n v="2.1089377326145904"/>
    <n v="10.958227848101266"/>
    <n v="2.2883463843764797"/>
    <n v="0.43446236645517061"/>
    <n v="-0.23207433954957621"/>
    <n v="0.91533273694250961"/>
    <n v="0.45525107519183194"/>
    <n v="0.39324295975998397"/>
  </r>
  <r>
    <x v="22"/>
    <s v="PREP"/>
    <n v="29"/>
    <n v="28"/>
    <n v="12"/>
    <n v="14"/>
    <n v="83"/>
    <n v="1.7097008285302209"/>
    <n v="22.694936708860759"/>
    <n v="5.3055534129377486"/>
    <n v="22.140506329113926"/>
    <n v="4.9144008395218908"/>
    <n v="10.069620253164556"/>
    <n v="2.1089377326145904"/>
    <n v="10.958227848101266"/>
    <n v="2.2883463843764797"/>
    <n v="1.1883893724948953"/>
    <n v="1.1923108965316165"/>
    <n v="0.91533273694250961"/>
    <n v="1.3292446338833204"/>
    <n v="1.1563194099630854"/>
  </r>
  <r>
    <x v="22"/>
    <s v="PREP"/>
    <n v="25"/>
    <n v="23"/>
    <n v="11"/>
    <n v="14"/>
    <n v="73"/>
    <n v="1.1929278784054478"/>
    <n v="22.694936708860759"/>
    <n v="5.3055534129377486"/>
    <n v="22.140506329113926"/>
    <n v="4.9144008395218908"/>
    <n v="10.069620253164556"/>
    <n v="2.1089377326145904"/>
    <n v="10.958227848101266"/>
    <n v="2.2883463843764797"/>
    <n v="0.43446236645517061"/>
    <n v="0.17489287075933599"/>
    <n v="0.44116036829688182"/>
    <n v="1.3292446338833204"/>
    <n v="0.59494005984867715"/>
  </r>
  <r>
    <x v="22"/>
    <s v="PREP"/>
    <n v="27"/>
    <n v="23"/>
    <n v="10"/>
    <n v="12"/>
    <n v="72"/>
    <n v="1.5063966175050874"/>
    <n v="22.694936708860759"/>
    <n v="5.3055534129377486"/>
    <n v="22.140506329113926"/>
    <n v="4.9144008395218908"/>
    <n v="10.069620253164556"/>
    <n v="2.1089377326145904"/>
    <n v="10.958227848101266"/>
    <n v="2.2883463843764797"/>
    <n v="0.81142586947503292"/>
    <n v="0.17489287075933599"/>
    <n v="-3.3012000348745997E-2"/>
    <n v="0.45525107519183194"/>
    <n v="0.35213945376936373"/>
  </r>
  <r>
    <x v="22"/>
    <s v="PREP"/>
    <n v="24"/>
    <n v="18"/>
    <n v="8"/>
    <n v="10"/>
    <n v="60"/>
    <n v="1.3867504905630723"/>
    <n v="22.694936708860759"/>
    <n v="5.3055534129377486"/>
    <n v="22.140506329113926"/>
    <n v="4.9144008395218908"/>
    <n v="10.069620253164556"/>
    <n v="2.1089377326145904"/>
    <n v="10.958227848101266"/>
    <n v="2.2883463843764797"/>
    <n v="0.24598061494523943"/>
    <n v="-0.84252515501294456"/>
    <n v="-0.98135673764000164"/>
    <n v="-0.41874248349965643"/>
    <n v="-0.49916094030184083"/>
  </r>
  <r>
    <x v="22"/>
    <s v="PREP"/>
    <n v="21"/>
    <n v="29"/>
    <n v="11"/>
    <n v="13"/>
    <n v="74"/>
    <n v="1.7504578155735611"/>
    <n v="22.694936708860759"/>
    <n v="5.3055534129377486"/>
    <n v="22.140506329113926"/>
    <n v="4.9144008395218908"/>
    <n v="10.069620253164556"/>
    <n v="2.1089377326145904"/>
    <n v="10.958227848101266"/>
    <n v="2.2883463843764797"/>
    <n v="-0.31946463958455407"/>
    <n v="1.3957945016860727"/>
    <n v="0.44116036829688182"/>
    <n v="0.89224785453757616"/>
    <n v="0.6024345212339941"/>
  </r>
  <r>
    <x v="22"/>
    <s v="PREP"/>
    <n v="19"/>
    <n v="19"/>
    <n v="8"/>
    <n v="12"/>
    <n v="58"/>
    <n v="1.1266014242982161"/>
    <n v="22.694936708860759"/>
    <n v="5.3055534129377486"/>
    <n v="22.140506329113926"/>
    <n v="4.9144008395218908"/>
    <n v="10.069620253164556"/>
    <n v="2.1089377326145904"/>
    <n v="10.958227848101266"/>
    <n v="2.2883463843764797"/>
    <n v="-0.69642814260441643"/>
    <n v="-0.63904154985848838"/>
    <n v="-0.98135673764000164"/>
    <n v="0.45525107519183194"/>
    <n v="-0.46539383872776863"/>
  </r>
  <r>
    <x v="22"/>
    <s v="PREP"/>
    <n v="22"/>
    <n v="19"/>
    <n v="7"/>
    <n v="10"/>
    <n v="58"/>
    <n v="1.6132464481796025"/>
    <n v="22.694936708860759"/>
    <n v="5.3055534129377486"/>
    <n v="22.140506329113926"/>
    <n v="4.9144008395218908"/>
    <n v="10.069620253164556"/>
    <n v="2.1089377326145904"/>
    <n v="10.958227848101266"/>
    <n v="2.2883463843764797"/>
    <n v="-0.13098288807462291"/>
    <n v="-0.63904154985848838"/>
    <n v="-1.4555291062856295"/>
    <n v="-0.41874248349965643"/>
    <n v="-0.66107400692959928"/>
  </r>
  <r>
    <x v="22"/>
    <s v="PREP"/>
    <n v="22"/>
    <n v="25"/>
    <n v="8"/>
    <n v="6"/>
    <n v="61"/>
    <n v="2.3588350014578308"/>
    <n v="22.694936708860759"/>
    <n v="5.3055534129377486"/>
    <n v="22.140506329113926"/>
    <n v="4.9144008395218908"/>
    <n v="10.069620253164556"/>
    <n v="2.1089377326145904"/>
    <n v="10.958227848101266"/>
    <n v="2.2883463843764797"/>
    <n v="-0.13098288807462291"/>
    <n v="0.58186008106824816"/>
    <n v="-0.98135673764000164"/>
    <n v="-2.1667296008826331"/>
    <n v="-0.67430228638225231"/>
  </r>
  <r>
    <x v="22"/>
    <s v="PREP"/>
    <n v="26"/>
    <n v="29"/>
    <n v="14"/>
    <n v="12"/>
    <n v="81"/>
    <n v="1.9644272343292224"/>
    <n v="22.694936708860759"/>
    <n v="5.3055534129377486"/>
    <n v="22.140506329113926"/>
    <n v="4.9144008395218908"/>
    <n v="10.069620253164556"/>
    <n v="2.1089377326145904"/>
    <n v="10.958227848101266"/>
    <n v="2.2883463843764797"/>
    <n v="0.62294411796510174"/>
    <n v="1.3957945016860727"/>
    <n v="1.8636774742337652"/>
    <n v="0.45525107519183194"/>
    <n v="1.084416792269193"/>
  </r>
  <r>
    <x v="22"/>
    <s v="PREP"/>
    <n v="16"/>
    <n v="26"/>
    <n v="11"/>
    <n v="11"/>
    <n v="64"/>
    <n v="1.7059473644448735"/>
    <n v="22.694936708860759"/>
    <n v="5.3055534129377486"/>
    <n v="22.140506329113926"/>
    <n v="4.9144008395218908"/>
    <n v="10.069620253164556"/>
    <n v="2.1089377326145904"/>
    <n v="10.958227848101266"/>
    <n v="2.2883463843764797"/>
    <n v="-1.26187339713421"/>
    <n v="0.78534368622270434"/>
    <n v="0.44116036829688182"/>
    <n v="1.8254295846087756E-2"/>
    <n v="-4.2787616921340166E-3"/>
  </r>
  <r>
    <x v="22"/>
    <s v="PREP"/>
    <n v="27"/>
    <n v="28"/>
    <n v="11"/>
    <n v="13"/>
    <n v="79"/>
    <n v="1.8912755158683456"/>
    <n v="22.694936708860759"/>
    <n v="5.3055534129377486"/>
    <n v="22.140506329113926"/>
    <n v="4.9144008395218908"/>
    <n v="10.069620253164556"/>
    <n v="2.1089377326145904"/>
    <n v="10.958227848101266"/>
    <n v="2.2883463843764797"/>
    <n v="0.81142586947503292"/>
    <n v="1.1923108965316165"/>
    <n v="0.44116036829688182"/>
    <n v="0.89224785453757616"/>
    <n v="0.83428624721027678"/>
  </r>
  <r>
    <x v="22"/>
    <s v="PREP"/>
    <n v="27"/>
    <n v="23"/>
    <n v="11"/>
    <n v="9"/>
    <n v="70"/>
    <n v="1.9381460874790257"/>
    <n v="22.694936708860759"/>
    <n v="5.3055534129377486"/>
    <n v="22.140506329113926"/>
    <n v="4.9144008395218908"/>
    <n v="10.069620253164556"/>
    <n v="2.1089377326145904"/>
    <n v="10.958227848101266"/>
    <n v="2.2883463843764797"/>
    <n v="0.81142586947503292"/>
    <n v="0.17489287075933599"/>
    <n v="0.44116036829688182"/>
    <n v="-0.85573926284540058"/>
    <n v="0.14293496142146256"/>
  </r>
  <r>
    <x v="22"/>
    <s v="PREP"/>
    <n v="28"/>
    <n v="24"/>
    <n v="12"/>
    <n v="9"/>
    <n v="73"/>
    <n v="2.063106942552968"/>
    <n v="22.694936708860759"/>
    <n v="5.3055534129377486"/>
    <n v="22.140506329113926"/>
    <n v="4.9144008395218908"/>
    <n v="10.069620253164556"/>
    <n v="2.1089377326145904"/>
    <n v="10.958227848101266"/>
    <n v="2.2883463843764797"/>
    <n v="0.99990762098496411"/>
    <n v="0.37837647591379209"/>
    <n v="0.91533273694250961"/>
    <n v="-0.85573926284540058"/>
    <n v="0.35946939274896633"/>
  </r>
  <r>
    <x v="22"/>
    <s v="PREP"/>
    <n v="28"/>
    <n v="25"/>
    <n v="12"/>
    <n v="10"/>
    <n v="75"/>
    <n v="2.0878156908535672"/>
    <n v="22.694936708860759"/>
    <n v="5.3055534129377486"/>
    <n v="22.140506329113926"/>
    <n v="4.9144008395218908"/>
    <n v="10.069620253164556"/>
    <n v="2.1089377326145904"/>
    <n v="10.958227848101266"/>
    <n v="2.2883463843764797"/>
    <n v="0.99990762098496411"/>
    <n v="0.58186008106824816"/>
    <n v="0.91533273694250961"/>
    <n v="-0.41874248349965643"/>
    <n v="0.51958948887401635"/>
  </r>
  <r>
    <x v="22"/>
    <s v="PREP"/>
    <n v="20"/>
    <n v="26"/>
    <n v="11"/>
    <n v="14"/>
    <n v="71"/>
    <n v="1.4500221041639687"/>
    <n v="22.694936708860759"/>
    <n v="5.3055534129377486"/>
    <n v="22.140506329113926"/>
    <n v="4.9144008395218908"/>
    <n v="10.069620253164556"/>
    <n v="2.1089377326145904"/>
    <n v="10.958227848101266"/>
    <n v="2.2883463843764797"/>
    <n v="-0.50794639109448525"/>
    <n v="0.78534368622270434"/>
    <n v="0.44116036829688182"/>
    <n v="1.3292446338833204"/>
    <n v="0.51195057432710533"/>
  </r>
  <r>
    <x v="22"/>
    <s v="PREP"/>
    <n v="23"/>
    <n v="22"/>
    <n v="11"/>
    <n v="9"/>
    <n v="65"/>
    <n v="1.683250823060346"/>
    <n v="22.694936708860759"/>
    <n v="5.3055534129377486"/>
    <n v="22.140506329113926"/>
    <n v="4.9144008395218908"/>
    <n v="10.069620253164556"/>
    <n v="2.1089377326145904"/>
    <n v="10.958227848101266"/>
    <n v="2.2883463843764797"/>
    <n v="5.7498863435308259E-2"/>
    <n v="-2.8590734395120113E-2"/>
    <n v="0.44116036829688182"/>
    <n v="-0.85573926284540058"/>
    <n v="-9.6417691377082657E-2"/>
  </r>
  <r>
    <x v="22"/>
    <s v="PREP"/>
    <n v="29"/>
    <n v="31"/>
    <n v="13"/>
    <n v="15"/>
    <n v="88"/>
    <n v="1.9215378456610457"/>
    <n v="22.694936708860759"/>
    <n v="5.3055534129377486"/>
    <n v="22.140506329113926"/>
    <n v="4.9144008395218908"/>
    <n v="10.069620253164556"/>
    <n v="2.1089377326145904"/>
    <n v="10.958227848101266"/>
    <n v="2.2883463843764797"/>
    <n v="1.1883893724948953"/>
    <n v="1.8027617119949848"/>
    <n v="1.3895051055881373"/>
    <n v="1.7662414132290645"/>
    <n v="1.5367244008267704"/>
  </r>
  <r>
    <x v="23"/>
    <s v="PREP"/>
    <n v="25"/>
    <n v="24"/>
    <n v="10"/>
    <n v="12"/>
    <n v="71"/>
    <n v="1.6132464481796025"/>
    <n v="22.694936708860759"/>
    <n v="5.3055534129377486"/>
    <n v="22.140506329113926"/>
    <n v="4.9144008395218908"/>
    <n v="10.069620253164556"/>
    <n v="2.1089377326145904"/>
    <n v="10.958227848101266"/>
    <n v="2.2883463843764797"/>
    <n v="0.43446236645517061"/>
    <n v="0.37837647591379209"/>
    <n v="-3.3012000348745997E-2"/>
    <n v="0.45525107519183194"/>
    <n v="0.30876947930301218"/>
  </r>
  <r>
    <x v="23"/>
    <s v="PREP"/>
    <n v="26"/>
    <n v="25"/>
    <n v="11"/>
    <n v="12"/>
    <n v="74"/>
    <n v="1.5483655567842813"/>
    <n v="22.694936708860759"/>
    <n v="5.3055534129377486"/>
    <n v="22.140506329113926"/>
    <n v="4.9144008395218908"/>
    <n v="10.069620253164556"/>
    <n v="2.1089377326145904"/>
    <n v="10.958227848101266"/>
    <n v="2.2883463843764797"/>
    <n v="0.62294411796510174"/>
    <n v="0.58186008106824816"/>
    <n v="0.44116036829688182"/>
    <n v="0.45525107519183194"/>
    <n v="0.52530391063051596"/>
  </r>
  <r>
    <x v="23"/>
    <s v="PREP"/>
    <n v="20"/>
    <n v="19"/>
    <n v="8"/>
    <n v="9"/>
    <n v="56"/>
    <n v="1.3774744634423892"/>
    <n v="22.694936708860759"/>
    <n v="5.3055534129377486"/>
    <n v="22.140506329113926"/>
    <n v="4.9144008395218908"/>
    <n v="10.069620253164556"/>
    <n v="2.1089377326145904"/>
    <n v="10.958227848101266"/>
    <n v="2.2883463843764797"/>
    <n v="-0.50794639109448525"/>
    <n v="-0.63904154985848838"/>
    <n v="-0.98135673764000164"/>
    <n v="-0.85573926284540058"/>
    <n v="-0.74602098535959382"/>
  </r>
  <r>
    <x v="23"/>
    <s v="PREP"/>
    <n v="23"/>
    <n v="20"/>
    <n v="7"/>
    <n v="12"/>
    <n v="62"/>
    <n v="1.4806443503784736"/>
    <n v="22.694936708860759"/>
    <n v="5.3055534129377486"/>
    <n v="22.140506329113926"/>
    <n v="4.9144008395218908"/>
    <n v="10.069620253164556"/>
    <n v="2.1089377326145904"/>
    <n v="10.958227848101266"/>
    <n v="2.2883463843764797"/>
    <n v="5.7498863435308259E-2"/>
    <n v="-0.43555794470403231"/>
    <n v="-1.4555291062856295"/>
    <n v="0.45525107519183194"/>
    <n v="-0.34458427809063041"/>
  </r>
  <r>
    <x v="23"/>
    <s v="PREP"/>
    <n v="27"/>
    <n v="25"/>
    <n v="11"/>
    <n v="12"/>
    <n v="75"/>
    <n v="1.6408253082847339"/>
    <n v="22.694936708860759"/>
    <n v="5.3055534129377486"/>
    <n v="22.140506329113926"/>
    <n v="4.9144008395218908"/>
    <n v="10.069620253164556"/>
    <n v="2.1089377326145904"/>
    <n v="10.958227848101266"/>
    <n v="2.2883463843764797"/>
    <n v="0.81142586947503292"/>
    <n v="0.58186008106824816"/>
    <n v="0.44116036829688182"/>
    <n v="0.45525107519183194"/>
    <n v="0.57242434850799873"/>
  </r>
  <r>
    <x v="23"/>
    <s v="PREP"/>
    <n v="20"/>
    <n v="22"/>
    <n v="11"/>
    <n v="12"/>
    <n v="65"/>
    <n v="1.4719601443879744"/>
    <n v="22.694936708860759"/>
    <n v="5.3055534129377486"/>
    <n v="22.140506329113926"/>
    <n v="4.9144008395218908"/>
    <n v="10.069620253164556"/>
    <n v="2.1089377326145904"/>
    <n v="10.958227848101266"/>
    <n v="2.2883463843764797"/>
    <n v="-0.50794639109448525"/>
    <n v="-2.8590734395120113E-2"/>
    <n v="0.44116036829688182"/>
    <n v="0.45525107519183194"/>
    <n v="8.9968579499777088E-2"/>
  </r>
  <r>
    <x v="23"/>
    <s v="PREP"/>
    <n v="20"/>
    <n v="19"/>
    <n v="9"/>
    <n v="9"/>
    <n v="57"/>
    <n v="1.2608503439122305"/>
    <n v="22.694936708860759"/>
    <n v="5.3055534129377486"/>
    <n v="22.140506329113926"/>
    <n v="4.9144008395218908"/>
    <n v="10.069620253164556"/>
    <n v="2.1089377326145904"/>
    <n v="10.958227848101266"/>
    <n v="2.2883463843764797"/>
    <n v="-0.50794639109448525"/>
    <n v="-0.63904154985848838"/>
    <n v="-0.5071843689943738"/>
    <n v="-0.85573926284540058"/>
    <n v="-0.62747789319818703"/>
  </r>
  <r>
    <x v="23"/>
    <s v="PREP"/>
    <n v="24"/>
    <n v="22"/>
    <n v="11"/>
    <n v="12"/>
    <n v="69"/>
    <n v="1.315587028960544"/>
    <n v="22.694936708860759"/>
    <n v="5.3055534129377486"/>
    <n v="22.140506329113926"/>
    <n v="4.9144008395218908"/>
    <n v="10.069620253164556"/>
    <n v="2.1089377326145904"/>
    <n v="10.958227848101266"/>
    <n v="2.2883463843764797"/>
    <n v="0.24598061494523943"/>
    <n v="-2.8590734395120113E-2"/>
    <n v="0.44116036829688182"/>
    <n v="0.45525107519183194"/>
    <n v="0.27845033100970829"/>
  </r>
  <r>
    <x v="23"/>
    <s v="PREP"/>
    <n v="19"/>
    <n v="18"/>
    <n v="9"/>
    <n v="11"/>
    <n v="57"/>
    <n v="0.7679476477883046"/>
    <n v="22.694936708860759"/>
    <n v="5.3055534129377486"/>
    <n v="22.140506329113926"/>
    <n v="4.9144008395218908"/>
    <n v="10.069620253164556"/>
    <n v="2.1089377326145904"/>
    <n v="10.958227848101266"/>
    <n v="2.2883463843764797"/>
    <n v="-0.69642814260441643"/>
    <n v="-0.84252515501294456"/>
    <n v="-0.5071843689943738"/>
    <n v="1.8254295846087756E-2"/>
    <n v="-0.50697084269141168"/>
  </r>
  <r>
    <x v="23"/>
    <s v="PREP"/>
    <n v="18"/>
    <n v="17"/>
    <n v="9"/>
    <n v="12"/>
    <n v="56"/>
    <n v="0.63042517195611536"/>
    <n v="22.694936708860759"/>
    <n v="5.3055534129377486"/>
    <n v="22.140506329113926"/>
    <n v="4.9144008395218908"/>
    <n v="10.069620253164556"/>
    <n v="2.1089377326145904"/>
    <n v="10.958227848101266"/>
    <n v="2.2883463843764797"/>
    <n v="-0.88490989411434762"/>
    <n v="-1.0460087601674006"/>
    <n v="-0.5071843689943738"/>
    <n v="0.45525107519183194"/>
    <n v="-0.49571298702107258"/>
  </r>
  <r>
    <x v="23"/>
    <s v="PREP"/>
    <n v="22"/>
    <n v="20"/>
    <n v="9"/>
    <n v="12"/>
    <n v="63"/>
    <n v="1.1435437497937311"/>
    <n v="22.694936708860759"/>
    <n v="5.3055534129377486"/>
    <n v="22.140506329113926"/>
    <n v="4.9144008395218908"/>
    <n v="10.069620253164556"/>
    <n v="2.1089377326145904"/>
    <n v="10.958227848101266"/>
    <n v="2.2883463843764797"/>
    <n v="-0.13098288807462291"/>
    <n v="-0.43555794470403231"/>
    <n v="-0.5071843689943738"/>
    <n v="0.45525107519183194"/>
    <n v="-0.15461853164529926"/>
  </r>
  <r>
    <x v="23"/>
    <s v="PREP"/>
    <n v="25"/>
    <n v="24"/>
    <n v="10"/>
    <n v="11"/>
    <n v="70"/>
    <n v="1.4455945454184549"/>
    <n v="22.694936708860759"/>
    <n v="5.3055534129377486"/>
    <n v="22.140506329113926"/>
    <n v="4.9144008395218908"/>
    <n v="10.069620253164556"/>
    <n v="2.1089377326145904"/>
    <n v="10.958227848101266"/>
    <n v="2.2883463843764797"/>
    <n v="0.43446236645517061"/>
    <n v="0.37837647591379209"/>
    <n v="-3.3012000348745997E-2"/>
    <n v="1.8254295846087756E-2"/>
    <n v="0.19952028446657613"/>
  </r>
  <r>
    <x v="23"/>
    <s v="PREP"/>
    <n v="21"/>
    <n v="22"/>
    <n v="9"/>
    <n v="10"/>
    <n v="62"/>
    <n v="1.1657505560686465"/>
    <n v="22.694936708860759"/>
    <n v="5.3055534129377486"/>
    <n v="22.140506329113926"/>
    <n v="4.9144008395218908"/>
    <n v="10.069620253164556"/>
    <n v="2.1089377326145904"/>
    <n v="10.958227848101266"/>
    <n v="2.2883463843764797"/>
    <n v="-0.31946463958455407"/>
    <n v="-2.8590734395120113E-2"/>
    <n v="-0.5071843689943738"/>
    <n v="-0.41874248349965643"/>
    <n v="-0.3184955566184261"/>
  </r>
  <r>
    <x v="23"/>
    <s v="PREP"/>
    <n v="18"/>
    <n v="18"/>
    <n v="7"/>
    <n v="10"/>
    <n v="53"/>
    <n v="1.0377490433255416"/>
    <n v="22.694936708860759"/>
    <n v="5.3055534129377486"/>
    <n v="22.140506329113926"/>
    <n v="4.9144008395218908"/>
    <n v="10.069620253164556"/>
    <n v="2.1089377326145904"/>
    <n v="10.958227848101266"/>
    <n v="2.2883463843764797"/>
    <n v="-0.88490989411434762"/>
    <n v="-0.84252515501294456"/>
    <n v="-1.4555291062856295"/>
    <n v="-0.41874248349965643"/>
    <n v="-0.90042665972814451"/>
  </r>
  <r>
    <x v="23"/>
    <s v="PREP"/>
    <n v="18"/>
    <n v="19"/>
    <n v="8"/>
    <n v="10"/>
    <n v="55"/>
    <n v="1.0127393670836664"/>
    <n v="22.694936708860759"/>
    <n v="5.3055534129377486"/>
    <n v="22.140506329113926"/>
    <n v="4.9144008395218908"/>
    <n v="10.069620253164556"/>
    <n v="2.1089377326145904"/>
    <n v="10.958227848101266"/>
    <n v="2.2883463843764797"/>
    <n v="-0.88490989411434762"/>
    <n v="-0.63904154985848838"/>
    <n v="-0.98135673764000164"/>
    <n v="-0.41874248349965643"/>
    <n v="-0.73101266627812356"/>
  </r>
  <r>
    <x v="23"/>
    <s v="PREP"/>
    <n v="23"/>
    <n v="24"/>
    <n v="9"/>
    <n v="12"/>
    <n v="68"/>
    <n v="1.3008872711759818"/>
    <n v="22.694936708860759"/>
    <n v="5.3055534129377486"/>
    <n v="22.140506329113926"/>
    <n v="4.9144008395218908"/>
    <n v="10.069620253164556"/>
    <n v="2.1089377326145904"/>
    <n v="10.958227848101266"/>
    <n v="2.2883463843764797"/>
    <n v="5.7498863435308259E-2"/>
    <n v="0.37837647591379209"/>
    <n v="-0.5071843689943738"/>
    <n v="0.45525107519183194"/>
    <n v="9.5985511386639619E-2"/>
  </r>
  <r>
    <x v="23"/>
    <s v="PREP"/>
    <n v="19"/>
    <n v="21"/>
    <n v="10"/>
    <n v="10"/>
    <n v="60"/>
    <n v="1.386750490563073"/>
    <n v="22.694936708860759"/>
    <n v="5.3055534129377486"/>
    <n v="22.140506329113926"/>
    <n v="4.9144008395218908"/>
    <n v="10.069620253164556"/>
    <n v="2.1089377326145904"/>
    <n v="10.958227848101266"/>
    <n v="2.2883463843764797"/>
    <n v="-0.69642814260441643"/>
    <n v="-0.23207433954957621"/>
    <n v="-3.3012000348745997E-2"/>
    <n v="-0.41874248349965643"/>
    <n v="-0.34506424150059878"/>
  </r>
  <r>
    <x v="23"/>
    <s v="PREP"/>
    <n v="23"/>
    <n v="19"/>
    <n v="9"/>
    <n v="10"/>
    <n v="61"/>
    <n v="1.3155870289605436"/>
    <n v="22.694936708860759"/>
    <n v="5.3055534129377486"/>
    <n v="22.140506329113926"/>
    <n v="4.9144008395218908"/>
    <n v="10.069620253164556"/>
    <n v="2.1089377326145904"/>
    <n v="10.958227848101266"/>
    <n v="2.2883463843764797"/>
    <n v="5.7498863435308259E-2"/>
    <n v="-0.63904154985848838"/>
    <n v="-0.5071843689943738"/>
    <n v="-0.41874248349965643"/>
    <n v="-0.37686738472930259"/>
  </r>
  <r>
    <x v="23"/>
    <s v="PREP"/>
    <n v="24"/>
    <n v="20"/>
    <n v="9"/>
    <n v="9"/>
    <n v="62"/>
    <n v="1.535895295576609"/>
    <n v="22.694936708860759"/>
    <n v="5.3055534129377486"/>
    <n v="22.140506329113926"/>
    <n v="4.9144008395218908"/>
    <n v="10.069620253164556"/>
    <n v="2.1089377326145904"/>
    <n v="10.958227848101266"/>
    <n v="2.2883463843764797"/>
    <n v="0.24598061494523943"/>
    <n v="-0.43555794470403231"/>
    <n v="-0.5071843689943738"/>
    <n v="-0.85573926284540058"/>
    <n v="-0.3881252403996418"/>
  </r>
  <r>
    <x v="23"/>
    <s v="PREP"/>
    <n v="22"/>
    <n v="19"/>
    <n v="8"/>
    <n v="11"/>
    <n v="60"/>
    <n v="1.192927878405448"/>
    <n v="22.694936708860759"/>
    <n v="5.3055534129377486"/>
    <n v="22.140506329113926"/>
    <n v="4.9144008395218908"/>
    <n v="10.069620253164556"/>
    <n v="2.1089377326145904"/>
    <n v="10.958227848101266"/>
    <n v="2.2883463843764797"/>
    <n v="-0.13098288807462291"/>
    <n v="-0.63904154985848838"/>
    <n v="-0.98135673764000164"/>
    <n v="1.8254295846087756E-2"/>
    <n v="-0.43328171993175624"/>
  </r>
  <r>
    <x v="23"/>
    <s v="PREP"/>
    <n v="23"/>
    <n v="20"/>
    <n v="8"/>
    <n v="10"/>
    <n v="61"/>
    <n v="1.5483655567842813"/>
    <n v="22.694936708860759"/>
    <n v="5.3055534129377486"/>
    <n v="22.140506329113926"/>
    <n v="4.9144008395218908"/>
    <n v="10.069620253164556"/>
    <n v="2.1089377326145904"/>
    <n v="10.958227848101266"/>
    <n v="2.2883463843764797"/>
    <n v="5.7498863435308259E-2"/>
    <n v="-0.43555794470403231"/>
    <n v="-0.98135673764000164"/>
    <n v="-0.41874248349965643"/>
    <n v="-0.44453957560209556"/>
  </r>
  <r>
    <x v="23"/>
    <s v="PREP"/>
    <n v="24"/>
    <n v="22"/>
    <n v="9"/>
    <n v="11"/>
    <n v="66"/>
    <n v="1.5525000516123695"/>
    <n v="22.694936708860759"/>
    <n v="5.3055534129377486"/>
    <n v="22.140506329113926"/>
    <n v="4.9144008395218908"/>
    <n v="10.069620253164556"/>
    <n v="2.1089377326145904"/>
    <n v="10.958227848101266"/>
    <n v="2.2883463843764797"/>
    <n v="0.24598061494523943"/>
    <n v="-2.8590734395120113E-2"/>
    <n v="-0.5071843689943738"/>
    <n v="1.8254295846087756E-2"/>
    <n v="-6.7885048149541688E-2"/>
  </r>
  <r>
    <x v="23"/>
    <s v="PREP"/>
    <n v="22"/>
    <n v="21"/>
    <n v="9"/>
    <n v="10"/>
    <n v="62"/>
    <n v="1.3634420996046579"/>
    <n v="22.694936708860759"/>
    <n v="5.3055534129377486"/>
    <n v="22.140506329113926"/>
    <n v="4.9144008395218908"/>
    <n v="10.069620253164556"/>
    <n v="2.1089377326145904"/>
    <n v="10.958227848101266"/>
    <n v="2.2883463843764797"/>
    <n v="-0.13098288807462291"/>
    <n v="-0.23207433954957621"/>
    <n v="-0.5071843689943738"/>
    <n v="-0.41874248349965643"/>
    <n v="-0.32224602002955732"/>
  </r>
  <r>
    <x v="23"/>
    <s v="PREP"/>
    <n v="26"/>
    <n v="24"/>
    <n v="11"/>
    <n v="12"/>
    <n v="73"/>
    <n v="1.6092680291808414"/>
    <n v="22.694936708860759"/>
    <n v="5.3055534129377486"/>
    <n v="22.140506329113926"/>
    <n v="4.9144008395218908"/>
    <n v="10.069620253164556"/>
    <n v="2.1089377326145904"/>
    <n v="10.958227848101266"/>
    <n v="2.2883463843764797"/>
    <n v="0.62294411796510174"/>
    <n v="0.37837647591379209"/>
    <n v="0.44116036829688182"/>
    <n v="0.45525107519183194"/>
    <n v="0.47443300934190191"/>
  </r>
  <r>
    <x v="23"/>
    <s v="PREP"/>
    <n v="27"/>
    <n v="24"/>
    <n v="11"/>
    <n v="10"/>
    <n v="72"/>
    <n v="1.7614096918559581"/>
    <n v="22.694936708860759"/>
    <n v="5.3055534129377486"/>
    <n v="22.140506329113926"/>
    <n v="4.9144008395218908"/>
    <n v="10.069620253164556"/>
    <n v="2.1089377326145904"/>
    <n v="10.958227848101266"/>
    <n v="2.2883463843764797"/>
    <n v="0.81142586947503292"/>
    <n v="0.37837647591379209"/>
    <n v="0.44116036829688182"/>
    <n v="-0.41874248349965643"/>
    <n v="0.30305505754651257"/>
  </r>
  <r>
    <x v="23"/>
    <s v="PREP"/>
    <n v="20"/>
    <n v="22"/>
    <n v="10"/>
    <n v="11"/>
    <n v="63"/>
    <n v="1.2142318453899048"/>
    <n v="22.694936708860759"/>
    <n v="5.3055534129377486"/>
    <n v="22.140506329113926"/>
    <n v="4.9144008395218908"/>
    <n v="10.069620253164556"/>
    <n v="2.1089377326145904"/>
    <n v="10.958227848101266"/>
    <n v="2.2883463843764797"/>
    <n v="-0.50794639109448525"/>
    <n v="-2.8590734395120113E-2"/>
    <n v="-3.3012000348745997E-2"/>
    <n v="1.8254295846087756E-2"/>
    <n v="-0.13782370749806591"/>
  </r>
  <r>
    <x v="23"/>
    <s v="PREP"/>
    <n v="20"/>
    <n v="18"/>
    <n v="9"/>
    <n v="9"/>
    <n v="56"/>
    <n v="1.1821319289469758"/>
    <n v="22.694936708860759"/>
    <n v="5.3055534129377486"/>
    <n v="22.140506329113926"/>
    <n v="4.9144008395218908"/>
    <n v="10.069620253164556"/>
    <n v="2.1089377326145904"/>
    <n v="10.958227848101266"/>
    <n v="2.2883463843764797"/>
    <n v="-0.50794639109448525"/>
    <n v="-0.84252515501294456"/>
    <n v="-0.5071843689943738"/>
    <n v="-0.85573926284540058"/>
    <n v="-0.67834879448680097"/>
  </r>
  <r>
    <x v="23"/>
    <s v="PREP"/>
    <n v="19"/>
    <n v="19"/>
    <n v="8"/>
    <n v="9"/>
    <n v="55"/>
    <n v="1.2351684199496948"/>
    <n v="22.694936708860759"/>
    <n v="5.3055534129377486"/>
    <n v="22.140506329113926"/>
    <n v="4.9144008395218908"/>
    <n v="10.069620253164556"/>
    <n v="2.1089377326145904"/>
    <n v="10.958227848101266"/>
    <n v="2.2883463843764797"/>
    <n v="-0.69642814260441643"/>
    <n v="-0.63904154985848838"/>
    <n v="-0.98135673764000164"/>
    <n v="-0.85573926284540058"/>
    <n v="-0.79314142323707681"/>
  </r>
  <r>
    <x v="23"/>
    <s v="PREP"/>
    <n v="27"/>
    <n v="25"/>
    <n v="10"/>
    <n v="12"/>
    <n v="74"/>
    <n v="1.7504578155735613"/>
    <n v="22.694936708860759"/>
    <n v="5.3055534129377486"/>
    <n v="22.140506329113926"/>
    <n v="4.9144008395218908"/>
    <n v="10.069620253164556"/>
    <n v="2.1089377326145904"/>
    <n v="10.958227848101266"/>
    <n v="2.2883463843764797"/>
    <n v="0.81142586947503292"/>
    <n v="0.58186008106824816"/>
    <n v="-3.3012000348745997E-2"/>
    <n v="0.45525107519183194"/>
    <n v="0.45388125634659177"/>
  </r>
  <r>
    <x v="23"/>
    <s v="PREP"/>
    <n v="19"/>
    <n v="19"/>
    <n v="9"/>
    <n v="10"/>
    <n v="57"/>
    <n v="1.1208970766356099"/>
    <n v="22.694936708860759"/>
    <n v="5.3055534129377486"/>
    <n v="22.140506329113926"/>
    <n v="4.9144008395218908"/>
    <n v="10.069620253164556"/>
    <n v="2.1089377326145904"/>
    <n v="10.958227848101266"/>
    <n v="2.2883463843764797"/>
    <n v="-0.69642814260441643"/>
    <n v="-0.63904154985848838"/>
    <n v="-0.5071843689943738"/>
    <n v="-0.41874248349965643"/>
    <n v="-0.56534913623923377"/>
  </r>
  <r>
    <x v="24"/>
    <s v="PREP"/>
    <n v="31"/>
    <n v="26"/>
    <n v="13"/>
    <n v="12"/>
    <n v="82"/>
    <n v="1.887883090687176"/>
    <n v="22.694936708860759"/>
    <n v="5.3055534129377486"/>
    <n v="22.140506329113926"/>
    <n v="4.9144008395218908"/>
    <n v="10.069620253164556"/>
    <n v="2.1089377326145904"/>
    <n v="10.958227848101266"/>
    <n v="2.2883463843764797"/>
    <n v="1.5653528755147577"/>
    <n v="0.78534368622270434"/>
    <n v="1.3895051055881373"/>
    <n v="0.45525107519183194"/>
    <n v="1.0488631856293578"/>
  </r>
  <r>
    <x v="24"/>
    <s v="PREP"/>
    <n v="27"/>
    <n v="21"/>
    <n v="10"/>
    <n v="10"/>
    <n v="68"/>
    <n v="1.7394369852458085"/>
    <n v="22.694936708860759"/>
    <n v="5.3055534129377486"/>
    <n v="22.140506329113926"/>
    <n v="4.9144008395218908"/>
    <n v="10.069620253164556"/>
    <n v="2.1089377326145904"/>
    <n v="10.958227848101266"/>
    <n v="2.2883463843764797"/>
    <n v="0.81142586947503292"/>
    <n v="-0.23207433954957621"/>
    <n v="-3.3012000348745997E-2"/>
    <n v="-0.41874248349965643"/>
    <n v="3.1899261519263575E-2"/>
  </r>
  <r>
    <x v="24"/>
    <s v="PREP"/>
    <n v="32"/>
    <n v="18"/>
    <n v="10"/>
    <n v="9"/>
    <n v="69"/>
    <n v="2.3232382351872349"/>
    <n v="22.694936708860759"/>
    <n v="5.3055534129377486"/>
    <n v="22.140506329113926"/>
    <n v="4.9144008395218908"/>
    <n v="10.069620253164556"/>
    <n v="2.1089377326145904"/>
    <n v="10.958227848101266"/>
    <n v="2.2883463843764797"/>
    <n v="1.7538346270246887"/>
    <n v="-0.84252515501294456"/>
    <n v="-3.3012000348745997E-2"/>
    <n v="-0.85573926284540058"/>
    <n v="5.6395522043994062E-3"/>
  </r>
  <r>
    <x v="24"/>
    <s v="PREP"/>
    <n v="31"/>
    <n v="29"/>
    <n v="13"/>
    <n v="13"/>
    <n v="86"/>
    <n v="2.1031112483834331"/>
    <n v="22.694936708860759"/>
    <n v="5.3055534129377486"/>
    <n v="22.140506329113926"/>
    <n v="4.9144008395218908"/>
    <n v="10.069620253164556"/>
    <n v="2.1089377326145904"/>
    <n v="10.958227848101266"/>
    <n v="2.2883463843764797"/>
    <n v="1.5653528755147577"/>
    <n v="1.3957945016860727"/>
    <n v="1.3895051055881373"/>
    <n v="0.89224785453757616"/>
    <n v="1.3107250843316358"/>
  </r>
  <r>
    <x v="24"/>
    <s v="PREP"/>
    <n v="32"/>
    <n v="29"/>
    <n v="12"/>
    <n v="10"/>
    <n v="83"/>
    <n v="2.3992520201950978"/>
    <n v="22.694936708860759"/>
    <n v="5.3055534129377486"/>
    <n v="22.140506329113926"/>
    <n v="4.9144008395218908"/>
    <n v="10.069620253164556"/>
    <n v="2.1089377326145904"/>
    <n v="10.958227848101266"/>
    <n v="2.2883463843764797"/>
    <n v="1.7538346270246887"/>
    <n v="1.3957945016860727"/>
    <n v="0.91533273694250961"/>
    <n v="-0.41874248349965643"/>
    <n v="0.91155484553840371"/>
  </r>
  <r>
    <x v="24"/>
    <s v="PREP"/>
    <n v="28"/>
    <n v="25"/>
    <n v="10"/>
    <n v="9"/>
    <n v="72"/>
    <n v="2.0662116951635836"/>
    <n v="22.694936708860759"/>
    <n v="5.3055534129377486"/>
    <n v="22.140506329113926"/>
    <n v="4.9144008395218908"/>
    <n v="10.069620253164556"/>
    <n v="2.1089377326145904"/>
    <n v="10.958227848101266"/>
    <n v="2.2883463843764797"/>
    <n v="0.99990762098496411"/>
    <n v="0.58186008106824816"/>
    <n v="-3.3012000348745997E-2"/>
    <n v="-0.85573926284540058"/>
    <n v="0.1732541097147664"/>
  </r>
  <r>
    <x v="24"/>
    <s v="PREP"/>
    <n v="28"/>
    <n v="22"/>
    <n v="10"/>
    <n v="9"/>
    <n v="69"/>
    <n v="2.1750331562459526"/>
    <n v="22.694936708860759"/>
    <n v="5.3055534129377486"/>
    <n v="22.140506329113926"/>
    <n v="4.9144008395218908"/>
    <n v="10.069620253164556"/>
    <n v="2.1089377326145904"/>
    <n v="10.958227848101266"/>
    <n v="2.2883463843764797"/>
    <n v="0.99990762098496411"/>
    <n v="-2.8590734395120113E-2"/>
    <n v="-3.3012000348745997E-2"/>
    <n v="-0.85573926284540058"/>
    <n v="2.0641405848924349E-2"/>
  </r>
  <r>
    <x v="24"/>
    <s v="PREP"/>
    <n v="28"/>
    <n v="21"/>
    <n v="9"/>
    <n v="9"/>
    <n v="67"/>
    <n v="2.0754980866510828"/>
    <n v="22.694936708860759"/>
    <n v="5.3055534129377486"/>
    <n v="22.140506329113926"/>
    <n v="4.9144008395218908"/>
    <n v="10.069620253164556"/>
    <n v="2.1089377326145904"/>
    <n v="10.958227848101266"/>
    <n v="2.2883463843764797"/>
    <n v="0.99990762098496411"/>
    <n v="-0.23207433954957621"/>
    <n v="-0.5071843689943738"/>
    <n v="-0.85573926284540058"/>
    <n v="-0.14877258760109663"/>
  </r>
  <r>
    <x v="24"/>
    <s v="PREP"/>
    <n v="21"/>
    <n v="19"/>
    <n v="10"/>
    <n v="9"/>
    <n v="59"/>
    <n v="1.3913653136029502"/>
    <n v="22.694936708860759"/>
    <n v="5.3055534129377486"/>
    <n v="22.140506329113926"/>
    <n v="4.9144008395218908"/>
    <n v="10.069620253164556"/>
    <n v="2.1089377326145904"/>
    <n v="10.958227848101266"/>
    <n v="2.2883463843764797"/>
    <n v="-0.31946463958455407"/>
    <n v="-0.63904154985848838"/>
    <n v="-3.3012000348745997E-2"/>
    <n v="-0.85573926284540058"/>
    <n v="-0.46181436315929725"/>
  </r>
  <r>
    <x v="24"/>
    <s v="PREP"/>
    <n v="18"/>
    <n v="19"/>
    <n v="9"/>
    <n v="11"/>
    <n v="57"/>
    <n v="0.76794764778830438"/>
    <n v="22.694936708860759"/>
    <n v="5.3055534129377486"/>
    <n v="22.140506329113926"/>
    <n v="4.9144008395218908"/>
    <n v="10.069620253164556"/>
    <n v="2.1089377326145904"/>
    <n v="10.958227848101266"/>
    <n v="2.2883463843764797"/>
    <n v="-0.88490989411434762"/>
    <n v="-0.63904154985848838"/>
    <n v="-0.5071843689943738"/>
    <n v="1.8254295846087756E-2"/>
    <n v="-0.50322037928028052"/>
  </r>
  <r>
    <x v="24"/>
    <s v="PREP"/>
    <n v="31"/>
    <n v="21"/>
    <n v="13"/>
    <n v="15"/>
    <n v="80"/>
    <n v="1.6756169931378435"/>
    <n v="22.694936708860759"/>
    <n v="5.3055534129377486"/>
    <n v="22.140506329113926"/>
    <n v="4.9144008395218908"/>
    <n v="10.069620253164556"/>
    <n v="2.1089377326145904"/>
    <n v="10.958227848101266"/>
    <n v="2.2883463843764797"/>
    <n v="1.5653528755147577"/>
    <n v="-0.23207433954957621"/>
    <n v="1.3895051055881373"/>
    <n v="1.7662414132290645"/>
    <n v="1.1222562636955957"/>
  </r>
  <r>
    <x v="24"/>
    <s v="PREP"/>
    <n v="31"/>
    <n v="22"/>
    <n v="14"/>
    <n v="15"/>
    <n v="82"/>
    <n v="1.7504578155735613"/>
    <n v="22.694936708860759"/>
    <n v="5.3055534129377486"/>
    <n v="22.140506329113926"/>
    <n v="4.9144008395218908"/>
    <n v="10.069620253164556"/>
    <n v="2.1089377326145904"/>
    <n v="10.958227848101266"/>
    <n v="2.2883463843764797"/>
    <n v="1.5653528755147577"/>
    <n v="-2.8590734395120113E-2"/>
    <n v="1.8636774742337652"/>
    <n v="1.7662414132290645"/>
    <n v="1.2916702571456167"/>
  </r>
  <r>
    <x v="24"/>
    <s v="PREP"/>
    <n v="32"/>
    <n v="18"/>
    <n v="14"/>
    <n v="12"/>
    <n v="76"/>
    <n v="2.2673829938997163"/>
    <n v="22.694936708860759"/>
    <n v="5.3055534129377486"/>
    <n v="22.140506329113926"/>
    <n v="4.9144008395218908"/>
    <n v="10.069620253164556"/>
    <n v="2.1089377326145904"/>
    <n v="10.958227848101266"/>
    <n v="2.2883463843764797"/>
    <n v="1.7538346270246887"/>
    <n v="-0.84252515501294456"/>
    <n v="1.8636774742337652"/>
    <n v="0.45525107519183194"/>
    <n v="0.80755950535933529"/>
  </r>
  <r>
    <x v="24"/>
    <s v="PREP"/>
    <n v="28"/>
    <n v="20"/>
    <n v="10"/>
    <n v="9"/>
    <n v="67"/>
    <n v="2.0349510168614966"/>
    <n v="22.694936708860759"/>
    <n v="5.3055534129377486"/>
    <n v="22.140506329113926"/>
    <n v="4.9144008395218908"/>
    <n v="10.069620253164556"/>
    <n v="2.1089377326145904"/>
    <n v="10.958227848101266"/>
    <n v="2.2883463843764797"/>
    <n v="0.99990762098496411"/>
    <n v="-0.43555794470403231"/>
    <n v="-3.3012000348745997E-2"/>
    <n v="-0.85573926284540058"/>
    <n v="-8.1100396728303686E-2"/>
  </r>
  <r>
    <x v="24"/>
    <s v="PREP"/>
    <n v="33"/>
    <n v="26"/>
    <n v="14"/>
    <n v="15"/>
    <n v="88"/>
    <n v="1.9215378456610455"/>
    <n v="22.694936708860759"/>
    <n v="5.3055534129377486"/>
    <n v="22.140506329113926"/>
    <n v="4.9144008395218908"/>
    <n v="10.069620253164556"/>
    <n v="2.1089377326145904"/>
    <n v="10.958227848101266"/>
    <n v="2.2883463843764797"/>
    <n v="1.94231637853462"/>
    <n v="0.78534368622270434"/>
    <n v="1.8636774742337652"/>
    <n v="1.7662414132290645"/>
    <n v="1.5893947380550384"/>
  </r>
  <r>
    <x v="25"/>
    <s v="PREP"/>
    <n v="17"/>
    <n v="23"/>
    <n v="9"/>
    <n v="9"/>
    <n v="58"/>
    <n v="1.6641005886756872"/>
    <n v="22.694936708860759"/>
    <n v="5.3055534129377486"/>
    <n v="22.140506329113926"/>
    <n v="4.9144008395218908"/>
    <n v="10.069620253164556"/>
    <n v="2.1089377326145904"/>
    <n v="10.958227848101266"/>
    <n v="2.2883463843764797"/>
    <n v="-1.0733916456242787"/>
    <n v="0.17489287075933599"/>
    <n v="-0.5071843689943738"/>
    <n v="-0.85573926284540058"/>
    <n v="-0.56535560167617926"/>
  </r>
  <r>
    <x v="25"/>
    <s v="PREP"/>
    <n v="24"/>
    <n v="24"/>
    <n v="7"/>
    <n v="10"/>
    <n v="65"/>
    <n v="2.0816659994661326"/>
    <n v="22.694936708860759"/>
    <n v="5.3055534129377486"/>
    <n v="22.140506329113926"/>
    <n v="4.9144008395218908"/>
    <n v="10.069620253164556"/>
    <n v="2.1089377326145904"/>
    <n v="10.958227848101266"/>
    <n v="2.2883463843764797"/>
    <n v="0.24598061494523943"/>
    <n v="0.37837647591379209"/>
    <n v="-1.4555291062856295"/>
    <n v="-0.41874248349965643"/>
    <n v="-0.31247862473156363"/>
  </r>
  <r>
    <x v="25"/>
    <s v="PREP"/>
    <n v="6"/>
    <n v="17"/>
    <n v="7"/>
    <n v="7"/>
    <n v="37"/>
    <n v="1.5730095277394138"/>
    <n v="22.694936708860759"/>
    <n v="5.3055534129377486"/>
    <n v="22.140506329113926"/>
    <n v="4.9144008395218908"/>
    <n v="10.069620253164556"/>
    <n v="2.1089377326145904"/>
    <n v="10.958227848101266"/>
    <n v="2.2883463843764797"/>
    <n v="-3.1466909122335216"/>
    <n v="-1.0460087601674006"/>
    <n v="-1.4555291062856295"/>
    <n v="-1.729732821536889"/>
    <n v="-1.84449040005586"/>
  </r>
  <r>
    <x v="25"/>
    <s v="PREP"/>
    <n v="33"/>
    <n v="31"/>
    <n v="13"/>
    <n v="9"/>
    <n v="86"/>
    <n v="2.8147960713126134"/>
    <n v="22.694936708860759"/>
    <n v="5.3055534129377486"/>
    <n v="22.140506329113926"/>
    <n v="4.9144008395218908"/>
    <n v="10.069620253164556"/>
    <n v="2.1089377326145904"/>
    <n v="10.958227848101266"/>
    <n v="2.2883463843764797"/>
    <n v="1.94231637853462"/>
    <n v="1.8027617119949848"/>
    <n v="1.3895051055881373"/>
    <n v="-0.85573926284540058"/>
    <n v="1.0697109833180853"/>
  </r>
  <r>
    <x v="25"/>
    <s v="PREP"/>
    <n v="22"/>
    <n v="21"/>
    <n v="9"/>
    <n v="5"/>
    <n v="57"/>
    <n v="1.9806758753205735"/>
    <n v="22.694936708860759"/>
    <n v="5.3055534129377486"/>
    <n v="22.140506329113926"/>
    <n v="4.9144008395218908"/>
    <n v="10.069620253164556"/>
    <n v="2.1089377326145904"/>
    <n v="10.958227848101266"/>
    <n v="2.2883463843764797"/>
    <n v="-0.13098288807462291"/>
    <n v="-0.23207433954957621"/>
    <n v="-0.5071843689943738"/>
    <n v="-2.6037263802283772"/>
    <n v="-0.86849199421173751"/>
  </r>
  <r>
    <x v="25"/>
    <s v="PREP"/>
    <n v="30"/>
    <n v="33"/>
    <n v="14"/>
    <n v="12"/>
    <n v="89"/>
    <n v="2.4781092875467863"/>
    <n v="22.694936708860759"/>
    <n v="5.3055534129377486"/>
    <n v="22.140506329113926"/>
    <n v="4.9144008395218908"/>
    <n v="10.069620253164556"/>
    <n v="2.1089377326145904"/>
    <n v="10.958227848101266"/>
    <n v="2.2883463843764797"/>
    <n v="1.3768711240048266"/>
    <n v="2.2097289223038969"/>
    <n v="1.8636774742337652"/>
    <n v="0.45525107519183194"/>
    <n v="1.4763821489335802"/>
  </r>
  <r>
    <x v="25"/>
    <s v="PREP"/>
    <n v="10"/>
    <n v="16"/>
    <n v="6"/>
    <n v="5"/>
    <n v="37"/>
    <n v="1.3445044840729641"/>
    <n v="22.694936708860759"/>
    <n v="5.3055534129377486"/>
    <n v="22.140506329113926"/>
    <n v="4.9144008395218908"/>
    <n v="10.069620253164556"/>
    <n v="2.1089377326145904"/>
    <n v="10.958227848101266"/>
    <n v="2.2883463843764797"/>
    <n v="-2.3927639061937969"/>
    <n v="-1.2494923653218568"/>
    <n v="-1.9297014749312573"/>
    <n v="-2.6037263802283772"/>
    <n v="-2.0439210316688219"/>
  </r>
  <r>
    <x v="25"/>
    <s v="PREP"/>
    <n v="24"/>
    <n v="20"/>
    <n v="9"/>
    <n v="9"/>
    <n v="62"/>
    <n v="1.7394369852458076"/>
    <n v="22.694936708860759"/>
    <n v="5.3055534129377486"/>
    <n v="22.140506329113926"/>
    <n v="4.9144008395218908"/>
    <n v="10.069620253164556"/>
    <n v="2.1089377326145904"/>
    <n v="10.958227848101266"/>
    <n v="2.2883463843764797"/>
    <n v="0.24598061494523943"/>
    <n v="-0.43555794470403231"/>
    <n v="-0.5071843689943738"/>
    <n v="-0.85573926284540058"/>
    <n v="-0.3881252403996418"/>
  </r>
  <r>
    <x v="25"/>
    <s v="PREP"/>
    <n v="22"/>
    <n v="21"/>
    <n v="11"/>
    <n v="11"/>
    <n v="65"/>
    <n v="1.4142135623730949"/>
    <n v="22.694936708860759"/>
    <n v="5.3055534129377486"/>
    <n v="22.140506329113926"/>
    <n v="4.9144008395218908"/>
    <n v="10.069620253164556"/>
    <n v="2.1089377326145904"/>
    <n v="10.958227848101266"/>
    <n v="2.2883463843764797"/>
    <n v="-0.13098288807462291"/>
    <n v="-0.23207433954957621"/>
    <n v="0.44116036829688182"/>
    <n v="1.8254295846087756E-2"/>
    <n v="2.4089359129692615E-2"/>
  </r>
  <r>
    <x v="25"/>
    <s v="PREP"/>
    <n v="18"/>
    <n v="17"/>
    <n v="9"/>
    <n v="7"/>
    <n v="51"/>
    <n v="1.1875421719907091"/>
    <n v="22.694936708860759"/>
    <n v="5.3055534129377486"/>
    <n v="22.140506329113926"/>
    <n v="4.9144008395218908"/>
    <n v="10.069620253164556"/>
    <n v="2.1089377326145904"/>
    <n v="10.958227848101266"/>
    <n v="2.2883463843764797"/>
    <n v="-0.88490989411434762"/>
    <n v="-1.0460087601674006"/>
    <n v="-0.5071843689943738"/>
    <n v="-1.729732821536889"/>
    <n v="-1.0419589612032527"/>
  </r>
  <r>
    <x v="25"/>
    <s v="PREP"/>
    <n v="21"/>
    <n v="26"/>
    <n v="10"/>
    <n v="10"/>
    <n v="67"/>
    <n v="1.6251232694862388"/>
    <n v="22.694936708860759"/>
    <n v="5.3055534129377486"/>
    <n v="22.140506329113926"/>
    <n v="4.9144008395218908"/>
    <n v="10.069620253164556"/>
    <n v="2.1089377326145904"/>
    <n v="10.958227848101266"/>
    <n v="2.2883463843764797"/>
    <n v="-0.31946463958455407"/>
    <n v="0.78534368622270434"/>
    <n v="-3.3012000348745997E-2"/>
    <n v="-0.41874248349965643"/>
    <n v="3.5311406974369575E-3"/>
  </r>
  <r>
    <x v="25"/>
    <s v="PREP"/>
    <n v="23"/>
    <n v="22"/>
    <n v="11"/>
    <n v="11"/>
    <n v="67"/>
    <n v="1.6756169931378435"/>
    <n v="22.694936708860759"/>
    <n v="5.3055534129377486"/>
    <n v="22.140506329113926"/>
    <n v="4.9144008395218908"/>
    <n v="10.069620253164556"/>
    <n v="2.1089377326145904"/>
    <n v="10.958227848101266"/>
    <n v="2.2883463843764797"/>
    <n v="5.7498863435308259E-2"/>
    <n v="-2.8590734395120113E-2"/>
    <n v="0.44116036829688182"/>
    <n v="1.8254295846087756E-2"/>
    <n v="0.12208069829578942"/>
  </r>
  <r>
    <x v="25"/>
    <s v="PREP"/>
    <n v="23"/>
    <n v="22"/>
    <n v="10"/>
    <n v="8"/>
    <n v="63"/>
    <n v="1.863963243832607"/>
    <n v="22.694936708860759"/>
    <n v="5.3055534129377486"/>
    <n v="22.140506329113926"/>
    <n v="4.9144008395218908"/>
    <n v="10.069620253164556"/>
    <n v="2.1089377326145904"/>
    <n v="10.958227848101266"/>
    <n v="2.2883463843764797"/>
    <n v="5.7498863435308259E-2"/>
    <n v="-2.8590734395120113E-2"/>
    <n v="-3.3012000348745997E-2"/>
    <n v="-1.2927360421911447"/>
    <n v="-0.32420997837492566"/>
  </r>
  <r>
    <x v="25"/>
    <s v="PREP"/>
    <n v="14"/>
    <n v="18"/>
    <n v="8"/>
    <n v="9"/>
    <n v="49"/>
    <n v="1.4806443503784736"/>
    <n v="22.694936708860759"/>
    <n v="5.3055534129377486"/>
    <n v="22.140506329113926"/>
    <n v="4.9144008395218908"/>
    <n v="10.069620253164556"/>
    <n v="2.1089377326145904"/>
    <n v="10.958227848101266"/>
    <n v="2.2883463843764797"/>
    <n v="-1.6388369001540724"/>
    <n v="-0.84252515501294456"/>
    <n v="-0.98135673764000164"/>
    <n v="-0.85573926284540058"/>
    <n v="-1.0796145139131048"/>
  </r>
  <r>
    <x v="25"/>
    <s v="PREP"/>
    <n v="14"/>
    <n v="24"/>
    <n v="11"/>
    <n v="7"/>
    <n v="56"/>
    <n v="1.9315199276138029"/>
    <n v="22.694936708860759"/>
    <n v="5.3055534129377486"/>
    <n v="22.140506329113926"/>
    <n v="4.9144008395218908"/>
    <n v="10.069620253164556"/>
    <n v="2.1089377326145904"/>
    <n v="10.958227848101266"/>
    <n v="2.2883463843764797"/>
    <n v="-1.6388369001540724"/>
    <n v="0.37837647591379209"/>
    <n v="0.44116036829688182"/>
    <n v="-1.729732821536889"/>
    <n v="-0.63725821937007188"/>
  </r>
  <r>
    <x v="25"/>
    <s v="PREP"/>
    <n v="22"/>
    <n v="24"/>
    <n v="9"/>
    <n v="12"/>
    <n v="67"/>
    <n v="1.5191090506255001"/>
    <n v="22.694936708860759"/>
    <n v="5.3055534129377486"/>
    <n v="22.140506329113926"/>
    <n v="4.9144008395218908"/>
    <n v="10.069620253164556"/>
    <n v="2.1089377326145904"/>
    <n v="10.958227848101266"/>
    <n v="2.2883463843764797"/>
    <n v="-0.13098288807462291"/>
    <n v="0.37837647591379209"/>
    <n v="-0.5071843689943738"/>
    <n v="0.45525107519183194"/>
    <n v="4.8865073509156837E-2"/>
  </r>
  <r>
    <x v="25"/>
    <s v="PREP"/>
    <n v="18"/>
    <n v="20"/>
    <n v="10"/>
    <n v="6"/>
    <n v="54"/>
    <n v="1.7246329970051526"/>
    <n v="22.694936708860759"/>
    <n v="5.3055534129377486"/>
    <n v="22.140506329113926"/>
    <n v="4.9144008395218908"/>
    <n v="10.069620253164556"/>
    <n v="2.1089377326145904"/>
    <n v="10.958227848101266"/>
    <n v="2.2883463843764797"/>
    <n v="-0.88490989411434762"/>
    <n v="-0.43555794470403231"/>
    <n v="-3.3012000348745997E-2"/>
    <n v="-2.1667296008826331"/>
    <n v="-0.88005236001243969"/>
  </r>
  <r>
    <x v="25"/>
    <s v="PREP"/>
    <n v="20"/>
    <n v="25"/>
    <n v="11"/>
    <n v="10"/>
    <n v="66"/>
    <n v="1.8009968749527976"/>
    <n v="22.694936708860759"/>
    <n v="5.3055534129377486"/>
    <n v="22.140506329113926"/>
    <n v="4.9144008395218908"/>
    <n v="10.069620253164556"/>
    <n v="2.1089377326145904"/>
    <n v="10.958227848101266"/>
    <n v="2.2883463843764797"/>
    <n v="-0.50794639109448525"/>
    <n v="0.58186008106824816"/>
    <n v="0.44116036829688182"/>
    <n v="-0.41874248349965643"/>
    <n v="2.408289369274709E-2"/>
  </r>
  <r>
    <x v="25"/>
    <s v="PREP"/>
    <n v="20"/>
    <n v="16"/>
    <n v="7"/>
    <n v="11"/>
    <n v="54"/>
    <n v="1.3445044840729641"/>
    <n v="22.694936708860759"/>
    <n v="5.3055534129377486"/>
    <n v="22.140506329113926"/>
    <n v="4.9144008395218908"/>
    <n v="10.069620253164556"/>
    <n v="2.1089377326145904"/>
    <n v="10.958227848101266"/>
    <n v="2.2883463843764797"/>
    <n v="-0.50794639109448525"/>
    <n v="-1.2494923653218568"/>
    <n v="-1.4555291062856295"/>
    <n v="1.8254295846087756E-2"/>
    <n v="-0.79867839171397093"/>
  </r>
  <r>
    <x v="25"/>
    <s v="PREP"/>
    <n v="28"/>
    <n v="27"/>
    <n v="11"/>
    <n v="13"/>
    <n v="79"/>
    <n v="1.9348358440936906"/>
    <n v="22.694936708860759"/>
    <n v="5.3055534129377486"/>
    <n v="22.140506329113926"/>
    <n v="4.9144008395218908"/>
    <n v="10.069620253164556"/>
    <n v="2.1089377326145904"/>
    <n v="10.958227848101266"/>
    <n v="2.2883463843764797"/>
    <n v="0.99990762098496411"/>
    <n v="0.98882729137716041"/>
    <n v="0.44116036829688182"/>
    <n v="0.89224785453757616"/>
    <n v="0.83053578379914561"/>
  </r>
  <r>
    <x v="25"/>
    <s v="PREP"/>
    <n v="26"/>
    <n v="19"/>
    <n v="9"/>
    <n v="11"/>
    <n v="65"/>
    <n v="1.8257418583505538"/>
    <n v="22.694936708860759"/>
    <n v="5.3055534129377486"/>
    <n v="22.140506329113926"/>
    <n v="4.9144008395218908"/>
    <n v="10.069620253164556"/>
    <n v="2.1089377326145904"/>
    <n v="10.958227848101266"/>
    <n v="2.2883463843764797"/>
    <n v="0.62294411796510174"/>
    <n v="-0.63904154985848838"/>
    <n v="-0.5071843689943738"/>
    <n v="1.8254295846087756E-2"/>
    <n v="-0.12625687626041818"/>
  </r>
  <r>
    <x v="25"/>
    <s v="PREP"/>
    <n v="24"/>
    <n v="25"/>
    <n v="10"/>
    <n v="12"/>
    <n v="71"/>
    <n v="1.6641005886756874"/>
    <n v="22.694936708860759"/>
    <n v="5.3055534129377486"/>
    <n v="22.140506329113926"/>
    <n v="4.9144008395218908"/>
    <n v="10.069620253164556"/>
    <n v="2.1089377326145904"/>
    <n v="10.958227848101266"/>
    <n v="2.2883463843764797"/>
    <n v="0.24598061494523943"/>
    <n v="0.58186008106824816"/>
    <n v="-3.3012000348745997E-2"/>
    <n v="0.45525107519183194"/>
    <n v="0.31251994271414341"/>
  </r>
  <r>
    <x v="25"/>
    <s v="PREP"/>
    <n v="30"/>
    <n v="30"/>
    <n v="10"/>
    <n v="15"/>
    <n v="85"/>
    <n v="2.2588855886396955"/>
    <n v="22.694936708860759"/>
    <n v="5.3055534129377486"/>
    <n v="22.140506329113926"/>
    <n v="4.9144008395218908"/>
    <n v="10.069620253164556"/>
    <n v="2.1089377326145904"/>
    <n v="10.958227848101266"/>
    <n v="2.2883463843764797"/>
    <n v="1.3768711240048266"/>
    <n v="1.5992781068405286"/>
    <n v="-3.3012000348745997E-2"/>
    <n v="1.7662414132290645"/>
    <n v="1.1773446609314184"/>
  </r>
  <r>
    <x v="25"/>
    <s v="PREP"/>
    <n v="25"/>
    <n v="21"/>
    <n v="11"/>
    <n v="10"/>
    <n v="67"/>
    <n v="1.7246329970051526"/>
    <n v="22.694936708860759"/>
    <n v="5.3055534129377486"/>
    <n v="22.140506329113926"/>
    <n v="4.9144008395218908"/>
    <n v="10.069620253164556"/>
    <n v="2.1089377326145904"/>
    <n v="10.958227848101266"/>
    <n v="2.2883463843764797"/>
    <n v="0.43446236645517061"/>
    <n v="-0.23207433954957621"/>
    <n v="0.44116036829688182"/>
    <n v="-0.41874248349965643"/>
    <n v="5.6201477925704943E-2"/>
  </r>
  <r>
    <x v="25"/>
    <s v="PREP"/>
    <n v="25"/>
    <n v="21"/>
    <n v="11"/>
    <n v="7"/>
    <n v="64"/>
    <n v="1.9774368283857795"/>
    <n v="22.694936708860759"/>
    <n v="5.3055534129377486"/>
    <n v="22.140506329113926"/>
    <n v="4.9144008395218908"/>
    <n v="10.069620253164556"/>
    <n v="2.1089377326145904"/>
    <n v="10.958227848101266"/>
    <n v="2.2883463843764797"/>
    <n v="0.43446236645517061"/>
    <n v="-0.23207433954957621"/>
    <n v="0.44116036829688182"/>
    <n v="-1.729732821536889"/>
    <n v="-0.27154610658360323"/>
  </r>
  <r>
    <x v="25"/>
    <s v="PREP"/>
    <n v="25"/>
    <n v="22"/>
    <n v="10"/>
    <n v="12"/>
    <n v="69"/>
    <n v="1.7504578155735617"/>
    <n v="22.694936708860759"/>
    <n v="5.3055534129377486"/>
    <n v="22.140506329113926"/>
    <n v="4.9144008395218908"/>
    <n v="10.069620253164556"/>
    <n v="2.1089377326145904"/>
    <n v="10.958227848101266"/>
    <n v="2.2883463843764797"/>
    <n v="0.43446236645517061"/>
    <n v="-2.8590734395120113E-2"/>
    <n v="-3.3012000348745997E-2"/>
    <n v="0.45525107519183194"/>
    <n v="0.20702767672578409"/>
  </r>
  <r>
    <x v="25"/>
    <s v="PREP"/>
    <n v="25"/>
    <n v="29"/>
    <n v="13"/>
    <n v="13"/>
    <n v="80"/>
    <n v="2.2303271003059115"/>
    <n v="22.694936708860759"/>
    <n v="5.3055534129377486"/>
    <n v="22.140506329113926"/>
    <n v="4.9144008395218908"/>
    <n v="10.069620253164556"/>
    <n v="2.1089377326145904"/>
    <n v="10.958227848101266"/>
    <n v="2.2883463843764797"/>
    <n v="0.43446236645517061"/>
    <n v="1.3957945016860727"/>
    <n v="1.3895051055881373"/>
    <n v="0.89224785453757616"/>
    <n v="1.0280024570667392"/>
  </r>
  <r>
    <x v="25"/>
    <s v="PREP"/>
    <n v="23"/>
    <n v="24"/>
    <n v="12"/>
    <n v="11"/>
    <n v="70"/>
    <n v="1.7577666482623879"/>
    <n v="22.694936708860759"/>
    <n v="5.3055534129377486"/>
    <n v="22.140506329113926"/>
    <n v="4.9144008395218908"/>
    <n v="10.069620253164556"/>
    <n v="2.1089377326145904"/>
    <n v="10.958227848101266"/>
    <n v="2.2883463843764797"/>
    <n v="5.7498863435308259E-2"/>
    <n v="0.37837647591379209"/>
    <n v="0.91533273694250961"/>
    <n v="1.8254295846087756E-2"/>
    <n v="0.34236559303442443"/>
  </r>
  <r>
    <x v="25"/>
    <s v="PREP"/>
    <n v="27"/>
    <n v="26"/>
    <n v="11"/>
    <n v="13"/>
    <n v="77"/>
    <n v="1.7541160386140584"/>
    <n v="22.694936708860759"/>
    <n v="5.3055534129377486"/>
    <n v="22.140506329113926"/>
    <n v="4.9144008395218908"/>
    <n v="10.069620253164556"/>
    <n v="2.1089377326145904"/>
    <n v="10.958227848101266"/>
    <n v="2.2883463843764797"/>
    <n v="0.81142586947503292"/>
    <n v="0.78534368622270434"/>
    <n v="0.44116036829688182"/>
    <n v="0.89224785453757616"/>
    <n v="0.7325444446330488"/>
  </r>
  <r>
    <x v="26"/>
    <s v="PREP"/>
    <n v="22"/>
    <n v="21"/>
    <n v="9"/>
    <n v="9"/>
    <n v="61"/>
    <n v="1.1094003924504579"/>
    <n v="22.694936708860759"/>
    <n v="5.3055534129377486"/>
    <n v="22.140506329113926"/>
    <n v="4.9144008395218908"/>
    <n v="10.069620253164556"/>
    <n v="2.1089377326145904"/>
    <n v="10.958227848101266"/>
    <n v="2.2883463843764797"/>
    <n v="-0.13098288807462291"/>
    <n v="-0.23207433954957621"/>
    <n v="-0.5071843689943738"/>
    <n v="-0.85573926284540058"/>
    <n v="-0.4314952148659934"/>
  </r>
  <r>
    <x v="26"/>
    <s v="PREP"/>
    <n v="24"/>
    <n v="23"/>
    <n v="11"/>
    <n v="10"/>
    <n v="68"/>
    <n v="1.300887271175982"/>
    <n v="22.694936708860759"/>
    <n v="5.3055534129377486"/>
    <n v="22.140506329113926"/>
    <n v="4.9144008395218908"/>
    <n v="10.069620253164556"/>
    <n v="2.1089377326145904"/>
    <n v="10.958227848101266"/>
    <n v="2.2883463843764797"/>
    <n v="0.24598061494523943"/>
    <n v="0.17489287075933599"/>
    <n v="0.44116036829688182"/>
    <n v="-0.41874248349965643"/>
    <n v="0.11082284262545018"/>
  </r>
  <r>
    <x v="26"/>
    <s v="PREP"/>
    <n v="23"/>
    <n v="22"/>
    <n v="9"/>
    <n v="9"/>
    <n v="63"/>
    <n v="1.2142318453899044"/>
    <n v="22.694936708860759"/>
    <n v="5.3055534129377486"/>
    <n v="22.140506329113926"/>
    <n v="4.9144008395218908"/>
    <n v="10.069620253164556"/>
    <n v="2.1089377326145904"/>
    <n v="10.958227848101266"/>
    <n v="2.2883463843764797"/>
    <n v="5.7498863435308259E-2"/>
    <n v="-2.8590734395120113E-2"/>
    <n v="-0.5071843689943738"/>
    <n v="-0.85573926284540058"/>
    <n v="-0.33350387569989659"/>
  </r>
  <r>
    <x v="26"/>
    <s v="PREP"/>
    <n v="22"/>
    <n v="21"/>
    <n v="10"/>
    <n v="10"/>
    <n v="63"/>
    <n v="1.2142318453899046"/>
    <n v="22.694936708860759"/>
    <n v="5.3055534129377486"/>
    <n v="22.140506329113926"/>
    <n v="4.9144008395218908"/>
    <n v="10.069620253164556"/>
    <n v="2.1089377326145904"/>
    <n v="10.958227848101266"/>
    <n v="2.2883463843764797"/>
    <n v="-0.13098288807462291"/>
    <n v="-0.23207433954957621"/>
    <n v="-3.3012000348745997E-2"/>
    <n v="-0.41874248349965643"/>
    <n v="-0.20370292786815039"/>
  </r>
  <r>
    <x v="26"/>
    <s v="PREP"/>
    <n v="22"/>
    <n v="22"/>
    <n v="8"/>
    <n v="10"/>
    <n v="62"/>
    <n v="1.2351684199496948"/>
    <n v="22.694936708860759"/>
    <n v="5.3055534129377486"/>
    <n v="22.140506329113926"/>
    <n v="4.9144008395218908"/>
    <n v="10.069620253164556"/>
    <n v="2.1089377326145904"/>
    <n v="10.958227848101266"/>
    <n v="2.2883463843764797"/>
    <n v="-0.13098288807462291"/>
    <n v="-2.8590734395120113E-2"/>
    <n v="-0.98135673764000164"/>
    <n v="-0.41874248349965643"/>
    <n v="-0.38991821090235029"/>
  </r>
  <r>
    <x v="26"/>
    <s v="PREP"/>
    <n v="24"/>
    <n v="23"/>
    <n v="10"/>
    <n v="10"/>
    <n v="67"/>
    <n v="1.2810252304406973"/>
    <n v="22.694936708860759"/>
    <n v="5.3055534129377486"/>
    <n v="22.140506329113926"/>
    <n v="4.9144008395218908"/>
    <n v="10.069620253164556"/>
    <n v="2.1089377326145904"/>
    <n v="10.958227848101266"/>
    <n v="2.2883463843764797"/>
    <n v="0.24598061494523943"/>
    <n v="0.17489287075933599"/>
    <n v="-3.3012000348745997E-2"/>
    <n v="-0.41874248349965643"/>
    <n v="-7.7202495359567636E-3"/>
  </r>
  <r>
    <x v="26"/>
    <s v="PREP"/>
    <n v="25"/>
    <n v="21"/>
    <n v="9"/>
    <n v="10"/>
    <n v="65"/>
    <n v="1.2909944487358054"/>
    <n v="22.694936708860759"/>
    <n v="5.3055534129377486"/>
    <n v="22.140506329113926"/>
    <n v="4.9144008395218908"/>
    <n v="10.069620253164556"/>
    <n v="2.1089377326145904"/>
    <n v="10.958227848101266"/>
    <n v="2.2883463843764797"/>
    <n v="0.43446236645517061"/>
    <n v="-0.23207433954957621"/>
    <n v="-0.5071843689943738"/>
    <n v="-0.41874248349965643"/>
    <n v="-0.18088470639710896"/>
  </r>
  <r>
    <x v="26"/>
    <s v="PREP"/>
    <n v="23"/>
    <n v="21"/>
    <n v="9"/>
    <n v="10"/>
    <n v="63"/>
    <n v="1.0681880176381127"/>
    <n v="22.694936708860759"/>
    <n v="5.3055534129377486"/>
    <n v="22.140506329113926"/>
    <n v="4.9144008395218908"/>
    <n v="10.069620253164556"/>
    <n v="2.1089377326145904"/>
    <n v="10.958227848101266"/>
    <n v="2.2883463843764797"/>
    <n v="5.7498863435308259E-2"/>
    <n v="-0.23207433954957621"/>
    <n v="-0.5071843689943738"/>
    <n v="-0.41874248349965643"/>
    <n v="-0.27512558215207455"/>
  </r>
  <r>
    <x v="26"/>
    <s v="PREP"/>
    <n v="21"/>
    <n v="19"/>
    <n v="10"/>
    <n v="10"/>
    <n v="60"/>
    <n v="1.1208970766356099"/>
    <n v="22.694936708860759"/>
    <n v="5.3055534129377486"/>
    <n v="22.140506329113926"/>
    <n v="4.9144008395218908"/>
    <n v="10.069620253164556"/>
    <n v="2.1089377326145904"/>
    <n v="10.958227848101266"/>
    <n v="2.2883463843764797"/>
    <n v="-0.31946463958455407"/>
    <n v="-0.63904154985848838"/>
    <n v="-3.3012000348745997E-2"/>
    <n v="-0.41874248349965643"/>
    <n v="-0.35256516832286122"/>
  </r>
  <r>
    <x v="26"/>
    <s v="PREP"/>
    <n v="20"/>
    <n v="17"/>
    <n v="10"/>
    <n v="11"/>
    <n v="58"/>
    <n v="0.8770580193070292"/>
    <n v="22.694936708860759"/>
    <n v="5.3055534129377486"/>
    <n v="22.140506329113926"/>
    <n v="4.9144008395218908"/>
    <n v="10.069620253164556"/>
    <n v="2.1089377326145904"/>
    <n v="10.958227848101266"/>
    <n v="2.2883463843764797"/>
    <n v="-0.50794639109448525"/>
    <n v="-1.0460087601674006"/>
    <n v="-3.3012000348745997E-2"/>
    <n v="1.8254295846087756E-2"/>
    <n v="-0.392178213941136"/>
  </r>
  <r>
    <x v="26"/>
    <s v="PREP"/>
    <n v="23"/>
    <n v="23"/>
    <n v="11"/>
    <n v="10"/>
    <n v="67"/>
    <n v="1.2810252304406973"/>
    <n v="22.694936708860759"/>
    <n v="5.3055534129377486"/>
    <n v="22.140506329113926"/>
    <n v="4.9144008395218908"/>
    <n v="10.069620253164556"/>
    <n v="2.1089377326145904"/>
    <n v="10.958227848101266"/>
    <n v="2.2883463843764797"/>
    <n v="5.7498863435308259E-2"/>
    <n v="0.17489287075933599"/>
    <n v="0.44116036829688182"/>
    <n v="-0.41874248349965643"/>
    <n v="6.3702404747967414E-2"/>
  </r>
  <r>
    <x v="26"/>
    <s v="PREP"/>
    <n v="22"/>
    <n v="20"/>
    <n v="10"/>
    <n v="10"/>
    <n v="62"/>
    <n v="0.92680869599629889"/>
    <n v="22.694936708860759"/>
    <n v="5.3055534129377486"/>
    <n v="22.140506329113926"/>
    <n v="4.9144008395218908"/>
    <n v="10.069620253164556"/>
    <n v="2.1089377326145904"/>
    <n v="10.958227848101266"/>
    <n v="2.2883463843764797"/>
    <n v="-0.13098288807462291"/>
    <n v="-0.43555794470403231"/>
    <n v="-3.3012000348745997E-2"/>
    <n v="-0.41874248349965643"/>
    <n v="-0.25457382915676441"/>
  </r>
  <r>
    <x v="26"/>
    <s v="PREP"/>
    <n v="25"/>
    <n v="24"/>
    <n v="11"/>
    <n v="14"/>
    <n v="74"/>
    <n v="0.947330933431342"/>
    <n v="22.694936708860759"/>
    <n v="5.3055534129377486"/>
    <n v="22.140506329113926"/>
    <n v="4.9144008395218908"/>
    <n v="10.069620253164556"/>
    <n v="2.1089377326145904"/>
    <n v="10.958227848101266"/>
    <n v="2.2883463843764797"/>
    <n v="0.43446236645517061"/>
    <n v="0.37837647591379209"/>
    <n v="0.44116036829688182"/>
    <n v="1.3292446338833204"/>
    <n v="0.64581096113729131"/>
  </r>
  <r>
    <x v="26"/>
    <s v="PREP"/>
    <n v="24"/>
    <n v="22"/>
    <n v="10"/>
    <n v="13"/>
    <n v="69"/>
    <n v="0.947330933431342"/>
    <n v="22.694936708860759"/>
    <n v="5.3055534129377486"/>
    <n v="22.140506329113926"/>
    <n v="4.9144008395218908"/>
    <n v="10.069620253164556"/>
    <n v="2.1089377326145904"/>
    <n v="10.958227848101266"/>
    <n v="2.2883463843764797"/>
    <n v="0.24598061494523943"/>
    <n v="-2.8590734395120113E-2"/>
    <n v="-3.3012000348745997E-2"/>
    <n v="0.89224785453757616"/>
    <n v="0.26915643368473735"/>
  </r>
  <r>
    <x v="26"/>
    <s v="PREP"/>
    <n v="23"/>
    <n v="25"/>
    <n v="11"/>
    <n v="14"/>
    <n v="73"/>
    <n v="0.96076892283052284"/>
    <n v="22.694936708860759"/>
    <n v="5.3055534129377486"/>
    <n v="22.140506329113926"/>
    <n v="4.9144008395218908"/>
    <n v="10.069620253164556"/>
    <n v="2.1089377326145904"/>
    <n v="10.958227848101266"/>
    <n v="2.2883463843764797"/>
    <n v="5.7498863435308259E-2"/>
    <n v="0.58186008106824816"/>
    <n v="0.44116036829688182"/>
    <n v="1.3292446338833204"/>
    <n v="0.6024409866709397"/>
  </r>
  <r>
    <x v="26"/>
    <s v="PREP"/>
    <n v="22"/>
    <n v="21"/>
    <n v="10"/>
    <n v="14"/>
    <n v="67"/>
    <n v="0.68873723172119439"/>
    <n v="22.694936708860759"/>
    <n v="5.3055534129377486"/>
    <n v="22.140506329113926"/>
    <n v="4.9144008395218908"/>
    <n v="10.069620253164556"/>
    <n v="2.1089377326145904"/>
    <n v="10.958227848101266"/>
    <n v="2.2883463843764797"/>
    <n v="-0.13098288807462291"/>
    <n v="-0.23207433954957621"/>
    <n v="-3.3012000348745997E-2"/>
    <n v="1.3292446338833204"/>
    <n v="0.23329385147759379"/>
  </r>
  <r>
    <x v="26"/>
    <s v="PREP"/>
    <n v="20"/>
    <n v="18"/>
    <n v="9"/>
    <n v="10"/>
    <n v="57"/>
    <n v="0.86971849262290402"/>
    <n v="22.694936708860759"/>
    <n v="5.3055534129377486"/>
    <n v="22.140506329113926"/>
    <n v="4.9144008395218908"/>
    <n v="10.069620253164556"/>
    <n v="2.1089377326145904"/>
    <n v="10.958227848101266"/>
    <n v="2.2883463843764797"/>
    <n v="-0.50794639109448525"/>
    <n v="-0.84252515501294456"/>
    <n v="-0.5071843689943738"/>
    <n v="-0.41874248349965643"/>
    <n v="-0.56909959965036494"/>
  </r>
  <r>
    <x v="26"/>
    <s v="PREP"/>
    <n v="20"/>
    <n v="19"/>
    <n v="10"/>
    <n v="14"/>
    <n v="63"/>
    <n v="0.68873723172119439"/>
    <n v="22.694936708860759"/>
    <n v="5.3055534129377486"/>
    <n v="22.140506329113926"/>
    <n v="4.9144008395218908"/>
    <n v="10.069620253164556"/>
    <n v="2.1089377326145904"/>
    <n v="10.958227848101266"/>
    <n v="2.2883463843764797"/>
    <n v="-0.50794639109448525"/>
    <n v="-0.63904154985848838"/>
    <n v="-3.3012000348745997E-2"/>
    <n v="1.3292446338833204"/>
    <n v="3.7311173145400223E-2"/>
  </r>
  <r>
    <x v="26"/>
    <s v="PREP"/>
    <n v="20"/>
    <n v="17"/>
    <n v="11"/>
    <n v="13"/>
    <n v="61"/>
    <n v="0.75106761619881079"/>
    <n v="22.694936708860759"/>
    <n v="5.3055534129377486"/>
    <n v="22.140506329113926"/>
    <n v="4.9144008395218908"/>
    <n v="10.069620253164556"/>
    <n v="2.1089377326145904"/>
    <n v="10.958227848101266"/>
    <n v="2.2883463843764797"/>
    <n v="-0.50794639109448525"/>
    <n v="-1.0460087601674006"/>
    <n v="0.44116036829688182"/>
    <n v="0.89224785453757616"/>
    <n v="-5.5136732106856962E-2"/>
  </r>
  <r>
    <x v="26"/>
    <s v="PREP"/>
    <n v="24"/>
    <n v="20"/>
    <n v="10"/>
    <n v="14"/>
    <n v="68"/>
    <n v="0.72501105208198424"/>
    <n v="22.694936708860759"/>
    <n v="5.3055534129377486"/>
    <n v="22.140506329113926"/>
    <n v="4.9144008395218908"/>
    <n v="10.069620253164556"/>
    <n v="2.1089377326145904"/>
    <n v="10.958227848101266"/>
    <n v="2.2883463843764797"/>
    <n v="0.24598061494523943"/>
    <n v="-0.43555794470403231"/>
    <n v="-3.3012000348745997E-2"/>
    <n v="1.3292446338833204"/>
    <n v="0.2766638259439454"/>
  </r>
  <r>
    <x v="26"/>
    <s v="PREP"/>
    <n v="24"/>
    <n v="20"/>
    <n v="10"/>
    <n v="14"/>
    <n v="68"/>
    <n v="0.72501105208198424"/>
    <n v="22.694936708860759"/>
    <n v="5.3055534129377486"/>
    <n v="22.140506329113926"/>
    <n v="4.9144008395218908"/>
    <n v="10.069620253164556"/>
    <n v="2.1089377326145904"/>
    <n v="10.958227848101266"/>
    <n v="2.2883463843764797"/>
    <n v="0.24598061494523943"/>
    <n v="-0.43555794470403231"/>
    <n v="-3.3012000348745997E-2"/>
    <n v="1.3292446338833204"/>
    <n v="0.2766638259439454"/>
  </r>
  <r>
    <x v="26"/>
    <s v="PREP"/>
    <n v="25"/>
    <n v="23"/>
    <n v="10"/>
    <n v="14"/>
    <n v="72"/>
    <n v="0.87705801930702953"/>
    <n v="22.694936708860759"/>
    <n v="5.3055534129377486"/>
    <n v="22.140506329113926"/>
    <n v="4.9144008395218908"/>
    <n v="10.069620253164556"/>
    <n v="2.1089377326145904"/>
    <n v="10.958227848101266"/>
    <n v="2.2883463843764797"/>
    <n v="0.43446236645517061"/>
    <n v="0.17489287075933599"/>
    <n v="-3.3012000348745997E-2"/>
    <n v="1.3292446338833204"/>
    <n v="0.47639696768727025"/>
  </r>
  <r>
    <x v="26"/>
    <s v="PREP"/>
    <n v="25"/>
    <n v="23"/>
    <n v="11"/>
    <n v="15"/>
    <n v="74"/>
    <n v="0.75106761619881079"/>
    <n v="22.694936708860759"/>
    <n v="5.3055534129377486"/>
    <n v="22.140506329113926"/>
    <n v="4.9144008395218908"/>
    <n v="10.069620253164556"/>
    <n v="2.1089377326145904"/>
    <n v="10.958227848101266"/>
    <n v="2.2883463843764797"/>
    <n v="0.43446236645517061"/>
    <n v="0.17489287075933599"/>
    <n v="0.44116036829688182"/>
    <n v="1.7662414132290645"/>
    <n v="0.70418925468511318"/>
  </r>
  <r>
    <x v="26"/>
    <s v="PREP"/>
    <n v="22"/>
    <n v="20"/>
    <n v="9"/>
    <n v="14"/>
    <n v="65"/>
    <n v="0.57735026918962618"/>
    <n v="22.694936708860759"/>
    <n v="5.3055534129377486"/>
    <n v="22.140506329113926"/>
    <n v="4.9144008395218908"/>
    <n v="10.069620253164556"/>
    <n v="2.1089377326145904"/>
    <n v="10.958227848101266"/>
    <n v="2.2883463843764797"/>
    <n v="-0.13098288807462291"/>
    <n v="-0.43555794470403231"/>
    <n v="-0.5071843689943738"/>
    <n v="1.3292446338833204"/>
    <n v="6.3879858027572844E-2"/>
  </r>
  <r>
    <x v="26"/>
    <s v="PREP"/>
    <n v="12"/>
    <n v="15"/>
    <n v="7"/>
    <n v="9"/>
    <n v="43"/>
    <n v="0.48038446141526137"/>
    <n v="22.694936708860759"/>
    <n v="5.3055534129377486"/>
    <n v="22.140506329113926"/>
    <n v="4.9144008395218908"/>
    <n v="10.069620253164556"/>
    <n v="2.1089377326145904"/>
    <n v="10.958227848101266"/>
    <n v="2.2883463843764797"/>
    <n v="-2.0158004031739347"/>
    <n v="-1.4529759704763128"/>
    <n v="-1.4555291062856295"/>
    <n v="-0.85573926284540058"/>
    <n v="-1.4450111856953194"/>
  </r>
  <r>
    <x v="26"/>
    <s v="PREP"/>
    <n v="13"/>
    <n v="19"/>
    <n v="8"/>
    <n v="10"/>
    <n v="50"/>
    <n v="0.89871703427291705"/>
    <n v="22.694936708860759"/>
    <n v="5.3055534129377486"/>
    <n v="22.140506329113926"/>
    <n v="4.9144008395218908"/>
    <n v="10.069620253164556"/>
    <n v="2.1089377326145904"/>
    <n v="10.958227848101266"/>
    <n v="2.2883463843764797"/>
    <n v="-1.8273186516640034"/>
    <n v="-0.63904154985848838"/>
    <n v="-0.98135673764000164"/>
    <n v="-0.41874248349965643"/>
    <n v="-0.9666148556655374"/>
  </r>
  <r>
    <x v="26"/>
    <s v="PREP"/>
    <n v="19"/>
    <n v="19"/>
    <n v="8"/>
    <n v="10"/>
    <n v="56"/>
    <n v="0.85485041426511021"/>
    <n v="22.694936708860759"/>
    <n v="5.3055534129377486"/>
    <n v="22.140506329113926"/>
    <n v="4.9144008395218908"/>
    <n v="10.069620253164556"/>
    <n v="2.1089377326145904"/>
    <n v="10.958227848101266"/>
    <n v="2.2883463843764797"/>
    <n v="-0.69642814260441643"/>
    <n v="-0.63904154985848838"/>
    <n v="-0.98135673764000164"/>
    <n v="-0.41874248349965643"/>
    <n v="-0.68389222840064068"/>
  </r>
  <r>
    <x v="26"/>
    <s v="PREP"/>
    <n v="18"/>
    <n v="17"/>
    <n v="8"/>
    <n v="8"/>
    <n v="51"/>
    <n v="0.9540735874430285"/>
    <n v="22.694936708860759"/>
    <n v="5.3055534129377486"/>
    <n v="22.140506329113926"/>
    <n v="4.9144008395218908"/>
    <n v="10.069620253164556"/>
    <n v="2.1089377326145904"/>
    <n v="10.958227848101266"/>
    <n v="2.2883463843764797"/>
    <n v="-0.88490989411434762"/>
    <n v="-1.0460087601674006"/>
    <n v="-0.98135673764000164"/>
    <n v="-1.2927360421911447"/>
    <n v="-1.0512528585282237"/>
  </r>
  <r>
    <x v="26"/>
    <s v="PREP"/>
    <n v="17"/>
    <n v="14"/>
    <n v="7"/>
    <n v="8"/>
    <n v="46"/>
    <n v="0.77625002580618474"/>
    <n v="22.694936708860759"/>
    <n v="5.3055534129377486"/>
    <n v="22.140506329113926"/>
    <n v="4.9144008395218908"/>
    <n v="10.069620253164556"/>
    <n v="2.1089377326145904"/>
    <n v="10.958227848101266"/>
    <n v="2.2883463843764797"/>
    <n v="-1.0733916456242787"/>
    <n v="-1.656459575630769"/>
    <n v="-1.4555291062856295"/>
    <n v="-1.2927360421911447"/>
    <n v="-1.3695290924329555"/>
  </r>
  <r>
    <x v="26"/>
    <s v="PREP"/>
    <n v="22"/>
    <n v="18"/>
    <n v="9"/>
    <n v="10"/>
    <n v="59"/>
    <n v="1.1266014242982163"/>
    <n v="22.694936708860759"/>
    <n v="5.3055534129377486"/>
    <n v="22.140506329113926"/>
    <n v="4.9144008395218908"/>
    <n v="10.069620253164556"/>
    <n v="2.1089377326145904"/>
    <n v="10.958227848101266"/>
    <n v="2.2883463843764797"/>
    <n v="-0.13098288807462291"/>
    <n v="-0.84252515501294456"/>
    <n v="-0.5071843689943738"/>
    <n v="-0.41874248349965643"/>
    <n v="-0.47485872389539946"/>
  </r>
  <r>
    <x v="26"/>
    <s v="PREP"/>
    <n v="26"/>
    <n v="21"/>
    <n v="10"/>
    <n v="12"/>
    <n v="69"/>
    <n v="1.1821319289469758"/>
    <n v="22.694936708860759"/>
    <n v="5.3055534129377486"/>
    <n v="22.140506329113926"/>
    <n v="4.9144008395218908"/>
    <n v="10.069620253164556"/>
    <n v="2.1089377326145904"/>
    <n v="10.958227848101266"/>
    <n v="2.2883463843764797"/>
    <n v="0.62294411796510174"/>
    <n v="-0.23207433954957621"/>
    <n v="-3.3012000348745997E-2"/>
    <n v="0.45525107519183194"/>
    <n v="0.20327721331465287"/>
  </r>
  <r>
    <x v="26"/>
    <s v="PREP"/>
    <n v="22"/>
    <n v="19"/>
    <n v="10"/>
    <n v="14"/>
    <n v="65"/>
    <n v="0.70710678118654779"/>
    <n v="22.694936708860759"/>
    <n v="5.3055534129377486"/>
    <n v="22.140506329113926"/>
    <n v="4.9144008395218908"/>
    <n v="10.069620253164556"/>
    <n v="2.1089377326145904"/>
    <n v="10.958227848101266"/>
    <n v="2.2883463843764797"/>
    <n v="-0.13098288807462291"/>
    <n v="-0.63904154985848838"/>
    <n v="-3.3012000348745997E-2"/>
    <n v="1.3292446338833204"/>
    <n v="0.13155204890036579"/>
  </r>
  <r>
    <x v="26"/>
    <s v="PREP"/>
    <n v="22"/>
    <n v="20"/>
    <n v="9"/>
    <n v="12"/>
    <n v="63"/>
    <n v="0.89871703427291716"/>
    <n v="22.694936708860759"/>
    <n v="5.3055534129377486"/>
    <n v="22.140506329113926"/>
    <n v="4.9144008395218908"/>
    <n v="10.069620253164556"/>
    <n v="2.1089377326145904"/>
    <n v="10.958227848101266"/>
    <n v="2.2883463843764797"/>
    <n v="-0.13098288807462291"/>
    <n v="-0.43555794470403231"/>
    <n v="-0.5071843689943738"/>
    <n v="0.45525107519183194"/>
    <n v="-0.15461853164529926"/>
  </r>
  <r>
    <x v="26"/>
    <s v="PREP"/>
    <n v="25"/>
    <n v="19"/>
    <n v="10"/>
    <n v="14"/>
    <n v="68"/>
    <n v="0.92680869599629845"/>
    <n v="22.694936708860759"/>
    <n v="5.3055534129377486"/>
    <n v="22.140506329113926"/>
    <n v="4.9144008395218908"/>
    <n v="10.069620253164556"/>
    <n v="2.1089377326145904"/>
    <n v="10.958227848101266"/>
    <n v="2.2883463843764797"/>
    <n v="0.43446236645517061"/>
    <n v="-0.63904154985848838"/>
    <n v="-3.3012000348745997E-2"/>
    <n v="1.3292446338833204"/>
    <n v="0.27291336253281417"/>
  </r>
  <r>
    <x v="26"/>
    <s v="PREP"/>
    <n v="24"/>
    <n v="20"/>
    <n v="9"/>
    <n v="12"/>
    <n v="65"/>
    <n v="0.91287092917527668"/>
    <n v="22.694936708860759"/>
    <n v="5.3055534129377486"/>
    <n v="22.140506329113926"/>
    <n v="4.9144008395218908"/>
    <n v="10.069620253164556"/>
    <n v="2.1089377326145904"/>
    <n v="10.958227848101266"/>
    <n v="2.2883463843764797"/>
    <n v="0.24598061494523943"/>
    <n v="-0.43555794470403231"/>
    <n v="-0.5071843689943738"/>
    <n v="0.45525107519183194"/>
    <n v="-6.037765589033367E-2"/>
  </r>
  <r>
    <x v="26"/>
    <s v="PREP"/>
    <n v="25"/>
    <n v="23"/>
    <n v="11"/>
    <n v="14"/>
    <n v="73"/>
    <n v="0.96076892283052273"/>
    <n v="22.694936708860759"/>
    <n v="5.3055534129377486"/>
    <n v="22.140506329113926"/>
    <n v="4.9144008395218908"/>
    <n v="10.069620253164556"/>
    <n v="2.1089377326145904"/>
    <n v="10.958227848101266"/>
    <n v="2.2883463843764797"/>
    <n v="0.43446236645517061"/>
    <n v="0.17489287075933599"/>
    <n v="0.44116036829688182"/>
    <n v="1.3292446338833204"/>
    <n v="0.59494005984867715"/>
  </r>
  <r>
    <x v="27"/>
    <s v="PREP"/>
    <n v="21"/>
    <n v="25"/>
    <n v="13"/>
    <n v="8"/>
    <n v="67"/>
    <n v="1.8187062180825986"/>
    <n v="22.694936708860759"/>
    <n v="5.3055534129377486"/>
    <n v="22.140506329113926"/>
    <n v="4.9144008395218908"/>
    <n v="10.069620253164556"/>
    <n v="2.1089377326145904"/>
    <n v="10.958227848101266"/>
    <n v="2.2883463843764797"/>
    <n v="-0.31946463958455407"/>
    <n v="0.58186008106824816"/>
    <n v="1.3895051055881373"/>
    <n v="-1.2927360421911447"/>
    <n v="8.9791126220171658E-2"/>
  </r>
  <r>
    <x v="27"/>
    <s v="PREP"/>
    <n v="15"/>
    <n v="17"/>
    <n v="7"/>
    <n v="10"/>
    <n v="49"/>
    <n v="1.0127393670836666"/>
    <n v="22.694936708860759"/>
    <n v="5.3055534129377486"/>
    <n v="22.140506329113926"/>
    <n v="4.9144008395218908"/>
    <n v="10.069620253164556"/>
    <n v="2.1089377326145904"/>
    <n v="10.958227848101266"/>
    <n v="2.2883463843764797"/>
    <n v="-1.4503551486441411"/>
    <n v="-1.0460087601674006"/>
    <n v="-1.4555291062856295"/>
    <n v="-0.41874248349965643"/>
    <n v="-1.092658874649207"/>
  </r>
  <r>
    <x v="27"/>
    <s v="PREP"/>
    <n v="25"/>
    <n v="17"/>
    <n v="9"/>
    <n v="9"/>
    <n v="60"/>
    <n v="1.4455945454184549"/>
    <n v="22.694936708860759"/>
    <n v="5.3055534129377486"/>
    <n v="22.140506329113926"/>
    <n v="4.9144008395218908"/>
    <n v="10.069620253164556"/>
    <n v="2.1089377326145904"/>
    <n v="10.958227848101266"/>
    <n v="2.2883463843764797"/>
    <n v="0.43446236645517061"/>
    <n v="-1.0460087601674006"/>
    <n v="-0.5071843689943738"/>
    <n v="-0.85573926284540058"/>
    <n v="-0.49361750638800111"/>
  </r>
  <r>
    <x v="27"/>
    <s v="PREP"/>
    <n v="24"/>
    <n v="20"/>
    <n v="9"/>
    <n v="8"/>
    <n v="61"/>
    <n v="1.5483655567842816"/>
    <n v="22.694936708860759"/>
    <n v="5.3055534129377486"/>
    <n v="22.140506329113926"/>
    <n v="4.9144008395218908"/>
    <n v="10.069620253164556"/>
    <n v="2.1089377326145904"/>
    <n v="10.958227848101266"/>
    <n v="2.2883463843764797"/>
    <n v="0.24598061494523943"/>
    <n v="-0.43555794470403231"/>
    <n v="-0.5071843689943738"/>
    <n v="-1.2927360421911447"/>
    <n v="-0.49737443523607783"/>
  </r>
  <r>
    <x v="27"/>
    <s v="PREP"/>
    <n v="24"/>
    <n v="23"/>
    <n v="13"/>
    <n v="13"/>
    <n v="73"/>
    <n v="1.4455945454184551"/>
    <n v="22.694936708860759"/>
    <n v="5.3055534129377486"/>
    <n v="22.140506329113926"/>
    <n v="4.9144008395218908"/>
    <n v="10.069620253164556"/>
    <n v="2.1089377326145904"/>
    <n v="10.958227848101266"/>
    <n v="2.2883463843764797"/>
    <n v="0.24598061494523943"/>
    <n v="0.17489287075933599"/>
    <n v="1.3895051055881373"/>
    <n v="0.89224785453757616"/>
    <n v="0.67565661145757216"/>
  </r>
  <r>
    <x v="27"/>
    <s v="PREP"/>
    <n v="28"/>
    <n v="17"/>
    <n v="10"/>
    <n v="9"/>
    <n v="64"/>
    <n v="1.8009968749527976"/>
    <n v="22.694936708860759"/>
    <n v="5.3055534129377486"/>
    <n v="22.140506329113926"/>
    <n v="4.9144008395218908"/>
    <n v="10.069620253164556"/>
    <n v="2.1089377326145904"/>
    <n v="10.958227848101266"/>
    <n v="2.2883463843764797"/>
    <n v="0.99990762098496411"/>
    <n v="-1.0460087601674006"/>
    <n v="-3.3012000348745997E-2"/>
    <n v="-0.85573926284540058"/>
    <n v="-0.23371310059414577"/>
  </r>
  <r>
    <x v="27"/>
    <s v="PREP"/>
    <n v="13"/>
    <n v="13"/>
    <n v="10"/>
    <n v="4"/>
    <n v="40"/>
    <n v="1.497861723788195"/>
    <n v="22.694936708860759"/>
    <n v="5.3055534129377486"/>
    <n v="22.140506329113926"/>
    <n v="4.9144008395218908"/>
    <n v="10.069620253164556"/>
    <n v="2.1089377326145904"/>
    <n v="10.958227848101266"/>
    <n v="2.2883463843764797"/>
    <n v="-1.8273186516640034"/>
    <n v="-1.8599431807852249"/>
    <n v="-3.3012000348745997E-2"/>
    <n v="-3.0407231595741213"/>
    <n v="-1.690249248093024"/>
  </r>
  <r>
    <x v="27"/>
    <s v="PREP"/>
    <n v="26"/>
    <n v="25"/>
    <n v="9"/>
    <n v="10"/>
    <n v="70"/>
    <n v="1.6602440351979153"/>
    <n v="22.694936708860759"/>
    <n v="5.3055534129377486"/>
    <n v="22.140506329113926"/>
    <n v="4.9144008395218908"/>
    <n v="10.069620253164556"/>
    <n v="2.1089377326145904"/>
    <n v="10.958227848101266"/>
    <n v="2.2883463843764797"/>
    <n v="0.62294411796510174"/>
    <n v="0.58186008106824816"/>
    <n v="-0.5071843689943738"/>
    <n v="-0.41874248349965643"/>
    <n v="6.9719336634829945E-2"/>
  </r>
  <r>
    <x v="28"/>
    <s v="PREP"/>
    <n v="19"/>
    <n v="19"/>
    <n v="9"/>
    <n v="10"/>
    <n v="57"/>
    <n v="0.7679476477883046"/>
    <n v="22.694936708860759"/>
    <n v="5.3055534129377486"/>
    <n v="22.140506329113926"/>
    <n v="4.9144008395218908"/>
    <n v="10.069620253164556"/>
    <n v="2.1089377326145904"/>
    <n v="10.958227848101266"/>
    <n v="2.2883463843764797"/>
    <n v="-0.69642814260441643"/>
    <n v="-0.63904154985848838"/>
    <n v="-0.5071843689943738"/>
    <n v="-0.41874248349965643"/>
    <n v="-0.56534913623923377"/>
  </r>
  <r>
    <x v="28"/>
    <s v="PREP"/>
    <n v="14"/>
    <n v="13"/>
    <n v="6"/>
    <n v="9"/>
    <n v="42"/>
    <n v="0.4385290096535146"/>
    <n v="22.694936708860759"/>
    <n v="5.3055534129377486"/>
    <n v="22.140506329113926"/>
    <n v="4.9144008395218908"/>
    <n v="10.069620253164556"/>
    <n v="2.1089377326145904"/>
    <n v="10.958227848101266"/>
    <n v="2.2883463843764797"/>
    <n v="-1.6388369001540724"/>
    <n v="-1.8599431807852249"/>
    <n v="-1.9297014749312573"/>
    <n v="-0.85573926284540058"/>
    <n v="-1.5710552046789887"/>
  </r>
  <r>
    <x v="28"/>
    <s v="PREP"/>
    <n v="20"/>
    <n v="21"/>
    <n v="11"/>
    <n v="15"/>
    <n v="67"/>
    <n v="0.55470019622522904"/>
    <n v="22.694936708860759"/>
    <n v="5.3055534129377486"/>
    <n v="22.140506329113926"/>
    <n v="4.9144008395218908"/>
    <n v="10.069620253164556"/>
    <n v="2.1089377326145904"/>
    <n v="10.958227848101266"/>
    <n v="2.2883463843764797"/>
    <n v="-0.50794639109448525"/>
    <n v="-0.23207433954957621"/>
    <n v="0.44116036829688182"/>
    <n v="1.7662414132290645"/>
    <n v="0.36684526272047119"/>
  </r>
  <r>
    <x v="28"/>
    <s v="PREP"/>
    <n v="16"/>
    <n v="19"/>
    <n v="8"/>
    <n v="10"/>
    <n v="53"/>
    <n v="0.75955452531274981"/>
    <n v="22.694936708860759"/>
    <n v="5.3055534129377486"/>
    <n v="22.140506329113926"/>
    <n v="4.9144008395218908"/>
    <n v="10.069620253164556"/>
    <n v="2.1089377326145904"/>
    <n v="10.958227848101266"/>
    <n v="2.2883463843764797"/>
    <n v="-1.26187339713421"/>
    <n v="-0.63904154985848838"/>
    <n v="-0.98135673764000164"/>
    <n v="-0.41874248349965643"/>
    <n v="-0.82525354203308909"/>
  </r>
  <r>
    <x v="28"/>
    <s v="PREP"/>
    <n v="16"/>
    <n v="15"/>
    <n v="6"/>
    <n v="11"/>
    <n v="48"/>
    <n v="0.48038446141526137"/>
    <n v="22.694936708860759"/>
    <n v="5.3055534129377486"/>
    <n v="22.140506329113926"/>
    <n v="4.9144008395218908"/>
    <n v="10.069620253164556"/>
    <n v="2.1089377326145904"/>
    <n v="10.958227848101266"/>
    <n v="2.2883463843764797"/>
    <n v="-1.26187339713421"/>
    <n v="-1.4529759704763128"/>
    <n v="-1.9297014749312573"/>
    <n v="1.8254295846087756E-2"/>
    <n v="-1.1565741366739231"/>
  </r>
  <r>
    <x v="28"/>
    <s v="PREP"/>
    <n v="12"/>
    <n v="13"/>
    <n v="6"/>
    <n v="9"/>
    <n v="40"/>
    <n v="0.27735009811261463"/>
    <n v="22.694936708860759"/>
    <n v="5.3055534129377486"/>
    <n v="22.140506329113926"/>
    <n v="4.9144008395218908"/>
    <n v="10.069620253164556"/>
    <n v="2.1089377326145904"/>
    <n v="10.958227848101266"/>
    <n v="2.2883463843764797"/>
    <n v="-2.0158004031739347"/>
    <n v="-1.8599431807852249"/>
    <n v="-1.9297014749312573"/>
    <n v="-0.85573926284540058"/>
    <n v="-1.6652960804339543"/>
  </r>
  <r>
    <x v="28"/>
    <s v="PREP"/>
    <n v="13"/>
    <n v="12"/>
    <n v="6"/>
    <n v="7"/>
    <n v="38"/>
    <n v="0.49354811679282479"/>
    <n v="22.694936708860759"/>
    <n v="5.3055534129377486"/>
    <n v="22.140506329113926"/>
    <n v="4.9144008395218908"/>
    <n v="10.069620253164556"/>
    <n v="2.1089377326145904"/>
    <n v="10.958227848101266"/>
    <n v="2.2883463843764797"/>
    <n v="-1.8273186516640034"/>
    <n v="-2.0634267859396811"/>
    <n v="-1.9297014749312573"/>
    <n v="-1.729732821536889"/>
    <n v="-1.8875449335179577"/>
  </r>
  <r>
    <x v="28"/>
    <s v="PREP"/>
    <n v="19"/>
    <n v="17"/>
    <n v="8"/>
    <n v="9"/>
    <n v="53"/>
    <n v="0.75955452531275014"/>
    <n v="22.694936708860759"/>
    <n v="5.3055534129377486"/>
    <n v="22.140506329113926"/>
    <n v="4.9144008395218908"/>
    <n v="10.069620253164556"/>
    <n v="2.1089377326145904"/>
    <n v="10.958227848101266"/>
    <n v="2.2883463843764797"/>
    <n v="-0.69642814260441643"/>
    <n v="-1.0460087601674006"/>
    <n v="-0.98135673764000164"/>
    <n v="-0.85573926284540058"/>
    <n v="-0.89488322581430468"/>
  </r>
  <r>
    <x v="28"/>
    <s v="PREP"/>
    <n v="19"/>
    <n v="16"/>
    <n v="9"/>
    <n v="12"/>
    <n v="56"/>
    <n v="0.94733093343134178"/>
    <n v="22.694936708860759"/>
    <n v="5.3055534129377486"/>
    <n v="22.140506329113926"/>
    <n v="4.9144008395218908"/>
    <n v="10.069620253164556"/>
    <n v="2.1089377326145904"/>
    <n v="10.958227848101266"/>
    <n v="2.2883463843764797"/>
    <n v="-0.69642814260441643"/>
    <n v="-1.2494923653218568"/>
    <n v="-0.5071843689943738"/>
    <n v="0.45525107519183194"/>
    <n v="-0.49946345043220375"/>
  </r>
  <r>
    <x v="28"/>
    <s v="PREP"/>
    <n v="22"/>
    <n v="19"/>
    <n v="10"/>
    <n v="9"/>
    <n v="60"/>
    <n v="1.2608503439122303"/>
    <n v="22.694936708860759"/>
    <n v="5.3055534129377486"/>
    <n v="22.140506329113926"/>
    <n v="4.9144008395218908"/>
    <n v="10.069620253164556"/>
    <n v="2.1089377326145904"/>
    <n v="10.958227848101266"/>
    <n v="2.2883463843764797"/>
    <n v="-0.13098288807462291"/>
    <n v="-0.63904154985848838"/>
    <n v="-3.3012000348745997E-2"/>
    <n v="-0.85573926284540058"/>
    <n v="-0.41469392528181448"/>
  </r>
  <r>
    <x v="28"/>
    <s v="PREP"/>
    <n v="23"/>
    <n v="19"/>
    <n v="10"/>
    <n v="12"/>
    <n v="64"/>
    <n v="1.1151635501529555"/>
    <n v="22.694936708860759"/>
    <n v="5.3055534129377486"/>
    <n v="22.140506329113926"/>
    <n v="4.9144008395218908"/>
    <n v="10.069620253164556"/>
    <n v="2.1089377326145904"/>
    <n v="10.958227848101266"/>
    <n v="2.2883463843764797"/>
    <n v="5.7498863435308259E-2"/>
    <n v="-0.63904154985848838"/>
    <n v="-3.3012000348745997E-2"/>
    <n v="0.45525107519183194"/>
    <n v="-3.9825902895023524E-2"/>
  </r>
  <r>
    <x v="28"/>
    <s v="PREP"/>
    <n v="25"/>
    <n v="23"/>
    <n v="11"/>
    <n v="15"/>
    <n v="74"/>
    <n v="1.1821319289469754"/>
    <n v="22.694936708860759"/>
    <n v="5.3055534129377486"/>
    <n v="22.140506329113926"/>
    <n v="4.9144008395218908"/>
    <n v="10.069620253164556"/>
    <n v="2.1089377326145904"/>
    <n v="10.958227848101266"/>
    <n v="2.2883463843764797"/>
    <n v="0.43446236645517061"/>
    <n v="0.17489287075933599"/>
    <n v="0.44116036829688182"/>
    <n v="1.7662414132290645"/>
    <n v="0.70418925468511318"/>
  </r>
  <r>
    <x v="28"/>
    <s v="PREP"/>
    <n v="25"/>
    <n v="23"/>
    <n v="12"/>
    <n v="13"/>
    <n v="73"/>
    <n v="1.1208970766356099"/>
    <n v="22.694936708860759"/>
    <n v="5.3055534129377486"/>
    <n v="22.140506329113926"/>
    <n v="4.9144008395218908"/>
    <n v="10.069620253164556"/>
    <n v="2.1089377326145904"/>
    <n v="10.958227848101266"/>
    <n v="2.2883463843764797"/>
    <n v="0.43446236645517061"/>
    <n v="0.17489287075933599"/>
    <n v="0.91533273694250961"/>
    <n v="0.89224785453757616"/>
    <n v="0.60423395717364803"/>
  </r>
  <r>
    <x v="28"/>
    <s v="PREP"/>
    <n v="25"/>
    <n v="21"/>
    <n v="10"/>
    <n v="12"/>
    <n v="68"/>
    <n v="1.1657505560686465"/>
    <n v="22.694936708860759"/>
    <n v="5.3055534129377486"/>
    <n v="22.140506329113926"/>
    <n v="4.9144008395218908"/>
    <n v="10.069620253164556"/>
    <n v="2.1089377326145904"/>
    <n v="10.958227848101266"/>
    <n v="2.2883463843764797"/>
    <n v="0.43446236645517061"/>
    <n v="-0.23207433954957621"/>
    <n v="-3.3012000348745997E-2"/>
    <n v="0.45525107519183194"/>
    <n v="0.1561567754371701"/>
  </r>
  <r>
    <x v="28"/>
    <s v="PREP"/>
    <n v="23"/>
    <n v="22"/>
    <n v="8"/>
    <n v="10"/>
    <n v="63"/>
    <n v="1.3445044840729643"/>
    <n v="22.694936708860759"/>
    <n v="5.3055534129377486"/>
    <n v="22.140506329113926"/>
    <n v="4.9144008395218908"/>
    <n v="10.069620253164556"/>
    <n v="2.1089377326145904"/>
    <n v="10.958227848101266"/>
    <n v="2.2883463843764797"/>
    <n v="5.7498863435308259E-2"/>
    <n v="-2.8590734395120113E-2"/>
    <n v="-0.98135673764000164"/>
    <n v="-0.41874248349965643"/>
    <n v="-0.34279777302486747"/>
  </r>
  <r>
    <x v="28"/>
    <s v="PREP"/>
    <n v="21"/>
    <n v="23"/>
    <n v="10"/>
    <n v="14"/>
    <n v="68"/>
    <n v="1.1657505560686465"/>
    <n v="22.694936708860759"/>
    <n v="5.3055534129377486"/>
    <n v="22.140506329113926"/>
    <n v="4.9144008395218908"/>
    <n v="10.069620253164556"/>
    <n v="2.1089377326145904"/>
    <n v="10.958227848101266"/>
    <n v="2.2883463843764797"/>
    <n v="-0.31946463958455407"/>
    <n v="0.17489287075933599"/>
    <n v="-3.3012000348745997E-2"/>
    <n v="1.3292446338833204"/>
    <n v="0.28791521617733906"/>
  </r>
  <r>
    <x v="28"/>
    <s v="PREP"/>
    <n v="15"/>
    <n v="15"/>
    <n v="7"/>
    <n v="9"/>
    <n v="46"/>
    <n v="0.51887452166277059"/>
    <n v="22.694936708860759"/>
    <n v="5.3055534129377486"/>
    <n v="22.140506329113926"/>
    <n v="4.9144008395218908"/>
    <n v="10.069620253164556"/>
    <n v="2.1089377326145904"/>
    <n v="10.958227848101266"/>
    <n v="2.2883463843764797"/>
    <n v="-1.4503551486441411"/>
    <n v="-1.4529759704763128"/>
    <n v="-1.4555291062856295"/>
    <n v="-0.85573926284540058"/>
    <n v="-1.3036498720628709"/>
  </r>
  <r>
    <x v="28"/>
    <s v="PREP"/>
    <n v="18"/>
    <n v="19"/>
    <n v="9"/>
    <n v="12"/>
    <n v="58"/>
    <n v="0.5188745216627707"/>
    <n v="22.694936708860759"/>
    <n v="5.3055534129377486"/>
    <n v="22.140506329113926"/>
    <n v="4.9144008395218908"/>
    <n v="10.069620253164556"/>
    <n v="2.1089377326145904"/>
    <n v="10.958227848101266"/>
    <n v="2.2883463843764797"/>
    <n v="-0.88490989411434762"/>
    <n v="-0.63904154985848838"/>
    <n v="-0.5071843689943738"/>
    <n v="0.45525107519183194"/>
    <n v="-0.39397118444384449"/>
  </r>
  <r>
    <x v="28"/>
    <s v="PREP"/>
    <n v="19"/>
    <n v="19"/>
    <n v="9"/>
    <n v="13"/>
    <n v="60"/>
    <n v="0.50636968354183332"/>
    <n v="22.694936708860759"/>
    <n v="5.3055534129377486"/>
    <n v="22.140506329113926"/>
    <n v="4.9144008395218908"/>
    <n v="10.069620253164556"/>
    <n v="2.1089377326145904"/>
    <n v="10.958227848101266"/>
    <n v="2.2883463843764797"/>
    <n v="-0.69642814260441643"/>
    <n v="-0.63904154985848838"/>
    <n v="-0.5071843689943738"/>
    <n v="0.89224785453757616"/>
    <n v="-0.23760155172992561"/>
  </r>
  <r>
    <x v="28"/>
    <s v="PREP"/>
    <n v="17"/>
    <n v="18"/>
    <n v="9"/>
    <n v="12"/>
    <n v="56"/>
    <n v="0.48038446141526153"/>
    <n v="22.694936708860759"/>
    <n v="5.3055534129377486"/>
    <n v="22.140506329113926"/>
    <n v="4.9144008395218908"/>
    <n v="10.069620253164556"/>
    <n v="2.1089377326145904"/>
    <n v="10.958227848101266"/>
    <n v="2.2883463843764797"/>
    <n v="-1.0733916456242787"/>
    <n v="-0.84252515501294456"/>
    <n v="-0.5071843689943738"/>
    <n v="0.45525107519183194"/>
    <n v="-0.4919625236099413"/>
  </r>
  <r>
    <x v="28"/>
    <s v="PREP"/>
    <n v="16"/>
    <n v="15"/>
    <n v="8"/>
    <n v="9"/>
    <n v="48"/>
    <n v="0.48038446141526125"/>
    <n v="22.694936708860759"/>
    <n v="5.3055534129377486"/>
    <n v="22.140506329113926"/>
    <n v="4.9144008395218908"/>
    <n v="10.069620253164556"/>
    <n v="2.1089377326145904"/>
    <n v="10.958227848101266"/>
    <n v="2.2883463843764797"/>
    <n v="-1.26187339713421"/>
    <n v="-1.4529759704763128"/>
    <n v="-0.98135673764000164"/>
    <n v="-0.85573926284540058"/>
    <n v="-1.1379863420239811"/>
  </r>
  <r>
    <x v="28"/>
    <s v="PREP"/>
    <n v="19"/>
    <n v="18"/>
    <n v="7"/>
    <n v="12"/>
    <n v="56"/>
    <n v="0.75106761619881079"/>
    <n v="22.694936708860759"/>
    <n v="5.3055534129377486"/>
    <n v="22.140506329113926"/>
    <n v="4.9144008395218908"/>
    <n v="10.069620253164556"/>
    <n v="2.1089377326145904"/>
    <n v="10.958227848101266"/>
    <n v="2.2883463843764797"/>
    <n v="-0.69642814260441643"/>
    <n v="-0.84252515501294456"/>
    <n v="-1.4555291062856295"/>
    <n v="0.45525107519183194"/>
    <n v="-0.63480783217778969"/>
  </r>
  <r>
    <x v="29"/>
    <s v="PREP"/>
    <n v="21"/>
    <n v="22"/>
    <n v="10"/>
    <n v="13"/>
    <n v="66"/>
    <n v="1.3821202589704016"/>
    <n v="22.694936708860759"/>
    <n v="5.3055534129377486"/>
    <n v="22.140506329113926"/>
    <n v="4.9144008395218908"/>
    <n v="10.069620253164556"/>
    <n v="2.1089377326145904"/>
    <n v="10.958227848101266"/>
    <n v="2.2883463843764797"/>
    <n v="-0.31946463958455407"/>
    <n v="-2.8590734395120113E-2"/>
    <n v="-3.3012000348745997E-2"/>
    <n v="0.89224785453757616"/>
    <n v="0.12779512005228899"/>
  </r>
  <r>
    <x v="29"/>
    <s v="PREP"/>
    <n v="24"/>
    <n v="24"/>
    <n v="12"/>
    <n v="13"/>
    <n v="73"/>
    <n v="1.5021352323976218"/>
    <n v="22.694936708860759"/>
    <n v="5.3055534129377486"/>
    <n v="22.140506329113926"/>
    <n v="4.9144008395218908"/>
    <n v="10.069620253164556"/>
    <n v="2.1089377326145904"/>
    <n v="10.958227848101266"/>
    <n v="2.2883463843764797"/>
    <n v="0.24598061494523943"/>
    <n v="0.37837647591379209"/>
    <n v="0.91533273694250961"/>
    <n v="0.89224785453757616"/>
    <n v="0.60798442058477931"/>
  </r>
  <r>
    <x v="29"/>
    <s v="PREP"/>
    <n v="8"/>
    <n v="10"/>
    <n v="8"/>
    <n v="8"/>
    <n v="34"/>
    <n v="1.1208970766356099"/>
    <n v="22.694936708860759"/>
    <n v="5.3055534129377486"/>
    <n v="22.140506329113926"/>
    <n v="4.9144008395218908"/>
    <n v="10.069620253164556"/>
    <n v="2.1089377326145904"/>
    <n v="10.958227848101266"/>
    <n v="2.2883463843764797"/>
    <n v="-2.7697274092136595"/>
    <n v="-2.4703939962485935"/>
    <n v="-0.98135673764000164"/>
    <n v="-1.2927360421911447"/>
    <n v="-1.8785535463233496"/>
  </r>
  <r>
    <x v="29"/>
    <s v="PREP"/>
    <n v="28"/>
    <n v="26"/>
    <n v="12"/>
    <n v="12"/>
    <n v="78"/>
    <n v="1.957890020745122"/>
    <n v="22.694936708860759"/>
    <n v="5.3055534129377486"/>
    <n v="22.140506329113926"/>
    <n v="4.9144008395218908"/>
    <n v="10.069620253164556"/>
    <n v="2.1089377326145904"/>
    <n v="10.958227848101266"/>
    <n v="2.2883463843764797"/>
    <n v="0.99990762098496411"/>
    <n v="0.78534368622270434"/>
    <n v="0.91533273694250961"/>
    <n v="0.45525107519183194"/>
    <n v="0.78895877983550244"/>
  </r>
  <r>
    <x v="29"/>
    <s v="PREP"/>
    <n v="21"/>
    <n v="20"/>
    <n v="12"/>
    <n v="11"/>
    <n v="64"/>
    <n v="1.5525000516123695"/>
    <n v="22.694936708860759"/>
    <n v="5.3055534129377486"/>
    <n v="22.140506329113926"/>
    <n v="4.9144008395218908"/>
    <n v="10.069620253164556"/>
    <n v="2.1089377326145904"/>
    <n v="10.958227848101266"/>
    <n v="2.2883463843764797"/>
    <n v="-0.31946463958455407"/>
    <n v="-0.43555794470403231"/>
    <n v="0.91533273694250961"/>
    <n v="1.8254295846087756E-2"/>
    <n v="4.4641112125002748E-2"/>
  </r>
  <r>
    <x v="29"/>
    <s v="PREP"/>
    <n v="27"/>
    <n v="28"/>
    <n v="12"/>
    <n v="12"/>
    <n v="79"/>
    <n v="1.7541160386140584"/>
    <n v="22.694936708860759"/>
    <n v="5.3055534129377486"/>
    <n v="22.140506329113926"/>
    <n v="4.9144008395218908"/>
    <n v="10.069620253164556"/>
    <n v="2.1089377326145904"/>
    <n v="10.958227848101266"/>
    <n v="2.2883463843764797"/>
    <n v="0.81142586947503292"/>
    <n v="1.1923108965316165"/>
    <n v="0.91533273694250961"/>
    <n v="0.45525107519183194"/>
    <n v="0.84358014453524766"/>
  </r>
  <r>
    <x v="29"/>
    <s v="PREP"/>
    <n v="12"/>
    <n v="12"/>
    <n v="7"/>
    <n v="8"/>
    <n v="39"/>
    <n v="0.9128709291752769"/>
    <n v="22.694936708860759"/>
    <n v="5.3055534129377486"/>
    <n v="22.140506329113926"/>
    <n v="4.9144008395218908"/>
    <n v="10.069620253164556"/>
    <n v="2.1089377326145904"/>
    <n v="10.958227848101266"/>
    <n v="2.2883463843764797"/>
    <n v="-2.0158004031739347"/>
    <n v="-2.0634267859396811"/>
    <n v="-1.4555291062856295"/>
    <n v="-1.2927360421911447"/>
    <n v="-1.7068730843975974"/>
  </r>
  <r>
    <x v="29"/>
    <s v="PREP"/>
    <n v="26"/>
    <n v="25"/>
    <n v="9"/>
    <n v="13"/>
    <n v="73"/>
    <n v="1.3867504905630723"/>
    <n v="22.694936708860759"/>
    <n v="5.3055534129377486"/>
    <n v="22.140506329113926"/>
    <n v="4.9144008395218908"/>
    <n v="10.069620253164556"/>
    <n v="2.1089377326145904"/>
    <n v="10.958227848101266"/>
    <n v="2.2883463843764797"/>
    <n v="0.62294411796510174"/>
    <n v="0.58186008106824816"/>
    <n v="-0.5071843689943738"/>
    <n v="0.89224785453757616"/>
    <n v="0.39746692114413806"/>
  </r>
  <r>
    <x v="29"/>
    <s v="PREP"/>
    <n v="21"/>
    <n v="22"/>
    <n v="9"/>
    <n v="9"/>
    <n v="61"/>
    <n v="1.7504578155735611"/>
    <n v="22.694936708860759"/>
    <n v="5.3055534129377486"/>
    <n v="22.140506329113926"/>
    <n v="4.9144008395218908"/>
    <n v="10.069620253164556"/>
    <n v="2.1089377326145904"/>
    <n v="10.958227848101266"/>
    <n v="2.2883463843764797"/>
    <n v="-0.31946463958455407"/>
    <n v="-2.8590734395120113E-2"/>
    <n v="-0.5071843689943738"/>
    <n v="-0.85573926284540058"/>
    <n v="-0.42774475145486213"/>
  </r>
  <r>
    <x v="29"/>
    <s v="PREP"/>
    <n v="20"/>
    <n v="19"/>
    <n v="11"/>
    <n v="12"/>
    <n v="62"/>
    <n v="1.2351684199496948"/>
    <n v="22.694936708860759"/>
    <n v="5.3055534129377486"/>
    <n v="22.140506329113926"/>
    <n v="4.9144008395218908"/>
    <n v="10.069620253164556"/>
    <n v="2.1089377326145904"/>
    <n v="10.958227848101266"/>
    <n v="2.2883463843764797"/>
    <n v="-0.50794639109448525"/>
    <n v="-0.63904154985848838"/>
    <n v="0.44116036829688182"/>
    <n v="0.45525107519183194"/>
    <n v="-6.2644124366064924E-2"/>
  </r>
  <r>
    <x v="29"/>
    <s v="PREP"/>
    <n v="25"/>
    <n v="24"/>
    <n v="13"/>
    <n v="14"/>
    <n v="76"/>
    <n v="1.4051188470584877"/>
    <n v="22.694936708860759"/>
    <n v="5.3055534129377486"/>
    <n v="22.140506329113926"/>
    <n v="4.9144008395218908"/>
    <n v="10.069620253164556"/>
    <n v="2.1089377326145904"/>
    <n v="10.958227848101266"/>
    <n v="2.2883463843764797"/>
    <n v="0.43446236645517061"/>
    <n v="0.37837647591379209"/>
    <n v="1.3895051055881373"/>
    <n v="1.3292446338833204"/>
    <n v="0.88289714546010511"/>
  </r>
  <r>
    <x v="29"/>
    <s v="PREP"/>
    <n v="24"/>
    <n v="24"/>
    <n v="11"/>
    <n v="11"/>
    <n v="70"/>
    <n v="1.7097008285302204"/>
    <n v="22.694936708860759"/>
    <n v="5.3055534129377486"/>
    <n v="22.140506329113926"/>
    <n v="4.9144008395218908"/>
    <n v="10.069620253164556"/>
    <n v="2.1089377326145904"/>
    <n v="10.958227848101266"/>
    <n v="2.2883463843764797"/>
    <n v="0.24598061494523943"/>
    <n v="0.37837647591379209"/>
    <n v="0.44116036829688182"/>
    <n v="1.8254295846087756E-2"/>
    <n v="0.2709429387505003"/>
  </r>
  <r>
    <x v="29"/>
    <s v="PREP"/>
    <n v="22"/>
    <n v="23"/>
    <n v="9"/>
    <n v="10"/>
    <n v="64"/>
    <n v="1.6052797503622469"/>
    <n v="22.694936708860759"/>
    <n v="5.3055534129377486"/>
    <n v="22.140506329113926"/>
    <n v="4.9144008395218908"/>
    <n v="10.069620253164556"/>
    <n v="2.1089377326145904"/>
    <n v="10.958227848101266"/>
    <n v="2.2883463843764797"/>
    <n v="-0.13098288807462291"/>
    <n v="0.17489287075933599"/>
    <n v="-0.5071843689943738"/>
    <n v="-0.41874248349965643"/>
    <n v="-0.22050421745232929"/>
  </r>
  <r>
    <x v="29"/>
    <s v="PREP"/>
    <n v="22"/>
    <n v="24"/>
    <n v="7"/>
    <n v="11"/>
    <n v="64"/>
    <n v="1.7059473644448735"/>
    <n v="22.694936708860759"/>
    <n v="5.3055534129377486"/>
    <n v="22.140506329113926"/>
    <n v="4.9144008395218908"/>
    <n v="10.069620253164556"/>
    <n v="2.1089377326145904"/>
    <n v="10.958227848101266"/>
    <n v="2.2883463843764797"/>
    <n v="-0.13098288807462291"/>
    <n v="0.37837647591379209"/>
    <n v="-1.4555291062856295"/>
    <n v="1.8254295846087756E-2"/>
    <n v="-0.29747030565009314"/>
  </r>
  <r>
    <x v="29"/>
    <s v="PREP"/>
    <n v="27"/>
    <n v="22"/>
    <n v="10"/>
    <n v="10"/>
    <n v="69"/>
    <n v="1.7504578155735608"/>
    <n v="22.694936708860759"/>
    <n v="5.3055534129377486"/>
    <n v="22.140506329113926"/>
    <n v="4.9144008395218908"/>
    <n v="10.069620253164556"/>
    <n v="2.1089377326145904"/>
    <n v="10.958227848101266"/>
    <n v="2.2883463843764797"/>
    <n v="0.81142586947503292"/>
    <n v="-2.8590734395120113E-2"/>
    <n v="-3.3012000348745997E-2"/>
    <n v="-0.41874248349965643"/>
    <n v="8.2770162807877593E-2"/>
  </r>
  <r>
    <x v="29"/>
    <s v="PREP"/>
    <n v="20"/>
    <n v="27"/>
    <n v="9"/>
    <n v="11"/>
    <n v="67"/>
    <n v="1.9081471748860575"/>
    <n v="22.694936708860759"/>
    <n v="5.3055534129377486"/>
    <n v="22.140506329113926"/>
    <n v="4.9144008395218908"/>
    <n v="10.069620253164556"/>
    <n v="2.1089377326145904"/>
    <n v="10.958227848101266"/>
    <n v="2.2883463843764797"/>
    <n v="-0.50794639109448525"/>
    <n v="0.98882729137716041"/>
    <n v="-0.5071843689943738"/>
    <n v="1.8254295846087756E-2"/>
    <n v="-2.0122932164027213E-3"/>
  </r>
  <r>
    <x v="29"/>
    <s v="PREP"/>
    <n v="15"/>
    <n v="22"/>
    <n v="9"/>
    <n v="10"/>
    <n v="56"/>
    <n v="1.4366984945013912"/>
    <n v="22.694936708860759"/>
    <n v="5.3055534129377486"/>
    <n v="22.140506329113926"/>
    <n v="4.9144008395218908"/>
    <n v="10.069620253164556"/>
    <n v="2.1089377326145904"/>
    <n v="10.958227848101266"/>
    <n v="2.2883463843764797"/>
    <n v="-1.4503551486441411"/>
    <n v="-2.8590734395120113E-2"/>
    <n v="-0.5071843689943738"/>
    <n v="-0.41874248349965643"/>
    <n v="-0.60121818388332282"/>
  </r>
  <r>
    <x v="29"/>
    <s v="PREP"/>
    <n v="20"/>
    <n v="21"/>
    <n v="11"/>
    <n v="12"/>
    <n v="64"/>
    <n v="1.3204505835470495"/>
    <n v="22.694936708860759"/>
    <n v="5.3055534129377486"/>
    <n v="22.140506329113926"/>
    <n v="4.9144008395218908"/>
    <n v="10.069620253164556"/>
    <n v="2.1089377326145904"/>
    <n v="10.958227848101266"/>
    <n v="2.2883463843764797"/>
    <n v="-0.50794639109448525"/>
    <n v="-0.23207433954957621"/>
    <n v="0.44116036829688182"/>
    <n v="0.45525107519183194"/>
    <n v="3.909767821116307E-2"/>
  </r>
  <r>
    <x v="29"/>
    <s v="PREP"/>
    <n v="25"/>
    <n v="22"/>
    <n v="10"/>
    <n v="9"/>
    <n v="66"/>
    <n v="1.8912755158683463"/>
    <n v="22.694936708860759"/>
    <n v="5.3055534129377486"/>
    <n v="22.140506329113926"/>
    <n v="4.9144008395218908"/>
    <n v="10.069620253164556"/>
    <n v="2.1089377326145904"/>
    <n v="10.958227848101266"/>
    <n v="2.2883463843764797"/>
    <n v="0.43446236645517061"/>
    <n v="-2.8590734395120113E-2"/>
    <n v="-3.3012000348745997E-2"/>
    <n v="-0.85573926284540058"/>
    <n v="-0.12071990778352402"/>
  </r>
  <r>
    <x v="29"/>
    <s v="PREP"/>
    <n v="21"/>
    <n v="21"/>
    <n v="10"/>
    <n v="10"/>
    <n v="62"/>
    <n v="1.3634420996046579"/>
    <n v="22.694936708860759"/>
    <n v="5.3055534129377486"/>
    <n v="22.140506329113926"/>
    <n v="4.9144008395218908"/>
    <n v="10.069620253164556"/>
    <n v="2.1089377326145904"/>
    <n v="10.958227848101266"/>
    <n v="2.2883463843764797"/>
    <n v="-0.31946463958455407"/>
    <n v="-0.23207433954957621"/>
    <n v="-3.3012000348745997E-2"/>
    <n v="-0.41874248349965643"/>
    <n v="-0.25082336574563319"/>
  </r>
  <r>
    <x v="29"/>
    <s v="PREP"/>
    <n v="23"/>
    <n v="22"/>
    <n v="12"/>
    <n v="11"/>
    <n v="68"/>
    <n v="1.7867030229749128"/>
    <n v="22.694936708860759"/>
    <n v="5.3055534129377486"/>
    <n v="22.140506329113926"/>
    <n v="4.9144008395218908"/>
    <n v="10.069620253164556"/>
    <n v="2.1089377326145904"/>
    <n v="10.958227848101266"/>
    <n v="2.2883463843764797"/>
    <n v="5.7498863435308259E-2"/>
    <n v="-2.8590734395120113E-2"/>
    <n v="0.91533273694250961"/>
    <n v="1.8254295846087756E-2"/>
    <n v="0.24062379045719637"/>
  </r>
  <r>
    <x v="29"/>
    <s v="PREP"/>
    <n v="19"/>
    <n v="17"/>
    <n v="9"/>
    <n v="10"/>
    <n v="55"/>
    <n v="1.1657505560686465"/>
    <n v="22.694936708860759"/>
    <n v="5.3055534129377486"/>
    <n v="22.140506329113926"/>
    <n v="4.9144008395218908"/>
    <n v="10.069620253164556"/>
    <n v="2.1089377326145904"/>
    <n v="10.958227848101266"/>
    <n v="2.2883463843764797"/>
    <n v="-0.69642814260441643"/>
    <n v="-1.0460087601674006"/>
    <n v="-0.5071843689943738"/>
    <n v="-0.41874248349965643"/>
    <n v="-0.66709093881646175"/>
  </r>
  <r>
    <x v="29"/>
    <s v="PREP"/>
    <n v="20"/>
    <n v="22"/>
    <n v="8"/>
    <n v="9"/>
    <n v="59"/>
    <n v="1.6641005886756877"/>
    <n v="22.694936708860759"/>
    <n v="5.3055534129377486"/>
    <n v="22.140506329113926"/>
    <n v="4.9144008395218908"/>
    <n v="10.069620253164556"/>
    <n v="2.1089377326145904"/>
    <n v="10.958227848101266"/>
    <n v="2.2883463843764797"/>
    <n v="-0.50794639109448525"/>
    <n v="-2.8590734395120113E-2"/>
    <n v="-0.98135673764000164"/>
    <n v="-0.85573926284540058"/>
    <n v="-0.59340828149375191"/>
  </r>
  <r>
    <x v="29"/>
    <s v="PREP"/>
    <n v="24"/>
    <n v="25"/>
    <n v="12"/>
    <n v="12"/>
    <n v="73"/>
    <n v="1.5021352323976216"/>
    <n v="22.694936708860759"/>
    <n v="5.3055534129377486"/>
    <n v="22.140506329113926"/>
    <n v="4.9144008395218908"/>
    <n v="10.069620253164556"/>
    <n v="2.1089377326145904"/>
    <n v="10.958227848101266"/>
    <n v="2.2883463843764797"/>
    <n v="0.24598061494523943"/>
    <n v="0.58186008106824816"/>
    <n v="0.91533273694250961"/>
    <n v="0.45525107519183194"/>
    <n v="0.54960612703695733"/>
  </r>
  <r>
    <x v="29"/>
    <s v="PREP"/>
    <n v="24"/>
    <n v="21"/>
    <n v="8"/>
    <n v="11"/>
    <n v="64"/>
    <n v="1.3204505835470495"/>
    <n v="22.694936708860759"/>
    <n v="5.3055534129377486"/>
    <n v="22.140506329113926"/>
    <n v="4.9144008395218908"/>
    <n v="10.069620253164556"/>
    <n v="2.1089377326145904"/>
    <n v="10.958227848101266"/>
    <n v="2.2883463843764797"/>
    <n v="0.24598061494523943"/>
    <n v="-0.23207433954957621"/>
    <n v="-0.98135673764000164"/>
    <n v="1.8254295846087756E-2"/>
    <n v="-0.23729904159956267"/>
  </r>
  <r>
    <x v="29"/>
    <s v="PREP"/>
    <n v="22"/>
    <n v="26"/>
    <n v="11"/>
    <n v="10"/>
    <n v="69"/>
    <n v="1.8432134703923733"/>
    <n v="22.694936708860759"/>
    <n v="5.3055534129377486"/>
    <n v="22.140506329113926"/>
    <n v="4.9144008395218908"/>
    <n v="10.069620253164556"/>
    <n v="2.1089377326145904"/>
    <n v="10.958227848101266"/>
    <n v="2.2883463843764797"/>
    <n v="-0.13098288807462291"/>
    <n v="0.78534368622270434"/>
    <n v="0.44116036829688182"/>
    <n v="-0.41874248349965643"/>
    <n v="0.16919467073632671"/>
  </r>
  <r>
    <x v="29"/>
    <s v="PREP"/>
    <n v="22"/>
    <n v="23"/>
    <n v="10"/>
    <n v="12"/>
    <n v="67"/>
    <n v="1.1435437497937313"/>
    <n v="22.694936708860759"/>
    <n v="5.3055534129377486"/>
    <n v="22.140506329113926"/>
    <n v="4.9144008395218908"/>
    <n v="10.069620253164556"/>
    <n v="2.1089377326145904"/>
    <n v="10.958227848101266"/>
    <n v="2.2883463843764797"/>
    <n v="-0.13098288807462291"/>
    <n v="0.17489287075933599"/>
    <n v="-3.3012000348745997E-2"/>
    <n v="0.45525107519183194"/>
    <n v="0.11653726438194975"/>
  </r>
  <r>
    <x v="29"/>
    <s v="PREP"/>
    <n v="18"/>
    <n v="22"/>
    <n v="10"/>
    <n v="10"/>
    <n v="60"/>
    <n v="1.3867504905630728"/>
    <n v="22.694936708860759"/>
    <n v="5.3055534129377486"/>
    <n v="22.140506329113926"/>
    <n v="4.9144008395218908"/>
    <n v="10.069620253164556"/>
    <n v="2.1089377326145904"/>
    <n v="10.958227848101266"/>
    <n v="2.2883463843764797"/>
    <n v="-0.88490989411434762"/>
    <n v="-2.8590734395120113E-2"/>
    <n v="-3.3012000348745997E-2"/>
    <n v="-0.41874248349965643"/>
    <n v="-0.34131377808946756"/>
  </r>
  <r>
    <x v="29"/>
    <s v="PREP"/>
    <n v="22"/>
    <n v="20"/>
    <n v="9"/>
    <n v="10"/>
    <n v="61"/>
    <n v="1.2506408613597126"/>
    <n v="22.694936708860759"/>
    <n v="5.3055534129377486"/>
    <n v="22.140506329113926"/>
    <n v="4.9144008395218908"/>
    <n v="10.069620253164556"/>
    <n v="2.1089377326145904"/>
    <n v="10.958227848101266"/>
    <n v="2.2883463843764797"/>
    <n v="-0.13098288807462291"/>
    <n v="-0.43555794470403231"/>
    <n v="-0.5071843689943738"/>
    <n v="-0.41874248349965643"/>
    <n v="-0.37311692131817137"/>
  </r>
  <r>
    <x v="29"/>
    <s v="PREP"/>
    <n v="17"/>
    <n v="19"/>
    <n v="10"/>
    <n v="10"/>
    <n v="56"/>
    <n v="1.0315534712764844"/>
    <n v="22.694936708860759"/>
    <n v="5.3055534129377486"/>
    <n v="22.140506329113926"/>
    <n v="4.9144008395218908"/>
    <n v="10.069620253164556"/>
    <n v="2.1089377326145904"/>
    <n v="10.958227848101266"/>
    <n v="2.2883463843764797"/>
    <n v="-1.0733916456242787"/>
    <n v="-0.63904154985848838"/>
    <n v="-3.3012000348745997E-2"/>
    <n v="-0.41874248349965643"/>
    <n v="-0.54104691983279241"/>
  </r>
  <r>
    <x v="29"/>
    <s v="PREP"/>
    <n v="28"/>
    <n v="29"/>
    <n v="12"/>
    <n v="14"/>
    <n v="83"/>
    <n v="2.0631069425529689"/>
    <n v="22.694936708860759"/>
    <n v="5.3055534129377486"/>
    <n v="22.140506329113926"/>
    <n v="4.9144008395218908"/>
    <n v="10.069620253164556"/>
    <n v="2.1089377326145904"/>
    <n v="10.958227848101266"/>
    <n v="2.2883463843764797"/>
    <n v="0.99990762098496411"/>
    <n v="1.3957945016860727"/>
    <n v="0.91533273694250961"/>
    <n v="1.3292446338833204"/>
    <n v="1.1600698733742167"/>
  </r>
  <r>
    <x v="29"/>
    <s v="PREP"/>
    <n v="23"/>
    <n v="22"/>
    <n v="11"/>
    <n v="10"/>
    <n v="66"/>
    <n v="1.7541160386140584"/>
    <n v="22.694936708860759"/>
    <n v="5.3055534129377486"/>
    <n v="22.140506329113926"/>
    <n v="4.9144008395218908"/>
    <n v="10.069620253164556"/>
    <n v="2.1089377326145904"/>
    <n v="10.958227848101266"/>
    <n v="2.2883463843764797"/>
    <n v="5.7498863435308259E-2"/>
    <n v="-2.8590734395120113E-2"/>
    <n v="0.44116036829688182"/>
    <n v="-0.41874248349965643"/>
    <n v="1.2831503459353383E-2"/>
  </r>
  <r>
    <x v="29"/>
    <s v="PREP"/>
    <n v="23"/>
    <n v="20"/>
    <n v="9"/>
    <n v="7"/>
    <n v="59"/>
    <n v="1.7614096918559583"/>
    <n v="22.694936708860759"/>
    <n v="5.3055534129377486"/>
    <n v="22.140506329113926"/>
    <n v="4.9144008395218908"/>
    <n v="10.069620253164556"/>
    <n v="2.1089377326145904"/>
    <n v="10.958227848101266"/>
    <n v="2.2883463843764797"/>
    <n v="5.7498863435308259E-2"/>
    <n v="-0.43555794470403231"/>
    <n v="-0.5071843689943738"/>
    <n v="-1.729732821536889"/>
    <n v="-0.65374406794999673"/>
  </r>
  <r>
    <x v="29"/>
    <s v="PREP"/>
    <n v="24"/>
    <n v="22"/>
    <n v="9"/>
    <n v="14"/>
    <n v="69"/>
    <n v="1.2506408613597126"/>
    <n v="22.694936708860759"/>
    <n v="5.3055534129377486"/>
    <n v="22.140506329113926"/>
    <n v="4.9144008395218908"/>
    <n v="10.069620253164556"/>
    <n v="2.1089377326145904"/>
    <n v="10.958227848101266"/>
    <n v="2.2883463843764797"/>
    <n v="0.24598061494523943"/>
    <n v="-2.8590734395120113E-2"/>
    <n v="-0.5071843689943738"/>
    <n v="1.3292446338833204"/>
    <n v="0.25986253635976647"/>
  </r>
  <r>
    <x v="29"/>
    <s v="PREP"/>
    <n v="25"/>
    <n v="25"/>
    <n v="11"/>
    <n v="12"/>
    <n v="73"/>
    <n v="1.6092680291808414"/>
    <n v="22.694936708860759"/>
    <n v="5.3055534129377486"/>
    <n v="22.140506329113926"/>
    <n v="4.9144008395218908"/>
    <n v="10.069620253164556"/>
    <n v="2.1089377326145904"/>
    <n v="10.958227848101266"/>
    <n v="2.2883463843764797"/>
    <n v="0.43446236645517061"/>
    <n v="0.58186008106824816"/>
    <n v="0.44116036829688182"/>
    <n v="0.45525107519183194"/>
    <n v="0.47818347275303313"/>
  </r>
  <r>
    <x v="29"/>
    <s v="PREP"/>
    <n v="25"/>
    <n v="26"/>
    <n v="11"/>
    <n v="12"/>
    <n v="74"/>
    <n v="1.7021856236720769"/>
    <n v="22.694936708860759"/>
    <n v="5.3055534129377486"/>
    <n v="22.140506329113926"/>
    <n v="4.9144008395218908"/>
    <n v="10.069620253164556"/>
    <n v="2.1089377326145904"/>
    <n v="10.958227848101266"/>
    <n v="2.2883463843764797"/>
    <n v="0.43446236645517061"/>
    <n v="0.78534368622270434"/>
    <n v="0.44116036829688182"/>
    <n v="0.45525107519183194"/>
    <n v="0.52905437404164712"/>
  </r>
  <r>
    <x v="29"/>
    <s v="PREP"/>
    <n v="25"/>
    <n v="25"/>
    <n v="11"/>
    <n v="12"/>
    <n v="73"/>
    <n v="1.5566235649883124"/>
    <n v="22.694936708860759"/>
    <n v="5.3055534129377486"/>
    <n v="22.140506329113926"/>
    <n v="4.9144008395218908"/>
    <n v="10.069620253164556"/>
    <n v="2.1089377326145904"/>
    <n v="10.958227848101266"/>
    <n v="2.2883463843764797"/>
    <n v="0.43446236645517061"/>
    <n v="0.58186008106824816"/>
    <n v="0.44116036829688182"/>
    <n v="0.45525107519183194"/>
    <n v="0.47818347275303313"/>
  </r>
  <r>
    <x v="30"/>
    <s v="PREP"/>
    <n v="20"/>
    <n v="23"/>
    <n v="9"/>
    <n v="10"/>
    <n v="62"/>
    <n v="1.2351684199496944"/>
    <n v="22.694936708860759"/>
    <n v="5.3055534129377486"/>
    <n v="22.140506329113926"/>
    <n v="4.9144008395218908"/>
    <n v="10.069620253164556"/>
    <n v="2.1089377326145904"/>
    <n v="10.958227848101266"/>
    <n v="2.2883463843764797"/>
    <n v="-0.50794639109448525"/>
    <n v="0.17489287075933599"/>
    <n v="-0.5071843689943738"/>
    <n v="-0.41874248349965643"/>
    <n v="-0.31474509320729488"/>
  </r>
  <r>
    <x v="30"/>
    <s v="PREP"/>
    <n v="19"/>
    <n v="16"/>
    <n v="9"/>
    <n v="14"/>
    <n v="58"/>
    <n v="0.66022529177352485"/>
    <n v="22.694936708860759"/>
    <n v="5.3055534129377486"/>
    <n v="22.140506329113926"/>
    <n v="4.9144008395218908"/>
    <n v="10.069620253164556"/>
    <n v="2.1089377326145904"/>
    <n v="10.958227848101266"/>
    <n v="2.2883463843764797"/>
    <n v="-0.69642814260441643"/>
    <n v="-1.2494923653218568"/>
    <n v="-0.5071843689943738"/>
    <n v="1.3292446338833204"/>
    <n v="-0.28096506075933164"/>
  </r>
  <r>
    <x v="30"/>
    <s v="PREP"/>
    <n v="13"/>
    <n v="14"/>
    <n v="7"/>
    <n v="13"/>
    <n v="47"/>
    <n v="0.65044363558799068"/>
    <n v="22.694936708860759"/>
    <n v="5.3055534129377486"/>
    <n v="22.140506329113926"/>
    <n v="4.9144008395218908"/>
    <n v="10.069620253164556"/>
    <n v="2.1089377326145904"/>
    <n v="10.958227848101266"/>
    <n v="2.2883463843764797"/>
    <n v="-1.8273186516640034"/>
    <n v="-1.656459575630769"/>
    <n v="-1.4555291062856295"/>
    <n v="0.89224785453757616"/>
    <n v="-1.0117648697607065"/>
  </r>
  <r>
    <x v="30"/>
    <s v="PREP"/>
    <n v="18"/>
    <n v="24"/>
    <n v="9"/>
    <n v="12"/>
    <n v="63"/>
    <n v="1.214231845389905"/>
    <n v="22.694936708860759"/>
    <n v="5.3055534129377486"/>
    <n v="22.140506329113926"/>
    <n v="4.9144008395218908"/>
    <n v="10.069620253164556"/>
    <n v="2.1089377326145904"/>
    <n v="10.958227848101266"/>
    <n v="2.2883463843764797"/>
    <n v="-0.88490989411434762"/>
    <n v="0.37837647591379209"/>
    <n v="-0.5071843689943738"/>
    <n v="0.45525107519183194"/>
    <n v="-0.13961667800077437"/>
  </r>
  <r>
    <x v="30"/>
    <s v="PREP"/>
    <n v="22"/>
    <n v="20"/>
    <n v="10"/>
    <n v="15"/>
    <n v="67"/>
    <n v="0.89871703427291716"/>
    <n v="22.694936708860759"/>
    <n v="5.3055534129377486"/>
    <n v="22.140506329113926"/>
    <n v="4.9144008395218908"/>
    <n v="10.069620253164556"/>
    <n v="2.1089377326145904"/>
    <n v="10.958227848101266"/>
    <n v="2.2883463843764797"/>
    <n v="-0.13098288807462291"/>
    <n v="-0.43555794470403231"/>
    <n v="-3.3012000348745997E-2"/>
    <n v="1.7662414132290645"/>
    <n v="0.29167214502541583"/>
  </r>
  <r>
    <x v="30"/>
    <s v="PREP"/>
    <n v="17"/>
    <n v="22"/>
    <n v="8"/>
    <n v="14"/>
    <n v="61"/>
    <n v="0.94733093343134178"/>
    <n v="22.694936708860759"/>
    <n v="5.3055534129377486"/>
    <n v="22.140506329113926"/>
    <n v="4.9144008395218908"/>
    <n v="10.069620253164556"/>
    <n v="2.1089377326145904"/>
    <n v="10.958227848101266"/>
    <n v="2.2883463843764797"/>
    <n v="-1.0733916456242787"/>
    <n v="-2.8590734395120113E-2"/>
    <n v="-0.98135673764000164"/>
    <n v="1.3292446338833204"/>
    <n v="-0.18852362094402003"/>
  </r>
  <r>
    <x v="30"/>
    <s v="PREP"/>
    <n v="14"/>
    <n v="16"/>
    <n v="7"/>
    <n v="11"/>
    <n v="48"/>
    <n v="0.63042517195611525"/>
    <n v="22.694936708860759"/>
    <n v="5.3055534129377486"/>
    <n v="22.140506329113926"/>
    <n v="4.9144008395218908"/>
    <n v="10.069620253164556"/>
    <n v="2.1089377326145904"/>
    <n v="10.958227848101266"/>
    <n v="2.2883463843764797"/>
    <n v="-1.6388369001540724"/>
    <n v="-1.2494923653218568"/>
    <n v="-1.4555291062856295"/>
    <n v="1.8254295846087756E-2"/>
    <n v="-1.0814010189788676"/>
  </r>
  <r>
    <x v="30"/>
    <s v="PREP"/>
    <n v="22"/>
    <n v="20"/>
    <n v="10"/>
    <n v="13"/>
    <n v="65"/>
    <n v="0.81649658092772581"/>
    <n v="22.694936708860759"/>
    <n v="5.3055534129377486"/>
    <n v="22.140506329113926"/>
    <n v="4.9144008395218908"/>
    <n v="10.069620253164556"/>
    <n v="2.1089377326145904"/>
    <n v="10.958227848101266"/>
    <n v="2.2883463843764797"/>
    <n v="-0.13098288807462291"/>
    <n v="-0.43555794470403231"/>
    <n v="-3.3012000348745997E-2"/>
    <n v="0.89224785453757616"/>
    <n v="7.3173755352543751E-2"/>
  </r>
  <r>
    <x v="31"/>
    <s v="PREP"/>
    <n v="11"/>
    <n v="16"/>
    <n v="6"/>
    <n v="10"/>
    <n v="43"/>
    <n v="1.2506408613597126"/>
    <n v="22.694936708860759"/>
    <n v="5.3055534129377486"/>
    <n v="22.140506329113926"/>
    <n v="4.9144008395218908"/>
    <n v="10.069620253164556"/>
    <n v="2.1089377326145904"/>
    <n v="10.958227848101266"/>
    <n v="2.2883463843764797"/>
    <n v="-2.2042821546838658"/>
    <n v="-1.2494923653218568"/>
    <n v="-1.9297014749312573"/>
    <n v="-0.41874248349965643"/>
    <n v="-1.450554619609159"/>
  </r>
  <r>
    <x v="31"/>
    <s v="PREP"/>
    <n v="21"/>
    <n v="25"/>
    <n v="9"/>
    <n v="9"/>
    <n v="64"/>
    <n v="1.497861723788195"/>
    <n v="22.694936708860759"/>
    <n v="5.3055534129377486"/>
    <n v="22.140506329113926"/>
    <n v="4.9144008395218908"/>
    <n v="10.069620253164556"/>
    <n v="2.1089377326145904"/>
    <n v="10.958227848101266"/>
    <n v="2.2883463843764797"/>
    <n v="-0.31946463958455407"/>
    <n v="0.58186008106824816"/>
    <n v="-0.5071843689943738"/>
    <n v="-0.85573926284540058"/>
    <n v="-0.2751320475890201"/>
  </r>
  <r>
    <x v="31"/>
    <s v="PREP"/>
    <n v="23"/>
    <n v="20"/>
    <n v="13"/>
    <n v="12"/>
    <n v="68"/>
    <n v="1.3008872711759816"/>
    <n v="22.694936708860759"/>
    <n v="5.3055534129377486"/>
    <n v="22.140506329113926"/>
    <n v="4.9144008395218908"/>
    <n v="10.069620253164556"/>
    <n v="2.1089377326145904"/>
    <n v="10.958227848101266"/>
    <n v="2.2883463843764797"/>
    <n v="5.7498863435308259E-2"/>
    <n v="-0.43555794470403231"/>
    <n v="1.3895051055881373"/>
    <n v="0.45525107519183194"/>
    <n v="0.36667427487781129"/>
  </r>
  <r>
    <x v="31"/>
    <s v="PREP"/>
    <n v="18"/>
    <n v="14"/>
    <n v="5"/>
    <n v="12"/>
    <n v="49"/>
    <n v="1.2351684199496948"/>
    <n v="22.694936708860759"/>
    <n v="5.3055534129377486"/>
    <n v="22.140506329113926"/>
    <n v="4.9144008395218908"/>
    <n v="10.069620253164556"/>
    <n v="2.1089377326145904"/>
    <n v="10.958227848101266"/>
    <n v="2.2883463843764797"/>
    <n v="-0.88490989411434762"/>
    <n v="-1.656459575630769"/>
    <n v="-2.4038738435768852"/>
    <n v="0.45525107519183194"/>
    <n v="-1.1224980595325424"/>
  </r>
  <r>
    <x v="31"/>
    <s v="PREP"/>
    <n v="24"/>
    <n v="27"/>
    <n v="12"/>
    <n v="14"/>
    <n v="77"/>
    <n v="1.1875421719907087"/>
    <n v="22.694936708860759"/>
    <n v="5.3055534129377486"/>
    <n v="22.140506329113926"/>
    <n v="4.9144008395218908"/>
    <n v="10.069620253164556"/>
    <n v="2.1089377326145904"/>
    <n v="10.958227848101266"/>
    <n v="2.2883463843764797"/>
    <n v="0.24598061494523943"/>
    <n v="0.98882729137716041"/>
    <n v="0.91533273694250961"/>
    <n v="1.3292446338833204"/>
    <n v="0.86984631928705736"/>
  </r>
  <r>
    <x v="31"/>
    <s v="PREP"/>
    <n v="27"/>
    <n v="27"/>
    <n v="13"/>
    <n v="15"/>
    <n v="82"/>
    <n v="1.315587028960544"/>
    <n v="22.694936708860759"/>
    <n v="5.3055534129377486"/>
    <n v="22.140506329113926"/>
    <n v="4.9144008395218908"/>
    <n v="10.069620253164556"/>
    <n v="2.1089377326145904"/>
    <n v="10.958227848101266"/>
    <n v="2.2883463843764797"/>
    <n v="0.81142586947503292"/>
    <n v="0.98882729137716041"/>
    <n v="1.3895051055881373"/>
    <n v="1.7662414132290645"/>
    <n v="1.2389999199173487"/>
  </r>
  <r>
    <x v="31"/>
    <s v="PREP"/>
    <n v="26"/>
    <n v="23"/>
    <n v="12"/>
    <n v="12"/>
    <n v="73"/>
    <n v="1.3867504905630728"/>
    <n v="22.694936708860759"/>
    <n v="5.3055534129377486"/>
    <n v="22.140506329113926"/>
    <n v="4.9144008395218908"/>
    <n v="10.069620253164556"/>
    <n v="2.1089377326145904"/>
    <n v="10.958227848101266"/>
    <n v="2.2883463843764797"/>
    <n v="0.62294411796510174"/>
    <n v="0.17489287075933599"/>
    <n v="0.91533273694250961"/>
    <n v="0.45525107519183194"/>
    <n v="0.54210520021469488"/>
  </r>
  <r>
    <x v="31"/>
    <s v="PREP"/>
    <n v="23"/>
    <n v="24"/>
    <n v="10"/>
    <n v="12"/>
    <n v="69"/>
    <n v="1.3155870289605438"/>
    <n v="22.694936708860759"/>
    <n v="5.3055534129377486"/>
    <n v="22.140506329113926"/>
    <n v="4.9144008395218908"/>
    <n v="10.069620253164556"/>
    <n v="2.1089377326145904"/>
    <n v="10.958227848101266"/>
    <n v="2.2883463843764797"/>
    <n v="5.7498863435308259E-2"/>
    <n v="0.37837647591379209"/>
    <n v="-3.3012000348745997E-2"/>
    <n v="0.45525107519183194"/>
    <n v="0.21452860354804656"/>
  </r>
  <r>
    <x v="31"/>
    <s v="PREP"/>
    <n v="22"/>
    <n v="21"/>
    <n v="9"/>
    <n v="9"/>
    <n v="61"/>
    <n v="1.4935759876113537"/>
    <n v="22.694936708860759"/>
    <n v="5.3055534129377486"/>
    <n v="22.140506329113926"/>
    <n v="4.9144008395218908"/>
    <n v="10.069620253164556"/>
    <n v="2.1089377326145904"/>
    <n v="10.958227848101266"/>
    <n v="2.2883463843764797"/>
    <n v="-0.13098288807462291"/>
    <n v="-0.23207433954957621"/>
    <n v="-0.5071843689943738"/>
    <n v="-0.85573926284540058"/>
    <n v="-0.4314952148659934"/>
  </r>
  <r>
    <x v="31"/>
    <s v="PREP"/>
    <n v="26"/>
    <n v="23"/>
    <n v="9"/>
    <n v="11"/>
    <n v="69"/>
    <n v="1.8432134703923735"/>
    <n v="22.694936708860759"/>
    <n v="5.3055534129377486"/>
    <n v="22.140506329113926"/>
    <n v="4.9144008395218908"/>
    <n v="10.069620253164556"/>
    <n v="2.1089377326145904"/>
    <n v="10.958227848101266"/>
    <n v="2.2883463843764797"/>
    <n v="0.62294411796510174"/>
    <n v="0.17489287075933599"/>
    <n v="-0.5071843689943738"/>
    <n v="1.8254295846087756E-2"/>
    <n v="7.7226728894037922E-2"/>
  </r>
  <r>
    <x v="31"/>
    <s v="PREP"/>
    <n v="27"/>
    <n v="26"/>
    <n v="11"/>
    <n v="10"/>
    <n v="74"/>
    <n v="1.9315199276138031"/>
    <n v="22.694936708860759"/>
    <n v="5.3055534129377486"/>
    <n v="22.140506329113926"/>
    <n v="4.9144008395218908"/>
    <n v="10.069620253164556"/>
    <n v="2.1089377326145904"/>
    <n v="10.958227848101266"/>
    <n v="2.2883463843764797"/>
    <n v="0.81142586947503292"/>
    <n v="0.78534368622270434"/>
    <n v="0.44116036829688182"/>
    <n v="-0.41874248349965643"/>
    <n v="0.40479686012374066"/>
  </r>
  <r>
    <x v="31"/>
    <s v="PREP"/>
    <n v="23"/>
    <n v="22"/>
    <n v="10"/>
    <n v="7"/>
    <n v="62"/>
    <n v="1.9644272343292224"/>
    <n v="22.694936708860759"/>
    <n v="5.3055534129377486"/>
    <n v="22.140506329113926"/>
    <n v="4.9144008395218908"/>
    <n v="10.069620253164556"/>
    <n v="2.1089377326145904"/>
    <n v="10.958227848101266"/>
    <n v="2.2883463843764797"/>
    <n v="5.7498863435308259E-2"/>
    <n v="-2.8590734395120113E-2"/>
    <n v="-3.3012000348745997E-2"/>
    <n v="-1.729732821536889"/>
    <n v="-0.43345917321136174"/>
  </r>
  <r>
    <x v="31"/>
    <s v="PREP"/>
    <n v="26"/>
    <n v="22"/>
    <n v="11"/>
    <n v="10"/>
    <n v="69"/>
    <n v="1.6012815380508714"/>
    <n v="22.694936708860759"/>
    <n v="5.3055534129377486"/>
    <n v="22.140506329113926"/>
    <n v="4.9144008395218908"/>
    <n v="10.069620253164556"/>
    <n v="2.1089377326145904"/>
    <n v="10.958227848101266"/>
    <n v="2.2883463843764797"/>
    <n v="0.62294411796510174"/>
    <n v="-2.8590734395120113E-2"/>
    <n v="0.44116036829688182"/>
    <n v="-0.41874248349965643"/>
    <n v="0.15419281709180171"/>
  </r>
  <r>
    <x v="31"/>
    <s v="PREP"/>
    <n v="21"/>
    <n v="20"/>
    <n v="9"/>
    <n v="10"/>
    <n v="60"/>
    <n v="1.6092680291808414"/>
    <n v="22.694936708860759"/>
    <n v="5.3055534129377486"/>
    <n v="22.140506329113926"/>
    <n v="4.9144008395218908"/>
    <n v="10.069620253164556"/>
    <n v="2.1089377326145904"/>
    <n v="10.958227848101266"/>
    <n v="2.2883463843764797"/>
    <n v="-0.31946463958455407"/>
    <n v="-0.43555794470403231"/>
    <n v="-0.5071843689943738"/>
    <n v="-0.41874248349965643"/>
    <n v="-0.42023735919565414"/>
  </r>
  <r>
    <x v="31"/>
    <s v="PREP"/>
    <n v="20"/>
    <n v="20"/>
    <n v="11"/>
    <n v="7"/>
    <n v="58"/>
    <n v="1.713446070320696"/>
    <n v="22.694936708860759"/>
    <n v="5.3055534129377486"/>
    <n v="22.140506329113926"/>
    <n v="4.9144008395218908"/>
    <n v="10.069620253164556"/>
    <n v="2.1089377326145904"/>
    <n v="10.958227848101266"/>
    <n v="2.2883463843764797"/>
    <n v="-0.50794639109448525"/>
    <n v="-0.43555794470403231"/>
    <n v="0.44116036829688182"/>
    <n v="-1.729732821536889"/>
    <n v="-0.55801919725963112"/>
  </r>
  <r>
    <x v="31"/>
    <s v="PREP"/>
    <n v="28"/>
    <n v="26"/>
    <n v="13"/>
    <n v="12"/>
    <n v="79"/>
    <n v="1.7059473644448737"/>
    <n v="22.694936708860759"/>
    <n v="5.3055534129377486"/>
    <n v="22.140506329113926"/>
    <n v="4.9144008395218908"/>
    <n v="10.069620253164556"/>
    <n v="2.1089377326145904"/>
    <n v="10.958227848101266"/>
    <n v="2.2883463843764797"/>
    <n v="0.99990762098496411"/>
    <n v="0.78534368622270434"/>
    <n v="1.3895051055881373"/>
    <n v="0.45525107519183194"/>
    <n v="0.90750187199690946"/>
  </r>
  <r>
    <x v="31"/>
    <s v="PREP"/>
    <n v="27"/>
    <n v="25"/>
    <n v="11"/>
    <n v="8"/>
    <n v="71"/>
    <n v="2.1453587351685739"/>
    <n v="22.694936708860759"/>
    <n v="5.3055534129377486"/>
    <n v="22.140506329113926"/>
    <n v="4.9144008395218908"/>
    <n v="10.069620253164556"/>
    <n v="2.1089377326145904"/>
    <n v="10.958227848101266"/>
    <n v="2.2883463843764797"/>
    <n v="0.81142586947503292"/>
    <n v="0.58186008106824816"/>
    <n v="0.44116036829688182"/>
    <n v="-1.2927360421911447"/>
    <n v="0.13542756916225457"/>
  </r>
  <r>
    <x v="31"/>
    <s v="PREP"/>
    <n v="27"/>
    <n v="27"/>
    <n v="13"/>
    <n v="9"/>
    <n v="76"/>
    <n v="2.0754980866510833"/>
    <n v="22.694936708860759"/>
    <n v="5.3055534129377486"/>
    <n v="22.140506329113926"/>
    <n v="4.9144008395218908"/>
    <n v="10.069620253164556"/>
    <n v="2.1089377326145904"/>
    <n v="10.958227848101266"/>
    <n v="2.2883463843764797"/>
    <n v="0.81142586947503292"/>
    <n v="0.98882729137716041"/>
    <n v="1.3895051055881373"/>
    <n v="-0.85573926284540058"/>
    <n v="0.58350475089873255"/>
  </r>
  <r>
    <x v="31"/>
    <s v="PREP"/>
    <n v="26"/>
    <n v="30"/>
    <n v="13"/>
    <n v="12"/>
    <n v="81"/>
    <n v="2.0475125621855637"/>
    <n v="22.694936708860759"/>
    <n v="5.3055534129377486"/>
    <n v="22.140506329113926"/>
    <n v="4.9144008395218908"/>
    <n v="10.069620253164556"/>
    <n v="2.1089377326145904"/>
    <n v="10.958227848101266"/>
    <n v="2.2883463843764797"/>
    <n v="0.62294411796510174"/>
    <n v="1.5992781068405286"/>
    <n v="1.3895051055881373"/>
    <n v="0.45525107519183194"/>
    <n v="1.0167446013963999"/>
  </r>
  <r>
    <x v="31"/>
    <s v="PREP"/>
    <n v="30"/>
    <n v="26"/>
    <n v="14"/>
    <n v="8"/>
    <n v="78"/>
    <n v="2.3804761428476171"/>
    <n v="22.694936708860759"/>
    <n v="5.3055534129377486"/>
    <n v="22.140506329113926"/>
    <n v="4.9144008395218908"/>
    <n v="10.069620253164556"/>
    <n v="2.1089377326145904"/>
    <n v="10.958227848101266"/>
    <n v="2.2883463843764797"/>
    <n v="1.3768711240048266"/>
    <n v="0.78534368622270434"/>
    <n v="1.8636774742337652"/>
    <n v="-1.2927360421911447"/>
    <n v="0.68328906056753791"/>
  </r>
  <r>
    <x v="31"/>
    <s v="PREP"/>
    <n v="29"/>
    <n v="33"/>
    <n v="14"/>
    <n v="13"/>
    <n v="89"/>
    <n v="2.2303271003059115"/>
    <n v="22.694936708860759"/>
    <n v="5.3055534129377486"/>
    <n v="22.140506329113926"/>
    <n v="4.9144008395218908"/>
    <n v="10.069620253164556"/>
    <n v="2.1089377326145904"/>
    <n v="10.958227848101266"/>
    <n v="2.2883463843764797"/>
    <n v="1.1883893724948953"/>
    <n v="2.2097289223038969"/>
    <n v="1.8636774742337652"/>
    <n v="0.89224785453757616"/>
    <n v="1.5385109058925335"/>
  </r>
  <r>
    <x v="31"/>
    <s v="PREP"/>
    <n v="22"/>
    <n v="23"/>
    <n v="12"/>
    <n v="11"/>
    <n v="68"/>
    <n v="1.1657505560686465"/>
    <n v="22.694936708860759"/>
    <n v="5.3055534129377486"/>
    <n v="22.140506329113926"/>
    <n v="4.9144008395218908"/>
    <n v="10.069620253164556"/>
    <n v="2.1089377326145904"/>
    <n v="10.958227848101266"/>
    <n v="2.2883463843764797"/>
    <n v="-0.13098288807462291"/>
    <n v="0.17489287075933599"/>
    <n v="0.91533273694250961"/>
    <n v="1.8254295846087756E-2"/>
    <n v="0.24437425386832759"/>
  </r>
  <r>
    <x v="31"/>
    <s v="PREP"/>
    <n v="22"/>
    <n v="18"/>
    <n v="9"/>
    <n v="8"/>
    <n v="57"/>
    <n v="1.386750490563073"/>
    <n v="22.694936708860759"/>
    <n v="5.3055534129377486"/>
    <n v="22.140506329113926"/>
    <n v="4.9144008395218908"/>
    <n v="10.069620253164556"/>
    <n v="2.1089377326145904"/>
    <n v="10.958227848101266"/>
    <n v="2.2883463843764797"/>
    <n v="-0.13098288807462291"/>
    <n v="-0.84252515501294456"/>
    <n v="-0.5071843689943738"/>
    <n v="-1.2927360421911447"/>
    <n v="-0.69335711356827145"/>
  </r>
  <r>
    <x v="32"/>
    <s v="PREP"/>
    <n v="17"/>
    <n v="20"/>
    <n v="9"/>
    <n v="11"/>
    <n v="57"/>
    <n v="0.86971849262290402"/>
    <n v="22.694936708860759"/>
    <n v="5.3055534129377486"/>
    <n v="22.140506329113926"/>
    <n v="4.9144008395218908"/>
    <n v="10.069620253164556"/>
    <n v="2.1089377326145904"/>
    <n v="10.958227848101266"/>
    <n v="2.2883463843764797"/>
    <n v="-1.0733916456242787"/>
    <n v="-0.43555794470403231"/>
    <n v="-0.5071843689943738"/>
    <n v="1.8254295846087756E-2"/>
    <n v="-0.49946991586914924"/>
  </r>
  <r>
    <x v="32"/>
    <s v="PREP"/>
    <n v="21"/>
    <n v="22"/>
    <n v="9"/>
    <n v="10"/>
    <n v="62"/>
    <n v="1.3008872711759818"/>
    <n v="22.694936708860759"/>
    <n v="5.3055534129377486"/>
    <n v="22.140506329113926"/>
    <n v="4.9144008395218908"/>
    <n v="10.069620253164556"/>
    <n v="2.1089377326145904"/>
    <n v="10.958227848101266"/>
    <n v="2.2883463843764797"/>
    <n v="-0.31946463958455407"/>
    <n v="-2.8590734395120113E-2"/>
    <n v="-0.5071843689943738"/>
    <n v="-0.41874248349965643"/>
    <n v="-0.3184955566184261"/>
  </r>
  <r>
    <x v="32"/>
    <s v="PREP"/>
    <n v="23"/>
    <n v="22"/>
    <n v="10"/>
    <n v="12"/>
    <n v="67"/>
    <n v="1.0681880176381129"/>
    <n v="22.694936708860759"/>
    <n v="5.3055534129377486"/>
    <n v="22.140506329113926"/>
    <n v="4.9144008395218908"/>
    <n v="10.069620253164556"/>
    <n v="2.1089377326145904"/>
    <n v="10.958227848101266"/>
    <n v="2.2883463843764797"/>
    <n v="5.7498863435308259E-2"/>
    <n v="-2.8590734395120113E-2"/>
    <n v="-3.3012000348745997E-2"/>
    <n v="0.45525107519183194"/>
    <n v="0.11278680097081853"/>
  </r>
  <r>
    <x v="32"/>
    <s v="PREP"/>
    <n v="24"/>
    <n v="23"/>
    <n v="11"/>
    <n v="15"/>
    <n v="73"/>
    <n v="0.65044363558799101"/>
    <n v="22.694936708860759"/>
    <n v="5.3055534129377486"/>
    <n v="22.140506329113926"/>
    <n v="4.9144008395218908"/>
    <n v="10.069620253164556"/>
    <n v="2.1089377326145904"/>
    <n v="10.958227848101266"/>
    <n v="2.2883463843764797"/>
    <n v="0.24598061494523943"/>
    <n v="0.17489287075933599"/>
    <n v="0.44116036829688182"/>
    <n v="1.7662414132290645"/>
    <n v="0.65706881680763041"/>
  </r>
  <r>
    <x v="32"/>
    <s v="PREP"/>
    <n v="26"/>
    <n v="26"/>
    <n v="12"/>
    <n v="15"/>
    <n v="79"/>
    <n v="1.0377490433255412"/>
    <n v="22.694936708860759"/>
    <n v="5.3055534129377486"/>
    <n v="22.140506329113926"/>
    <n v="4.9144008395218908"/>
    <n v="10.069620253164556"/>
    <n v="2.1089377326145904"/>
    <n v="10.958227848101266"/>
    <n v="2.2883463843764797"/>
    <n v="0.62294411796510174"/>
    <n v="0.78534368622270434"/>
    <n v="0.91533273694250961"/>
    <n v="1.7662414132290645"/>
    <n v="1.022465488589845"/>
  </r>
  <r>
    <x v="32"/>
    <s v="PREP"/>
    <n v="26"/>
    <n v="26"/>
    <n v="12"/>
    <n v="14"/>
    <n v="78"/>
    <n v="1.154700538379251"/>
    <n v="22.694936708860759"/>
    <n v="5.3055534129377486"/>
    <n v="22.140506329113926"/>
    <n v="4.9144008395218908"/>
    <n v="10.069620253164556"/>
    <n v="2.1089377326145904"/>
    <n v="10.958227848101266"/>
    <n v="2.2883463843764797"/>
    <n v="0.62294411796510174"/>
    <n v="0.78534368622270434"/>
    <n v="0.91533273694250961"/>
    <n v="1.3292446338833204"/>
    <n v="0.91321629375340896"/>
  </r>
  <r>
    <x v="32"/>
    <s v="PREP"/>
    <n v="26"/>
    <n v="26"/>
    <n v="12"/>
    <n v="15"/>
    <n v="79"/>
    <n v="1.0377490433255412"/>
    <n v="22.694936708860759"/>
    <n v="5.3055534129377486"/>
    <n v="22.140506329113926"/>
    <n v="4.9144008395218908"/>
    <n v="10.069620253164556"/>
    <n v="2.1089377326145904"/>
    <n v="10.958227848101266"/>
    <n v="2.2883463843764797"/>
    <n v="0.62294411796510174"/>
    <n v="0.78534368622270434"/>
    <n v="0.91533273694250961"/>
    <n v="1.7662414132290645"/>
    <n v="1.022465488589845"/>
  </r>
  <r>
    <x v="32"/>
    <s v="PREP"/>
    <n v="23"/>
    <n v="22"/>
    <n v="10"/>
    <n v="12"/>
    <n v="67"/>
    <n v="1.0681880176381129"/>
    <n v="22.694936708860759"/>
    <n v="5.3055534129377486"/>
    <n v="22.140506329113926"/>
    <n v="4.9144008395218908"/>
    <n v="10.069620253164556"/>
    <n v="2.1089377326145904"/>
    <n v="10.958227848101266"/>
    <n v="2.2883463843764797"/>
    <n v="5.7498863435308259E-2"/>
    <n v="-2.8590734395120113E-2"/>
    <n v="-3.3012000348745997E-2"/>
    <n v="0.45525107519183194"/>
    <n v="0.11278680097081853"/>
  </r>
  <r>
    <x v="32"/>
    <s v="PREP"/>
    <n v="21"/>
    <n v="25"/>
    <n v="10"/>
    <n v="14"/>
    <n v="70"/>
    <n v="1.2608503439122305"/>
    <n v="22.694936708860759"/>
    <n v="5.3055534129377486"/>
    <n v="22.140506329113926"/>
    <n v="4.9144008395218908"/>
    <n v="10.069620253164556"/>
    <n v="2.1089377326145904"/>
    <n v="10.958227848101266"/>
    <n v="2.2883463843764797"/>
    <n v="-0.31946463958455407"/>
    <n v="0.58186008106824816"/>
    <n v="-3.3012000348745997E-2"/>
    <n v="1.3292446338833204"/>
    <n v="0.3896570187545671"/>
  </r>
  <r>
    <x v="32"/>
    <s v="PREP"/>
    <n v="9"/>
    <n v="9"/>
    <n v="7"/>
    <n v="7"/>
    <n v="32"/>
    <n v="0.66022529177352474"/>
    <n v="22.694936708860759"/>
    <n v="5.3055534129377486"/>
    <n v="22.140506329113926"/>
    <n v="4.9144008395218908"/>
    <n v="10.069620253164556"/>
    <n v="2.1089377326145904"/>
    <n v="10.958227848101266"/>
    <n v="2.2883463843764797"/>
    <n v="-2.5812456577037284"/>
    <n v="-2.6738776014030492"/>
    <n v="-1.4555291062856295"/>
    <n v="-1.729732821536889"/>
    <n v="-2.110096296732324"/>
  </r>
  <r>
    <x v="32"/>
    <s v="PREP"/>
    <n v="11"/>
    <n v="12"/>
    <n v="8"/>
    <n v="6"/>
    <n v="37"/>
    <n v="0.6887372317211945"/>
    <n v="22.694936708860759"/>
    <n v="5.3055534129377486"/>
    <n v="22.140506329113926"/>
    <n v="4.9144008395218908"/>
    <n v="10.069620253164556"/>
    <n v="2.1089377326145904"/>
    <n v="10.958227848101266"/>
    <n v="2.2883463843764797"/>
    <n v="-2.2042821546838658"/>
    <n v="-2.0634267859396811"/>
    <n v="-0.98135673764000164"/>
    <n v="-2.1667296008826331"/>
    <n v="-1.8539488197865452"/>
  </r>
  <r>
    <x v="32"/>
    <s v="PREP"/>
    <n v="21"/>
    <n v="22"/>
    <n v="11"/>
    <n v="11"/>
    <n v="65"/>
    <n v="1.0000000000000002"/>
    <n v="22.694936708860759"/>
    <n v="5.3055534129377486"/>
    <n v="22.140506329113926"/>
    <n v="4.9144008395218908"/>
    <n v="10.069620253164556"/>
    <n v="2.1089377326145904"/>
    <n v="10.958227848101266"/>
    <n v="2.2883463843764797"/>
    <n v="-0.31946463958455407"/>
    <n v="-2.8590734395120113E-2"/>
    <n v="0.44116036829688182"/>
    <n v="1.8254295846087756E-2"/>
    <n v="2.7839822540823851E-2"/>
  </r>
  <r>
    <x v="32"/>
    <s v="PREP"/>
    <n v="19"/>
    <n v="20"/>
    <n v="11"/>
    <n v="13"/>
    <n v="63"/>
    <n v="0.89871703427291705"/>
    <n v="22.694936708860759"/>
    <n v="5.3055534129377486"/>
    <n v="22.140506329113926"/>
    <n v="4.9144008395218908"/>
    <n v="10.069620253164556"/>
    <n v="2.1089377326145904"/>
    <n v="10.958227848101266"/>
    <n v="2.2883463843764797"/>
    <n v="-0.69642814260441643"/>
    <n v="-0.43555794470403231"/>
    <n v="0.44116036829688182"/>
    <n v="0.89224785453757616"/>
    <n v="5.0355533881502296E-2"/>
  </r>
  <r>
    <x v="32"/>
    <s v="PREP"/>
    <n v="26"/>
    <n v="25"/>
    <n v="12"/>
    <n v="13"/>
    <n v="76"/>
    <n v="1.214231845389905"/>
    <n v="22.694936708860759"/>
    <n v="5.3055534129377486"/>
    <n v="22.140506329113926"/>
    <n v="4.9144008395218908"/>
    <n v="10.069620253164556"/>
    <n v="2.1089377326145904"/>
    <n v="10.958227848101266"/>
    <n v="2.2883463843764797"/>
    <n v="0.62294411796510174"/>
    <n v="0.58186008106824816"/>
    <n v="0.91533273694250961"/>
    <n v="0.89224785453757616"/>
    <n v="0.75309619762835889"/>
  </r>
  <r>
    <x v="32"/>
    <s v="PREP"/>
    <n v="26"/>
    <n v="26"/>
    <n v="12"/>
    <n v="14"/>
    <n v="78"/>
    <n v="1.154700538379251"/>
    <n v="22.694936708860759"/>
    <n v="5.3055534129377486"/>
    <n v="22.140506329113926"/>
    <n v="4.9144008395218908"/>
    <n v="10.069620253164556"/>
    <n v="2.1089377326145904"/>
    <n v="10.958227848101266"/>
    <n v="2.2883463843764797"/>
    <n v="0.62294411796510174"/>
    <n v="0.78534368622270434"/>
    <n v="0.91533273694250961"/>
    <n v="1.3292446338833204"/>
    <n v="0.91321629375340896"/>
  </r>
  <r>
    <x v="32"/>
    <s v="PREP"/>
    <n v="27"/>
    <n v="26"/>
    <n v="13"/>
    <n v="13"/>
    <n v="79"/>
    <n v="1.4411533842457842"/>
    <n v="22.694936708860759"/>
    <n v="5.3055534129377486"/>
    <n v="22.140506329113926"/>
    <n v="4.9144008395218908"/>
    <n v="10.069620253164556"/>
    <n v="2.1089377326145904"/>
    <n v="10.958227848101266"/>
    <n v="2.2883463843764797"/>
    <n v="0.81142586947503292"/>
    <n v="0.78534368622270434"/>
    <n v="1.3895051055881373"/>
    <n v="0.89224785453757616"/>
    <n v="0.96963062895586272"/>
  </r>
  <r>
    <x v="32"/>
    <s v="PREP"/>
    <n v="23"/>
    <n v="25"/>
    <n v="10"/>
    <n v="14"/>
    <n v="72"/>
    <n v="1.3301243435223524"/>
    <n v="22.694936708860759"/>
    <n v="5.3055534129377486"/>
    <n v="22.140506329113926"/>
    <n v="4.9144008395218908"/>
    <n v="10.069620253164556"/>
    <n v="2.1089377326145904"/>
    <n v="10.958227848101266"/>
    <n v="2.2883463843764797"/>
    <n v="5.7498863435308259E-2"/>
    <n v="0.58186008106824816"/>
    <n v="-3.3012000348745997E-2"/>
    <n v="1.3292446338833204"/>
    <n v="0.48389789450953269"/>
  </r>
  <r>
    <x v="32"/>
    <s v="PREP"/>
    <n v="17"/>
    <n v="20"/>
    <n v="10"/>
    <n v="9"/>
    <n v="56"/>
    <n v="1.1821319289469756"/>
    <n v="22.694936708860759"/>
    <n v="5.3055534129377486"/>
    <n v="22.140506329113926"/>
    <n v="4.9144008395218908"/>
    <n v="10.069620253164556"/>
    <n v="2.1089377326145904"/>
    <n v="10.958227848101266"/>
    <n v="2.2883463843764797"/>
    <n v="-1.0733916456242787"/>
    <n v="-0.43555794470403231"/>
    <n v="-3.3012000348745997E-2"/>
    <n v="-0.85573926284540058"/>
    <n v="-0.59942521338061439"/>
  </r>
  <r>
    <x v="32"/>
    <s v="PREP"/>
    <n v="22"/>
    <n v="23"/>
    <n v="12"/>
    <n v="13"/>
    <n v="70"/>
    <n v="1.1208970766356101"/>
    <n v="22.694936708860759"/>
    <n v="5.3055534129377486"/>
    <n v="22.140506329113926"/>
    <n v="4.9144008395218908"/>
    <n v="10.069620253164556"/>
    <n v="2.1089377326145904"/>
    <n v="10.958227848101266"/>
    <n v="2.2883463843764797"/>
    <n v="-0.13098288807462291"/>
    <n v="0.17489287075933599"/>
    <n v="0.91533273694250961"/>
    <n v="0.89224785453757616"/>
    <n v="0.46287264354119972"/>
  </r>
  <r>
    <x v="32"/>
    <s v="PREP"/>
    <n v="24"/>
    <n v="22"/>
    <n v="10"/>
    <n v="10"/>
    <n v="66"/>
    <n v="1.4411533842457842"/>
    <n v="22.694936708860759"/>
    <n v="5.3055534129377486"/>
    <n v="22.140506329113926"/>
    <n v="4.9144008395218908"/>
    <n v="10.069620253164556"/>
    <n v="2.1089377326145904"/>
    <n v="10.958227848101266"/>
    <n v="2.2883463843764797"/>
    <n v="0.24598061494523943"/>
    <n v="-2.8590734395120113E-2"/>
    <n v="-3.3012000348745997E-2"/>
    <n v="-0.41874248349965643"/>
    <n v="-5.8591150824570774E-2"/>
  </r>
  <r>
    <x v="32"/>
    <s v="PREP"/>
    <n v="22"/>
    <n v="19"/>
    <n v="8"/>
    <n v="11"/>
    <n v="60"/>
    <n v="1.0439078454267841"/>
    <n v="22.694936708860759"/>
    <n v="5.3055534129377486"/>
    <n v="22.140506329113926"/>
    <n v="4.9144008395218908"/>
    <n v="10.069620253164556"/>
    <n v="2.1089377326145904"/>
    <n v="10.958227848101266"/>
    <n v="2.2883463843764797"/>
    <n v="-0.13098288807462291"/>
    <n v="-0.63904154985848838"/>
    <n v="-0.98135673764000164"/>
    <n v="1.8254295846087756E-2"/>
    <n v="-0.43328171993175624"/>
  </r>
  <r>
    <x v="32"/>
    <s v="PREP"/>
    <n v="27"/>
    <n v="31"/>
    <n v="14"/>
    <n v="15"/>
    <n v="87"/>
    <n v="1.7974340685458345"/>
    <n v="22.694936708860759"/>
    <n v="5.3055534129377486"/>
    <n v="22.140506329113926"/>
    <n v="4.9144008395218908"/>
    <n v="10.069620253164556"/>
    <n v="2.1089377326145904"/>
    <n v="10.958227848101266"/>
    <n v="2.2883463843764797"/>
    <n v="0.81142586947503292"/>
    <n v="1.8027617119949848"/>
    <n v="1.8636774742337652"/>
    <n v="1.7662414132290645"/>
    <n v="1.5610266172332117"/>
  </r>
  <r>
    <x v="32"/>
    <s v="PREP"/>
    <n v="23"/>
    <n v="19"/>
    <n v="10"/>
    <n v="10"/>
    <n v="62"/>
    <n v="1.2351684199496944"/>
    <n v="22.694936708860759"/>
    <n v="5.3055534129377486"/>
    <n v="22.140506329113926"/>
    <n v="4.9144008395218908"/>
    <n v="10.069620253164556"/>
    <n v="2.1089377326145904"/>
    <n v="10.958227848101266"/>
    <n v="2.2883463843764797"/>
    <n v="5.7498863435308259E-2"/>
    <n v="-0.63904154985848838"/>
    <n v="-3.3012000348745997E-2"/>
    <n v="-0.41874248349965643"/>
    <n v="-0.25832429256789563"/>
  </r>
  <r>
    <x v="32"/>
    <s v="PREP"/>
    <n v="18"/>
    <n v="15"/>
    <n v="7"/>
    <n v="9"/>
    <n v="49"/>
    <n v="0.92680869599629856"/>
    <n v="22.694936708860759"/>
    <n v="5.3055534129377486"/>
    <n v="22.140506329113926"/>
    <n v="4.9144008395218908"/>
    <n v="10.069620253164556"/>
    <n v="2.1089377326145904"/>
    <n v="10.958227848101266"/>
    <n v="2.2883463843764797"/>
    <n v="-0.88490989411434762"/>
    <n v="-1.4529759704763128"/>
    <n v="-1.4555291062856295"/>
    <n v="-0.85573926284540058"/>
    <n v="-1.1622885584304226"/>
  </r>
  <r>
    <x v="32"/>
    <s v="PREP"/>
    <n v="23"/>
    <n v="24"/>
    <n v="11"/>
    <n v="11"/>
    <n v="69"/>
    <n v="1.1821319289469758"/>
    <n v="22.694936708860759"/>
    <n v="5.3055534129377486"/>
    <n v="22.140506329113926"/>
    <n v="4.9144008395218908"/>
    <n v="10.069620253164556"/>
    <n v="2.1089377326145904"/>
    <n v="10.958227848101266"/>
    <n v="2.2883463843764797"/>
    <n v="5.7498863435308259E-2"/>
    <n v="0.37837647591379209"/>
    <n v="0.44116036829688182"/>
    <n v="1.8254295846087756E-2"/>
    <n v="0.22382250087301747"/>
  </r>
  <r>
    <x v="32"/>
    <s v="PREP"/>
    <n v="20"/>
    <n v="21"/>
    <n v="10"/>
    <n v="12"/>
    <n v="63"/>
    <n v="0.98709623358564902"/>
    <n v="22.694936708860759"/>
    <n v="5.3055534129377486"/>
    <n v="22.140506329113926"/>
    <n v="4.9144008395218908"/>
    <n v="10.069620253164556"/>
    <n v="2.1089377326145904"/>
    <n v="10.958227848101266"/>
    <n v="2.2883463843764797"/>
    <n v="-0.50794639109448525"/>
    <n v="-0.23207433954957621"/>
    <n v="-3.3012000348745997E-2"/>
    <n v="0.45525107519183194"/>
    <n v="-7.9445413950243876E-2"/>
  </r>
  <r>
    <x v="32"/>
    <s v="PREP"/>
    <n v="32"/>
    <n v="31"/>
    <n v="13"/>
    <n v="15"/>
    <n v="91"/>
    <n v="1.9578900207451215"/>
    <n v="22.694936708860759"/>
    <n v="5.3055534129377486"/>
    <n v="22.140506329113926"/>
    <n v="4.9144008395218908"/>
    <n v="10.069620253164556"/>
    <n v="2.1089377326145904"/>
    <n v="10.958227848101266"/>
    <n v="2.2883463843764797"/>
    <n v="1.7538346270246887"/>
    <n v="1.8027617119949848"/>
    <n v="1.3895051055881373"/>
    <n v="1.7662414132290645"/>
    <n v="1.6780857144592187"/>
  </r>
  <r>
    <x v="32"/>
    <s v="PREP"/>
    <n v="27"/>
    <n v="29"/>
    <n v="13"/>
    <n v="13"/>
    <n v="82"/>
    <n v="1.6525039276108333"/>
    <n v="22.694936708860759"/>
    <n v="5.3055534129377486"/>
    <n v="22.140506329113926"/>
    <n v="4.9144008395218908"/>
    <n v="10.069620253164556"/>
    <n v="2.1089377326145904"/>
    <n v="10.958227848101266"/>
    <n v="2.2883463843764797"/>
    <n v="0.81142586947503292"/>
    <n v="1.3957945016860727"/>
    <n v="1.3895051055881373"/>
    <n v="0.89224785453757616"/>
    <n v="1.1222433328217047"/>
  </r>
  <r>
    <x v="32"/>
    <s v="PREP"/>
    <n v="32"/>
    <n v="28"/>
    <n v="14"/>
    <n v="15"/>
    <n v="89"/>
    <n v="1.9935794376846323"/>
    <n v="22.694936708860759"/>
    <n v="5.3055534129377486"/>
    <n v="22.140506329113926"/>
    <n v="4.9144008395218908"/>
    <n v="10.069620253164556"/>
    <n v="2.1089377326145904"/>
    <n v="10.958227848101266"/>
    <n v="2.2883463843764797"/>
    <n v="1.7538346270246887"/>
    <n v="1.1923108965316165"/>
    <n v="1.8636774742337652"/>
    <n v="1.7662414132290645"/>
    <n v="1.6440161027547837"/>
  </r>
  <r>
    <x v="32"/>
    <s v="PREP"/>
    <n v="25"/>
    <n v="28"/>
    <n v="14"/>
    <n v="15"/>
    <n v="82"/>
    <n v="1.5483655567842813"/>
    <n v="22.694936708860759"/>
    <n v="5.3055534129377486"/>
    <n v="22.140506329113926"/>
    <n v="4.9144008395218908"/>
    <n v="10.069620253164556"/>
    <n v="2.1089377326145904"/>
    <n v="10.958227848101266"/>
    <n v="2.2883463843764797"/>
    <n v="0.43446236645517061"/>
    <n v="1.1923108965316165"/>
    <n v="1.8636774742337652"/>
    <n v="1.7662414132290645"/>
    <n v="1.3141730376124041"/>
  </r>
  <r>
    <x v="32"/>
    <s v="PREP"/>
    <n v="32"/>
    <n v="29"/>
    <n v="14"/>
    <n v="15"/>
    <n v="90"/>
    <n v="1.9774368283857793"/>
    <n v="22.694936708860759"/>
    <n v="5.3055534129377486"/>
    <n v="22.140506329113926"/>
    <n v="4.9144008395218908"/>
    <n v="10.069620253164556"/>
    <n v="2.1089377326145904"/>
    <n v="10.958227848101266"/>
    <n v="2.2883463843764797"/>
    <n v="1.7538346270246887"/>
    <n v="1.3957945016860727"/>
    <n v="1.8636774742337652"/>
    <n v="1.7662414132290645"/>
    <n v="1.6948870040433976"/>
  </r>
  <r>
    <x v="32"/>
    <s v="PREP"/>
    <n v="31"/>
    <n v="34"/>
    <n v="13"/>
    <n v="15"/>
    <n v="93"/>
    <n v="2.1543039806456377"/>
    <n v="22.694936708860759"/>
    <n v="5.3055534129377486"/>
    <n v="22.140506329113926"/>
    <n v="4.9144008395218908"/>
    <n v="10.069620253164556"/>
    <n v="2.1089377326145904"/>
    <n v="10.958227848101266"/>
    <n v="2.2883463843764797"/>
    <n v="1.5653528755147577"/>
    <n v="2.4132125274583531"/>
    <n v="1.3895051055881373"/>
    <n v="1.7662414132290645"/>
    <n v="1.783577980447578"/>
  </r>
  <r>
    <x v="32"/>
    <s v="PREP"/>
    <n v="25"/>
    <n v="23"/>
    <n v="10"/>
    <n v="13"/>
    <n v="71"/>
    <n v="1.3301243435223524"/>
    <n v="22.694936708860759"/>
    <n v="5.3055534129377486"/>
    <n v="22.140506329113926"/>
    <n v="4.9144008395218908"/>
    <n v="10.069620253164556"/>
    <n v="2.1089377326145904"/>
    <n v="10.958227848101266"/>
    <n v="2.2883463843764797"/>
    <n v="0.43446236645517061"/>
    <n v="0.17489287075933599"/>
    <n v="-3.3012000348745997E-2"/>
    <n v="0.89224785453757616"/>
    <n v="0.36714777285083422"/>
  </r>
  <r>
    <x v="32"/>
    <s v="PREP"/>
    <n v="23"/>
    <n v="23"/>
    <n v="11"/>
    <n v="13"/>
    <n v="70"/>
    <n v="1.2608503439122305"/>
    <n v="22.694936708860759"/>
    <n v="5.3055534129377486"/>
    <n v="22.140506329113926"/>
    <n v="4.9144008395218908"/>
    <n v="10.069620253164556"/>
    <n v="2.1089377326145904"/>
    <n v="10.958227848101266"/>
    <n v="2.2883463843764797"/>
    <n v="5.7498863435308259E-2"/>
    <n v="0.17489287075933599"/>
    <n v="0.44116036829688182"/>
    <n v="0.89224785453757616"/>
    <n v="0.39144998925727559"/>
  </r>
  <r>
    <x v="32"/>
    <s v="PREP"/>
    <n v="24"/>
    <n v="20"/>
    <n v="10"/>
    <n v="10"/>
    <n v="64"/>
    <n v="1.3821202589704011"/>
    <n v="22.694936708860759"/>
    <n v="5.3055534129377486"/>
    <n v="22.140506329113926"/>
    <n v="4.9144008395218908"/>
    <n v="10.069620253164556"/>
    <n v="2.1089377326145904"/>
    <n v="10.958227848101266"/>
    <n v="2.2883463843764797"/>
    <n v="0.24598061494523943"/>
    <n v="-0.43555794470403231"/>
    <n v="-3.3012000348745997E-2"/>
    <n v="-0.41874248349965643"/>
    <n v="-0.16033295340179882"/>
  </r>
  <r>
    <x v="32"/>
    <s v="PREP"/>
    <n v="25"/>
    <n v="26"/>
    <n v="12"/>
    <n v="15"/>
    <n v="78"/>
    <n v="0.99999999999999978"/>
    <n v="22.694936708860759"/>
    <n v="5.3055534129377486"/>
    <n v="22.140506329113926"/>
    <n v="4.9144008395218908"/>
    <n v="10.069620253164556"/>
    <n v="2.1089377326145904"/>
    <n v="10.958227848101266"/>
    <n v="2.2883463843764797"/>
    <n v="0.43446236645517061"/>
    <n v="0.78534368622270434"/>
    <n v="0.91533273694250961"/>
    <n v="1.7662414132290645"/>
    <n v="0.97534505071236222"/>
  </r>
  <r>
    <x v="32"/>
    <s v="PREP"/>
    <n v="22"/>
    <n v="23"/>
    <n v="11"/>
    <n v="13"/>
    <n v="69"/>
    <n v="1.2506408613597126"/>
    <n v="22.694936708860759"/>
    <n v="5.3055534129377486"/>
    <n v="22.140506329113926"/>
    <n v="4.9144008395218908"/>
    <n v="10.069620253164556"/>
    <n v="2.1089377326145904"/>
    <n v="10.958227848101266"/>
    <n v="2.2883463843764797"/>
    <n v="-0.13098288807462291"/>
    <n v="0.17489287075933599"/>
    <n v="0.44116036829688182"/>
    <n v="0.89224785453757616"/>
    <n v="0.34432955137979276"/>
  </r>
  <r>
    <x v="32"/>
    <s v="PREP"/>
    <n v="21"/>
    <n v="21"/>
    <n v="10"/>
    <n v="11"/>
    <n v="63"/>
    <n v="1.2810252304406966"/>
    <n v="22.694936708860759"/>
    <n v="5.3055534129377486"/>
    <n v="22.140506329113926"/>
    <n v="4.9144008395218908"/>
    <n v="10.069620253164556"/>
    <n v="2.1089377326145904"/>
    <n v="10.958227848101266"/>
    <n v="2.2883463843764797"/>
    <n v="-0.31946463958455407"/>
    <n v="-0.23207433954957621"/>
    <n v="-3.3012000348745997E-2"/>
    <n v="1.8254295846087756E-2"/>
    <n v="-0.14157417090919713"/>
  </r>
  <r>
    <x v="32"/>
    <s v="PREP"/>
    <n v="22"/>
    <n v="17"/>
    <n v="10"/>
    <n v="11"/>
    <n v="60"/>
    <n v="1.192927878405448"/>
    <n v="22.694936708860759"/>
    <n v="5.3055534129377486"/>
    <n v="22.140506329113926"/>
    <n v="4.9144008395218908"/>
    <n v="10.069620253164556"/>
    <n v="2.1089377326145904"/>
    <n v="10.958227848101266"/>
    <n v="2.2883463843764797"/>
    <n v="-0.13098288807462291"/>
    <n v="-1.0460087601674006"/>
    <n v="-3.3012000348745997E-2"/>
    <n v="1.8254295846087756E-2"/>
    <n v="-0.29793733818617041"/>
  </r>
  <r>
    <x v="32"/>
    <s v="PREP"/>
    <n v="32"/>
    <n v="24"/>
    <n v="12"/>
    <n v="15"/>
    <n v="83"/>
    <n v="1.7577666482623879"/>
    <n v="22.694936708860759"/>
    <n v="5.3055534129377486"/>
    <n v="22.140506329113926"/>
    <n v="4.9144008395218908"/>
    <n v="10.069620253164556"/>
    <n v="2.1089377326145904"/>
    <n v="10.958227848101266"/>
    <n v="2.2883463843764797"/>
    <n v="1.7538346270246887"/>
    <n v="0.37837647591379209"/>
    <n v="0.91533273694250961"/>
    <n v="1.7662414132290645"/>
    <n v="1.2034463132775137"/>
  </r>
  <r>
    <x v="32"/>
    <s v="PREP"/>
    <n v="30"/>
    <n v="29"/>
    <n v="13"/>
    <n v="15"/>
    <n v="87"/>
    <n v="1.7021856236720769"/>
    <n v="22.694936708860759"/>
    <n v="5.3055534129377486"/>
    <n v="22.140506329113926"/>
    <n v="4.9144008395218908"/>
    <n v="10.069620253164556"/>
    <n v="2.1089377326145904"/>
    <n v="10.958227848101266"/>
    <n v="2.2883463843764797"/>
    <n v="1.3768711240048266"/>
    <n v="1.3957945016860727"/>
    <n v="1.3895051055881373"/>
    <n v="1.7662414132290645"/>
    <n v="1.4821030361270251"/>
  </r>
  <r>
    <x v="32"/>
    <s v="PREP"/>
    <n v="32"/>
    <n v="30"/>
    <n v="14"/>
    <n v="15"/>
    <n v="91"/>
    <n v="1.957890020745122"/>
    <n v="22.694936708860759"/>
    <n v="5.3055534129377486"/>
    <n v="22.140506329113926"/>
    <n v="4.9144008395218908"/>
    <n v="10.069620253164556"/>
    <n v="2.1089377326145904"/>
    <n v="10.958227848101266"/>
    <n v="2.2883463843764797"/>
    <n v="1.7538346270246887"/>
    <n v="1.5992781068405286"/>
    <n v="1.8636774742337652"/>
    <n v="1.7662414132290645"/>
    <n v="1.7457579053320118"/>
  </r>
  <r>
    <x v="32"/>
    <s v="PREP"/>
    <n v="31"/>
    <n v="28"/>
    <n v="13"/>
    <n v="15"/>
    <n v="87"/>
    <n v="1.9315199276138029"/>
    <n v="22.694936708860759"/>
    <n v="5.3055534129377486"/>
    <n v="22.140506329113926"/>
    <n v="4.9144008395218908"/>
    <n v="10.069620253164556"/>
    <n v="2.1089377326145904"/>
    <n v="10.958227848101266"/>
    <n v="2.2883463843764797"/>
    <n v="1.5653528755147577"/>
    <n v="1.1923108965316165"/>
    <n v="1.3895051055881373"/>
    <n v="1.7662414132290645"/>
    <n v="1.4783525727158939"/>
  </r>
  <r>
    <x v="32"/>
    <s v="PREP"/>
    <n v="29"/>
    <n v="32"/>
    <n v="13"/>
    <n v="15"/>
    <n v="89"/>
    <n v="1.8187062180825986"/>
    <n v="22.694936708860759"/>
    <n v="5.3055534129377486"/>
    <n v="22.140506329113926"/>
    <n v="4.9144008395218908"/>
    <n v="10.069620253164556"/>
    <n v="2.1089377326145904"/>
    <n v="10.958227848101266"/>
    <n v="2.2883463843764797"/>
    <n v="1.1883893724948953"/>
    <n v="2.0062453171494408"/>
    <n v="1.3895051055881373"/>
    <n v="1.7662414132290645"/>
    <n v="1.5875953021153844"/>
  </r>
  <r>
    <x v="32"/>
    <s v="PREP"/>
    <n v="32"/>
    <n v="32"/>
    <n v="14"/>
    <n v="15"/>
    <n v="93"/>
    <n v="2.0754980866510828"/>
    <n v="22.694936708860759"/>
    <n v="5.3055534129377486"/>
    <n v="22.140506329113926"/>
    <n v="4.9144008395218908"/>
    <n v="10.069620253164556"/>
    <n v="2.1089377326145904"/>
    <n v="10.958227848101266"/>
    <n v="2.2883463843764797"/>
    <n v="1.7538346270246887"/>
    <n v="2.0062453171494408"/>
    <n v="1.8636774742337652"/>
    <n v="1.7662414132290645"/>
    <n v="1.8474997079092397"/>
  </r>
  <r>
    <x v="32"/>
    <s v="PREP"/>
    <n v="32"/>
    <n v="31"/>
    <n v="14"/>
    <n v="15"/>
    <n v="92"/>
    <n v="2.0191391920625672"/>
    <n v="22.694936708860759"/>
    <n v="5.3055534129377486"/>
    <n v="22.140506329113926"/>
    <n v="4.9144008395218908"/>
    <n v="10.069620253164556"/>
    <n v="2.1089377326145904"/>
    <n v="10.958227848101266"/>
    <n v="2.2883463843764797"/>
    <n v="1.7538346270246887"/>
    <n v="1.8027617119949848"/>
    <n v="1.8636774742337652"/>
    <n v="1.7662414132290645"/>
    <n v="1.7966288066206257"/>
  </r>
  <r>
    <x v="33"/>
    <s v="PREP"/>
    <n v="10"/>
    <n v="10"/>
    <n v="6"/>
    <n v="10"/>
    <n v="36"/>
    <n v="0.59914468951527811"/>
    <n v="22.694936708860759"/>
    <n v="5.3055534129377486"/>
    <n v="22.140506329113926"/>
    <n v="4.9144008395218908"/>
    <n v="10.069620253164556"/>
    <n v="2.1089377326145904"/>
    <n v="10.958227848101266"/>
    <n v="2.2883463843764797"/>
    <n v="-2.3927639061937969"/>
    <n v="-2.4703939962485935"/>
    <n v="-1.9297014749312573"/>
    <n v="-0.41874248349965643"/>
    <n v="-1.802900465218326"/>
  </r>
  <r>
    <x v="33"/>
    <s v="PREP"/>
    <n v="21"/>
    <n v="21"/>
    <n v="7"/>
    <n v="8"/>
    <n v="57"/>
    <n v="1.6092680291808414"/>
    <n v="22.694936708860759"/>
    <n v="5.3055534129377486"/>
    <n v="22.140506329113926"/>
    <n v="4.9144008395218908"/>
    <n v="10.069620253164556"/>
    <n v="2.1089377326145904"/>
    <n v="10.958227848101266"/>
    <n v="2.2883463843764797"/>
    <n v="-0.31946463958455407"/>
    <n v="-0.23207433954957621"/>
    <n v="-1.4555291062856295"/>
    <n v="-1.2927360421911447"/>
    <n v="-0.82495103190272601"/>
  </r>
  <r>
    <x v="33"/>
    <s v="PREP"/>
    <n v="8"/>
    <n v="16"/>
    <n v="7"/>
    <n v="8"/>
    <n v="39"/>
    <n v="1.2247448713915889"/>
    <n v="22.694936708860759"/>
    <n v="5.3055534129377486"/>
    <n v="22.140506329113926"/>
    <n v="4.9144008395218908"/>
    <n v="10.069620253164556"/>
    <n v="2.1089377326145904"/>
    <n v="10.958227848101266"/>
    <n v="2.2883463843764797"/>
    <n v="-2.7697274092136595"/>
    <n v="-1.2494923653218568"/>
    <n v="-1.4555291062856295"/>
    <n v="-1.2927360421911447"/>
    <n v="-1.6918712307530726"/>
  </r>
  <r>
    <x v="33"/>
    <s v="PREP"/>
    <n v="32"/>
    <n v="31"/>
    <n v="14"/>
    <n v="11"/>
    <n v="88"/>
    <n v="2.4205318339105473"/>
    <n v="22.694936708860759"/>
    <n v="5.3055534129377486"/>
    <n v="22.140506329113926"/>
    <n v="4.9144008395218908"/>
    <n v="10.069620253164556"/>
    <n v="2.1089377326145904"/>
    <n v="10.958227848101266"/>
    <n v="2.2883463843764797"/>
    <n v="1.7538346270246887"/>
    <n v="1.8027617119949848"/>
    <n v="1.8636774742337652"/>
    <n v="1.8254295846087756E-2"/>
    <n v="1.3596320272748816"/>
  </r>
  <r>
    <x v="33"/>
    <s v="PREP"/>
    <n v="20"/>
    <n v="16"/>
    <n v="8"/>
    <n v="6"/>
    <n v="50"/>
    <n v="1.5191090506254994"/>
    <n v="22.694936708860759"/>
    <n v="5.3055534129377486"/>
    <n v="22.140506329113926"/>
    <n v="4.9144008395218908"/>
    <n v="10.069620253164556"/>
    <n v="2.1089377326145904"/>
    <n v="10.958227848101266"/>
    <n v="2.2883463843764797"/>
    <n v="-0.50794639109448525"/>
    <n v="-1.2494923653218568"/>
    <n v="-0.98135673764000164"/>
    <n v="-2.1667296008826331"/>
    <n v="-1.2263812737347441"/>
  </r>
  <r>
    <x v="33"/>
    <s v="PREP"/>
    <n v="31"/>
    <n v="32"/>
    <n v="13"/>
    <n v="14"/>
    <n v="90"/>
    <n v="2.2159098380250968"/>
    <n v="22.694936708860759"/>
    <n v="5.3055534129377486"/>
    <n v="22.140506329113926"/>
    <n v="4.9144008395218908"/>
    <n v="10.069620253164556"/>
    <n v="2.1089377326145904"/>
    <n v="10.958227848101266"/>
    <n v="2.2883463843764797"/>
    <n v="1.5653528755147577"/>
    <n v="2.0062453171494408"/>
    <n v="1.3895051055881373"/>
    <n v="1.3292446338833204"/>
    <n v="1.5725869830339139"/>
  </r>
  <r>
    <x v="33"/>
    <s v="PREP"/>
    <n v="9"/>
    <n v="9"/>
    <n v="6"/>
    <n v="6"/>
    <n v="30"/>
    <n v="0.48038446141526125"/>
    <n v="22.694936708860759"/>
    <n v="5.3055534129377486"/>
    <n v="22.140506329113926"/>
    <n v="4.9144008395218908"/>
    <n v="10.069620253164556"/>
    <n v="2.1089377326145904"/>
    <n v="10.958227848101266"/>
    <n v="2.2883463843764797"/>
    <n v="-2.5812456577037284"/>
    <n v="-2.6738776014030492"/>
    <n v="-1.9297014749312573"/>
    <n v="-2.1667296008826331"/>
    <n v="-2.3378885837301673"/>
  </r>
  <r>
    <x v="33"/>
    <s v="PREP"/>
    <n v="31"/>
    <n v="30"/>
    <n v="12"/>
    <n v="15"/>
    <n v="88"/>
    <n v="2.0878156908535677"/>
    <n v="22.694936708860759"/>
    <n v="5.3055534129377486"/>
    <n v="22.140506329113926"/>
    <n v="4.9144008395218908"/>
    <n v="10.069620253164556"/>
    <n v="2.1089377326145904"/>
    <n v="10.958227848101266"/>
    <n v="2.2883463843764797"/>
    <n v="1.5653528755147577"/>
    <n v="1.5992781068405286"/>
    <n v="0.91533273694250961"/>
    <n v="1.7662414132290645"/>
    <n v="1.461551283131715"/>
  </r>
  <r>
    <x v="33"/>
    <s v="PREP"/>
    <n v="24"/>
    <n v="24"/>
    <n v="10"/>
    <n v="12"/>
    <n v="70"/>
    <n v="1.7577666482623879"/>
    <n v="22.694936708860759"/>
    <n v="5.3055534129377486"/>
    <n v="22.140506329113926"/>
    <n v="4.9144008395218908"/>
    <n v="10.069620253164556"/>
    <n v="2.1089377326145904"/>
    <n v="10.958227848101266"/>
    <n v="2.2883463843764797"/>
    <n v="0.24598061494523943"/>
    <n v="0.37837647591379209"/>
    <n v="-3.3012000348745997E-2"/>
    <n v="0.45525107519183194"/>
    <n v="0.26164904142552936"/>
  </r>
  <r>
    <x v="33"/>
    <s v="PREP"/>
    <n v="24"/>
    <n v="26"/>
    <n v="11"/>
    <n v="12"/>
    <n v="73"/>
    <n v="1.8045526471705546"/>
    <n v="22.694936708860759"/>
    <n v="5.3055534129377486"/>
    <n v="22.140506329113926"/>
    <n v="4.9144008395218908"/>
    <n v="10.069620253164556"/>
    <n v="2.1089377326145904"/>
    <n v="10.958227848101266"/>
    <n v="2.2883463843764797"/>
    <n v="0.24598061494523943"/>
    <n v="0.78534368622270434"/>
    <n v="0.44116036829688182"/>
    <n v="0.45525107519183194"/>
    <n v="0.48193393616416441"/>
  </r>
  <r>
    <x v="33"/>
    <s v="PREP"/>
    <n v="25"/>
    <n v="26"/>
    <n v="9"/>
    <n v="9"/>
    <n v="69"/>
    <n v="2.2870874995874626"/>
    <n v="22.694936708860759"/>
    <n v="5.3055534129377486"/>
    <n v="22.140506329113926"/>
    <n v="4.9144008395218908"/>
    <n v="10.069620253164556"/>
    <n v="2.1089377326145904"/>
    <n v="10.958227848101266"/>
    <n v="2.2883463843764797"/>
    <n v="0.43446236645517061"/>
    <n v="0.78534368622270434"/>
    <n v="-0.5071843689943738"/>
    <n v="-0.85573926284540058"/>
    <n v="-3.5779394790474872E-2"/>
  </r>
  <r>
    <x v="33"/>
    <s v="PREP"/>
    <n v="16"/>
    <n v="25"/>
    <n v="9"/>
    <n v="12"/>
    <n v="62"/>
    <n v="1.7867030229749128"/>
    <n v="22.694936708860759"/>
    <n v="5.3055534129377486"/>
    <n v="22.140506329113926"/>
    <n v="4.9144008395218908"/>
    <n v="10.069620253164556"/>
    <n v="2.1089377326145904"/>
    <n v="10.958227848101266"/>
    <n v="2.2883463843764797"/>
    <n v="-1.26187339713421"/>
    <n v="0.58186008106824816"/>
    <n v="-0.5071843689943738"/>
    <n v="0.45525107519183194"/>
    <n v="-0.18298665246712592"/>
  </r>
  <r>
    <x v="33"/>
    <s v="PREP"/>
    <n v="25"/>
    <n v="26"/>
    <n v="11"/>
    <n v="9"/>
    <n v="71"/>
    <n v="2.2588855886396955"/>
    <n v="22.694936708860759"/>
    <n v="5.3055534129377486"/>
    <n v="22.140506329113926"/>
    <n v="4.9144008395218908"/>
    <n v="10.069620253164556"/>
    <n v="2.1089377326145904"/>
    <n v="10.958227848101266"/>
    <n v="2.2883463843764797"/>
    <n v="0.43446236645517061"/>
    <n v="0.78534368622270434"/>
    <n v="0.44116036829688182"/>
    <n v="-0.85573926284540058"/>
    <n v="0.20130678953233905"/>
  </r>
  <r>
    <x v="33"/>
    <s v="PREP"/>
    <n v="21"/>
    <n v="23"/>
    <n v="11"/>
    <n v="9"/>
    <n v="64"/>
    <n v="1.8912755158683456"/>
    <n v="22.694936708860759"/>
    <n v="5.3055534129377486"/>
    <n v="22.140506329113926"/>
    <n v="4.9144008395218908"/>
    <n v="10.069620253164556"/>
    <n v="2.1089377326145904"/>
    <n v="10.958227848101266"/>
    <n v="2.2883463843764797"/>
    <n v="-0.31946463958455407"/>
    <n v="0.17489287075933599"/>
    <n v="0.44116036829688182"/>
    <n v="-0.85573926284540058"/>
    <n v="-0.13978766584343422"/>
  </r>
  <r>
    <x v="33"/>
    <s v="PREP"/>
    <n v="16"/>
    <n v="18"/>
    <n v="8"/>
    <n v="9"/>
    <n v="51"/>
    <n v="1.3204505835470495"/>
    <n v="22.694936708860759"/>
    <n v="5.3055534129377486"/>
    <n v="22.140506329113926"/>
    <n v="4.9144008395218908"/>
    <n v="10.069620253164556"/>
    <n v="2.1089377326145904"/>
    <n v="10.958227848101266"/>
    <n v="2.2883463843764797"/>
    <n v="-1.26187339713421"/>
    <n v="-0.84252515501294456"/>
    <n v="-0.98135673764000164"/>
    <n v="-0.85573926284540058"/>
    <n v="-0.98537363815813905"/>
  </r>
  <r>
    <x v="33"/>
    <s v="PREP"/>
    <n v="28"/>
    <n v="25"/>
    <n v="11"/>
    <n v="12"/>
    <n v="76"/>
    <n v="1.8187062180825986"/>
    <n v="22.694936708860759"/>
    <n v="5.3055534129377486"/>
    <n v="22.140506329113926"/>
    <n v="4.9144008395218908"/>
    <n v="10.069620253164556"/>
    <n v="2.1089377326145904"/>
    <n v="10.958227848101266"/>
    <n v="2.2883463843764797"/>
    <n v="0.99990762098496411"/>
    <n v="0.58186008106824816"/>
    <n v="0.44116036829688182"/>
    <n v="0.45525107519183194"/>
    <n v="0.61954478638548149"/>
  </r>
  <r>
    <x v="33"/>
    <s v="PREP"/>
    <n v="23"/>
    <n v="23"/>
    <n v="10"/>
    <n v="12"/>
    <n v="68"/>
    <n v="1.5892265495016831"/>
    <n v="22.694936708860759"/>
    <n v="5.3055534129377486"/>
    <n v="22.140506329113926"/>
    <n v="4.9144008395218908"/>
    <n v="10.069620253164556"/>
    <n v="2.1089377326145904"/>
    <n v="10.958227848101266"/>
    <n v="2.2883463843764797"/>
    <n v="5.7498863435308259E-2"/>
    <n v="0.17489287075933599"/>
    <n v="-3.3012000348745997E-2"/>
    <n v="0.45525107519183194"/>
    <n v="0.16365770225943255"/>
  </r>
  <r>
    <x v="33"/>
    <s v="PREP"/>
    <n v="30"/>
    <n v="31"/>
    <n v="12"/>
    <n v="14"/>
    <n v="87"/>
    <n v="2.3232382351872349"/>
    <n v="22.694936708860759"/>
    <n v="5.3055534129377486"/>
    <n v="22.140506329113926"/>
    <n v="4.9144008395218908"/>
    <n v="10.069620253164556"/>
    <n v="2.1089377326145904"/>
    <n v="10.958227848101266"/>
    <n v="2.2883463843764797"/>
    <n v="1.3768711240048266"/>
    <n v="1.8027617119949848"/>
    <n v="0.91533273694250961"/>
    <n v="1.3292446338833204"/>
    <n v="1.3560525517064104"/>
  </r>
  <r>
    <x v="33"/>
    <s v="PREP"/>
    <n v="28"/>
    <n v="21"/>
    <n v="10"/>
    <n v="12"/>
    <n v="71"/>
    <n v="1.7614096918559583"/>
    <n v="22.694936708860759"/>
    <n v="5.3055534129377486"/>
    <n v="22.140506329113926"/>
    <n v="4.9144008395218908"/>
    <n v="10.069620253164556"/>
    <n v="2.1089377326145904"/>
    <n v="10.958227848101266"/>
    <n v="2.2883463843764797"/>
    <n v="0.99990762098496411"/>
    <n v="-0.23207433954957621"/>
    <n v="-3.3012000348745997E-2"/>
    <n v="0.45525107519183194"/>
    <n v="0.29751808906961846"/>
  </r>
  <r>
    <x v="33"/>
    <s v="PREP"/>
    <n v="25"/>
    <n v="23"/>
    <n v="10"/>
    <n v="10"/>
    <n v="68"/>
    <n v="1.9215378456610455"/>
    <n v="22.694936708860759"/>
    <n v="5.3055534129377486"/>
    <n v="22.140506329113926"/>
    <n v="4.9144008395218908"/>
    <n v="10.069620253164556"/>
    <n v="2.1089377326145904"/>
    <n v="10.958227848101266"/>
    <n v="2.2883463843764797"/>
    <n v="0.43446236645517061"/>
    <n v="0.17489287075933599"/>
    <n v="-3.3012000348745997E-2"/>
    <n v="-0.41874248349965643"/>
    <n v="3.9400188341526046E-2"/>
  </r>
  <r>
    <x v="33"/>
    <s v="PREP"/>
    <n v="29"/>
    <n v="25"/>
    <n v="11"/>
    <n v="14"/>
    <n v="79"/>
    <n v="2.0191391920625672"/>
    <n v="22.694936708860759"/>
    <n v="5.3055534129377486"/>
    <n v="22.140506329113926"/>
    <n v="4.9144008395218908"/>
    <n v="10.069620253164556"/>
    <n v="2.1089377326145904"/>
    <n v="10.958227848101266"/>
    <n v="2.2883463843764797"/>
    <n v="1.1883893724948953"/>
    <n v="0.58186008106824816"/>
    <n v="0.44116036829688182"/>
    <n v="1.3292446338833204"/>
    <n v="0.88516361393583631"/>
  </r>
  <r>
    <x v="33"/>
    <s v="PREP"/>
    <n v="32"/>
    <n v="29"/>
    <n v="12"/>
    <n v="11"/>
    <n v="84"/>
    <n v="2.4363697247949534"/>
    <n v="22.694936708860759"/>
    <n v="5.3055534129377486"/>
    <n v="22.140506329113926"/>
    <n v="4.9144008395218908"/>
    <n v="10.069620253164556"/>
    <n v="2.1089377326145904"/>
    <n v="10.958227848101266"/>
    <n v="2.2883463843764797"/>
    <n v="1.7538346270246887"/>
    <n v="1.3957945016860727"/>
    <n v="0.91533273694250961"/>
    <n v="1.8254295846087756E-2"/>
    <n v="1.0208040403748397"/>
  </r>
  <r>
    <x v="33"/>
    <s v="PREP"/>
    <n v="26"/>
    <n v="21"/>
    <n v="10"/>
    <n v="12"/>
    <n v="69"/>
    <n v="1.7504578155735615"/>
    <n v="22.694936708860759"/>
    <n v="5.3055534129377486"/>
    <n v="22.140506329113926"/>
    <n v="4.9144008395218908"/>
    <n v="10.069620253164556"/>
    <n v="2.1089377326145904"/>
    <n v="10.958227848101266"/>
    <n v="2.2883463843764797"/>
    <n v="0.62294411796510174"/>
    <n v="-0.23207433954957621"/>
    <n v="-3.3012000348745997E-2"/>
    <n v="0.45525107519183194"/>
    <n v="0.20327721331465287"/>
  </r>
  <r>
    <x v="33"/>
    <s v="PREP"/>
    <n v="27"/>
    <n v="26"/>
    <n v="11"/>
    <n v="10"/>
    <n v="74"/>
    <n v="2.3588350014578308"/>
    <n v="22.694936708860759"/>
    <n v="5.3055534129377486"/>
    <n v="22.140506329113926"/>
    <n v="4.9144008395218908"/>
    <n v="10.069620253164556"/>
    <n v="2.1089377326145904"/>
    <n v="10.958227848101266"/>
    <n v="2.2883463843764797"/>
    <n v="0.81142586947503292"/>
    <n v="0.78534368622270434"/>
    <n v="0.44116036829688182"/>
    <n v="-0.41874248349965643"/>
    <n v="0.4047968601237406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8">
  <r>
    <x v="0"/>
    <s v="IMP"/>
    <n v="4"/>
    <n v="2"/>
    <n v="3"/>
    <n v="2"/>
    <n v="1"/>
    <n v="1"/>
    <n v="2"/>
    <n v="2"/>
    <n v="3"/>
    <n v="1"/>
    <n v="11"/>
    <n v="6"/>
    <n v="4"/>
    <n v="21"/>
    <n v="0.99442892601175314"/>
    <n v="23.196700507614214"/>
    <n v="6.4306002317777482"/>
    <n v="22.771573604060915"/>
    <n v="6.5356886776680962"/>
    <n v="11.434010152284264"/>
    <n v="3.5019632409825281"/>
    <n v="-1.8966659515456179"/>
    <n v="-2.5661524639886819"/>
    <n v="-2.1228121601295111"/>
    <n v="-2.195210191887937"/>
  </r>
  <r>
    <x v="0"/>
    <s v="IMP"/>
    <n v="4"/>
    <n v="3"/>
    <n v="3"/>
    <n v="3"/>
    <n v="3"/>
    <n v="3"/>
    <n v="4"/>
    <n v="4"/>
    <n v="4"/>
    <n v="2"/>
    <n v="13"/>
    <n v="14"/>
    <n v="6"/>
    <n v="33"/>
    <n v="0.67494855771055284"/>
    <n v="23.196700507614214"/>
    <n v="6.4306002317777482"/>
    <n v="22.771573604060915"/>
    <n v="6.5356886776680962"/>
    <n v="11.434010152284264"/>
    <n v="3.5019632409825281"/>
    <n v="-1.5856529935146229"/>
    <n v="-1.3421039521103035"/>
    <n v="-1.5517039381486115"/>
    <n v="-1.4931536279245126"/>
  </r>
  <r>
    <x v="0"/>
    <s v="IMP"/>
    <n v="3"/>
    <n v="3"/>
    <n v="5"/>
    <n v="3"/>
    <n v="3"/>
    <n v="3"/>
    <n v="3"/>
    <n v="3"/>
    <n v="2"/>
    <n v="2"/>
    <n v="14"/>
    <n v="12"/>
    <n v="4"/>
    <n v="30"/>
    <n v="0.81649658092772603"/>
    <n v="23.196700507614214"/>
    <n v="6.4306002317777482"/>
    <n v="22.771573604060915"/>
    <n v="6.5356886776680962"/>
    <n v="11.434010152284264"/>
    <n v="3.5019632409825281"/>
    <n v="-1.4301465144991252"/>
    <n v="-1.648116080079898"/>
    <n v="-2.1228121601295111"/>
    <n v="-1.7336915849028447"/>
  </r>
  <r>
    <x v="0"/>
    <s v="IMP"/>
    <n v="5"/>
    <n v="5"/>
    <n v="5"/>
    <n v="5"/>
    <n v="5"/>
    <n v="5"/>
    <n v="5"/>
    <n v="4"/>
    <n v="5"/>
    <n v="5"/>
    <n v="20"/>
    <n v="19"/>
    <n v="10"/>
    <n v="49"/>
    <n v="0.31622776601683794"/>
    <n v="23.196700507614214"/>
    <n v="6.4306002317777482"/>
    <n v="22.771573604060915"/>
    <n v="6.5356886776680962"/>
    <n v="11.434010152284264"/>
    <n v="3.5019632409825281"/>
    <n v="-0.49710764040614003"/>
    <n v="-0.57707363218631691"/>
    <n v="-0.40948749418681252"/>
    <n v="-0.4945562555930898"/>
  </r>
  <r>
    <x v="0"/>
    <s v="IMP"/>
    <n v="4"/>
    <n v="4"/>
    <n v="4"/>
    <n v="5"/>
    <n v="3"/>
    <n v="3"/>
    <n v="4"/>
    <n v="3"/>
    <n v="3"/>
    <n v="3"/>
    <n v="17"/>
    <n v="13"/>
    <n v="6"/>
    <n v="36"/>
    <n v="0.69920589878010098"/>
    <n v="23.196700507614214"/>
    <n v="6.4306002317777482"/>
    <n v="22.771573604060915"/>
    <n v="6.5356886776680962"/>
    <n v="11.434010152284264"/>
    <n v="3.5019632409825281"/>
    <n v="-0.96362707745263265"/>
    <n v="-1.4951100160951007"/>
    <n v="-1.5517039381486115"/>
    <n v="-1.3368136772321151"/>
  </r>
  <r>
    <x v="0"/>
    <s v="IMP"/>
    <n v="5"/>
    <n v="4"/>
    <n v="4"/>
    <n v="5"/>
    <n v="6"/>
    <n v="5"/>
    <n v="5"/>
    <n v="4"/>
    <n v="4"/>
    <n v="5"/>
    <n v="18"/>
    <n v="20"/>
    <n v="9"/>
    <n v="47"/>
    <n v="0.67494855771055284"/>
    <n v="23.196700507614214"/>
    <n v="6.4306002317777482"/>
    <n v="22.771573604060915"/>
    <n v="6.5356886776680962"/>
    <n v="11.434010152284264"/>
    <n v="3.5019632409825281"/>
    <n v="-0.80812059843713513"/>
    <n v="-0.42406756820151964"/>
    <n v="-0.69504160517726232"/>
    <n v="-0.64240992393863905"/>
  </r>
  <r>
    <x v="0"/>
    <s v="IMP"/>
    <n v="5"/>
    <n v="5"/>
    <n v="4"/>
    <n v="5"/>
    <n v="5"/>
    <n v="5"/>
    <n v="6"/>
    <n v="5"/>
    <n v="5"/>
    <n v="5"/>
    <n v="19"/>
    <n v="21"/>
    <n v="10"/>
    <n v="50"/>
    <n v="0.47140452079103179"/>
    <n v="23.196700507614214"/>
    <n v="6.4306002317777482"/>
    <n v="22.771573604060915"/>
    <n v="6.5356886776680962"/>
    <n v="11.434010152284264"/>
    <n v="3.5019632409825281"/>
    <n v="-0.65261411942163761"/>
    <n v="-0.27106150421672232"/>
    <n v="-0.40948749418681252"/>
    <n v="-0.44438770594172411"/>
  </r>
  <r>
    <x v="0"/>
    <s v="IMP"/>
    <n v="3"/>
    <n v="3"/>
    <n v="2"/>
    <n v="2"/>
    <n v="3"/>
    <n v="2"/>
    <n v="2"/>
    <n v="2"/>
    <n v="2"/>
    <n v="2"/>
    <n v="10"/>
    <n v="9"/>
    <n v="4"/>
    <n v="23"/>
    <n v="0.48304589153964789"/>
    <n v="23.196700507614214"/>
    <n v="6.4306002317777482"/>
    <n v="22.771573604060915"/>
    <n v="6.5356886776680962"/>
    <n v="11.434010152284264"/>
    <n v="3.5019632409825281"/>
    <n v="-2.0521724305611153"/>
    <n v="-2.10713427203429"/>
    <n v="-2.1228121601295111"/>
    <n v="-2.0940396209083052"/>
  </r>
  <r>
    <x v="0"/>
    <s v="IMP"/>
    <n v="2"/>
    <n v="3"/>
    <n v="2"/>
    <n v="2"/>
    <n v="2"/>
    <n v="2"/>
    <n v="2"/>
    <n v="2"/>
    <n v="2"/>
    <n v="2"/>
    <n v="9"/>
    <n v="8"/>
    <n v="4"/>
    <n v="21"/>
    <n v="0.31622776601683805"/>
    <n v="23.196700507614214"/>
    <n v="6.4306002317777482"/>
    <n v="22.771573604060915"/>
    <n v="6.5356886776680962"/>
    <n v="11.434010152284264"/>
    <n v="3.5019632409825281"/>
    <n v="-2.2076789095766132"/>
    <n v="-2.260140336019087"/>
    <n v="-2.1228121601295111"/>
    <n v="-2.1968771352417371"/>
  </r>
  <r>
    <x v="0"/>
    <s v="IMP"/>
    <n v="3"/>
    <n v="3"/>
    <n v="4"/>
    <n v="3"/>
    <n v="3"/>
    <n v="4"/>
    <n v="4"/>
    <n v="4"/>
    <n v="4"/>
    <n v="4"/>
    <n v="13"/>
    <n v="15"/>
    <n v="8"/>
    <n v="36"/>
    <n v="0.5163977794943222"/>
    <n v="23.196700507614214"/>
    <n v="6.4306002317777482"/>
    <n v="22.771573604060915"/>
    <n v="6.5356886776680962"/>
    <n v="11.434010152284264"/>
    <n v="3.5019632409825281"/>
    <n v="-1.5856529935146229"/>
    <n v="-1.1890978881255061"/>
    <n v="-0.98059571616771202"/>
    <n v="-1.2517821992692804"/>
  </r>
  <r>
    <x v="0"/>
    <s v="IMP"/>
    <n v="3"/>
    <n v="4"/>
    <n v="4"/>
    <n v="4"/>
    <n v="4"/>
    <n v="3"/>
    <n v="3"/>
    <n v="3"/>
    <n v="4"/>
    <n v="4"/>
    <n v="15"/>
    <n v="13"/>
    <n v="8"/>
    <n v="36"/>
    <n v="0.5163977794943222"/>
    <n v="23.196700507614214"/>
    <n v="6.4306002317777482"/>
    <n v="22.771573604060915"/>
    <n v="6.5356886776680962"/>
    <n v="11.434010152284264"/>
    <n v="3.5019632409825281"/>
    <n v="-1.2746400354836278"/>
    <n v="-1.4951100160951007"/>
    <n v="-0.98059571616771202"/>
    <n v="-1.2501152559154802"/>
  </r>
  <r>
    <x v="0"/>
    <s v="IMP"/>
    <n v="3"/>
    <n v="2"/>
    <n v="3"/>
    <n v="3"/>
    <n v="3"/>
    <n v="4"/>
    <n v="3"/>
    <n v="4"/>
    <n v="4"/>
    <n v="4"/>
    <n v="11"/>
    <n v="14"/>
    <n v="8"/>
    <n v="33"/>
    <n v="0.67494855771055284"/>
    <n v="23.196700507614214"/>
    <n v="6.4306002317777482"/>
    <n v="22.771573604060915"/>
    <n v="6.5356886776680962"/>
    <n v="11.434010152284264"/>
    <n v="3.5019632409825281"/>
    <n v="-1.8966659515456179"/>
    <n v="-1.3421039521103035"/>
    <n v="-0.98059571616771202"/>
    <n v="-1.4064552066078777"/>
  </r>
  <r>
    <x v="0"/>
    <s v="IMP"/>
    <n v="4"/>
    <n v="4"/>
    <n v="4"/>
    <n v="4"/>
    <n v="4"/>
    <n v="3"/>
    <n v="4"/>
    <n v="4"/>
    <n v="4"/>
    <n v="4"/>
    <n v="16"/>
    <n v="15"/>
    <n v="8"/>
    <n v="39"/>
    <n v="0.31622776601683794"/>
    <n v="23.196700507614214"/>
    <n v="6.4306002317777482"/>
    <n v="22.771573604060915"/>
    <n v="6.5356886776680962"/>
    <n v="11.434010152284264"/>
    <n v="3.5019632409825281"/>
    <n v="-1.1191335564681302"/>
    <n v="-1.1890978881255061"/>
    <n v="-0.98059571616771202"/>
    <n v="-1.0962757202537827"/>
  </r>
  <r>
    <x v="0"/>
    <s v="IMP"/>
    <n v="3"/>
    <n v="2"/>
    <n v="2"/>
    <n v="2"/>
    <n v="2"/>
    <n v="2"/>
    <n v="2"/>
    <n v="2"/>
    <n v="2"/>
    <n v="2"/>
    <n v="9"/>
    <n v="8"/>
    <n v="4"/>
    <n v="21"/>
    <n v="0.31622776601683805"/>
    <n v="23.196700507614214"/>
    <n v="6.4306002317777482"/>
    <n v="22.771573604060915"/>
    <n v="6.5356886776680962"/>
    <n v="11.434010152284264"/>
    <n v="3.5019632409825281"/>
    <n v="-2.2076789095766132"/>
    <n v="-2.260140336019087"/>
    <n v="-2.1228121601295111"/>
    <n v="-2.1968771352417371"/>
  </r>
  <r>
    <x v="0"/>
    <s v="IMP"/>
    <n v="4"/>
    <n v="4"/>
    <n v="4"/>
    <n v="4"/>
    <n v="4"/>
    <n v="5"/>
    <n v="4"/>
    <n v="4"/>
    <n v="4"/>
    <n v="4"/>
    <n v="16"/>
    <n v="17"/>
    <n v="8"/>
    <n v="41"/>
    <n v="0.31622776601683789"/>
    <n v="23.196700507614214"/>
    <n v="6.4306002317777482"/>
    <n v="22.771573604060915"/>
    <n v="6.5356886776680962"/>
    <n v="11.434010152284264"/>
    <n v="3.5019632409825281"/>
    <n v="-1.1191335564681302"/>
    <n v="-0.88308576015591156"/>
    <n v="-0.98059571616771202"/>
    <n v="-0.99427167759725121"/>
  </r>
  <r>
    <x v="0"/>
    <s v="IMP"/>
    <n v="4"/>
    <n v="3"/>
    <n v="3"/>
    <n v="3"/>
    <n v="3"/>
    <n v="3"/>
    <n v="3"/>
    <n v="3"/>
    <n v="4"/>
    <n v="4"/>
    <n v="13"/>
    <n v="12"/>
    <n v="8"/>
    <n v="33"/>
    <n v="0.48304589153964783"/>
    <n v="23.196700507614214"/>
    <n v="6.4306002317777482"/>
    <n v="22.771573604060915"/>
    <n v="6.5356886776680962"/>
    <n v="11.434010152284264"/>
    <n v="3.5019632409825281"/>
    <n v="-1.5856529935146229"/>
    <n v="-1.648116080079898"/>
    <n v="-0.98059571616771202"/>
    <n v="-1.4047882632540778"/>
  </r>
  <r>
    <x v="0"/>
    <s v="IMP"/>
    <n v="4"/>
    <n v="4"/>
    <n v="4"/>
    <n v="3"/>
    <n v="4"/>
    <n v="3"/>
    <n v="3"/>
    <n v="3"/>
    <n v="4"/>
    <n v="4"/>
    <n v="15"/>
    <n v="13"/>
    <n v="8"/>
    <n v="36"/>
    <n v="0.5163977794943222"/>
    <n v="23.196700507614214"/>
    <n v="6.4306002317777482"/>
    <n v="22.771573604060915"/>
    <n v="6.5356886776680962"/>
    <n v="11.434010152284264"/>
    <n v="3.5019632409825281"/>
    <n v="-1.2746400354836278"/>
    <n v="-1.4951100160951007"/>
    <n v="-0.98059571616771202"/>
    <n v="-1.2501152559154802"/>
  </r>
  <r>
    <x v="0"/>
    <s v="IMP"/>
    <n v="5"/>
    <n v="5"/>
    <n v="4"/>
    <n v="4"/>
    <n v="3"/>
    <n v="3"/>
    <n v="3"/>
    <n v="3"/>
    <n v="4"/>
    <n v="4"/>
    <n v="18"/>
    <n v="12"/>
    <n v="8"/>
    <n v="38"/>
    <n v="0.78881063774661553"/>
    <n v="23.196700507614214"/>
    <n v="6.4306002317777482"/>
    <n v="22.771573604060915"/>
    <n v="6.5356886776680962"/>
    <n v="11.434010152284264"/>
    <n v="3.5019632409825281"/>
    <n v="-0.80812059843713513"/>
    <n v="-1.648116080079898"/>
    <n v="-0.98059571616771202"/>
    <n v="-1.1456107982282484"/>
  </r>
  <r>
    <x v="0"/>
    <s v="IMP"/>
    <n v="5"/>
    <n v="5"/>
    <n v="5"/>
    <n v="5"/>
    <n v="4"/>
    <n v="4"/>
    <n v="3"/>
    <n v="3"/>
    <n v="4"/>
    <n v="3"/>
    <n v="20"/>
    <n v="14"/>
    <n v="7"/>
    <n v="41"/>
    <n v="0.8755950357709128"/>
    <n v="23.196700507614214"/>
    <n v="6.4306002317777482"/>
    <n v="22.771573604060915"/>
    <n v="6.5356886776680962"/>
    <n v="11.434010152284264"/>
    <n v="3.5019632409825281"/>
    <n v="-0.49710764040614003"/>
    <n v="-1.3421039521103035"/>
    <n v="-1.2661498271581617"/>
    <n v="-1.0351204732248684"/>
  </r>
  <r>
    <x v="0"/>
    <s v="IMP"/>
    <n v="4"/>
    <n v="5"/>
    <n v="5"/>
    <n v="5"/>
    <n v="3"/>
    <n v="3"/>
    <n v="3"/>
    <n v="4"/>
    <n v="4"/>
    <n v="4"/>
    <n v="19"/>
    <n v="13"/>
    <n v="8"/>
    <n v="40"/>
    <n v="0.81649658092772603"/>
    <n v="23.196700507614214"/>
    <n v="6.4306002317777482"/>
    <n v="22.771573604060915"/>
    <n v="6.5356886776680962"/>
    <n v="11.434010152284264"/>
    <n v="3.5019632409825281"/>
    <n v="-0.65261411942163761"/>
    <n v="-1.4951100160951007"/>
    <n v="-0.98059571616771202"/>
    <n v="-1.0427732838948167"/>
  </r>
  <r>
    <x v="0"/>
    <s v="IMP"/>
    <n v="4"/>
    <n v="4"/>
    <n v="5"/>
    <n v="4"/>
    <n v="3"/>
    <n v="3"/>
    <n v="3"/>
    <n v="4"/>
    <n v="4"/>
    <n v="3"/>
    <n v="17"/>
    <n v="13"/>
    <n v="7"/>
    <n v="37"/>
    <n v="0.67494855771055284"/>
    <n v="23.196700507614214"/>
    <n v="6.4306002317777482"/>
    <n v="22.771573604060915"/>
    <n v="6.5356886776680962"/>
    <n v="11.434010152284264"/>
    <n v="3.5019632409825281"/>
    <n v="-0.96362707745263265"/>
    <n v="-1.4951100160951007"/>
    <n v="-1.2661498271581617"/>
    <n v="-1.2416289735686317"/>
  </r>
  <r>
    <x v="0"/>
    <s v="IMP"/>
    <n v="3"/>
    <n v="3"/>
    <n v="3"/>
    <n v="3"/>
    <n v="4"/>
    <n v="3"/>
    <n v="3"/>
    <n v="4"/>
    <n v="3"/>
    <n v="3"/>
    <n v="12"/>
    <n v="14"/>
    <n v="6"/>
    <n v="32"/>
    <n v="0.4216370213557839"/>
    <n v="23.196700507614214"/>
    <n v="6.4306002317777482"/>
    <n v="22.771573604060915"/>
    <n v="6.5356886776680962"/>
    <n v="11.434010152284264"/>
    <n v="3.5019632409825281"/>
    <n v="-1.7411594725301203"/>
    <n v="-1.3421039521103035"/>
    <n v="-1.5517039381486115"/>
    <n v="-1.5449891209296787"/>
  </r>
  <r>
    <x v="0"/>
    <s v="IMP"/>
    <n v="4"/>
    <n v="4"/>
    <n v="4"/>
    <n v="3"/>
    <n v="3"/>
    <n v="3"/>
    <n v="3"/>
    <n v="3"/>
    <n v="3"/>
    <n v="3"/>
    <n v="15"/>
    <n v="12"/>
    <n v="6"/>
    <n v="33"/>
    <n v="0.48304589153964794"/>
    <n v="23.196700507614214"/>
    <n v="6.4306002317777482"/>
    <n v="22.771573604060915"/>
    <n v="6.5356886776680962"/>
    <n v="11.434010152284264"/>
    <n v="3.5019632409825281"/>
    <n v="-1.2746400354836278"/>
    <n v="-1.648116080079898"/>
    <n v="-1.5517039381486115"/>
    <n v="-1.4914866845707124"/>
  </r>
  <r>
    <x v="0"/>
    <s v="IMP"/>
    <n v="4"/>
    <n v="4"/>
    <n v="4"/>
    <n v="4"/>
    <n v="4"/>
    <n v="4"/>
    <n v="4"/>
    <n v="4"/>
    <n v="4"/>
    <n v="5"/>
    <n v="16"/>
    <n v="16"/>
    <n v="9"/>
    <n v="41"/>
    <n v="0.316227766016838"/>
    <n v="23.196700507614214"/>
    <n v="6.4306002317777482"/>
    <n v="22.771573604060915"/>
    <n v="6.5356886776680962"/>
    <n v="11.434010152284264"/>
    <n v="3.5019632409825281"/>
    <n v="-1.1191335564681302"/>
    <n v="-1.0360918241407089"/>
    <n v="-0.69504160517726232"/>
    <n v="-0.95008899526203383"/>
  </r>
  <r>
    <x v="0"/>
    <s v="IMP"/>
    <n v="5"/>
    <n v="5"/>
    <n v="4"/>
    <n v="5"/>
    <n v="3"/>
    <n v="4"/>
    <n v="4"/>
    <n v="4"/>
    <n v="4"/>
    <n v="5"/>
    <n v="19"/>
    <n v="15"/>
    <n v="9"/>
    <n v="43"/>
    <n v="0.67494855771055307"/>
    <n v="23.196700507614214"/>
    <n v="6.4306002317777482"/>
    <n v="22.771573604060915"/>
    <n v="6.5356886776680962"/>
    <n v="11.434010152284264"/>
    <n v="3.5019632409825281"/>
    <n v="-0.65261411942163761"/>
    <n v="-1.1890978881255061"/>
    <n v="-0.69504160517726232"/>
    <n v="-0.84558453757480201"/>
  </r>
  <r>
    <x v="0"/>
    <s v="IMP"/>
    <n v="5"/>
    <n v="5"/>
    <n v="5"/>
    <n v="5"/>
    <n v="4"/>
    <n v="4"/>
    <n v="5"/>
    <n v="4"/>
    <n v="4"/>
    <n v="6"/>
    <n v="20"/>
    <n v="17"/>
    <n v="10"/>
    <n v="47"/>
    <n v="0.67494855771055284"/>
    <n v="23.196700507614214"/>
    <n v="6.4306002317777482"/>
    <n v="22.771573604060915"/>
    <n v="6.5356886776680962"/>
    <n v="11.434010152284264"/>
    <n v="3.5019632409825281"/>
    <n v="-0.49710764040614003"/>
    <n v="-0.88308576015591156"/>
    <n v="-0.40948749418681252"/>
    <n v="-0.59656029824962131"/>
  </r>
  <r>
    <x v="0"/>
    <s v="IMP"/>
    <n v="4"/>
    <n v="5"/>
    <n v="6"/>
    <n v="5"/>
    <n v="4"/>
    <n v="4"/>
    <n v="5"/>
    <n v="4"/>
    <n v="4"/>
    <n v="6"/>
    <n v="20"/>
    <n v="17"/>
    <n v="10"/>
    <n v="47"/>
    <n v="0.82327260234856459"/>
    <n v="23.196700507614214"/>
    <n v="6.4306002317777482"/>
    <n v="22.771573604060915"/>
    <n v="6.5356886776680962"/>
    <n v="11.434010152284264"/>
    <n v="3.5019632409825281"/>
    <n v="-0.49710764040614003"/>
    <n v="-0.88308576015591156"/>
    <n v="-0.40948749418681252"/>
    <n v="-0.59656029824962131"/>
  </r>
  <r>
    <x v="0"/>
    <s v="IMP"/>
    <n v="5"/>
    <n v="5"/>
    <n v="5"/>
    <n v="5"/>
    <n v="4"/>
    <n v="4"/>
    <n v="5"/>
    <n v="4"/>
    <n v="6"/>
    <n v="5"/>
    <n v="20"/>
    <n v="17"/>
    <n v="11"/>
    <n v="48"/>
    <n v="0.63245553203367599"/>
    <n v="23.196700507614214"/>
    <n v="6.4306002317777482"/>
    <n v="22.771573604060915"/>
    <n v="6.5356886776680962"/>
    <n v="11.434010152284264"/>
    <n v="3.5019632409825281"/>
    <n v="-0.49710764040614003"/>
    <n v="-0.88308576015591156"/>
    <n v="-0.12393338319636275"/>
    <n v="-0.50137559458613812"/>
  </r>
  <r>
    <x v="0"/>
    <s v="IMP"/>
    <n v="4"/>
    <n v="3"/>
    <n v="4"/>
    <n v="3"/>
    <n v="4"/>
    <n v="4"/>
    <n v="3"/>
    <n v="3"/>
    <n v="3"/>
    <n v="2"/>
    <n v="14"/>
    <n v="14"/>
    <n v="5"/>
    <n v="33"/>
    <n v="0.67494855771055295"/>
    <n v="23.196700507614214"/>
    <n v="6.4306002317777482"/>
    <n v="22.771573604060915"/>
    <n v="6.5356886776680962"/>
    <n v="11.434010152284264"/>
    <n v="3.5019632409825281"/>
    <n v="-1.4301465144991252"/>
    <n v="-1.3421039521103035"/>
    <n v="-1.8372580491390613"/>
    <n v="-1.5365028385828301"/>
  </r>
  <r>
    <x v="1"/>
    <s v="IMP"/>
    <n v="5"/>
    <n v="3"/>
    <n v="5"/>
    <n v="4"/>
    <n v="5"/>
    <n v="4"/>
    <n v="4"/>
    <n v="5"/>
    <n v="6"/>
    <n v="5"/>
    <n v="17"/>
    <n v="18"/>
    <n v="11"/>
    <n v="46"/>
    <n v="0.8432740427115677"/>
    <n v="23.196700507614214"/>
    <n v="6.4306002317777482"/>
    <n v="22.771573604060915"/>
    <n v="6.5356886776680962"/>
    <n v="11.434010152284264"/>
    <n v="3.5019632409825281"/>
    <n v="-0.96362707745263265"/>
    <n v="-0.73007969617111423"/>
    <n v="-0.12393338319636275"/>
    <n v="-0.60588005227336994"/>
  </r>
  <r>
    <x v="1"/>
    <s v="IMP"/>
    <n v="7"/>
    <n v="6"/>
    <n v="7"/>
    <n v="7"/>
    <n v="7"/>
    <n v="6"/>
    <n v="6"/>
    <n v="6"/>
    <n v="7"/>
    <n v="7"/>
    <n v="27"/>
    <n v="25"/>
    <n v="14"/>
    <n v="66"/>
    <n v="0.5163977794943222"/>
    <n v="23.196700507614214"/>
    <n v="6.4306002317777482"/>
    <n v="22.771573604060915"/>
    <n v="6.5356886776680962"/>
    <n v="11.434010152284264"/>
    <n v="3.5019632409825281"/>
    <n v="0.59143771270234269"/>
    <n v="0.34096275172246687"/>
    <n v="0.73272894977498659"/>
    <n v="0.55504313806659866"/>
  </r>
  <r>
    <x v="1"/>
    <s v="IMP"/>
    <n v="6"/>
    <n v="7"/>
    <n v="6"/>
    <n v="7"/>
    <n v="7"/>
    <n v="6"/>
    <n v="5"/>
    <n v="6"/>
    <n v="6"/>
    <n v="7"/>
    <n v="26"/>
    <n v="24"/>
    <n v="13"/>
    <n v="63"/>
    <n v="0.67494855771055284"/>
    <n v="23.196700507614214"/>
    <n v="6.4306002317777482"/>
    <n v="22.771573604060915"/>
    <n v="6.5356886776680962"/>
    <n v="11.434010152284264"/>
    <n v="3.5019632409825281"/>
    <n v="0.43593123368684517"/>
    <n v="0.18795668773766958"/>
    <n v="0.44717483878453679"/>
    <n v="0.35702092006968389"/>
  </r>
  <r>
    <x v="1"/>
    <s v="IMP"/>
    <n v="5"/>
    <n v="6"/>
    <n v="5"/>
    <n v="5"/>
    <n v="5"/>
    <n v="5"/>
    <n v="5"/>
    <n v="6"/>
    <n v="6"/>
    <n v="6"/>
    <n v="21"/>
    <n v="21"/>
    <n v="12"/>
    <n v="54"/>
    <n v="0.51639777949432231"/>
    <n v="23.196700507614214"/>
    <n v="6.4306002317777482"/>
    <n v="22.771573604060915"/>
    <n v="6.5356886776680962"/>
    <n v="11.434010152284264"/>
    <n v="3.5019632409825281"/>
    <n v="-0.3416011613906425"/>
    <n v="-0.27106150421672232"/>
    <n v="0.16162072779408701"/>
    <n v="-0.15034731260442594"/>
  </r>
  <r>
    <x v="1"/>
    <s v="IMP"/>
    <n v="6"/>
    <n v="5"/>
    <n v="5"/>
    <n v="4"/>
    <n v="6"/>
    <n v="6"/>
    <n v="4"/>
    <n v="6"/>
    <n v="6"/>
    <n v="6"/>
    <n v="20"/>
    <n v="22"/>
    <n v="12"/>
    <n v="54"/>
    <n v="0.84327404271156781"/>
    <n v="23.196700507614214"/>
    <n v="6.4306002317777482"/>
    <n v="22.771573604060915"/>
    <n v="6.5356886776680962"/>
    <n v="11.434010152284264"/>
    <n v="3.5019632409825281"/>
    <n v="-0.49710764040614003"/>
    <n v="-0.11805544023192505"/>
    <n v="0.16162072779408701"/>
    <n v="-0.151180784281326"/>
  </r>
  <r>
    <x v="1"/>
    <s v="IMP"/>
    <n v="4"/>
    <n v="3"/>
    <n v="4"/>
    <n v="4"/>
    <n v="3"/>
    <n v="3"/>
    <n v="4"/>
    <n v="4"/>
    <n v="5"/>
    <n v="3"/>
    <n v="15"/>
    <n v="14"/>
    <n v="8"/>
    <n v="37"/>
    <n v="0.67494855771055284"/>
    <n v="23.196700507614214"/>
    <n v="6.4306002317777482"/>
    <n v="22.771573604060915"/>
    <n v="6.5356886776680962"/>
    <n v="11.434010152284264"/>
    <n v="3.5019632409825281"/>
    <n v="-1.2746400354836278"/>
    <n v="-1.3421039521103035"/>
    <n v="-0.98059571616771202"/>
    <n v="-1.1991132345872144"/>
  </r>
  <r>
    <x v="1"/>
    <s v="IMP"/>
    <n v="6"/>
    <n v="5"/>
    <n v="5"/>
    <n v="5"/>
    <n v="5"/>
    <n v="4"/>
    <n v="4"/>
    <n v="5"/>
    <n v="6"/>
    <n v="3"/>
    <n v="21"/>
    <n v="18"/>
    <n v="9"/>
    <n v="48"/>
    <n v="0.91893658347268148"/>
    <n v="23.196700507614214"/>
    <n v="6.4306002317777482"/>
    <n v="22.771573604060915"/>
    <n v="6.5356886776680962"/>
    <n v="11.434010152284264"/>
    <n v="3.5019632409825281"/>
    <n v="-0.3416011613906425"/>
    <n v="-0.73007969617111423"/>
    <n v="-0.69504160517726232"/>
    <n v="-0.58890748757967304"/>
  </r>
  <r>
    <x v="1"/>
    <s v="IMP"/>
    <n v="6"/>
    <n v="7"/>
    <n v="6"/>
    <n v="6"/>
    <n v="6"/>
    <n v="6"/>
    <n v="6"/>
    <n v="6"/>
    <n v="6"/>
    <n v="6"/>
    <n v="25"/>
    <n v="24"/>
    <n v="12"/>
    <n v="61"/>
    <n v="0.31622776601683794"/>
    <n v="23.196700507614214"/>
    <n v="6.4306002317777482"/>
    <n v="22.771573604060915"/>
    <n v="6.5356886776680962"/>
    <n v="11.434010152284264"/>
    <n v="3.5019632409825281"/>
    <n v="0.28042475467134764"/>
    <n v="0.18795668773766958"/>
    <n v="0.16162072779408701"/>
    <n v="0.21000072340103473"/>
  </r>
  <r>
    <x v="1"/>
    <s v="IMP"/>
    <n v="4"/>
    <n v="4"/>
    <n v="4"/>
    <n v="5"/>
    <n v="4"/>
    <n v="4"/>
    <n v="4"/>
    <n v="4"/>
    <n v="4"/>
    <n v="4"/>
    <n v="17"/>
    <n v="16"/>
    <n v="8"/>
    <n v="41"/>
    <n v="0.316227766016838"/>
    <n v="23.196700507614214"/>
    <n v="6.4306002317777482"/>
    <n v="22.771573604060915"/>
    <n v="6.5356886776680962"/>
    <n v="11.434010152284264"/>
    <n v="3.5019632409825281"/>
    <n v="-0.96362707745263265"/>
    <n v="-1.0360918241407089"/>
    <n v="-0.98059571616771202"/>
    <n v="-0.99343820592035115"/>
  </r>
  <r>
    <x v="1"/>
    <s v="IMP"/>
    <n v="4"/>
    <n v="4"/>
    <n v="3"/>
    <n v="4"/>
    <n v="3"/>
    <n v="3"/>
    <n v="3"/>
    <n v="3"/>
    <n v="3"/>
    <n v="4"/>
    <n v="15"/>
    <n v="12"/>
    <n v="7"/>
    <n v="34"/>
    <n v="0.5163977794943222"/>
    <n v="23.196700507614214"/>
    <n v="6.4306002317777482"/>
    <n v="22.771573604060915"/>
    <n v="6.5356886776680962"/>
    <n v="11.434010152284264"/>
    <n v="3.5019632409825281"/>
    <n v="-1.2746400354836278"/>
    <n v="-1.648116080079898"/>
    <n v="-1.2661498271581617"/>
    <n v="-1.3963019809072292"/>
  </r>
  <r>
    <x v="1"/>
    <s v="IMP"/>
    <n v="5"/>
    <n v="6"/>
    <n v="5"/>
    <n v="6"/>
    <n v="6"/>
    <n v="6"/>
    <n v="5"/>
    <n v="6"/>
    <n v="6"/>
    <n v="5"/>
    <n v="22"/>
    <n v="23"/>
    <n v="11"/>
    <n v="56"/>
    <n v="0.51639777949432231"/>
    <n v="23.196700507614214"/>
    <n v="6.4306002317777482"/>
    <n v="22.771573604060915"/>
    <n v="6.5356886776680962"/>
    <n v="11.434010152284264"/>
    <n v="3.5019632409825281"/>
    <n v="-0.18609468237514495"/>
    <n v="3.4950623752872265E-2"/>
    <n v="-0.12393338319636275"/>
    <n v="-9.1692480606211824E-2"/>
  </r>
  <r>
    <x v="1"/>
    <s v="IMP"/>
    <n v="4"/>
    <n v="4"/>
    <n v="5"/>
    <n v="5"/>
    <n v="4"/>
    <n v="4"/>
    <n v="5"/>
    <n v="5"/>
    <n v="4"/>
    <n v="4"/>
    <n v="18"/>
    <n v="18"/>
    <n v="8"/>
    <n v="44"/>
    <n v="0.51639777949432231"/>
    <n v="23.196700507614214"/>
    <n v="6.4306002317777482"/>
    <n v="22.771573604060915"/>
    <n v="6.5356886776680962"/>
    <n v="11.434010152284264"/>
    <n v="3.5019632409825281"/>
    <n v="-0.80812059843713513"/>
    <n v="-0.73007969617111423"/>
    <n v="-0.98059571616771202"/>
    <n v="-0.83959867025865387"/>
  </r>
  <r>
    <x v="2"/>
    <s v="IMP"/>
    <n v="4"/>
    <n v="5"/>
    <n v="4"/>
    <n v="5"/>
    <n v="6"/>
    <n v="4"/>
    <n v="4"/>
    <n v="5"/>
    <n v="4"/>
    <n v="6"/>
    <n v="18"/>
    <n v="19"/>
    <n v="10"/>
    <n v="47"/>
    <n v="0.82327260234856459"/>
    <n v="23.196700507614214"/>
    <n v="6.4306002317777482"/>
    <n v="22.771573604060915"/>
    <n v="6.5356886776680962"/>
    <n v="11.434010152284264"/>
    <n v="3.5019632409825281"/>
    <n v="-0.80812059843713513"/>
    <n v="-0.57707363218631691"/>
    <n v="-0.40948749418681252"/>
    <n v="-0.59822724160342156"/>
  </r>
  <r>
    <x v="2"/>
    <s v="IMP"/>
    <n v="4"/>
    <n v="5"/>
    <n v="5"/>
    <n v="6"/>
    <n v="4"/>
    <n v="5"/>
    <n v="4"/>
    <n v="4"/>
    <n v="4"/>
    <n v="6"/>
    <n v="20"/>
    <n v="17"/>
    <n v="10"/>
    <n v="47"/>
    <n v="0.82327260234856459"/>
    <n v="23.196700507614214"/>
    <n v="6.4306002317777482"/>
    <n v="22.771573604060915"/>
    <n v="6.5356886776680962"/>
    <n v="11.434010152284264"/>
    <n v="3.5019632409825281"/>
    <n v="-0.49710764040614003"/>
    <n v="-0.88308576015591156"/>
    <n v="-0.40948749418681252"/>
    <n v="-0.59656029824962131"/>
  </r>
  <r>
    <x v="2"/>
    <s v="IMP"/>
    <n v="6"/>
    <n v="5"/>
    <n v="4"/>
    <n v="4"/>
    <n v="5"/>
    <n v="5"/>
    <n v="4"/>
    <n v="5"/>
    <n v="5"/>
    <n v="5"/>
    <n v="19"/>
    <n v="19"/>
    <n v="10"/>
    <n v="48"/>
    <n v="0.63245553203367577"/>
    <n v="23.196700507614214"/>
    <n v="6.4306002317777482"/>
    <n v="22.771573604060915"/>
    <n v="6.5356886776680962"/>
    <n v="11.434010152284264"/>
    <n v="3.5019632409825281"/>
    <n v="-0.65261411942163761"/>
    <n v="-0.57707363218631691"/>
    <n v="-0.40948749418681252"/>
    <n v="-0.54639174859825568"/>
  </r>
  <r>
    <x v="2"/>
    <s v="IMP"/>
    <n v="7"/>
    <n v="5"/>
    <n v="5"/>
    <n v="6"/>
    <n v="4"/>
    <n v="6"/>
    <n v="6"/>
    <n v="5"/>
    <n v="6"/>
    <n v="5"/>
    <n v="23"/>
    <n v="21"/>
    <n v="11"/>
    <n v="55"/>
    <n v="0.84983658559879749"/>
    <n v="23.196700507614214"/>
    <n v="6.4306002317777482"/>
    <n v="22.771573604060915"/>
    <n v="6.5356886776680962"/>
    <n v="11.434010152284264"/>
    <n v="3.5019632409825281"/>
    <n v="-3.0588203359647428E-2"/>
    <n v="-0.27106150421672232"/>
    <n v="-0.12393338319636275"/>
    <n v="-0.14186103025757749"/>
  </r>
  <r>
    <x v="2"/>
    <s v="IMP"/>
    <n v="4"/>
    <n v="5"/>
    <n v="4"/>
    <n v="6"/>
    <n v="5"/>
    <n v="5"/>
    <n v="5"/>
    <n v="6"/>
    <n v="5"/>
    <n v="4"/>
    <n v="19"/>
    <n v="21"/>
    <n v="9"/>
    <n v="49"/>
    <n v="0.73786478737262196"/>
    <n v="23.196700507614214"/>
    <n v="6.4306002317777482"/>
    <n v="22.771573604060915"/>
    <n v="6.5356886776680962"/>
    <n v="11.434010152284264"/>
    <n v="3.5019632409825281"/>
    <n v="-0.65261411942163761"/>
    <n v="-0.27106150421672232"/>
    <n v="-0.69504160517726232"/>
    <n v="-0.53957240960520736"/>
  </r>
  <r>
    <x v="2"/>
    <s v="IMP"/>
    <n v="5"/>
    <n v="4"/>
    <n v="3"/>
    <n v="5"/>
    <n v="5"/>
    <n v="5"/>
    <n v="5"/>
    <n v="4"/>
    <n v="4"/>
    <n v="6"/>
    <n v="17"/>
    <n v="19"/>
    <n v="10"/>
    <n v="46"/>
    <n v="0.8432740427115677"/>
    <n v="23.196700507614214"/>
    <n v="6.4306002317777482"/>
    <n v="22.771573604060915"/>
    <n v="6.5356886776680962"/>
    <n v="11.434010152284264"/>
    <n v="3.5019632409825281"/>
    <n v="-0.96362707745263265"/>
    <n v="-0.57707363218631691"/>
    <n v="-0.40948749418681252"/>
    <n v="-0.65006273460858732"/>
  </r>
  <r>
    <x v="2"/>
    <s v="IMP"/>
    <n v="7"/>
    <n v="6"/>
    <n v="6"/>
    <n v="7"/>
    <n v="6"/>
    <n v="6"/>
    <n v="6"/>
    <n v="6"/>
    <n v="7"/>
    <n v="8"/>
    <n v="26"/>
    <n v="24"/>
    <n v="15"/>
    <n v="65"/>
    <n v="0.70710678118654735"/>
    <n v="23.196700507614214"/>
    <n v="6.4306002317777482"/>
    <n v="22.771573604060915"/>
    <n v="6.5356886776680962"/>
    <n v="11.434010152284264"/>
    <n v="3.5019632409825281"/>
    <n v="0.43593123368684517"/>
    <n v="0.18795668773766958"/>
    <n v="1.0182830607654363"/>
    <n v="0.54739032739665039"/>
  </r>
  <r>
    <x v="2"/>
    <s v="IMP"/>
    <n v="6"/>
    <n v="7"/>
    <n v="6"/>
    <n v="7"/>
    <n v="5"/>
    <n v="5"/>
    <n v="6"/>
    <n v="5"/>
    <n v="5"/>
    <n v="6"/>
    <n v="26"/>
    <n v="21"/>
    <n v="11"/>
    <n v="58"/>
    <n v="0.78881063774661553"/>
    <n v="23.196700507614214"/>
    <n v="6.4306002317777482"/>
    <n v="22.771573604060915"/>
    <n v="6.5356886776680962"/>
    <n v="11.434010152284264"/>
    <n v="3.5019632409825281"/>
    <n v="0.43593123368684517"/>
    <n v="-0.27106150421672232"/>
    <n v="-0.12393338319636275"/>
    <n v="1.3645448757920032E-2"/>
  </r>
  <r>
    <x v="2"/>
    <s v="IMP"/>
    <n v="5"/>
    <n v="4"/>
    <n v="4"/>
    <n v="4"/>
    <n v="5"/>
    <n v="6"/>
    <n v="4"/>
    <n v="5"/>
    <n v="6"/>
    <n v="7"/>
    <n v="17"/>
    <n v="20"/>
    <n v="13"/>
    <n v="50"/>
    <n v="1.0540925533894594"/>
    <n v="23.196700507614214"/>
    <n v="6.4306002317777482"/>
    <n v="22.771573604060915"/>
    <n v="6.5356886776680962"/>
    <n v="11.434010152284264"/>
    <n v="3.5019632409825281"/>
    <n v="-0.96362707745263265"/>
    <n v="-0.42406756820151964"/>
    <n v="0.44717483878453679"/>
    <n v="-0.31350660228987187"/>
  </r>
  <r>
    <x v="2"/>
    <s v="IMP"/>
    <n v="7"/>
    <n v="6"/>
    <n v="7"/>
    <n v="7"/>
    <n v="7"/>
    <n v="7"/>
    <n v="7"/>
    <n v="6"/>
    <n v="6"/>
    <n v="7"/>
    <n v="27"/>
    <n v="27"/>
    <n v="13"/>
    <n v="67"/>
    <n v="0.48304589153964789"/>
    <n v="23.196700507614214"/>
    <n v="6.4306002317777482"/>
    <n v="22.771573604060915"/>
    <n v="6.5356886776680962"/>
    <n v="11.434010152284264"/>
    <n v="3.5019632409825281"/>
    <n v="0.59143771270234269"/>
    <n v="0.64697487969206147"/>
    <n v="0.44717483878453679"/>
    <n v="0.56186247705964698"/>
  </r>
  <r>
    <x v="2"/>
    <s v="IMP"/>
    <n v="7"/>
    <n v="8"/>
    <n v="7"/>
    <n v="8"/>
    <n v="6"/>
    <n v="5"/>
    <n v="7"/>
    <n v="6"/>
    <n v="7"/>
    <n v="7"/>
    <n v="30"/>
    <n v="24"/>
    <n v="14"/>
    <n v="68"/>
    <n v="0.91893658347268159"/>
    <n v="23.196700507614214"/>
    <n v="6.4306002317777482"/>
    <n v="22.771573604060915"/>
    <n v="6.5356886776680962"/>
    <n v="11.434010152284264"/>
    <n v="3.5019632409825281"/>
    <n v="1.0579571497488354"/>
    <n v="0.18795668773766958"/>
    <n v="0.73272894977498659"/>
    <n v="0.65954759575383048"/>
  </r>
  <r>
    <x v="2"/>
    <s v="IMP"/>
    <n v="8"/>
    <n v="7"/>
    <n v="8"/>
    <n v="8"/>
    <n v="8"/>
    <n v="6"/>
    <n v="8"/>
    <n v="8"/>
    <n v="8"/>
    <n v="7"/>
    <n v="31"/>
    <n v="30"/>
    <n v="15"/>
    <n v="76"/>
    <n v="0.69920589878010109"/>
    <n v="23.196700507614214"/>
    <n v="6.4306002317777482"/>
    <n v="22.771573604060915"/>
    <n v="6.5356886776680962"/>
    <n v="11.434010152284264"/>
    <n v="3.5019632409825281"/>
    <n v="1.2134636287643328"/>
    <n v="1.1059930716464534"/>
    <n v="1.0182830607654363"/>
    <n v="1.1125799203920741"/>
  </r>
  <r>
    <x v="2"/>
    <s v="IMP"/>
    <n v="8"/>
    <n v="5"/>
    <n v="7"/>
    <n v="7"/>
    <n v="7"/>
    <n v="7"/>
    <n v="7"/>
    <n v="8"/>
    <n v="7"/>
    <n v="6"/>
    <n v="27"/>
    <n v="29"/>
    <n v="13"/>
    <n v="69"/>
    <n v="0.87559503577091313"/>
    <n v="23.196700507614214"/>
    <n v="6.4306002317777482"/>
    <n v="22.771573604060915"/>
    <n v="6.5356886776680962"/>
    <n v="11.434010152284264"/>
    <n v="3.5019632409825281"/>
    <n v="0.59143771270234269"/>
    <n v="0.95298700766165612"/>
    <n v="0.44717483878453679"/>
    <n v="0.6638665197161786"/>
  </r>
  <r>
    <x v="2"/>
    <s v="IMP"/>
    <n v="9"/>
    <n v="8"/>
    <n v="8"/>
    <n v="8"/>
    <n v="7"/>
    <n v="7"/>
    <n v="8"/>
    <n v="8"/>
    <n v="7"/>
    <n v="7"/>
    <n v="33"/>
    <n v="30"/>
    <n v="14"/>
    <n v="77"/>
    <n v="0.67494855771055284"/>
    <n v="23.196700507614214"/>
    <n v="6.4306002317777482"/>
    <n v="22.771573604060915"/>
    <n v="6.5356886776680962"/>
    <n v="11.434010152284264"/>
    <n v="3.5019632409825281"/>
    <n v="1.524476586795328"/>
    <n v="1.1059930716464534"/>
    <n v="0.73272894977498659"/>
    <n v="1.1210662027389227"/>
  </r>
  <r>
    <x v="2"/>
    <s v="IMP"/>
    <n v="8"/>
    <n v="7"/>
    <n v="7"/>
    <n v="8"/>
    <n v="7"/>
    <n v="6"/>
    <n v="6"/>
    <n v="6"/>
    <n v="6"/>
    <n v="7"/>
    <n v="30"/>
    <n v="25"/>
    <n v="13"/>
    <n v="68"/>
    <n v="0.78881063774661553"/>
    <n v="23.196700507614214"/>
    <n v="6.4306002317777482"/>
    <n v="22.771573604060915"/>
    <n v="6.5356886776680962"/>
    <n v="11.434010152284264"/>
    <n v="3.5019632409825281"/>
    <n v="1.0579571497488354"/>
    <n v="0.34096275172246687"/>
    <n v="0.44717483878453679"/>
    <n v="0.6153649134186131"/>
  </r>
  <r>
    <x v="2"/>
    <s v="IMP"/>
    <n v="5"/>
    <n v="5"/>
    <n v="4"/>
    <n v="4"/>
    <n v="2"/>
    <n v="2"/>
    <n v="2"/>
    <n v="2"/>
    <n v="3"/>
    <n v="2"/>
    <n v="18"/>
    <n v="8"/>
    <n v="5"/>
    <n v="31"/>
    <n v="1.2866839377079187"/>
    <n v="23.196700507614214"/>
    <n v="6.4306002317777482"/>
    <n v="22.771573604060915"/>
    <n v="6.5356886776680962"/>
    <n v="11.434010152284264"/>
    <n v="3.5019632409825281"/>
    <n v="-0.80812059843713513"/>
    <n v="-2.260140336019087"/>
    <n v="-1.8372580491390613"/>
    <n v="-1.635172994531761"/>
  </r>
  <r>
    <x v="3"/>
    <s v="IMP"/>
    <n v="6"/>
    <n v="5"/>
    <n v="5"/>
    <n v="5"/>
    <n v="5"/>
    <n v="5"/>
    <n v="6"/>
    <n v="6"/>
    <n v="7"/>
    <n v="6"/>
    <n v="21"/>
    <n v="22"/>
    <n v="13"/>
    <n v="56"/>
    <n v="0.69920589878010109"/>
    <n v="23.196700507614214"/>
    <n v="6.4306002317777482"/>
    <n v="22.771573604060915"/>
    <n v="6.5356886776680962"/>
    <n v="11.434010152284264"/>
    <n v="3.5019632409825281"/>
    <n v="-0.3416011613906425"/>
    <n v="-0.11805544023192505"/>
    <n v="0.44717483878453679"/>
    <n v="-4.1605876126769208E-3"/>
  </r>
  <r>
    <x v="3"/>
    <s v="IMP"/>
    <n v="6"/>
    <n v="4"/>
    <n v="4"/>
    <n v="5"/>
    <n v="5"/>
    <n v="5"/>
    <n v="5"/>
    <n v="5"/>
    <n v="6"/>
    <n v="6"/>
    <n v="19"/>
    <n v="20"/>
    <n v="12"/>
    <n v="51"/>
    <n v="0.73786478737262184"/>
    <n v="23.196700507614214"/>
    <n v="6.4306002317777482"/>
    <n v="22.771573604060915"/>
    <n v="6.5356886776680962"/>
    <n v="11.434010152284264"/>
    <n v="3.5019632409825281"/>
    <n v="-0.65261411942163761"/>
    <n v="-0.42406756820151964"/>
    <n v="0.16162072779408701"/>
    <n v="-0.30502031994302342"/>
  </r>
  <r>
    <x v="3"/>
    <s v="IMP"/>
    <n v="6"/>
    <n v="5"/>
    <n v="5"/>
    <n v="6"/>
    <n v="7"/>
    <n v="6"/>
    <n v="6"/>
    <n v="6"/>
    <n v="7"/>
    <n v="7"/>
    <n v="22"/>
    <n v="25"/>
    <n v="14"/>
    <n v="61"/>
    <n v="0.73786478737262184"/>
    <n v="23.196700507614214"/>
    <n v="6.4306002317777482"/>
    <n v="22.771573604060915"/>
    <n v="6.5356886776680962"/>
    <n v="11.434010152284264"/>
    <n v="3.5019632409825281"/>
    <n v="-0.18609468237514495"/>
    <n v="0.34096275172246687"/>
    <n v="0.73272894977498659"/>
    <n v="0.29586567304076949"/>
  </r>
  <r>
    <x v="3"/>
    <s v="IMP"/>
    <n v="7"/>
    <n v="7"/>
    <n v="7"/>
    <n v="8"/>
    <n v="8"/>
    <n v="6"/>
    <n v="8"/>
    <n v="6"/>
    <n v="6"/>
    <n v="5"/>
    <n v="29"/>
    <n v="28"/>
    <n v="11"/>
    <n v="68"/>
    <n v="1.0327955589886444"/>
    <n v="23.196700507614214"/>
    <n v="6.4306002317777482"/>
    <n v="22.771573604060915"/>
    <n v="6.5356886776680962"/>
    <n v="11.434010152284264"/>
    <n v="3.5019632409825281"/>
    <n v="0.90245067073333785"/>
    <n v="0.79998094367685879"/>
    <n v="-0.12393338319636275"/>
    <n v="0.52616607707127805"/>
  </r>
  <r>
    <x v="3"/>
    <s v="IMP"/>
    <n v="7"/>
    <n v="6"/>
    <n v="6"/>
    <n v="7"/>
    <n v="6"/>
    <n v="6"/>
    <n v="7"/>
    <n v="7"/>
    <n v="7"/>
    <n v="7"/>
    <n v="26"/>
    <n v="26"/>
    <n v="14"/>
    <n v="66"/>
    <n v="0.51639777949432231"/>
    <n v="23.196700507614214"/>
    <n v="6.4306002317777482"/>
    <n v="22.771573604060915"/>
    <n v="6.5356886776680962"/>
    <n v="11.434010152284264"/>
    <n v="3.5019632409825281"/>
    <n v="0.43593123368684517"/>
    <n v="0.49396881570726414"/>
    <n v="0.73272894977498659"/>
    <n v="0.5542096663896986"/>
  </r>
  <r>
    <x v="3"/>
    <s v="IMP"/>
    <n v="4"/>
    <n v="4"/>
    <n v="4"/>
    <n v="5"/>
    <n v="5"/>
    <n v="5"/>
    <n v="5"/>
    <n v="6"/>
    <n v="6"/>
    <n v="5"/>
    <n v="17"/>
    <n v="21"/>
    <n v="11"/>
    <n v="49"/>
    <n v="0.73786478737262184"/>
    <n v="23.196700507614214"/>
    <n v="6.4306002317777482"/>
    <n v="22.771573604060915"/>
    <n v="6.5356886776680962"/>
    <n v="11.434010152284264"/>
    <n v="3.5019632409825281"/>
    <n v="-0.96362707745263265"/>
    <n v="-0.27106150421672232"/>
    <n v="-0.12393338319636275"/>
    <n v="-0.45287398828857256"/>
  </r>
  <r>
    <x v="3"/>
    <s v="IMP"/>
    <n v="5"/>
    <n v="5"/>
    <n v="4"/>
    <n v="5"/>
    <n v="5"/>
    <n v="5"/>
    <n v="6"/>
    <n v="6"/>
    <n v="5"/>
    <n v="6"/>
    <n v="19"/>
    <n v="22"/>
    <n v="11"/>
    <n v="52"/>
    <n v="0.63245553203367599"/>
    <n v="23.196700507614214"/>
    <n v="6.4306002317777482"/>
    <n v="22.771573604060915"/>
    <n v="6.5356886776680962"/>
    <n v="11.434010152284264"/>
    <n v="3.5019632409825281"/>
    <n v="-0.65261411942163761"/>
    <n v="-0.11805544023192505"/>
    <n v="-0.12393338319636275"/>
    <n v="-0.2982009809499751"/>
  </r>
  <r>
    <x v="3"/>
    <s v="IMP"/>
    <n v="4"/>
    <n v="5"/>
    <n v="4"/>
    <n v="4"/>
    <n v="5"/>
    <n v="6"/>
    <n v="5"/>
    <n v="4"/>
    <n v="4"/>
    <n v="5"/>
    <n v="17"/>
    <n v="20"/>
    <n v="9"/>
    <n v="46"/>
    <n v="0.69920589878010087"/>
    <n v="23.196700507614214"/>
    <n v="6.4306002317777482"/>
    <n v="22.771573604060915"/>
    <n v="6.5356886776680962"/>
    <n v="11.434010152284264"/>
    <n v="3.5019632409825281"/>
    <n v="-0.96362707745263265"/>
    <n v="-0.42406756820151964"/>
    <n v="-0.69504160517726232"/>
    <n v="-0.69424541694380493"/>
  </r>
  <r>
    <x v="3"/>
    <s v="IMP"/>
    <n v="7"/>
    <n v="8"/>
    <n v="7"/>
    <n v="7"/>
    <n v="7"/>
    <n v="6"/>
    <n v="6"/>
    <n v="6"/>
    <n v="6"/>
    <n v="6"/>
    <n v="29"/>
    <n v="25"/>
    <n v="12"/>
    <n v="66"/>
    <n v="0.69920589878010098"/>
    <n v="23.196700507614214"/>
    <n v="6.4306002317777482"/>
    <n v="22.771573604060915"/>
    <n v="6.5356886776680962"/>
    <n v="11.434010152284264"/>
    <n v="3.5019632409825281"/>
    <n v="0.90245067073333785"/>
    <n v="0.34096275172246687"/>
    <n v="0.16162072779408701"/>
    <n v="0.46834471674996392"/>
  </r>
  <r>
    <x v="4"/>
    <s v="IMP"/>
    <n v="6"/>
    <n v="4"/>
    <n v="4"/>
    <n v="3"/>
    <n v="4"/>
    <n v="4"/>
    <n v="4"/>
    <n v="4"/>
    <n v="5"/>
    <n v="4"/>
    <n v="17"/>
    <n v="16"/>
    <n v="9"/>
    <n v="42"/>
    <n v="0.78881063774661553"/>
    <n v="23.196700507614214"/>
    <n v="6.4306002317777482"/>
    <n v="22.771573604060915"/>
    <n v="6.5356886776680962"/>
    <n v="11.434010152284264"/>
    <n v="3.5019632409825281"/>
    <n v="-0.96362707745263265"/>
    <n v="-1.0360918241407089"/>
    <n v="-0.69504160517726232"/>
    <n v="-0.89825350225686795"/>
  </r>
  <r>
    <x v="4"/>
    <s v="IMP"/>
    <n v="7"/>
    <n v="7"/>
    <n v="7"/>
    <n v="6"/>
    <n v="6"/>
    <n v="7"/>
    <n v="6"/>
    <n v="5"/>
    <n v="5"/>
    <n v="5"/>
    <n v="27"/>
    <n v="24"/>
    <n v="10"/>
    <n v="61"/>
    <n v="0.87559503577091313"/>
    <n v="23.196700507614214"/>
    <n v="6.4306002317777482"/>
    <n v="22.771573604060915"/>
    <n v="6.5356886776680962"/>
    <n v="11.434010152284264"/>
    <n v="3.5019632409825281"/>
    <n v="0.59143771270234269"/>
    <n v="0.18795668773766958"/>
    <n v="-0.40948749418681252"/>
    <n v="0.12330230208439992"/>
  </r>
  <r>
    <x v="4"/>
    <s v="IMP"/>
    <n v="3"/>
    <n v="3"/>
    <n v="3"/>
    <n v="2"/>
    <n v="3"/>
    <n v="3"/>
    <n v="2"/>
    <n v="3"/>
    <n v="3"/>
    <n v="2"/>
    <n v="11"/>
    <n v="11"/>
    <n v="5"/>
    <n v="27"/>
    <n v="0.48304589153964789"/>
    <n v="23.196700507614214"/>
    <n v="6.4306002317777482"/>
    <n v="22.771573604060915"/>
    <n v="6.5356886776680962"/>
    <n v="11.434010152284264"/>
    <n v="3.5019632409825281"/>
    <n v="-1.8966659515456179"/>
    <n v="-1.8011221440646954"/>
    <n v="-1.8372580491390613"/>
    <n v="-1.8450153815831249"/>
  </r>
  <r>
    <x v="4"/>
    <s v="IMP"/>
    <n v="7"/>
    <n v="6"/>
    <n v="6"/>
    <n v="6"/>
    <n v="6"/>
    <n v="5"/>
    <n v="5"/>
    <n v="5"/>
    <n v="6"/>
    <n v="7"/>
    <n v="25"/>
    <n v="21"/>
    <n v="13"/>
    <n v="59"/>
    <n v="0.73786478737262173"/>
    <n v="23.196700507614214"/>
    <n v="6.4306002317777482"/>
    <n v="22.771573604060915"/>
    <n v="6.5356886776680962"/>
    <n v="11.434010152284264"/>
    <n v="3.5019632409825281"/>
    <n v="0.28042475467134764"/>
    <n v="-0.27106150421672232"/>
    <n v="0.44717483878453679"/>
    <n v="0.15217936307972071"/>
  </r>
  <r>
    <x v="4"/>
    <s v="IMP"/>
    <n v="5"/>
    <n v="4"/>
    <n v="4"/>
    <n v="3"/>
    <n v="4"/>
    <n v="3"/>
    <n v="3"/>
    <n v="2"/>
    <n v="3"/>
    <n v="5"/>
    <n v="16"/>
    <n v="12"/>
    <n v="8"/>
    <n v="36"/>
    <n v="0.96609178307929577"/>
    <n v="23.196700507614214"/>
    <n v="6.4306002317777482"/>
    <n v="22.771573604060915"/>
    <n v="6.5356886776680962"/>
    <n v="11.434010152284264"/>
    <n v="3.5019632409825281"/>
    <n v="-1.1191335564681302"/>
    <n v="-1.648116080079898"/>
    <n v="-0.98059571616771202"/>
    <n v="-1.2492817842385799"/>
  </r>
  <r>
    <x v="4"/>
    <s v="IMP"/>
    <n v="8"/>
    <n v="7"/>
    <n v="7"/>
    <n v="7"/>
    <n v="8"/>
    <n v="7"/>
    <n v="8"/>
    <n v="7"/>
    <n v="7"/>
    <n v="8"/>
    <n v="29"/>
    <n v="30"/>
    <n v="15"/>
    <n v="74"/>
    <n v="0.5163977794943222"/>
    <n v="23.196700507614214"/>
    <n v="6.4306002317777482"/>
    <n v="22.771573604060915"/>
    <n v="6.5356886776680962"/>
    <n v="11.434010152284264"/>
    <n v="3.5019632409825281"/>
    <n v="0.90245067073333785"/>
    <n v="1.1059930716464534"/>
    <n v="1.0182830607654363"/>
    <n v="1.0089089343817426"/>
  </r>
  <r>
    <x v="4"/>
    <s v="IMP"/>
    <n v="6"/>
    <n v="6"/>
    <n v="5"/>
    <n v="5"/>
    <n v="5"/>
    <n v="6"/>
    <n v="6"/>
    <n v="6"/>
    <n v="5"/>
    <n v="5"/>
    <n v="22"/>
    <n v="23"/>
    <n v="10"/>
    <n v="55"/>
    <n v="0.52704627669472992"/>
    <n v="23.196700507614214"/>
    <n v="6.4306002317777482"/>
    <n v="22.771573604060915"/>
    <n v="6.5356886776680962"/>
    <n v="11.434010152284264"/>
    <n v="3.5019632409825281"/>
    <n v="-0.18609468237514495"/>
    <n v="3.4950623752872265E-2"/>
    <n v="-0.40948749418681252"/>
    <n v="-0.1868771842696951"/>
  </r>
  <r>
    <x v="4"/>
    <s v="IMP"/>
    <n v="5"/>
    <n v="5"/>
    <n v="4"/>
    <n v="4"/>
    <n v="4"/>
    <n v="3"/>
    <n v="4"/>
    <n v="4"/>
    <n v="5"/>
    <n v="5"/>
    <n v="18"/>
    <n v="15"/>
    <n v="10"/>
    <n v="43"/>
    <n v="0.67494855771055307"/>
    <n v="23.196700507614214"/>
    <n v="6.4306002317777482"/>
    <n v="22.771573604060915"/>
    <n v="6.5356886776680962"/>
    <n v="11.434010152284264"/>
    <n v="3.5019632409825281"/>
    <n v="-0.80812059843713513"/>
    <n v="-1.1890978881255061"/>
    <n v="-0.40948749418681252"/>
    <n v="-0.80223532691648458"/>
  </r>
  <r>
    <x v="4"/>
    <s v="IMP"/>
    <n v="6"/>
    <n v="5"/>
    <n v="5"/>
    <n v="4"/>
    <n v="5"/>
    <n v="5"/>
    <n v="6"/>
    <n v="5"/>
    <n v="6"/>
    <n v="5"/>
    <n v="20"/>
    <n v="21"/>
    <n v="11"/>
    <n v="52"/>
    <n v="0.63245553203367577"/>
    <n v="23.196700507614214"/>
    <n v="6.4306002317777482"/>
    <n v="22.771573604060915"/>
    <n v="6.5356886776680962"/>
    <n v="11.434010152284264"/>
    <n v="3.5019632409825281"/>
    <n v="-0.49710764040614003"/>
    <n v="-0.27106150421672232"/>
    <n v="-0.12393338319636275"/>
    <n v="-0.29736750927307504"/>
  </r>
  <r>
    <x v="4"/>
    <s v="IMP"/>
    <n v="6"/>
    <n v="6"/>
    <n v="6"/>
    <n v="7"/>
    <n v="7"/>
    <n v="7"/>
    <n v="5"/>
    <n v="6"/>
    <n v="6"/>
    <n v="7"/>
    <n v="25"/>
    <n v="25"/>
    <n v="13"/>
    <n v="63"/>
    <n v="0.67494855771055284"/>
    <n v="23.196700507614214"/>
    <n v="6.4306002317777482"/>
    <n v="22.771573604060915"/>
    <n v="6.5356886776680962"/>
    <n v="11.434010152284264"/>
    <n v="3.5019632409825281"/>
    <n v="0.28042475467134764"/>
    <n v="0.34096275172246687"/>
    <n v="0.44717483878453679"/>
    <n v="0.35618744839278377"/>
  </r>
  <r>
    <x v="4"/>
    <s v="IMP"/>
    <n v="8"/>
    <n v="8"/>
    <n v="8"/>
    <n v="8"/>
    <n v="8"/>
    <n v="9"/>
    <n v="7"/>
    <n v="7"/>
    <n v="8"/>
    <n v="7"/>
    <n v="32"/>
    <n v="31"/>
    <n v="15"/>
    <n v="78"/>
    <n v="0.63245553203367566"/>
    <n v="23.196700507614214"/>
    <n v="6.4306002317777482"/>
    <n v="22.771573604060915"/>
    <n v="6.5356886776680962"/>
    <n v="11.434010152284264"/>
    <n v="3.5019632409825281"/>
    <n v="1.3689701077798304"/>
    <n v="1.2589991356312507"/>
    <n v="1.0182830607654363"/>
    <n v="1.2154174347255058"/>
  </r>
  <r>
    <x v="4"/>
    <s v="IMP"/>
    <n v="7"/>
    <n v="8"/>
    <n v="8"/>
    <n v="8"/>
    <n v="8"/>
    <n v="7"/>
    <n v="7"/>
    <n v="7"/>
    <n v="7"/>
    <n v="6"/>
    <n v="31"/>
    <n v="29"/>
    <n v="13"/>
    <n v="73"/>
    <n v="0.67494855771055284"/>
    <n v="23.196700507614214"/>
    <n v="6.4306002317777482"/>
    <n v="22.771573604060915"/>
    <n v="6.5356886776680962"/>
    <n v="11.434010152284264"/>
    <n v="3.5019632409825281"/>
    <n v="1.2134636287643328"/>
    <n v="0.95298700766165612"/>
    <n v="0.44717483878453679"/>
    <n v="0.87120849173684201"/>
  </r>
  <r>
    <x v="4"/>
    <s v="IMP"/>
    <n v="8"/>
    <n v="8"/>
    <n v="8"/>
    <n v="9"/>
    <n v="8"/>
    <n v="8"/>
    <n v="8"/>
    <n v="8"/>
    <n v="9"/>
    <n v="9"/>
    <n v="33"/>
    <n v="32"/>
    <n v="18"/>
    <n v="83"/>
    <n v="0.48304589153964811"/>
    <n v="23.196700507614214"/>
    <n v="6.4306002317777482"/>
    <n v="22.771573604060915"/>
    <n v="6.5356886776680962"/>
    <n v="11.434010152284264"/>
    <n v="3.5019632409825281"/>
    <n v="1.524476586795328"/>
    <n v="1.4120051996160479"/>
    <n v="1.8749453937367857"/>
    <n v="1.6038090600493871"/>
  </r>
  <r>
    <x v="4"/>
    <s v="IMP"/>
    <n v="8"/>
    <n v="7"/>
    <n v="7"/>
    <n v="5"/>
    <n v="7"/>
    <n v="7"/>
    <n v="7"/>
    <n v="7"/>
    <n v="5"/>
    <n v="4"/>
    <n v="27"/>
    <n v="28"/>
    <n v="9"/>
    <n v="64"/>
    <n v="1.2649110640673518"/>
    <n v="23.196700507614214"/>
    <n v="6.4306002317777482"/>
    <n v="22.771573604060915"/>
    <n v="6.5356886776680962"/>
    <n v="11.434010152284264"/>
    <n v="3.5019632409825281"/>
    <n v="0.59143771270234269"/>
    <n v="0.79998094367685879"/>
    <n v="-0.69504160517726232"/>
    <n v="0.23212568373397971"/>
  </r>
  <r>
    <x v="4"/>
    <s v="IMP"/>
    <n v="8"/>
    <n v="5"/>
    <n v="6"/>
    <n v="7"/>
    <n v="6"/>
    <n v="7"/>
    <n v="6"/>
    <n v="7"/>
    <n v="7"/>
    <n v="7"/>
    <n v="26"/>
    <n v="26"/>
    <n v="14"/>
    <n v="66"/>
    <n v="0.84327404271156781"/>
    <n v="23.196700507614214"/>
    <n v="6.4306002317777482"/>
    <n v="22.771573604060915"/>
    <n v="6.5356886776680962"/>
    <n v="11.434010152284264"/>
    <n v="3.5019632409825281"/>
    <n v="0.43593123368684517"/>
    <n v="0.49396881570726414"/>
    <n v="0.73272894977498659"/>
    <n v="0.5542096663896986"/>
  </r>
  <r>
    <x v="4"/>
    <s v="IMP"/>
    <n v="8"/>
    <n v="7"/>
    <n v="8"/>
    <n v="8"/>
    <n v="7"/>
    <n v="6"/>
    <n v="6"/>
    <n v="7"/>
    <n v="7"/>
    <n v="8"/>
    <n v="31"/>
    <n v="26"/>
    <n v="15"/>
    <n v="72"/>
    <n v="0.78881063774661553"/>
    <n v="23.196700507614214"/>
    <n v="6.4306002317777482"/>
    <n v="22.771573604060915"/>
    <n v="6.5356886776680962"/>
    <n v="11.434010152284264"/>
    <n v="3.5019632409825281"/>
    <n v="1.2134636287643328"/>
    <n v="0.49396881570726414"/>
    <n v="1.0182830607654363"/>
    <n v="0.90857183507901107"/>
  </r>
  <r>
    <x v="4"/>
    <s v="IMP"/>
    <n v="9"/>
    <n v="7"/>
    <n v="7"/>
    <n v="8"/>
    <n v="7"/>
    <n v="8"/>
    <n v="7"/>
    <n v="7"/>
    <n v="7"/>
    <n v="8"/>
    <n v="31"/>
    <n v="29"/>
    <n v="15"/>
    <n v="75"/>
    <n v="0.70710678118654746"/>
    <n v="23.196700507614214"/>
    <n v="6.4306002317777482"/>
    <n v="22.771573604060915"/>
    <n v="6.5356886776680962"/>
    <n v="11.434010152284264"/>
    <n v="3.5019632409825281"/>
    <n v="1.2134636287643328"/>
    <n v="0.95298700766165612"/>
    <n v="1.0182830607654363"/>
    <n v="1.0615778990638083"/>
  </r>
  <r>
    <x v="4"/>
    <s v="IMP"/>
    <n v="7"/>
    <n v="7"/>
    <n v="5"/>
    <n v="5"/>
    <n v="6"/>
    <n v="6"/>
    <n v="5"/>
    <n v="6"/>
    <n v="6"/>
    <n v="6"/>
    <n v="24"/>
    <n v="23"/>
    <n v="12"/>
    <n v="59"/>
    <n v="0.73786478737262173"/>
    <n v="23.196700507614214"/>
    <n v="6.4306002317777482"/>
    <n v="22.771573604060915"/>
    <n v="6.5356886776680962"/>
    <n v="11.434010152284264"/>
    <n v="3.5019632409825281"/>
    <n v="0.12491827565585011"/>
    <n v="3.4950623752872265E-2"/>
    <n v="0.16162072779408701"/>
    <n v="0.10716320906760313"/>
  </r>
  <r>
    <x v="4"/>
    <s v="IMP"/>
    <n v="6"/>
    <n v="6"/>
    <n v="5"/>
    <n v="5"/>
    <n v="4"/>
    <n v="4"/>
    <n v="5"/>
    <n v="5"/>
    <n v="4"/>
    <n v="4"/>
    <n v="22"/>
    <n v="18"/>
    <n v="8"/>
    <n v="48"/>
    <n v="0.78881063774661564"/>
    <n v="23.196700507614214"/>
    <n v="6.4306002317777482"/>
    <n v="22.771573604060915"/>
    <n v="6.5356886776680962"/>
    <n v="11.434010152284264"/>
    <n v="3.5019632409825281"/>
    <n v="-0.18609468237514495"/>
    <n v="-0.73007969617111423"/>
    <n v="-0.98059571616771202"/>
    <n v="-0.63225669823799036"/>
  </r>
  <r>
    <x v="4"/>
    <s v="IMP"/>
    <n v="8"/>
    <n v="7"/>
    <n v="8"/>
    <n v="7"/>
    <n v="8"/>
    <n v="7"/>
    <n v="8"/>
    <n v="8"/>
    <n v="7"/>
    <n v="8"/>
    <n v="30"/>
    <n v="31"/>
    <n v="15"/>
    <n v="76"/>
    <n v="0.51639777949432231"/>
    <n v="23.196700507614214"/>
    <n v="6.4306002317777482"/>
    <n v="22.771573604060915"/>
    <n v="6.5356886776680962"/>
    <n v="11.434010152284264"/>
    <n v="3.5019632409825281"/>
    <n v="1.0579571497488354"/>
    <n v="1.2589991356312507"/>
    <n v="1.0182830607654363"/>
    <n v="1.1117464487151743"/>
  </r>
  <r>
    <x v="4"/>
    <s v="IMP"/>
    <n v="5"/>
    <n v="5"/>
    <n v="5"/>
    <n v="5"/>
    <n v="6"/>
    <n v="5"/>
    <n v="4"/>
    <n v="4"/>
    <n v="4"/>
    <n v="4"/>
    <n v="20"/>
    <n v="19"/>
    <n v="8"/>
    <n v="47"/>
    <n v="0.67494855771055284"/>
    <n v="23.196700507614214"/>
    <n v="6.4306002317777482"/>
    <n v="22.771573604060915"/>
    <n v="6.5356886776680962"/>
    <n v="11.434010152284264"/>
    <n v="3.5019632409825281"/>
    <n v="-0.49710764040614003"/>
    <n v="-0.57707363218631691"/>
    <n v="-0.98059571616771202"/>
    <n v="-0.6849256629200563"/>
  </r>
  <r>
    <x v="4"/>
    <s v="IMP"/>
    <n v="8"/>
    <n v="6"/>
    <n v="7"/>
    <n v="5"/>
    <n v="6"/>
    <n v="5"/>
    <n v="4"/>
    <n v="5"/>
    <n v="5"/>
    <n v="5"/>
    <n v="26"/>
    <n v="20"/>
    <n v="10"/>
    <n v="56"/>
    <n v="1.1737877907772674"/>
    <n v="23.196700507614214"/>
    <n v="6.4306002317777482"/>
    <n v="22.771573604060915"/>
    <n v="6.5356886776680962"/>
    <n v="11.434010152284264"/>
    <n v="3.5019632409825281"/>
    <n v="0.43593123368684517"/>
    <n v="-0.42406756820151964"/>
    <n v="-0.40948749418681252"/>
    <n v="-0.132541276233829"/>
  </r>
  <r>
    <x v="4"/>
    <s v="IMP"/>
    <n v="9"/>
    <n v="8"/>
    <n v="8"/>
    <n v="8"/>
    <n v="6"/>
    <n v="7"/>
    <n v="8"/>
    <n v="8"/>
    <n v="5"/>
    <n v="5"/>
    <n v="33"/>
    <n v="29"/>
    <n v="10"/>
    <n v="72"/>
    <n v="1.3984117975602017"/>
    <n v="23.196700507614214"/>
    <n v="6.4306002317777482"/>
    <n v="22.771573604060915"/>
    <n v="6.5356886776680962"/>
    <n v="11.434010152284264"/>
    <n v="3.5019632409825281"/>
    <n v="1.524476586795328"/>
    <n v="0.95298700766165612"/>
    <n v="-0.40948749418681252"/>
    <n v="0.68932536675672385"/>
  </r>
  <r>
    <x v="5"/>
    <s v="IMP"/>
    <n v="4"/>
    <n v="3"/>
    <n v="3"/>
    <n v="4"/>
    <n v="3"/>
    <n v="3"/>
    <n v="3"/>
    <n v="3"/>
    <n v="4"/>
    <n v="4"/>
    <n v="14"/>
    <n v="12"/>
    <n v="8"/>
    <n v="34"/>
    <n v="0.5163977794943222"/>
    <n v="23.196700507614214"/>
    <n v="6.4306002317777482"/>
    <n v="22.771573604060915"/>
    <n v="6.5356886776680962"/>
    <n v="11.434010152284264"/>
    <n v="3.5019632409825281"/>
    <n v="-1.4301465144991252"/>
    <n v="-1.648116080079898"/>
    <n v="-0.98059571616771202"/>
    <n v="-1.3529527702489117"/>
  </r>
  <r>
    <x v="5"/>
    <s v="IMP"/>
    <n v="3"/>
    <n v="1"/>
    <n v="1"/>
    <n v="1"/>
    <n v="1"/>
    <n v="1"/>
    <n v="1"/>
    <n v="1"/>
    <n v="1"/>
    <n v="1"/>
    <n v="6"/>
    <n v="4"/>
    <n v="2"/>
    <n v="12"/>
    <n v="0.63245553203367588"/>
    <n v="23.196700507614214"/>
    <n v="6.4306002317777482"/>
    <n v="22.771573604060915"/>
    <n v="6.5356886776680962"/>
    <n v="11.434010152284264"/>
    <n v="3.5019632409825281"/>
    <n v="-2.6741983466231054"/>
    <n v="-2.8721645919582763"/>
    <n v="-2.6939203821104107"/>
    <n v="-2.7467611068972642"/>
  </r>
  <r>
    <x v="5"/>
    <s v="IMP"/>
    <n v="4"/>
    <n v="4"/>
    <n v="4"/>
    <n v="4"/>
    <n v="4"/>
    <n v="3"/>
    <n v="3"/>
    <n v="4"/>
    <n v="4"/>
    <n v="4"/>
    <n v="16"/>
    <n v="14"/>
    <n v="8"/>
    <n v="38"/>
    <n v="0.42163702135578396"/>
    <n v="23.196700507614214"/>
    <n v="6.4306002317777482"/>
    <n v="22.771573604060915"/>
    <n v="6.5356886776680962"/>
    <n v="11.434010152284264"/>
    <n v="3.5019632409825281"/>
    <n v="-1.1191335564681302"/>
    <n v="-1.3421039521103035"/>
    <n v="-0.98059571616771202"/>
    <n v="-1.1472777415820485"/>
  </r>
  <r>
    <x v="5"/>
    <s v="IMP"/>
    <n v="4"/>
    <n v="4"/>
    <n v="3"/>
    <n v="4"/>
    <n v="3"/>
    <n v="3"/>
    <n v="3"/>
    <n v="3"/>
    <n v="3"/>
    <n v="3"/>
    <n v="15"/>
    <n v="12"/>
    <n v="6"/>
    <n v="33"/>
    <n v="0.48304589153964794"/>
    <n v="23.196700507614214"/>
    <n v="6.4306002317777482"/>
    <n v="22.771573604060915"/>
    <n v="6.5356886776680962"/>
    <n v="11.434010152284264"/>
    <n v="3.5019632409825281"/>
    <n v="-1.2746400354836278"/>
    <n v="-1.648116080079898"/>
    <n v="-1.5517039381486115"/>
    <n v="-1.4914866845707124"/>
  </r>
  <r>
    <x v="5"/>
    <s v="IMP"/>
    <n v="3"/>
    <n v="4"/>
    <n v="3"/>
    <n v="4"/>
    <n v="4"/>
    <n v="3"/>
    <n v="3"/>
    <n v="4"/>
    <n v="3"/>
    <n v="3"/>
    <n v="14"/>
    <n v="14"/>
    <n v="6"/>
    <n v="34"/>
    <n v="0.51639777949432231"/>
    <n v="23.196700507614214"/>
    <n v="6.4306002317777482"/>
    <n v="22.771573604060915"/>
    <n v="6.5356886776680962"/>
    <n v="11.434010152284264"/>
    <n v="3.5019632409825281"/>
    <n v="-1.4301465144991252"/>
    <n v="-1.3421039521103035"/>
    <n v="-1.5517039381486115"/>
    <n v="-1.4413181349193469"/>
  </r>
  <r>
    <x v="5"/>
    <s v="IMP"/>
    <n v="4"/>
    <n v="4"/>
    <n v="4"/>
    <n v="4"/>
    <n v="3"/>
    <n v="4"/>
    <n v="4"/>
    <n v="4"/>
    <n v="4"/>
    <n v="5"/>
    <n v="16"/>
    <n v="15"/>
    <n v="9"/>
    <n v="40"/>
    <n v="0.47140452079103184"/>
    <n v="23.196700507614214"/>
    <n v="6.4306002317777482"/>
    <n v="22.771573604060915"/>
    <n v="6.5356886776680962"/>
    <n v="11.434010152284264"/>
    <n v="3.5019632409825281"/>
    <n v="-1.1191335564681302"/>
    <n v="-1.1890978881255061"/>
    <n v="-0.69504160517726232"/>
    <n v="-1.0010910165902995"/>
  </r>
  <r>
    <x v="5"/>
    <s v="IMP"/>
    <n v="4"/>
    <n v="2"/>
    <n v="2"/>
    <n v="3"/>
    <n v="4"/>
    <n v="3"/>
    <n v="3"/>
    <n v="4"/>
    <n v="4"/>
    <n v="4"/>
    <n v="11"/>
    <n v="14"/>
    <n v="8"/>
    <n v="33"/>
    <n v="0.82327260234856459"/>
    <n v="23.196700507614214"/>
    <n v="6.4306002317777482"/>
    <n v="22.771573604060915"/>
    <n v="6.5356886776680962"/>
    <n v="11.434010152284264"/>
    <n v="3.5019632409825281"/>
    <n v="-1.8966659515456179"/>
    <n v="-1.3421039521103035"/>
    <n v="-0.98059571616771202"/>
    <n v="-1.4064552066078777"/>
  </r>
  <r>
    <x v="5"/>
    <s v="IMP"/>
    <n v="2"/>
    <n v="2"/>
    <n v="2"/>
    <n v="3"/>
    <n v="3"/>
    <n v="2"/>
    <n v="2"/>
    <n v="2"/>
    <n v="2"/>
    <n v="1"/>
    <n v="9"/>
    <n v="9"/>
    <n v="3"/>
    <n v="21"/>
    <n v="0.56764621219754674"/>
    <n v="23.196700507614214"/>
    <n v="6.4306002317777482"/>
    <n v="22.771573604060915"/>
    <n v="6.5356886776680962"/>
    <n v="11.434010152284264"/>
    <n v="3.5019632409825281"/>
    <n v="-2.2076789095766132"/>
    <n v="-2.10713427203429"/>
    <n v="-2.4083662711199607"/>
    <n v="-2.2410598175769549"/>
  </r>
  <r>
    <x v="5"/>
    <s v="IMP"/>
    <n v="3"/>
    <n v="2"/>
    <n v="2"/>
    <n v="3"/>
    <n v="3"/>
    <n v="3"/>
    <n v="2"/>
    <n v="2"/>
    <n v="2"/>
    <n v="3"/>
    <n v="10"/>
    <n v="10"/>
    <n v="5"/>
    <n v="25"/>
    <n v="0.52704627669472992"/>
    <n v="23.196700507614214"/>
    <n v="6.4306002317777482"/>
    <n v="22.771573604060915"/>
    <n v="6.5356886776680962"/>
    <n v="11.434010152284264"/>
    <n v="3.5019632409825281"/>
    <n v="-2.0521724305611153"/>
    <n v="-1.9541282080494926"/>
    <n v="-1.8372580491390613"/>
    <n v="-1.9478528959165562"/>
  </r>
  <r>
    <x v="5"/>
    <s v="IMP"/>
    <n v="2"/>
    <n v="1"/>
    <n v="1"/>
    <n v="1"/>
    <n v="3"/>
    <n v="2"/>
    <n v="1"/>
    <n v="2"/>
    <n v="2"/>
    <n v="2"/>
    <n v="5"/>
    <n v="8"/>
    <n v="4"/>
    <n v="17"/>
    <n v="0.67494855771055284"/>
    <n v="23.196700507614214"/>
    <n v="6.4306002317777482"/>
    <n v="22.771573604060915"/>
    <n v="6.5356886776680962"/>
    <n v="11.434010152284264"/>
    <n v="3.5019632409825281"/>
    <n v="-2.8297048256386033"/>
    <n v="-2.260140336019087"/>
    <n v="-2.1228121601295111"/>
    <n v="-2.4042191072624006"/>
  </r>
  <r>
    <x v="5"/>
    <s v="IMP"/>
    <n v="4"/>
    <n v="3"/>
    <n v="3"/>
    <n v="3"/>
    <n v="3"/>
    <n v="2"/>
    <n v="2"/>
    <n v="3"/>
    <n v="3"/>
    <n v="3"/>
    <n v="13"/>
    <n v="10"/>
    <n v="6"/>
    <n v="29"/>
    <n v="0.56764621219754674"/>
    <n v="23.196700507614214"/>
    <n v="6.4306002317777482"/>
    <n v="22.771573604060915"/>
    <n v="6.5356886776680962"/>
    <n v="11.434010152284264"/>
    <n v="3.5019632409825281"/>
    <n v="-1.5856529935146229"/>
    <n v="-1.9541282080494926"/>
    <n v="-1.5517039381486115"/>
    <n v="-1.6971617132375758"/>
  </r>
  <r>
    <x v="5"/>
    <s v="IMP"/>
    <n v="3"/>
    <n v="3"/>
    <n v="2"/>
    <n v="2"/>
    <n v="3"/>
    <n v="2"/>
    <n v="2"/>
    <n v="2"/>
    <n v="2"/>
    <n v="3"/>
    <n v="10"/>
    <n v="9"/>
    <n v="5"/>
    <n v="24"/>
    <n v="0.5163977794943222"/>
    <n v="23.196700507614214"/>
    <n v="6.4306002317777482"/>
    <n v="22.771573604060915"/>
    <n v="6.5356886776680962"/>
    <n v="11.434010152284264"/>
    <n v="3.5019632409825281"/>
    <n v="-2.0521724305611153"/>
    <n v="-2.10713427203429"/>
    <n v="-1.8372580491390613"/>
    <n v="-1.998854917244822"/>
  </r>
  <r>
    <x v="5"/>
    <s v="IMP"/>
    <n v="4"/>
    <n v="2"/>
    <n v="2"/>
    <n v="3"/>
    <n v="3"/>
    <n v="3"/>
    <n v="3"/>
    <n v="3"/>
    <n v="4"/>
    <n v="3"/>
    <n v="11"/>
    <n v="12"/>
    <n v="7"/>
    <n v="30"/>
    <n v="0.66666666666666663"/>
    <n v="23.196700507614214"/>
    <n v="6.4306002317777482"/>
    <n v="22.771573604060915"/>
    <n v="6.5356886776680962"/>
    <n v="11.434010152284264"/>
    <n v="3.5019632409825281"/>
    <n v="-1.8966659515456179"/>
    <n v="-1.648116080079898"/>
    <n v="-1.2661498271581617"/>
    <n v="-1.6036439529278927"/>
  </r>
  <r>
    <x v="5"/>
    <s v="IMP"/>
    <n v="3"/>
    <n v="2"/>
    <n v="1"/>
    <n v="2"/>
    <n v="2"/>
    <n v="2"/>
    <n v="2"/>
    <n v="2"/>
    <n v="2"/>
    <n v="2"/>
    <n v="8"/>
    <n v="8"/>
    <n v="4"/>
    <n v="20"/>
    <n v="0.47140452079103168"/>
    <n v="23.196700507614214"/>
    <n v="6.4306002317777482"/>
    <n v="22.771573604060915"/>
    <n v="6.5356886776680962"/>
    <n v="11.434010152284264"/>
    <n v="3.5019632409825281"/>
    <n v="-2.3631853885921106"/>
    <n v="-2.260140336019087"/>
    <n v="-2.1228121601295111"/>
    <n v="-2.2487126282469028"/>
  </r>
  <r>
    <x v="5"/>
    <s v="IMP"/>
    <n v="3"/>
    <n v="3"/>
    <n v="2"/>
    <n v="3"/>
    <n v="2"/>
    <n v="2"/>
    <n v="1"/>
    <n v="2"/>
    <n v="2"/>
    <n v="1"/>
    <n v="11"/>
    <n v="7"/>
    <n v="3"/>
    <n v="21"/>
    <n v="0.73786478737262184"/>
    <n v="23.196700507614214"/>
    <n v="6.4306002317777482"/>
    <n v="22.771573604060915"/>
    <n v="6.5356886776680962"/>
    <n v="11.434010152284264"/>
    <n v="3.5019632409825281"/>
    <n v="-1.8966659515456179"/>
    <n v="-2.4131464000038845"/>
    <n v="-2.4083662711199607"/>
    <n v="-2.2393928742231544"/>
  </r>
  <r>
    <x v="5"/>
    <s v="IMP"/>
    <n v="7"/>
    <n v="6"/>
    <n v="5"/>
    <n v="5"/>
    <n v="5"/>
    <n v="4"/>
    <n v="4"/>
    <n v="5"/>
    <n v="5"/>
    <n v="7"/>
    <n v="23"/>
    <n v="18"/>
    <n v="12"/>
    <n v="53"/>
    <n v="1.0593499054713802"/>
    <n v="23.196700507614214"/>
    <n v="6.4306002317777482"/>
    <n v="22.771573604060915"/>
    <n v="6.5356886776680962"/>
    <n v="11.434010152284264"/>
    <n v="3.5019632409825281"/>
    <n v="-3.0588203359647428E-2"/>
    <n v="-0.73007969617111423"/>
    <n v="0.16162072779408701"/>
    <n v="-0.19968239057889156"/>
  </r>
  <r>
    <x v="5"/>
    <s v="IMP"/>
    <n v="7"/>
    <n v="6"/>
    <n v="5"/>
    <n v="6"/>
    <n v="7"/>
    <n v="5"/>
    <n v="6"/>
    <n v="7"/>
    <n v="5"/>
    <n v="7"/>
    <n v="24"/>
    <n v="25"/>
    <n v="12"/>
    <n v="61"/>
    <n v="0.87559503577091313"/>
    <n v="23.196700507614214"/>
    <n v="6.4306002317777482"/>
    <n v="22.771573604060915"/>
    <n v="6.5356886776680962"/>
    <n v="11.434010152284264"/>
    <n v="3.5019632409825281"/>
    <n v="0.12491827565585011"/>
    <n v="0.34096275172246687"/>
    <n v="0.16162072779408701"/>
    <n v="0.20916725172413467"/>
  </r>
  <r>
    <x v="5"/>
    <s v="IMP"/>
    <n v="9"/>
    <n v="8"/>
    <n v="8"/>
    <n v="8"/>
    <n v="7"/>
    <n v="6"/>
    <n v="6"/>
    <n v="7"/>
    <n v="8"/>
    <n v="7"/>
    <n v="33"/>
    <n v="26"/>
    <n v="15"/>
    <n v="74"/>
    <n v="0.96609178307929588"/>
    <n v="23.196700507614214"/>
    <n v="6.4306002317777482"/>
    <n v="22.771573604060915"/>
    <n v="6.5356886776680962"/>
    <n v="11.434010152284264"/>
    <n v="3.5019632409825281"/>
    <n v="1.524476586795328"/>
    <n v="0.49396881570726414"/>
    <n v="1.0182830607654363"/>
    <n v="1.0122428210893428"/>
  </r>
  <r>
    <x v="5"/>
    <s v="IMP"/>
    <n v="9"/>
    <n v="8"/>
    <n v="7"/>
    <n v="8"/>
    <n v="7"/>
    <n v="6"/>
    <n v="6"/>
    <n v="7"/>
    <n v="8"/>
    <n v="8"/>
    <n v="32"/>
    <n v="26"/>
    <n v="16"/>
    <n v="74"/>
    <n v="0.96609178307929588"/>
    <n v="23.196700507614214"/>
    <n v="6.4306002317777482"/>
    <n v="22.771573604060915"/>
    <n v="6.5356886776680962"/>
    <n v="11.434010152284264"/>
    <n v="3.5019632409825281"/>
    <n v="1.3689701077798304"/>
    <n v="0.49396881570726414"/>
    <n v="1.3038371717558861"/>
    <n v="1.0555920317476601"/>
  </r>
  <r>
    <x v="5"/>
    <s v="IMP"/>
    <n v="6"/>
    <n v="4"/>
    <n v="4"/>
    <n v="5"/>
    <n v="5"/>
    <n v="5"/>
    <n v="4"/>
    <n v="5"/>
    <n v="5"/>
    <n v="5"/>
    <n v="19"/>
    <n v="19"/>
    <n v="10"/>
    <n v="48"/>
    <n v="0.63245553203367577"/>
    <n v="23.196700507614214"/>
    <n v="6.4306002317777482"/>
    <n v="22.771573604060915"/>
    <n v="6.5356886776680962"/>
    <n v="11.434010152284264"/>
    <n v="3.5019632409825281"/>
    <n v="-0.65261411942163761"/>
    <n v="-0.57707363218631691"/>
    <n v="-0.40948749418681252"/>
    <n v="-0.54639174859825568"/>
  </r>
  <r>
    <x v="5"/>
    <s v="IMP"/>
    <n v="8"/>
    <n v="7"/>
    <n v="8"/>
    <n v="7"/>
    <n v="7"/>
    <n v="6"/>
    <n v="7"/>
    <n v="8"/>
    <n v="5"/>
    <n v="8"/>
    <n v="30"/>
    <n v="28"/>
    <n v="13"/>
    <n v="71"/>
    <n v="0.99442892601175326"/>
    <n v="23.196700507614214"/>
    <n v="6.4306002317777482"/>
    <n v="22.771573604060915"/>
    <n v="6.5356886776680962"/>
    <n v="11.434010152284264"/>
    <n v="3.5019632409825281"/>
    <n v="1.0579571497488354"/>
    <n v="0.79998094367685879"/>
    <n v="0.44717483878453679"/>
    <n v="0.76837097740341032"/>
  </r>
  <r>
    <x v="5"/>
    <s v="IMP"/>
    <n v="6"/>
    <n v="5"/>
    <n v="6"/>
    <n v="5"/>
    <n v="7"/>
    <n v="5"/>
    <n v="5"/>
    <n v="6"/>
    <n v="7"/>
    <n v="7"/>
    <n v="22"/>
    <n v="23"/>
    <n v="14"/>
    <n v="59"/>
    <n v="0.87559503577091313"/>
    <n v="23.196700507614214"/>
    <n v="6.4306002317777482"/>
    <n v="22.771573604060915"/>
    <n v="6.5356886776680962"/>
    <n v="11.434010152284264"/>
    <n v="3.5019632409825281"/>
    <n v="-0.18609468237514495"/>
    <n v="3.4950623752872265E-2"/>
    <n v="0.73272894977498659"/>
    <n v="0.19386163038423798"/>
  </r>
  <r>
    <x v="5"/>
    <s v="IMP"/>
    <n v="6"/>
    <n v="4"/>
    <n v="6"/>
    <n v="6"/>
    <n v="4"/>
    <n v="4"/>
    <n v="5"/>
    <n v="5"/>
    <n v="5"/>
    <n v="4"/>
    <n v="22"/>
    <n v="18"/>
    <n v="9"/>
    <n v="49"/>
    <n v="0.87559503577091324"/>
    <n v="23.196700507614214"/>
    <n v="6.4306002317777482"/>
    <n v="22.771573604060915"/>
    <n v="6.5356886776680962"/>
    <n v="11.434010152284264"/>
    <n v="3.5019632409825281"/>
    <n v="-0.18609468237514495"/>
    <n v="-0.73007969617111423"/>
    <n v="-0.69504160517726232"/>
    <n v="-0.53707199457450716"/>
  </r>
  <r>
    <x v="5"/>
    <s v="IMP"/>
    <n v="8"/>
    <n v="8"/>
    <n v="7"/>
    <n v="8"/>
    <n v="5"/>
    <n v="6"/>
    <n v="7"/>
    <n v="7"/>
    <n v="7"/>
    <n v="7"/>
    <n v="31"/>
    <n v="25"/>
    <n v="14"/>
    <n v="70"/>
    <n v="0.94280904158206336"/>
    <n v="23.196700507614214"/>
    <n v="6.4306002317777482"/>
    <n v="22.771573604060915"/>
    <n v="6.5356886776680962"/>
    <n v="11.434010152284264"/>
    <n v="3.5019632409825281"/>
    <n v="1.2134636287643328"/>
    <n v="0.34096275172246687"/>
    <n v="0.73272894977498659"/>
    <n v="0.76238511008726206"/>
  </r>
  <r>
    <x v="5"/>
    <s v="IMP"/>
    <n v="7"/>
    <n v="6"/>
    <n v="7"/>
    <n v="7"/>
    <n v="5"/>
    <n v="6"/>
    <n v="6"/>
    <n v="6"/>
    <n v="6"/>
    <n v="6"/>
    <n v="27"/>
    <n v="23"/>
    <n v="12"/>
    <n v="62"/>
    <n v="0.6324555320336761"/>
    <n v="23.196700507614214"/>
    <n v="6.4306002317777482"/>
    <n v="22.771573604060915"/>
    <n v="6.5356886776680962"/>
    <n v="11.434010152284264"/>
    <n v="3.5019632409825281"/>
    <n v="0.59143771270234269"/>
    <n v="3.4950623752872265E-2"/>
    <n v="0.16162072779408701"/>
    <n v="0.26266968808310065"/>
  </r>
  <r>
    <x v="5"/>
    <s v="IMP"/>
    <n v="8"/>
    <n v="7"/>
    <n v="7"/>
    <n v="8"/>
    <n v="5"/>
    <n v="7"/>
    <n v="7"/>
    <n v="8"/>
    <n v="8"/>
    <n v="8"/>
    <n v="30"/>
    <n v="27"/>
    <n v="16"/>
    <n v="73"/>
    <n v="0.94868329805051377"/>
    <n v="23.196700507614214"/>
    <n v="6.4306002317777482"/>
    <n v="22.771573604060915"/>
    <n v="6.5356886776680962"/>
    <n v="11.434010152284264"/>
    <n v="3.5019632409825281"/>
    <n v="1.0579571497488354"/>
    <n v="0.64697487969206147"/>
    <n v="1.3038371717558861"/>
    <n v="1.0029230670655942"/>
  </r>
  <r>
    <x v="5"/>
    <s v="IMP"/>
    <n v="7"/>
    <n v="6"/>
    <n v="7"/>
    <n v="7"/>
    <n v="5"/>
    <n v="6"/>
    <n v="6"/>
    <n v="8"/>
    <n v="8"/>
    <n v="8"/>
    <n v="27"/>
    <n v="25"/>
    <n v="16"/>
    <n v="68"/>
    <n v="1.0327955589886442"/>
    <n v="23.196700507614214"/>
    <n v="6.4306002317777482"/>
    <n v="22.771573604060915"/>
    <n v="6.5356886776680962"/>
    <n v="11.434010152284264"/>
    <n v="3.5019632409825281"/>
    <n v="0.59143771270234269"/>
    <n v="0.34096275172246687"/>
    <n v="1.3038371717558861"/>
    <n v="0.74541254539356527"/>
  </r>
  <r>
    <x v="5"/>
    <s v="IMP"/>
    <n v="8"/>
    <n v="7"/>
    <n v="8"/>
    <n v="8"/>
    <n v="7"/>
    <n v="7"/>
    <n v="7"/>
    <n v="8"/>
    <n v="8"/>
    <n v="8"/>
    <n v="31"/>
    <n v="29"/>
    <n v="16"/>
    <n v="76"/>
    <n v="0.5163977794943222"/>
    <n v="23.196700507614214"/>
    <n v="6.4306002317777482"/>
    <n v="22.771573604060915"/>
    <n v="6.5356886776680962"/>
    <n v="11.434010152284264"/>
    <n v="3.5019632409825281"/>
    <n v="1.2134636287643328"/>
    <n v="0.95298700766165612"/>
    <n v="1.3038371717558861"/>
    <n v="1.1567626027272917"/>
  </r>
  <r>
    <x v="5"/>
    <s v="IMP"/>
    <n v="8"/>
    <n v="7"/>
    <n v="8"/>
    <n v="8"/>
    <n v="7"/>
    <n v="7"/>
    <n v="7"/>
    <n v="8"/>
    <n v="8"/>
    <n v="7"/>
    <n v="31"/>
    <n v="29"/>
    <n v="15"/>
    <n v="75"/>
    <n v="0.52704627669472981"/>
    <n v="23.196700507614214"/>
    <n v="6.4306002317777482"/>
    <n v="22.771573604060915"/>
    <n v="6.5356886776680962"/>
    <n v="11.434010152284264"/>
    <n v="3.5019632409825281"/>
    <n v="1.2134636287643328"/>
    <n v="0.95298700766165612"/>
    <n v="1.0182830607654363"/>
    <n v="1.0615778990638083"/>
  </r>
  <r>
    <x v="5"/>
    <s v="IMP"/>
    <n v="8"/>
    <n v="7"/>
    <n v="7"/>
    <n v="8"/>
    <n v="7"/>
    <n v="7"/>
    <n v="8"/>
    <n v="8"/>
    <n v="8"/>
    <n v="8"/>
    <n v="30"/>
    <n v="30"/>
    <n v="16"/>
    <n v="76"/>
    <n v="0.51639777949432231"/>
    <n v="23.196700507614214"/>
    <n v="6.4306002317777482"/>
    <n v="22.771573604060915"/>
    <n v="6.5356886776680962"/>
    <n v="11.434010152284264"/>
    <n v="3.5019632409825281"/>
    <n v="1.0579571497488354"/>
    <n v="1.1059930716464534"/>
    <n v="1.3038371717558861"/>
    <n v="1.1559291310503916"/>
  </r>
  <r>
    <x v="6"/>
    <s v="IMP"/>
    <n v="5"/>
    <n v="5"/>
    <n v="2"/>
    <n v="5"/>
    <n v="5"/>
    <n v="5"/>
    <n v="3"/>
    <n v="5"/>
    <n v="5"/>
    <n v="5"/>
    <n v="17"/>
    <n v="18"/>
    <n v="10"/>
    <n v="45"/>
    <n v="1.0801234497346432"/>
    <n v="23.196700507614214"/>
    <n v="6.4306002317777482"/>
    <n v="22.771573604060915"/>
    <n v="6.5356886776680962"/>
    <n v="11.434010152284264"/>
    <n v="3.5019632409825281"/>
    <n v="-0.96362707745263265"/>
    <n v="-0.73007969617111423"/>
    <n v="-0.40948749418681252"/>
    <n v="-0.70106475593685325"/>
  </r>
  <r>
    <x v="6"/>
    <s v="IMP"/>
    <n v="8"/>
    <n v="7"/>
    <n v="8"/>
    <n v="8"/>
    <n v="8"/>
    <n v="8"/>
    <n v="8"/>
    <n v="9"/>
    <n v="8"/>
    <n v="9"/>
    <n v="31"/>
    <n v="33"/>
    <n v="17"/>
    <n v="81"/>
    <n v="0.56764621219754674"/>
    <n v="23.196700507614214"/>
    <n v="6.4306002317777482"/>
    <n v="22.771573604060915"/>
    <n v="6.5356886776680962"/>
    <n v="11.434010152284264"/>
    <n v="3.5019632409825281"/>
    <n v="1.2134636287643328"/>
    <n v="1.5650112636008453"/>
    <n v="1.5893912827463359"/>
    <n v="1.4559553917038379"/>
  </r>
  <r>
    <x v="6"/>
    <s v="IMP"/>
    <n v="5"/>
    <n v="5"/>
    <n v="3"/>
    <n v="5"/>
    <n v="5"/>
    <n v="5"/>
    <n v="3"/>
    <n v="5"/>
    <n v="4"/>
    <n v="4"/>
    <n v="18"/>
    <n v="18"/>
    <n v="8"/>
    <n v="44"/>
    <n v="0.8432740427115677"/>
    <n v="23.196700507614214"/>
    <n v="6.4306002317777482"/>
    <n v="22.771573604060915"/>
    <n v="6.5356886776680962"/>
    <n v="11.434010152284264"/>
    <n v="3.5019632409825281"/>
    <n v="-0.80812059843713513"/>
    <n v="-0.73007969617111423"/>
    <n v="-0.98059571616771202"/>
    <n v="-0.83959867025865387"/>
  </r>
  <r>
    <x v="6"/>
    <s v="IMP"/>
    <n v="7"/>
    <n v="6"/>
    <n v="6"/>
    <n v="6"/>
    <n v="8"/>
    <n v="8"/>
    <n v="8"/>
    <n v="8"/>
    <n v="7"/>
    <n v="7"/>
    <n v="25"/>
    <n v="32"/>
    <n v="14"/>
    <n v="71"/>
    <n v="0.87559503577091313"/>
    <n v="23.196700507614214"/>
    <n v="6.4306002317777482"/>
    <n v="22.771573604060915"/>
    <n v="6.5356886776680962"/>
    <n v="11.434010152284264"/>
    <n v="3.5019632409825281"/>
    <n v="0.28042475467134764"/>
    <n v="1.4120051996160479"/>
    <n v="0.73272894977498659"/>
    <n v="0.80838630135412737"/>
  </r>
  <r>
    <x v="6"/>
    <s v="IMP"/>
    <n v="8"/>
    <n v="8"/>
    <n v="8"/>
    <n v="7"/>
    <n v="8"/>
    <n v="9"/>
    <n v="9"/>
    <n v="7"/>
    <n v="8"/>
    <n v="8"/>
    <n v="31"/>
    <n v="33"/>
    <n v="16"/>
    <n v="80"/>
    <n v="0.66666666666666663"/>
    <n v="23.196700507614214"/>
    <n v="6.4306002317777482"/>
    <n v="22.771573604060915"/>
    <n v="6.5356886776680962"/>
    <n v="11.434010152284264"/>
    <n v="3.5019632409825281"/>
    <n v="1.2134636287643328"/>
    <n v="1.5650112636008453"/>
    <n v="1.3038371717558861"/>
    <n v="1.3607706880403547"/>
  </r>
  <r>
    <x v="6"/>
    <s v="IMP"/>
    <n v="6"/>
    <n v="6"/>
    <n v="5"/>
    <n v="6"/>
    <n v="8"/>
    <n v="7"/>
    <n v="7"/>
    <n v="6"/>
    <n v="8"/>
    <n v="6"/>
    <n v="23"/>
    <n v="28"/>
    <n v="14"/>
    <n v="65"/>
    <n v="0.97182531580755005"/>
    <n v="23.196700507614214"/>
    <n v="6.4306002317777482"/>
    <n v="22.771573604060915"/>
    <n v="6.5356886776680962"/>
    <n v="11.434010152284264"/>
    <n v="3.5019632409825281"/>
    <n v="-3.0588203359647428E-2"/>
    <n v="0.79998094367685879"/>
    <n v="0.73272894977498659"/>
    <n v="0.50070723003073259"/>
  </r>
  <r>
    <x v="6"/>
    <s v="IMP"/>
    <n v="8"/>
    <n v="7"/>
    <n v="7"/>
    <n v="7"/>
    <n v="8"/>
    <n v="8"/>
    <n v="6"/>
    <n v="8"/>
    <n v="7"/>
    <n v="6"/>
    <n v="29"/>
    <n v="30"/>
    <n v="13"/>
    <n v="72"/>
    <n v="0.78881063774661531"/>
    <n v="23.196700507614214"/>
    <n v="6.4306002317777482"/>
    <n v="22.771573604060915"/>
    <n v="6.5356886776680962"/>
    <n v="11.434010152284264"/>
    <n v="3.5019632409825281"/>
    <n v="0.90245067073333785"/>
    <n v="1.1059930716464534"/>
    <n v="0.44717483878453679"/>
    <n v="0.81853952705477606"/>
  </r>
  <r>
    <x v="6"/>
    <s v="IMP"/>
    <n v="7"/>
    <n v="4"/>
    <n v="5"/>
    <n v="4"/>
    <n v="7"/>
    <n v="5"/>
    <n v="5"/>
    <n v="4"/>
    <n v="6"/>
    <n v="3"/>
    <n v="20"/>
    <n v="21"/>
    <n v="9"/>
    <n v="50"/>
    <n v="1.3333333333333333"/>
    <n v="23.196700507614214"/>
    <n v="6.4306002317777482"/>
    <n v="22.771573604060915"/>
    <n v="6.5356886776680962"/>
    <n v="11.434010152284264"/>
    <n v="3.5019632409825281"/>
    <n v="-0.49710764040614003"/>
    <n v="-0.27106150421672232"/>
    <n v="-0.69504160517726232"/>
    <n v="-0.48773691660004159"/>
  </r>
  <r>
    <x v="6"/>
    <s v="IMP"/>
    <n v="7"/>
    <n v="7"/>
    <n v="6"/>
    <n v="6"/>
    <n v="6"/>
    <n v="6"/>
    <n v="6"/>
    <n v="6"/>
    <n v="6"/>
    <n v="6"/>
    <n v="26"/>
    <n v="24"/>
    <n v="12"/>
    <n v="62"/>
    <n v="0.42163702135578429"/>
    <n v="23.196700507614214"/>
    <n v="6.4306002317777482"/>
    <n v="22.771573604060915"/>
    <n v="6.5356886776680962"/>
    <n v="11.434010152284264"/>
    <n v="3.5019632409825281"/>
    <n v="0.43593123368684517"/>
    <n v="0.18795668773766958"/>
    <n v="0.16162072779408701"/>
    <n v="0.26183621640620058"/>
  </r>
  <r>
    <x v="6"/>
    <s v="IMP"/>
    <n v="5"/>
    <n v="7"/>
    <n v="6"/>
    <n v="6"/>
    <n v="6"/>
    <n v="6"/>
    <n v="6"/>
    <n v="5"/>
    <n v="5"/>
    <n v="4"/>
    <n v="24"/>
    <n v="23"/>
    <n v="9"/>
    <n v="56"/>
    <n v="0.8432740427115677"/>
    <n v="23.196700507614214"/>
    <n v="6.4306002317777482"/>
    <n v="22.771573604060915"/>
    <n v="6.5356886776680962"/>
    <n v="11.434010152284264"/>
    <n v="3.5019632409825281"/>
    <n v="0.12491827565585011"/>
    <n v="3.4950623752872265E-2"/>
    <n v="-0.69504160517726232"/>
    <n v="-0.17839090192284665"/>
  </r>
  <r>
    <x v="6"/>
    <s v="IMP"/>
    <n v="7"/>
    <n v="6"/>
    <n v="7"/>
    <n v="7"/>
    <n v="7"/>
    <n v="7"/>
    <n v="7"/>
    <n v="7"/>
    <n v="4"/>
    <n v="6"/>
    <n v="27"/>
    <n v="28"/>
    <n v="10"/>
    <n v="65"/>
    <n v="0.97182531580755005"/>
    <n v="23.196700507614214"/>
    <n v="6.4306002317777482"/>
    <n v="22.771573604060915"/>
    <n v="6.5356886776680962"/>
    <n v="11.434010152284264"/>
    <n v="3.5019632409825281"/>
    <n v="0.59143771270234269"/>
    <n v="0.79998094367685879"/>
    <n v="-0.40948749418681252"/>
    <n v="0.32731038739746299"/>
  </r>
  <r>
    <x v="6"/>
    <s v="IMP"/>
    <n v="9"/>
    <n v="9"/>
    <n v="8"/>
    <n v="8"/>
    <n v="8"/>
    <n v="8"/>
    <n v="7"/>
    <n v="8"/>
    <n v="8"/>
    <n v="9"/>
    <n v="34"/>
    <n v="31"/>
    <n v="17"/>
    <n v="82"/>
    <n v="0.63245553203367599"/>
    <n v="23.196700507614214"/>
    <n v="6.4306002317777482"/>
    <n v="22.771573604060915"/>
    <n v="6.5356886776680962"/>
    <n v="11.434010152284264"/>
    <n v="3.5019632409825281"/>
    <n v="1.6799830658108255"/>
    <n v="1.2589991356312507"/>
    <n v="1.5893912827463359"/>
    <n v="1.5094578280628042"/>
  </r>
  <r>
    <x v="6"/>
    <s v="IMP"/>
    <n v="6"/>
    <n v="5"/>
    <n v="6"/>
    <n v="5"/>
    <n v="6"/>
    <n v="6"/>
    <n v="6"/>
    <n v="6"/>
    <n v="5"/>
    <n v="6"/>
    <n v="22"/>
    <n v="24"/>
    <n v="11"/>
    <n v="57"/>
    <n v="0.48304589153964805"/>
    <n v="23.196700507614214"/>
    <n v="6.4306002317777482"/>
    <n v="22.771573604060915"/>
    <n v="6.5356886776680962"/>
    <n v="11.434010152284264"/>
    <n v="3.5019632409825281"/>
    <n v="-0.18609468237514495"/>
    <n v="0.18795668773766958"/>
    <n v="-0.12393338319636275"/>
    <n v="-4.0690459277946046E-2"/>
  </r>
  <r>
    <x v="6"/>
    <s v="IMP"/>
    <n v="5"/>
    <n v="5"/>
    <n v="5"/>
    <n v="5"/>
    <n v="5"/>
    <n v="5"/>
    <n v="4"/>
    <n v="5"/>
    <n v="5"/>
    <n v="4"/>
    <n v="20"/>
    <n v="19"/>
    <n v="9"/>
    <n v="48"/>
    <n v="0.42163702135578396"/>
    <n v="23.196700507614214"/>
    <n v="6.4306002317777482"/>
    <n v="22.771573604060915"/>
    <n v="6.5356886776680962"/>
    <n v="11.434010152284264"/>
    <n v="3.5019632409825281"/>
    <n v="-0.49710764040614003"/>
    <n v="-0.57707363218631691"/>
    <n v="-0.69504160517726232"/>
    <n v="-0.58974095925657311"/>
  </r>
  <r>
    <x v="6"/>
    <s v="IMP"/>
    <n v="5"/>
    <n v="5"/>
    <n v="5"/>
    <n v="4"/>
    <n v="5"/>
    <n v="5"/>
    <n v="5"/>
    <n v="5"/>
    <n v="6"/>
    <n v="6"/>
    <n v="19"/>
    <n v="20"/>
    <n v="12"/>
    <n v="51"/>
    <n v="0.56764621219754674"/>
    <n v="23.196700507614214"/>
    <n v="6.4306002317777482"/>
    <n v="22.771573604060915"/>
    <n v="6.5356886776680962"/>
    <n v="11.434010152284264"/>
    <n v="3.5019632409825281"/>
    <n v="-0.65261411942163761"/>
    <n v="-0.42406756820151964"/>
    <n v="0.16162072779408701"/>
    <n v="-0.30502031994302342"/>
  </r>
  <r>
    <x v="6"/>
    <s v="IMP"/>
    <n v="6"/>
    <n v="6"/>
    <n v="6"/>
    <n v="6"/>
    <n v="6"/>
    <n v="5"/>
    <n v="5"/>
    <n v="6"/>
    <n v="6"/>
    <n v="5"/>
    <n v="24"/>
    <n v="22"/>
    <n v="11"/>
    <n v="57"/>
    <n v="0.48304589153964789"/>
    <n v="23.196700507614214"/>
    <n v="6.4306002317777482"/>
    <n v="22.771573604060915"/>
    <n v="6.5356886776680962"/>
    <n v="11.434010152284264"/>
    <n v="3.5019632409825281"/>
    <n v="0.12491827565585011"/>
    <n v="-0.11805544023192505"/>
    <n v="-0.12393338319636275"/>
    <n v="-3.90235159241459E-2"/>
  </r>
  <r>
    <x v="6"/>
    <s v="IMP"/>
    <n v="7"/>
    <n v="7"/>
    <n v="6"/>
    <n v="7"/>
    <n v="6"/>
    <n v="4"/>
    <n v="5"/>
    <n v="6"/>
    <n v="6"/>
    <n v="6"/>
    <n v="27"/>
    <n v="21"/>
    <n v="12"/>
    <n v="60"/>
    <n v="0.94280904158206313"/>
    <n v="23.196700507614214"/>
    <n v="6.4306002317777482"/>
    <n v="22.771573604060915"/>
    <n v="6.5356886776680962"/>
    <n v="11.434010152284264"/>
    <n v="3.5019632409825281"/>
    <n v="0.59143771270234269"/>
    <n v="-0.27106150421672232"/>
    <n v="0.16162072779408701"/>
    <n v="0.16066564542656914"/>
  </r>
  <r>
    <x v="6"/>
    <s v="IMP"/>
    <n v="5"/>
    <n v="5"/>
    <n v="5"/>
    <n v="5"/>
    <n v="6"/>
    <n v="6"/>
    <n v="6"/>
    <n v="7"/>
    <n v="6"/>
    <n v="7"/>
    <n v="20"/>
    <n v="25"/>
    <n v="13"/>
    <n v="58"/>
    <n v="0.78881063774661531"/>
    <n v="23.196700507614214"/>
    <n v="6.4306002317777482"/>
    <n v="22.771573604060915"/>
    <n v="6.5356886776680962"/>
    <n v="11.434010152284264"/>
    <n v="3.5019632409825281"/>
    <n v="-0.49710764040614003"/>
    <n v="0.34096275172246687"/>
    <n v="0.44717483878453679"/>
    <n v="9.7009983366954544E-2"/>
  </r>
  <r>
    <x v="6"/>
    <s v="IMP"/>
    <n v="5"/>
    <n v="4"/>
    <n v="5"/>
    <n v="5"/>
    <n v="6"/>
    <n v="5"/>
    <n v="6"/>
    <n v="6"/>
    <n v="6"/>
    <n v="5"/>
    <n v="19"/>
    <n v="23"/>
    <n v="11"/>
    <n v="53"/>
    <n v="0.67494855771055284"/>
    <n v="23.196700507614214"/>
    <n v="6.4306002317777482"/>
    <n v="22.771573604060915"/>
    <n v="6.5356886776680962"/>
    <n v="11.434010152284264"/>
    <n v="3.5019632409825281"/>
    <n v="-0.65261411942163761"/>
    <n v="3.4950623752872265E-2"/>
    <n v="-0.12393338319636275"/>
    <n v="-0.24719895962170935"/>
  </r>
  <r>
    <x v="6"/>
    <s v="IMP"/>
    <n v="6"/>
    <n v="5"/>
    <n v="5"/>
    <n v="6"/>
    <n v="5"/>
    <n v="4"/>
    <n v="5"/>
    <n v="5"/>
    <n v="6"/>
    <n v="5"/>
    <n v="22"/>
    <n v="19"/>
    <n v="11"/>
    <n v="52"/>
    <n v="0.63245553203367588"/>
    <n v="23.196700507614214"/>
    <n v="6.4306002317777482"/>
    <n v="22.771573604060915"/>
    <n v="6.5356886776680962"/>
    <n v="11.434010152284264"/>
    <n v="3.5019632409825281"/>
    <n v="-0.18609468237514495"/>
    <n v="-0.57707363218631691"/>
    <n v="-0.12393338319636275"/>
    <n v="-0.29570056591927485"/>
  </r>
  <r>
    <x v="6"/>
    <s v="IMP"/>
    <n v="7"/>
    <n v="7"/>
    <n v="6"/>
    <n v="6"/>
    <n v="5"/>
    <n v="5"/>
    <n v="6"/>
    <n v="5"/>
    <n v="6"/>
    <n v="6"/>
    <n v="26"/>
    <n v="21"/>
    <n v="12"/>
    <n v="59"/>
    <n v="0.73786478737262184"/>
    <n v="23.196700507614214"/>
    <n v="6.4306002317777482"/>
    <n v="22.771573604060915"/>
    <n v="6.5356886776680962"/>
    <n v="11.434010152284264"/>
    <n v="3.5019632409825281"/>
    <n v="0.43593123368684517"/>
    <n v="-0.27106150421672232"/>
    <n v="0.16162072779408701"/>
    <n v="0.1088301524214033"/>
  </r>
  <r>
    <x v="6"/>
    <s v="IMP"/>
    <n v="7"/>
    <n v="7"/>
    <n v="6"/>
    <n v="7"/>
    <n v="6"/>
    <n v="5"/>
    <n v="5"/>
    <n v="6"/>
    <n v="6"/>
    <n v="6"/>
    <n v="27"/>
    <n v="22"/>
    <n v="12"/>
    <n v="61"/>
    <n v="0.73786478737262173"/>
    <n v="23.196700507614214"/>
    <n v="6.4306002317777482"/>
    <n v="22.771573604060915"/>
    <n v="6.5356886776680962"/>
    <n v="11.434010152284264"/>
    <n v="3.5019632409825281"/>
    <n v="0.59143771270234269"/>
    <n v="-0.11805544023192505"/>
    <n v="0.16162072779408701"/>
    <n v="0.21166766675483487"/>
  </r>
  <r>
    <x v="6"/>
    <s v="IMP"/>
    <n v="7"/>
    <n v="7"/>
    <n v="7"/>
    <n v="7"/>
    <n v="7"/>
    <n v="7"/>
    <n v="6"/>
    <n v="7"/>
    <n v="7"/>
    <n v="7"/>
    <n v="28"/>
    <n v="27"/>
    <n v="14"/>
    <n v="69"/>
    <n v="0.31622776601683783"/>
    <n v="23.196700507614214"/>
    <n v="6.4306002317777482"/>
    <n v="22.771573604060915"/>
    <n v="6.5356886776680962"/>
    <n v="11.434010152284264"/>
    <n v="3.5019632409825281"/>
    <n v="0.74694419171784021"/>
    <n v="0.64697487969206147"/>
    <n v="0.73272894977498659"/>
    <n v="0.70888267372829616"/>
  </r>
  <r>
    <x v="6"/>
    <s v="IMP"/>
    <n v="8"/>
    <n v="8"/>
    <n v="7"/>
    <n v="7"/>
    <n v="7"/>
    <n v="7"/>
    <n v="7"/>
    <n v="7"/>
    <n v="8"/>
    <n v="8"/>
    <n v="30"/>
    <n v="28"/>
    <n v="16"/>
    <n v="74"/>
    <n v="0.51639777949432231"/>
    <n v="23.196700507614214"/>
    <n v="6.4306002317777482"/>
    <n v="22.771573604060915"/>
    <n v="6.5356886776680962"/>
    <n v="11.434010152284264"/>
    <n v="3.5019632409825281"/>
    <n v="1.0579571497488354"/>
    <n v="0.79998094367685879"/>
    <n v="1.3038371717558861"/>
    <n v="1.05392508839386"/>
  </r>
  <r>
    <x v="6"/>
    <s v="IMP"/>
    <n v="6"/>
    <n v="5"/>
    <n v="5"/>
    <n v="5"/>
    <n v="6"/>
    <n v="5"/>
    <n v="5"/>
    <n v="5"/>
    <n v="6"/>
    <n v="6"/>
    <n v="21"/>
    <n v="21"/>
    <n v="12"/>
    <n v="54"/>
    <n v="0.5163977794943222"/>
    <n v="23.196700507614214"/>
    <n v="6.4306002317777482"/>
    <n v="22.771573604060915"/>
    <n v="6.5356886776680962"/>
    <n v="11.434010152284264"/>
    <n v="3.5019632409825281"/>
    <n v="-0.3416011613906425"/>
    <n v="-0.27106150421672232"/>
    <n v="0.16162072779408701"/>
    <n v="-0.15034731260442594"/>
  </r>
  <r>
    <x v="7"/>
    <s v="IMP"/>
    <n v="7"/>
    <n v="7"/>
    <n v="7"/>
    <n v="7"/>
    <n v="7"/>
    <n v="6"/>
    <n v="6"/>
    <n v="8"/>
    <n v="7"/>
    <n v="8"/>
    <n v="28"/>
    <n v="27"/>
    <n v="15"/>
    <n v="70"/>
    <n v="0.66666666666666652"/>
    <n v="23.196700507614214"/>
    <n v="6.4306002317777482"/>
    <n v="22.771573604060915"/>
    <n v="6.5356886776680962"/>
    <n v="11.434010152284264"/>
    <n v="3.5019632409825281"/>
    <n v="0.74694419171784021"/>
    <n v="0.64697487969206147"/>
    <n v="1.0182830607654363"/>
    <n v="0.80406737739177936"/>
  </r>
  <r>
    <x v="7"/>
    <s v="IMP"/>
    <n v="9"/>
    <n v="8"/>
    <n v="7"/>
    <n v="8"/>
    <n v="9"/>
    <n v="8"/>
    <n v="8"/>
    <n v="9"/>
    <n v="9"/>
    <n v="10"/>
    <n v="32"/>
    <n v="34"/>
    <n v="19"/>
    <n v="85"/>
    <n v="0.84983658559879738"/>
    <n v="23.196700507614214"/>
    <n v="6.4306002317777482"/>
    <n v="22.771573604060915"/>
    <n v="6.5356886776680962"/>
    <n v="11.434010152284264"/>
    <n v="3.5019632409825281"/>
    <n v="1.3689701077798304"/>
    <n v="1.7180173275856425"/>
    <n v="2.1604995047272353"/>
    <n v="1.749162313364236"/>
  </r>
  <r>
    <x v="7"/>
    <s v="IMP"/>
    <n v="8"/>
    <n v="7"/>
    <n v="6"/>
    <n v="7"/>
    <n v="7"/>
    <n v="7"/>
    <n v="7"/>
    <n v="8"/>
    <n v="8"/>
    <n v="7"/>
    <n v="28"/>
    <n v="29"/>
    <n v="15"/>
    <n v="72"/>
    <n v="0.63245553203367588"/>
    <n v="23.196700507614214"/>
    <n v="6.4306002317777482"/>
    <n v="22.771573604060915"/>
    <n v="6.5356886776680962"/>
    <n v="11.434010152284264"/>
    <n v="3.5019632409825281"/>
    <n v="0.74694419171784021"/>
    <n v="0.95298700766165612"/>
    <n v="1.0182830607654363"/>
    <n v="0.90607142004831098"/>
  </r>
  <r>
    <x v="7"/>
    <s v="IMP"/>
    <n v="8"/>
    <n v="8"/>
    <n v="9"/>
    <n v="9"/>
    <n v="8"/>
    <n v="9"/>
    <n v="9"/>
    <n v="9"/>
    <n v="9"/>
    <n v="8"/>
    <n v="34"/>
    <n v="35"/>
    <n v="17"/>
    <n v="86"/>
    <n v="0.5163977794943222"/>
    <n v="23.196700507614214"/>
    <n v="6.4306002317777482"/>
    <n v="22.771573604060915"/>
    <n v="6.5356886776680962"/>
    <n v="11.434010152284264"/>
    <n v="3.5019632409825281"/>
    <n v="1.6799830658108255"/>
    <n v="1.87102339157044"/>
    <n v="1.5893912827463359"/>
    <n v="1.713465913375867"/>
  </r>
  <r>
    <x v="7"/>
    <s v="IMP"/>
    <n v="6"/>
    <n v="7"/>
    <n v="6"/>
    <n v="7"/>
    <n v="8"/>
    <n v="8"/>
    <n v="8"/>
    <n v="7"/>
    <n v="6"/>
    <n v="7"/>
    <n v="26"/>
    <n v="31"/>
    <n v="13"/>
    <n v="70"/>
    <n v="0.81649658092772603"/>
    <n v="23.196700507614214"/>
    <n v="6.4306002317777482"/>
    <n v="22.771573604060915"/>
    <n v="6.5356886776680962"/>
    <n v="11.434010152284264"/>
    <n v="3.5019632409825281"/>
    <n v="0.43593123368684517"/>
    <n v="1.2589991356312507"/>
    <n v="0.44717483878453679"/>
    <n v="0.71403506936754424"/>
  </r>
  <r>
    <x v="7"/>
    <s v="IMP"/>
    <n v="7"/>
    <n v="7"/>
    <n v="6"/>
    <n v="7"/>
    <n v="7"/>
    <n v="9"/>
    <n v="8"/>
    <n v="8"/>
    <n v="8"/>
    <n v="9"/>
    <n v="27"/>
    <n v="32"/>
    <n v="17"/>
    <n v="76"/>
    <n v="0.966091783079296"/>
    <n v="23.196700507614214"/>
    <n v="6.4306002317777482"/>
    <n v="22.771573604060915"/>
    <n v="6.5356886776680962"/>
    <n v="11.434010152284264"/>
    <n v="3.5019632409825281"/>
    <n v="0.59143771270234269"/>
    <n v="1.4120051996160479"/>
    <n v="1.5893912827463359"/>
    <n v="1.1976113983549086"/>
  </r>
  <r>
    <x v="7"/>
    <s v="IMP"/>
    <n v="7"/>
    <n v="7"/>
    <n v="6"/>
    <n v="8"/>
    <n v="7"/>
    <n v="8"/>
    <n v="9"/>
    <n v="8"/>
    <n v="7"/>
    <n v="7"/>
    <n v="28"/>
    <n v="32"/>
    <n v="14"/>
    <n v="74"/>
    <n v="0.84327404271156781"/>
    <n v="23.196700507614214"/>
    <n v="6.4306002317777482"/>
    <n v="22.771573604060915"/>
    <n v="6.5356886776680962"/>
    <n v="11.434010152284264"/>
    <n v="3.5019632409825281"/>
    <n v="0.74694419171784021"/>
    <n v="1.4120051996160479"/>
    <n v="0.73272894977498659"/>
    <n v="0.96389278036962489"/>
  </r>
  <r>
    <x v="7"/>
    <s v="IMP"/>
    <n v="9"/>
    <n v="9"/>
    <n v="9"/>
    <n v="9"/>
    <n v="9"/>
    <n v="9"/>
    <n v="10"/>
    <n v="9"/>
    <n v="7"/>
    <n v="9"/>
    <n v="36"/>
    <n v="37"/>
    <n v="16"/>
    <n v="89"/>
    <n v="0.73786478737262184"/>
    <n v="23.196700507614214"/>
    <n v="6.4306002317777482"/>
    <n v="22.771573604060915"/>
    <n v="6.5356886776680962"/>
    <n v="11.434010152284264"/>
    <n v="3.5019632409825281"/>
    <n v="1.9909960238418205"/>
    <n v="2.1770355195400346"/>
    <n v="1.3038371717558861"/>
    <n v="1.8239562383792471"/>
  </r>
  <r>
    <x v="7"/>
    <s v="IMP"/>
    <n v="9"/>
    <n v="8"/>
    <n v="9"/>
    <n v="8"/>
    <n v="9"/>
    <n v="9"/>
    <n v="10"/>
    <n v="9"/>
    <n v="9"/>
    <n v="9"/>
    <n v="34"/>
    <n v="37"/>
    <n v="18"/>
    <n v="89"/>
    <n v="0.56764621219754707"/>
    <n v="23.196700507614214"/>
    <n v="6.4306002317777482"/>
    <n v="22.771573604060915"/>
    <n v="6.5356886776680962"/>
    <n v="11.434010152284264"/>
    <n v="3.5019632409825281"/>
    <n v="1.6799830658108255"/>
    <n v="2.1770355195400346"/>
    <n v="1.8749453937367857"/>
    <n v="1.910654659695882"/>
  </r>
  <r>
    <x v="7"/>
    <s v="IMP"/>
    <n v="10"/>
    <n v="9"/>
    <n v="9"/>
    <n v="9"/>
    <n v="10"/>
    <n v="9"/>
    <n v="10"/>
    <n v="9"/>
    <n v="9"/>
    <n v="9"/>
    <n v="37"/>
    <n v="38"/>
    <n v="18"/>
    <n v="93"/>
    <n v="0.48304589153964805"/>
    <n v="23.196700507614214"/>
    <n v="6.4306002317777482"/>
    <n v="22.771573604060915"/>
    <n v="6.5356886776680962"/>
    <n v="11.434010152284264"/>
    <n v="3.5019632409825281"/>
    <n v="2.1465025028573179"/>
    <n v="2.3300415835248316"/>
    <n v="1.8749453937367857"/>
    <n v="2.1171631600396452"/>
  </r>
  <r>
    <x v="7"/>
    <s v="IMP"/>
    <n v="9"/>
    <n v="10"/>
    <n v="9"/>
    <n v="10"/>
    <n v="8"/>
    <n v="9"/>
    <n v="9"/>
    <n v="8"/>
    <n v="8"/>
    <n v="9"/>
    <n v="38"/>
    <n v="34"/>
    <n v="17"/>
    <n v="89"/>
    <n v="0.73786478737262173"/>
    <n v="23.196700507614214"/>
    <n v="6.4306002317777482"/>
    <n v="22.771573604060915"/>
    <n v="6.5356886776680962"/>
    <n v="11.434010152284264"/>
    <n v="3.5019632409825281"/>
    <n v="2.3020089818728158"/>
    <n v="1.7180173275856425"/>
    <n v="1.5893912827463359"/>
    <n v="1.8698058640682647"/>
  </r>
  <r>
    <x v="7"/>
    <s v="IMP"/>
    <n v="8"/>
    <n v="7"/>
    <n v="8"/>
    <n v="9"/>
    <n v="9"/>
    <n v="8"/>
    <n v="8"/>
    <n v="9"/>
    <n v="9"/>
    <n v="9"/>
    <n v="32"/>
    <n v="34"/>
    <n v="18"/>
    <n v="84"/>
    <n v="0.69920589878010098"/>
    <n v="23.196700507614214"/>
    <n v="6.4306002317777482"/>
    <n v="22.771573604060915"/>
    <n v="6.5356886776680962"/>
    <n v="11.434010152284264"/>
    <n v="3.5019632409825281"/>
    <n v="1.3689701077798304"/>
    <n v="1.7180173275856425"/>
    <n v="1.8749453937367857"/>
    <n v="1.653977609700753"/>
  </r>
  <r>
    <x v="7"/>
    <s v="IMP"/>
    <n v="10"/>
    <n v="8"/>
    <n v="9"/>
    <n v="9"/>
    <n v="9"/>
    <n v="8"/>
    <n v="9"/>
    <n v="9"/>
    <n v="10"/>
    <n v="9"/>
    <n v="36"/>
    <n v="35"/>
    <n v="19"/>
    <n v="90"/>
    <n v="0.66666666666666663"/>
    <n v="23.196700507614214"/>
    <n v="6.4306002317777482"/>
    <n v="22.771573604060915"/>
    <n v="6.5356886776680962"/>
    <n v="11.434010152284264"/>
    <n v="3.5019632409825281"/>
    <n v="1.9909960238418205"/>
    <n v="1.87102339157044"/>
    <n v="2.1604995047272353"/>
    <n v="2.0075063067131649"/>
  </r>
  <r>
    <x v="7"/>
    <s v="IMP"/>
    <n v="9"/>
    <n v="7"/>
    <n v="8"/>
    <n v="8"/>
    <n v="9"/>
    <n v="9"/>
    <n v="8"/>
    <n v="9"/>
    <n v="8"/>
    <n v="9"/>
    <n v="32"/>
    <n v="35"/>
    <n v="17"/>
    <n v="84"/>
    <n v="0.6992058987801012"/>
    <n v="23.196700507614214"/>
    <n v="6.4306002317777482"/>
    <n v="22.771573604060915"/>
    <n v="6.5356886776680962"/>
    <n v="11.434010152284264"/>
    <n v="3.5019632409825281"/>
    <n v="1.3689701077798304"/>
    <n v="1.87102339157044"/>
    <n v="1.5893912827463359"/>
    <n v="1.6097949273655354"/>
  </r>
  <r>
    <x v="8"/>
    <s v="IMP"/>
    <n v="9"/>
    <n v="8"/>
    <n v="9"/>
    <n v="8"/>
    <n v="8"/>
    <n v="8"/>
    <n v="9"/>
    <n v="8"/>
    <n v="9"/>
    <n v="8"/>
    <n v="34"/>
    <n v="33"/>
    <n v="17"/>
    <n v="84"/>
    <n v="0.51639777949432231"/>
    <n v="23.196700507614214"/>
    <n v="6.4306002317777482"/>
    <n v="22.771573604060915"/>
    <n v="6.5356886776680962"/>
    <n v="11.434010152284264"/>
    <n v="3.5019632409825281"/>
    <n v="1.6799830658108255"/>
    <n v="1.5650112636008453"/>
    <n v="1.5893912827463359"/>
    <n v="1.6114618707193353"/>
  </r>
  <r>
    <x v="8"/>
    <s v="IMP"/>
    <n v="7"/>
    <n v="8"/>
    <n v="7"/>
    <n v="8"/>
    <n v="8"/>
    <n v="7"/>
    <n v="7"/>
    <n v="7"/>
    <n v="6"/>
    <n v="9"/>
    <n v="30"/>
    <n v="29"/>
    <n v="15"/>
    <n v="74"/>
    <n v="0.84327404271156781"/>
    <n v="23.196700507614214"/>
    <n v="6.4306002317777482"/>
    <n v="22.771573604060915"/>
    <n v="6.5356886776680962"/>
    <n v="11.434010152284264"/>
    <n v="3.5019632409825281"/>
    <n v="1.0579571497488354"/>
    <n v="0.95298700766165612"/>
    <n v="1.0182830607654363"/>
    <n v="1.0097424060586426"/>
  </r>
  <r>
    <x v="8"/>
    <s v="IMP"/>
    <n v="4"/>
    <n v="5"/>
    <n v="4"/>
    <n v="3"/>
    <n v="6"/>
    <n v="4"/>
    <n v="3"/>
    <n v="4"/>
    <n v="3"/>
    <n v="3"/>
    <n v="16"/>
    <n v="17"/>
    <n v="6"/>
    <n v="39"/>
    <n v="0.99442892601175326"/>
    <n v="23.196700507614214"/>
    <n v="6.4306002317777482"/>
    <n v="22.771573604060915"/>
    <n v="6.5356886776680962"/>
    <n v="11.434010152284264"/>
    <n v="3.5019632409825281"/>
    <n v="-1.1191335564681302"/>
    <n v="-0.88308576015591156"/>
    <n v="-1.5517039381486115"/>
    <n v="-1.1846410849242177"/>
  </r>
  <r>
    <x v="8"/>
    <s v="IMP"/>
    <n v="7"/>
    <n v="6"/>
    <n v="5"/>
    <n v="6"/>
    <n v="5"/>
    <n v="5"/>
    <n v="4"/>
    <n v="5"/>
    <n v="4"/>
    <n v="5"/>
    <n v="24"/>
    <n v="19"/>
    <n v="9"/>
    <n v="52"/>
    <n v="0.91893658347268103"/>
    <n v="23.196700507614214"/>
    <n v="6.4306002317777482"/>
    <n v="22.771573604060915"/>
    <n v="6.5356886776680962"/>
    <n v="11.434010152284264"/>
    <n v="3.5019632409825281"/>
    <n v="0.12491827565585011"/>
    <n v="-0.57707363218631691"/>
    <n v="-0.69504160517726232"/>
    <n v="-0.3823989872359097"/>
  </r>
  <r>
    <x v="8"/>
    <s v="IMP"/>
    <n v="8"/>
    <n v="8"/>
    <n v="7"/>
    <n v="7"/>
    <n v="8"/>
    <n v="7"/>
    <n v="7"/>
    <n v="7"/>
    <n v="8"/>
    <n v="9"/>
    <n v="30"/>
    <n v="29"/>
    <n v="17"/>
    <n v="76"/>
    <n v="0.69920589878010098"/>
    <n v="23.196700507614214"/>
    <n v="6.4306002317777482"/>
    <n v="22.771573604060915"/>
    <n v="6.5356886776680962"/>
    <n v="11.434010152284264"/>
    <n v="3.5019632409825281"/>
    <n v="1.0579571497488354"/>
    <n v="0.95298700766165612"/>
    <n v="1.5893912827463359"/>
    <n v="1.2001118133856092"/>
  </r>
  <r>
    <x v="8"/>
    <s v="IMP"/>
    <n v="7"/>
    <n v="4"/>
    <n v="4"/>
    <n v="5"/>
    <n v="6"/>
    <n v="6"/>
    <n v="5"/>
    <n v="6"/>
    <n v="6"/>
    <n v="4"/>
    <n v="20"/>
    <n v="23"/>
    <n v="10"/>
    <n v="53"/>
    <n v="1.0593499054713802"/>
    <n v="23.196700507614214"/>
    <n v="6.4306002317777482"/>
    <n v="22.771573604060915"/>
    <n v="6.5356886776680962"/>
    <n v="11.434010152284264"/>
    <n v="3.5019632409825281"/>
    <n v="-0.49710764040614003"/>
    <n v="3.4950623752872265E-2"/>
    <n v="-0.40948749418681252"/>
    <n v="-0.29054817028002677"/>
  </r>
  <r>
    <x v="8"/>
    <s v="IMP"/>
    <n v="6"/>
    <n v="7"/>
    <n v="4"/>
    <n v="7"/>
    <n v="7"/>
    <n v="6"/>
    <n v="4"/>
    <n v="4"/>
    <n v="5"/>
    <n v="6"/>
    <n v="24"/>
    <n v="21"/>
    <n v="11"/>
    <n v="56"/>
    <n v="1.2649110640673518"/>
    <n v="23.196700507614214"/>
    <n v="6.4306002317777482"/>
    <n v="22.771573604060915"/>
    <n v="6.5356886776680962"/>
    <n v="11.434010152284264"/>
    <n v="3.5019632409825281"/>
    <n v="0.12491827565585011"/>
    <n v="-0.27106150421672232"/>
    <n v="-0.12393338319636275"/>
    <n v="-9.002553725241165E-2"/>
  </r>
  <r>
    <x v="8"/>
    <s v="IMP"/>
    <n v="5"/>
    <n v="4"/>
    <n v="4"/>
    <n v="6"/>
    <n v="7"/>
    <n v="6"/>
    <n v="5"/>
    <n v="5"/>
    <n v="5"/>
    <n v="4"/>
    <n v="19"/>
    <n v="23"/>
    <n v="9"/>
    <n v="51"/>
    <n v="0.99442892601175348"/>
    <n v="23.196700507614214"/>
    <n v="6.4306002317777482"/>
    <n v="22.771573604060915"/>
    <n v="6.5356886776680962"/>
    <n v="11.434010152284264"/>
    <n v="3.5019632409825281"/>
    <n v="-0.65261411942163761"/>
    <n v="3.4950623752872265E-2"/>
    <n v="-0.69504160517726232"/>
    <n v="-0.4375683669486759"/>
  </r>
  <r>
    <x v="8"/>
    <s v="IMP"/>
    <n v="8"/>
    <n v="7"/>
    <n v="8"/>
    <n v="8"/>
    <n v="7"/>
    <n v="7"/>
    <n v="7"/>
    <n v="8"/>
    <n v="8"/>
    <n v="9"/>
    <n v="31"/>
    <n v="29"/>
    <n v="17"/>
    <n v="77"/>
    <n v="0.67494855771055284"/>
    <n v="23.196700507614214"/>
    <n v="6.4306002317777482"/>
    <n v="22.771573604060915"/>
    <n v="6.5356886776680962"/>
    <n v="11.434010152284264"/>
    <n v="3.5019632409825281"/>
    <n v="1.2134636287643328"/>
    <n v="0.95298700766165612"/>
    <n v="1.5893912827463359"/>
    <n v="1.2519473063907751"/>
  </r>
  <r>
    <x v="8"/>
    <s v="IMP"/>
    <n v="4"/>
    <n v="4"/>
    <n v="4"/>
    <n v="3"/>
    <n v="3"/>
    <n v="3"/>
    <n v="3"/>
    <n v="4"/>
    <n v="3"/>
    <n v="4"/>
    <n v="15"/>
    <n v="13"/>
    <n v="7"/>
    <n v="35"/>
    <n v="0.52704627669472992"/>
    <n v="23.196700507614214"/>
    <n v="6.4306002317777482"/>
    <n v="22.771573604060915"/>
    <n v="6.5356886776680962"/>
    <n v="11.434010152284264"/>
    <n v="3.5019632409825281"/>
    <n v="-1.2746400354836278"/>
    <n v="-1.4951100160951007"/>
    <n v="-1.2661498271581617"/>
    <n v="-1.3452999595789634"/>
  </r>
  <r>
    <x v="8"/>
    <s v="IMP"/>
    <n v="7"/>
    <n v="7"/>
    <n v="7"/>
    <n v="6"/>
    <n v="7"/>
    <n v="6"/>
    <n v="6"/>
    <n v="7"/>
    <n v="7"/>
    <n v="7"/>
    <n v="27"/>
    <n v="26"/>
    <n v="14"/>
    <n v="67"/>
    <n v="0.48304589153964783"/>
    <n v="23.196700507614214"/>
    <n v="6.4306002317777482"/>
    <n v="22.771573604060915"/>
    <n v="6.5356886776680962"/>
    <n v="11.434010152284264"/>
    <n v="3.5019632409825281"/>
    <n v="0.59143771270234269"/>
    <n v="0.49396881570726414"/>
    <n v="0.73272894977498659"/>
    <n v="0.60604515939486447"/>
  </r>
  <r>
    <x v="8"/>
    <s v="IMP"/>
    <n v="4"/>
    <n v="4"/>
    <n v="4"/>
    <n v="3"/>
    <n v="4"/>
    <n v="4"/>
    <n v="4"/>
    <n v="3"/>
    <n v="3"/>
    <n v="3"/>
    <n v="15"/>
    <n v="15"/>
    <n v="6"/>
    <n v="36"/>
    <n v="0.51639777949432208"/>
    <n v="23.196700507614214"/>
    <n v="6.4306002317777482"/>
    <n v="22.771573604060915"/>
    <n v="6.5356886776680962"/>
    <n v="11.434010152284264"/>
    <n v="3.5019632409825281"/>
    <n v="-1.2746400354836278"/>
    <n v="-1.1890978881255061"/>
    <n v="-1.5517039381486115"/>
    <n v="-1.338480620585915"/>
  </r>
  <r>
    <x v="8"/>
    <s v="IMP"/>
    <n v="7"/>
    <n v="7"/>
    <n v="6"/>
    <n v="7"/>
    <n v="7"/>
    <n v="7"/>
    <n v="7"/>
    <n v="7"/>
    <n v="8"/>
    <n v="7"/>
    <n v="27"/>
    <n v="28"/>
    <n v="15"/>
    <n v="70"/>
    <n v="0.47140452079103173"/>
    <n v="23.196700507614214"/>
    <n v="6.4306002317777482"/>
    <n v="22.771573604060915"/>
    <n v="6.5356886776680962"/>
    <n v="11.434010152284264"/>
    <n v="3.5019632409825281"/>
    <n v="0.59143771270234269"/>
    <n v="0.79998094367685879"/>
    <n v="1.0182830607654363"/>
    <n v="0.80323390571487929"/>
  </r>
  <r>
    <x v="8"/>
    <s v="IMP"/>
    <n v="7"/>
    <n v="4"/>
    <n v="5"/>
    <n v="4"/>
    <n v="5"/>
    <n v="5"/>
    <n v="4"/>
    <n v="5"/>
    <n v="6"/>
    <n v="5"/>
    <n v="20"/>
    <n v="19"/>
    <n v="11"/>
    <n v="50"/>
    <n v="0.94280904158206336"/>
    <n v="23.196700507614214"/>
    <n v="6.4306002317777482"/>
    <n v="22.771573604060915"/>
    <n v="6.5356886776680962"/>
    <n v="11.434010152284264"/>
    <n v="3.5019632409825281"/>
    <n v="-0.49710764040614003"/>
    <n v="-0.57707363218631691"/>
    <n v="-0.12393338319636275"/>
    <n v="-0.39937155192960655"/>
  </r>
  <r>
    <x v="8"/>
    <s v="IMP"/>
    <n v="6"/>
    <n v="4"/>
    <n v="4"/>
    <n v="4"/>
    <n v="7"/>
    <n v="7"/>
    <n v="5"/>
    <n v="4"/>
    <n v="7"/>
    <n v="8"/>
    <n v="18"/>
    <n v="23"/>
    <n v="15"/>
    <n v="56"/>
    <n v="1.5776212754932311"/>
    <n v="23.196700507614214"/>
    <n v="6.4306002317777482"/>
    <n v="22.771573604060915"/>
    <n v="6.5356886776680962"/>
    <n v="11.434010152284264"/>
    <n v="3.5019632409825281"/>
    <n v="-0.80812059843713513"/>
    <n v="3.4950623752872265E-2"/>
    <n v="1.0182830607654363"/>
    <n v="8.1704362027057817E-2"/>
  </r>
  <r>
    <x v="8"/>
    <s v="IMP"/>
    <n v="8"/>
    <n v="7"/>
    <n v="7"/>
    <n v="6"/>
    <n v="8"/>
    <n v="8"/>
    <n v="6"/>
    <n v="6"/>
    <n v="6"/>
    <n v="7"/>
    <n v="28"/>
    <n v="28"/>
    <n v="13"/>
    <n v="69"/>
    <n v="0.87559503577091324"/>
    <n v="23.196700507614214"/>
    <n v="6.4306002317777482"/>
    <n v="22.771573604060915"/>
    <n v="6.5356886776680962"/>
    <n v="11.434010152284264"/>
    <n v="3.5019632409825281"/>
    <n v="0.74694419171784021"/>
    <n v="0.79998094367685879"/>
    <n v="0.44717483878453679"/>
    <n v="0.66469999139307856"/>
  </r>
  <r>
    <x v="8"/>
    <s v="IMP"/>
    <n v="7"/>
    <n v="7"/>
    <n v="6"/>
    <n v="5"/>
    <n v="6"/>
    <n v="5"/>
    <n v="5"/>
    <n v="5"/>
    <n v="6"/>
    <n v="5"/>
    <n v="25"/>
    <n v="21"/>
    <n v="11"/>
    <n v="57"/>
    <n v="0.82327260234856459"/>
    <n v="23.196700507614214"/>
    <n v="6.4306002317777482"/>
    <n v="22.771573604060915"/>
    <n v="6.5356886776680962"/>
    <n v="11.434010152284264"/>
    <n v="3.5019632409825281"/>
    <n v="0.28042475467134764"/>
    <n v="-0.27106150421672232"/>
    <n v="-0.12393338319636275"/>
    <n v="-3.8190044247245807E-2"/>
  </r>
  <r>
    <x v="8"/>
    <s v="IMP"/>
    <n v="8"/>
    <n v="8"/>
    <n v="7"/>
    <n v="8"/>
    <n v="9"/>
    <n v="8"/>
    <n v="8"/>
    <n v="8"/>
    <n v="8"/>
    <n v="8"/>
    <n v="31"/>
    <n v="33"/>
    <n v="16"/>
    <n v="80"/>
    <n v="0.47140452079103168"/>
    <n v="23.196700507614214"/>
    <n v="6.4306002317777482"/>
    <n v="22.771573604060915"/>
    <n v="6.5356886776680962"/>
    <n v="11.434010152284264"/>
    <n v="3.5019632409825281"/>
    <n v="1.2134636287643328"/>
    <n v="1.5650112636008453"/>
    <n v="1.3038371717558861"/>
    <n v="1.3607706880403547"/>
  </r>
  <r>
    <x v="8"/>
    <s v="IMP"/>
    <n v="8"/>
    <n v="7"/>
    <n v="7"/>
    <n v="9"/>
    <n v="7"/>
    <n v="6"/>
    <n v="6"/>
    <n v="8"/>
    <n v="9"/>
    <n v="9"/>
    <n v="31"/>
    <n v="27"/>
    <n v="18"/>
    <n v="76"/>
    <n v="1.1737877907772671"/>
    <n v="23.196700507614214"/>
    <n v="6.4306002317777482"/>
    <n v="22.771573604060915"/>
    <n v="6.5356886776680962"/>
    <n v="11.434010152284264"/>
    <n v="3.5019632409825281"/>
    <n v="1.2134636287643328"/>
    <n v="0.64697487969206147"/>
    <n v="1.8749453937367857"/>
    <n v="1.2451279673977267"/>
  </r>
  <r>
    <x v="8"/>
    <s v="IMP"/>
    <n v="9"/>
    <n v="8"/>
    <n v="8"/>
    <n v="9"/>
    <n v="9"/>
    <n v="8"/>
    <n v="8"/>
    <n v="9"/>
    <n v="8"/>
    <n v="9"/>
    <n v="34"/>
    <n v="34"/>
    <n v="17"/>
    <n v="85"/>
    <n v="0.52704627669472992"/>
    <n v="23.196700507614214"/>
    <n v="6.4306002317777482"/>
    <n v="22.771573604060915"/>
    <n v="6.5356886776680962"/>
    <n v="11.434010152284264"/>
    <n v="3.5019632409825281"/>
    <n v="1.6799830658108255"/>
    <n v="1.7180173275856425"/>
    <n v="1.5893912827463359"/>
    <n v="1.6624638920476011"/>
  </r>
  <r>
    <x v="8"/>
    <s v="IMP"/>
    <n v="7"/>
    <n v="7"/>
    <n v="7"/>
    <n v="8"/>
    <n v="8"/>
    <n v="7"/>
    <n v="6"/>
    <n v="8"/>
    <n v="8"/>
    <n v="8"/>
    <n v="29"/>
    <n v="29"/>
    <n v="16"/>
    <n v="74"/>
    <n v="0.69920589878010109"/>
    <n v="23.196700507614214"/>
    <n v="6.4306002317777482"/>
    <n v="22.771573604060915"/>
    <n v="6.5356886776680962"/>
    <n v="11.434010152284264"/>
    <n v="3.5019632409825281"/>
    <n v="0.90245067073333785"/>
    <n v="0.95298700766165612"/>
    <n v="1.3038371717558861"/>
    <n v="1.0530916167169602"/>
  </r>
  <r>
    <x v="8"/>
    <s v="IMP"/>
    <n v="8"/>
    <n v="7"/>
    <n v="7"/>
    <n v="8"/>
    <n v="7"/>
    <n v="7"/>
    <n v="6"/>
    <n v="7"/>
    <n v="6"/>
    <n v="7"/>
    <n v="30"/>
    <n v="27"/>
    <n v="13"/>
    <n v="70"/>
    <n v="0.66666666666666685"/>
    <n v="23.196700507614214"/>
    <n v="6.4306002317777482"/>
    <n v="22.771573604060915"/>
    <n v="6.5356886776680962"/>
    <n v="11.434010152284264"/>
    <n v="3.5019632409825281"/>
    <n v="1.0579571497488354"/>
    <n v="0.64697487969206147"/>
    <n v="0.44717483878453679"/>
    <n v="0.7173689560751445"/>
  </r>
  <r>
    <x v="8"/>
    <s v="IMP"/>
    <n v="8"/>
    <n v="8"/>
    <n v="7"/>
    <n v="7"/>
    <n v="8"/>
    <n v="6"/>
    <n v="6"/>
    <n v="8"/>
    <n v="8"/>
    <n v="6"/>
    <n v="30"/>
    <n v="28"/>
    <n v="14"/>
    <n v="72"/>
    <n v="0.91893658347268137"/>
    <n v="23.196700507614214"/>
    <n v="6.4306002317777482"/>
    <n v="22.771573604060915"/>
    <n v="6.5356886776680962"/>
    <n v="11.434010152284264"/>
    <n v="3.5019632409825281"/>
    <n v="1.0579571497488354"/>
    <n v="0.79998094367685879"/>
    <n v="0.73272894977498659"/>
    <n v="0.86355568106689351"/>
  </r>
  <r>
    <x v="8"/>
    <s v="IMP"/>
    <n v="7"/>
    <n v="6"/>
    <n v="5"/>
    <n v="5"/>
    <n v="7"/>
    <n v="6"/>
    <n v="6"/>
    <n v="7"/>
    <n v="6"/>
    <n v="7"/>
    <n v="23"/>
    <n v="26"/>
    <n v="13"/>
    <n v="62"/>
    <n v="0.78881063774661553"/>
    <n v="23.196700507614214"/>
    <n v="6.4306002317777482"/>
    <n v="22.771573604060915"/>
    <n v="6.5356886776680962"/>
    <n v="11.434010152284264"/>
    <n v="3.5019632409825281"/>
    <n v="-3.0588203359647428E-2"/>
    <n v="0.49396881570726414"/>
    <n v="0.44717483878453679"/>
    <n v="0.30351848371071782"/>
  </r>
  <r>
    <x v="8"/>
    <s v="IMP"/>
    <n v="8"/>
    <n v="8"/>
    <n v="8"/>
    <n v="8"/>
    <n v="9"/>
    <n v="9"/>
    <n v="7"/>
    <n v="8"/>
    <n v="7"/>
    <n v="7"/>
    <n v="32"/>
    <n v="33"/>
    <n v="14"/>
    <n v="79"/>
    <n v="0.73786478737262184"/>
    <n v="23.196700507614214"/>
    <n v="6.4306002317777482"/>
    <n v="22.771573604060915"/>
    <n v="6.5356886776680962"/>
    <n v="11.434010152284264"/>
    <n v="3.5019632409825281"/>
    <n v="1.3689701077798304"/>
    <n v="1.5650112636008453"/>
    <n v="0.73272894977498659"/>
    <n v="1.222236773718554"/>
  </r>
  <r>
    <x v="8"/>
    <s v="IMP"/>
    <n v="8"/>
    <n v="6"/>
    <n v="7"/>
    <n v="4"/>
    <n v="6"/>
    <n v="5"/>
    <n v="4"/>
    <n v="5"/>
    <n v="5"/>
    <n v="5"/>
    <n v="25"/>
    <n v="20"/>
    <n v="10"/>
    <n v="55"/>
    <n v="1.2692955176439846"/>
    <n v="23.196700507614214"/>
    <n v="6.4306002317777482"/>
    <n v="22.771573604060915"/>
    <n v="6.5356886776680962"/>
    <n v="11.434010152284264"/>
    <n v="3.5019632409825281"/>
    <n v="0.28042475467134764"/>
    <n v="-0.42406756820151964"/>
    <n v="-0.40948749418681252"/>
    <n v="-0.18437676923899482"/>
  </r>
  <r>
    <x v="8"/>
    <s v="IMP"/>
    <n v="6"/>
    <n v="5"/>
    <n v="5"/>
    <n v="5"/>
    <n v="6"/>
    <n v="6"/>
    <n v="4"/>
    <n v="6"/>
    <n v="7"/>
    <n v="5"/>
    <n v="21"/>
    <n v="22"/>
    <n v="12"/>
    <n v="55"/>
    <n v="0.84983658559879738"/>
    <n v="23.196700507614214"/>
    <n v="6.4306002317777482"/>
    <n v="22.771573604060915"/>
    <n v="6.5356886776680962"/>
    <n v="11.434010152284264"/>
    <n v="3.5019632409825281"/>
    <n v="-0.3416011613906425"/>
    <n v="-0.11805544023192505"/>
    <n v="0.16162072779408701"/>
    <n v="-9.9345291276160166E-2"/>
  </r>
  <r>
    <x v="8"/>
    <s v="IMP"/>
    <n v="9"/>
    <n v="8"/>
    <n v="7"/>
    <n v="7"/>
    <n v="9"/>
    <n v="9"/>
    <n v="8"/>
    <n v="8"/>
    <n v="7"/>
    <n v="6"/>
    <n v="31"/>
    <n v="34"/>
    <n v="13"/>
    <n v="78"/>
    <n v="1.0327955589886444"/>
    <n v="23.196700507614214"/>
    <n v="6.4306002317777482"/>
    <n v="22.771573604060915"/>
    <n v="6.5356886776680962"/>
    <n v="11.434010152284264"/>
    <n v="3.5019632409825281"/>
    <n v="1.2134636287643328"/>
    <n v="1.7180173275856425"/>
    <n v="0.44717483878453679"/>
    <n v="1.1262185983781707"/>
  </r>
  <r>
    <x v="8"/>
    <s v="IMP"/>
    <n v="9"/>
    <n v="8"/>
    <n v="7"/>
    <n v="8"/>
    <n v="7"/>
    <n v="7"/>
    <n v="7"/>
    <n v="8"/>
    <n v="8"/>
    <n v="9"/>
    <n v="32"/>
    <n v="29"/>
    <n v="17"/>
    <n v="78"/>
    <n v="0.78881063774661531"/>
    <n v="23.196700507614214"/>
    <n v="6.4306002317777482"/>
    <n v="22.771573604060915"/>
    <n v="6.5356886776680962"/>
    <n v="11.434010152284264"/>
    <n v="3.5019632409825281"/>
    <n v="1.3689701077798304"/>
    <n v="0.95298700766165612"/>
    <n v="1.5893912827463359"/>
    <n v="1.3037827993959408"/>
  </r>
  <r>
    <x v="9"/>
    <s v="IMP"/>
    <n v="7"/>
    <n v="7"/>
    <n v="7"/>
    <n v="6"/>
    <n v="6"/>
    <n v="4"/>
    <n v="6"/>
    <n v="5"/>
    <n v="6"/>
    <n v="6"/>
    <n v="27"/>
    <n v="21"/>
    <n v="12"/>
    <n v="60"/>
    <n v="0.94280904158206313"/>
    <n v="23.196700507614214"/>
    <n v="6.4306002317777482"/>
    <n v="22.771573604060915"/>
    <n v="6.5356886776680962"/>
    <n v="11.434010152284264"/>
    <n v="3.5019632409825281"/>
    <n v="0.59143771270234269"/>
    <n v="-0.27106150421672232"/>
    <n v="0.16162072779408701"/>
    <n v="0.16066564542656914"/>
  </r>
  <r>
    <x v="9"/>
    <s v="IMP"/>
    <n v="6"/>
    <n v="3"/>
    <n v="3"/>
    <n v="4"/>
    <n v="4"/>
    <n v="3"/>
    <n v="3"/>
    <n v="3"/>
    <n v="3"/>
    <n v="3"/>
    <n v="16"/>
    <n v="13"/>
    <n v="6"/>
    <n v="35"/>
    <n v="0.97182531580755005"/>
    <n v="23.196700507614214"/>
    <n v="6.4306002317777482"/>
    <n v="22.771573604060915"/>
    <n v="6.5356886776680962"/>
    <n v="11.434010152284264"/>
    <n v="3.5019632409825281"/>
    <n v="-1.1191335564681302"/>
    <n v="-1.4951100160951007"/>
    <n v="-1.5517039381486115"/>
    <n v="-1.3886491702372805"/>
  </r>
  <r>
    <x v="9"/>
    <s v="IMP"/>
    <n v="4"/>
    <n v="4"/>
    <n v="4"/>
    <n v="3"/>
    <n v="6"/>
    <n v="5"/>
    <n v="5"/>
    <n v="5"/>
    <n v="5"/>
    <n v="5"/>
    <n v="15"/>
    <n v="21"/>
    <n v="10"/>
    <n v="46"/>
    <n v="0.8432740427115677"/>
    <n v="23.196700507614214"/>
    <n v="6.4306002317777482"/>
    <n v="22.771573604060915"/>
    <n v="6.5356886776680962"/>
    <n v="11.434010152284264"/>
    <n v="3.5019632409825281"/>
    <n v="-1.2746400354836278"/>
    <n v="-0.27106150421672232"/>
    <n v="-0.40948749418681252"/>
    <n v="-0.65172967796238757"/>
  </r>
  <r>
    <x v="9"/>
    <s v="IMP"/>
    <n v="3"/>
    <n v="3"/>
    <n v="3"/>
    <n v="3"/>
    <n v="3"/>
    <n v="3"/>
    <n v="3"/>
    <n v="3"/>
    <n v="3"/>
    <n v="2"/>
    <n v="12"/>
    <n v="12"/>
    <n v="5"/>
    <n v="29"/>
    <n v="0.31622776601683794"/>
    <n v="23.196700507614214"/>
    <n v="6.4306002317777482"/>
    <n v="22.771573604060915"/>
    <n v="6.5356886776680962"/>
    <n v="11.434010152284264"/>
    <n v="3.5019632409825281"/>
    <n v="-1.7411594725301203"/>
    <n v="-1.648116080079898"/>
    <n v="-1.8372580491390613"/>
    <n v="-1.7421778672496933"/>
  </r>
  <r>
    <x v="9"/>
    <s v="IMP"/>
    <n v="5"/>
    <n v="4"/>
    <n v="4"/>
    <n v="4"/>
    <n v="6"/>
    <n v="5"/>
    <n v="5"/>
    <n v="4"/>
    <n v="5"/>
    <n v="5"/>
    <n v="17"/>
    <n v="20"/>
    <n v="10"/>
    <n v="47"/>
    <n v="0.67494855771055307"/>
    <n v="23.196700507614214"/>
    <n v="6.4306002317777482"/>
    <n v="22.771573604060915"/>
    <n v="6.5356886776680962"/>
    <n v="11.434010152284264"/>
    <n v="3.5019632409825281"/>
    <n v="-0.96362707745263265"/>
    <n v="-0.42406756820151964"/>
    <n v="-0.40948749418681252"/>
    <n v="-0.59906071328032162"/>
  </r>
  <r>
    <x v="9"/>
    <s v="IMP"/>
    <n v="3"/>
    <n v="2"/>
    <n v="3"/>
    <n v="2"/>
    <n v="5"/>
    <n v="4"/>
    <n v="3"/>
    <n v="5"/>
    <n v="4"/>
    <n v="4"/>
    <n v="10"/>
    <n v="17"/>
    <n v="8"/>
    <n v="35"/>
    <n v="1.0801234497346435"/>
    <n v="23.196700507614214"/>
    <n v="6.4306002317777482"/>
    <n v="22.771573604060915"/>
    <n v="6.5356886776680962"/>
    <n v="11.434010152284264"/>
    <n v="3.5019632409825281"/>
    <n v="-2.0521724305611153"/>
    <n v="-0.88308576015591156"/>
    <n v="-0.98059571616771202"/>
    <n v="-1.3052846356282461"/>
  </r>
  <r>
    <x v="9"/>
    <s v="IMP"/>
    <n v="6"/>
    <n v="4"/>
    <n v="4"/>
    <n v="6"/>
    <n v="6"/>
    <n v="6"/>
    <n v="6"/>
    <n v="5"/>
    <n v="5"/>
    <n v="6"/>
    <n v="20"/>
    <n v="23"/>
    <n v="11"/>
    <n v="54"/>
    <n v="0.8432740427115677"/>
    <n v="23.196700507614214"/>
    <n v="6.4306002317777482"/>
    <n v="22.771573604060915"/>
    <n v="6.5356886776680962"/>
    <n v="11.434010152284264"/>
    <n v="3.5019632409825281"/>
    <n v="-0.49710764040614003"/>
    <n v="3.4950623752872265E-2"/>
    <n v="-0.12393338319636275"/>
    <n v="-0.1953634666165435"/>
  </r>
  <r>
    <x v="9"/>
    <s v="IMP"/>
    <n v="6"/>
    <n v="6"/>
    <n v="7"/>
    <n v="7"/>
    <n v="8"/>
    <n v="7"/>
    <n v="7"/>
    <n v="7"/>
    <n v="7"/>
    <n v="8"/>
    <n v="26"/>
    <n v="29"/>
    <n v="15"/>
    <n v="70"/>
    <n v="0.66666666666666663"/>
    <n v="23.196700507614214"/>
    <n v="6.4306002317777482"/>
    <n v="22.771573604060915"/>
    <n v="6.5356886776680962"/>
    <n v="11.434010152284264"/>
    <n v="3.5019632409825281"/>
    <n v="0.43593123368684517"/>
    <n v="0.95298700766165612"/>
    <n v="1.0182830607654363"/>
    <n v="0.80240043403797923"/>
  </r>
  <r>
    <x v="9"/>
    <s v="IMP"/>
    <n v="4"/>
    <n v="3"/>
    <n v="4"/>
    <n v="4"/>
    <n v="4"/>
    <n v="3"/>
    <n v="3"/>
    <n v="3"/>
    <n v="4"/>
    <n v="3"/>
    <n v="15"/>
    <n v="13"/>
    <n v="7"/>
    <n v="35"/>
    <n v="0.52704627669472981"/>
    <n v="23.196700507614214"/>
    <n v="6.4306002317777482"/>
    <n v="22.771573604060915"/>
    <n v="6.5356886776680962"/>
    <n v="11.434010152284264"/>
    <n v="3.5019632409825281"/>
    <n v="-1.2746400354836278"/>
    <n v="-1.4951100160951007"/>
    <n v="-1.2661498271581617"/>
    <n v="-1.3452999595789634"/>
  </r>
  <r>
    <x v="9"/>
    <s v="IMP"/>
    <n v="3"/>
    <n v="3"/>
    <n v="4"/>
    <n v="4"/>
    <n v="3"/>
    <n v="3"/>
    <n v="3"/>
    <n v="3"/>
    <n v="4"/>
    <n v="2"/>
    <n v="14"/>
    <n v="12"/>
    <n v="6"/>
    <n v="32"/>
    <n v="0.63245553203367588"/>
    <n v="23.196700507614214"/>
    <n v="6.4306002317777482"/>
    <n v="22.771573604060915"/>
    <n v="6.5356886776680962"/>
    <n v="11.434010152284264"/>
    <n v="3.5019632409825281"/>
    <n v="-1.4301465144991252"/>
    <n v="-1.648116080079898"/>
    <n v="-1.5517039381486115"/>
    <n v="-1.5433221775758781"/>
  </r>
  <r>
    <x v="9"/>
    <s v="IMP"/>
    <n v="4"/>
    <n v="4"/>
    <n v="4"/>
    <n v="4"/>
    <n v="5"/>
    <n v="4"/>
    <n v="4"/>
    <n v="4"/>
    <n v="3"/>
    <n v="3"/>
    <n v="16"/>
    <n v="17"/>
    <n v="6"/>
    <n v="39"/>
    <n v="0.56764621219754663"/>
    <n v="23.196700507614214"/>
    <n v="6.4306002317777482"/>
    <n v="22.771573604060915"/>
    <n v="6.5356886776680962"/>
    <n v="11.434010152284264"/>
    <n v="3.5019632409825281"/>
    <n v="-1.1191335564681302"/>
    <n v="-0.88308576015591156"/>
    <n v="-1.5517039381486115"/>
    <n v="-1.1846410849242177"/>
  </r>
  <r>
    <x v="9"/>
    <s v="IMP"/>
    <n v="4"/>
    <n v="4"/>
    <n v="4"/>
    <n v="4"/>
    <n v="6"/>
    <n v="5"/>
    <n v="4"/>
    <n v="3"/>
    <n v="4"/>
    <n v="5"/>
    <n v="16"/>
    <n v="18"/>
    <n v="9"/>
    <n v="43"/>
    <n v="0.82327260234856459"/>
    <n v="23.196700507614214"/>
    <n v="6.4306002317777482"/>
    <n v="22.771573604060915"/>
    <n v="6.5356886776680962"/>
    <n v="11.434010152284264"/>
    <n v="3.5019632409825281"/>
    <n v="-1.1191335564681302"/>
    <n v="-0.73007969617111423"/>
    <n v="-0.69504160517726232"/>
    <n v="-0.84808495260550221"/>
  </r>
  <r>
    <x v="9"/>
    <s v="IMP"/>
    <n v="4"/>
    <n v="3"/>
    <n v="4"/>
    <n v="3"/>
    <n v="4"/>
    <n v="4"/>
    <n v="3"/>
    <n v="3"/>
    <n v="3"/>
    <n v="4"/>
    <n v="14"/>
    <n v="14"/>
    <n v="7"/>
    <n v="35"/>
    <n v="0.52704627669472992"/>
    <n v="23.196700507614214"/>
    <n v="6.4306002317777482"/>
    <n v="22.771573604060915"/>
    <n v="6.5356886776680962"/>
    <n v="11.434010152284264"/>
    <n v="3.5019632409825281"/>
    <n v="-1.4301465144991252"/>
    <n v="-1.3421039521103035"/>
    <n v="-1.2661498271581617"/>
    <n v="-1.3461334312558637"/>
  </r>
  <r>
    <x v="9"/>
    <s v="IMP"/>
    <n v="6"/>
    <n v="5"/>
    <n v="6"/>
    <n v="6"/>
    <n v="7"/>
    <n v="7"/>
    <n v="6"/>
    <n v="8"/>
    <n v="8"/>
    <n v="6"/>
    <n v="23"/>
    <n v="28"/>
    <n v="14"/>
    <n v="65"/>
    <n v="0.97182531580755005"/>
    <n v="23.196700507614214"/>
    <n v="6.4306002317777482"/>
    <n v="22.771573604060915"/>
    <n v="6.5356886776680962"/>
    <n v="11.434010152284264"/>
    <n v="3.5019632409825281"/>
    <n v="-3.0588203359647428E-2"/>
    <n v="0.79998094367685879"/>
    <n v="0.73272894977498659"/>
    <n v="0.50070723003073259"/>
  </r>
  <r>
    <x v="9"/>
    <s v="IMP"/>
    <n v="3"/>
    <n v="3"/>
    <n v="3"/>
    <n v="3"/>
    <n v="3"/>
    <n v="3"/>
    <n v="2"/>
    <n v="3"/>
    <n v="3"/>
    <n v="2"/>
    <n v="12"/>
    <n v="11"/>
    <n v="5"/>
    <n v="28"/>
    <n v="0.42163702135578385"/>
    <n v="23.196700507614214"/>
    <n v="6.4306002317777482"/>
    <n v="22.771573604060915"/>
    <n v="6.5356886776680962"/>
    <n v="11.434010152284264"/>
    <n v="3.5019632409825281"/>
    <n v="-1.7411594725301203"/>
    <n v="-1.8011221440646954"/>
    <n v="-1.8372580491390613"/>
    <n v="-1.7931798885779591"/>
  </r>
  <r>
    <x v="9"/>
    <s v="IMP"/>
    <n v="6"/>
    <n v="5"/>
    <n v="5"/>
    <n v="6"/>
    <n v="7"/>
    <n v="7"/>
    <n v="6"/>
    <n v="7"/>
    <n v="7"/>
    <n v="6"/>
    <n v="22"/>
    <n v="27"/>
    <n v="13"/>
    <n v="62"/>
    <n v="0.78881063774661553"/>
    <n v="23.196700507614214"/>
    <n v="6.4306002317777482"/>
    <n v="22.771573604060915"/>
    <n v="6.5356886776680962"/>
    <n v="11.434010152284264"/>
    <n v="3.5019632409825281"/>
    <n v="-0.18609468237514495"/>
    <n v="0.64697487969206147"/>
    <n v="0.44717483878453679"/>
    <n v="0.30268501203381776"/>
  </r>
  <r>
    <x v="9"/>
    <s v="IMP"/>
    <n v="6"/>
    <n v="5"/>
    <n v="5"/>
    <n v="6"/>
    <n v="6"/>
    <n v="6"/>
    <n v="6"/>
    <n v="6"/>
    <n v="7"/>
    <n v="7"/>
    <n v="22"/>
    <n v="24"/>
    <n v="14"/>
    <n v="60"/>
    <n v="0.66666666666666696"/>
    <n v="23.196700507614214"/>
    <n v="6.4306002317777482"/>
    <n v="22.771573604060915"/>
    <n v="6.5356886776680962"/>
    <n v="11.434010152284264"/>
    <n v="3.5019632409825281"/>
    <n v="-0.18609468237514495"/>
    <n v="0.18795668773766958"/>
    <n v="0.73272894977498659"/>
    <n v="0.24486365171250371"/>
  </r>
  <r>
    <x v="9"/>
    <s v="IMP"/>
    <n v="7"/>
    <n v="7"/>
    <n v="7"/>
    <n v="7"/>
    <n v="8"/>
    <n v="7"/>
    <n v="8"/>
    <n v="7"/>
    <n v="8"/>
    <n v="8"/>
    <n v="28"/>
    <n v="30"/>
    <n v="16"/>
    <n v="74"/>
    <n v="0.51639777949432231"/>
    <n v="23.196700507614214"/>
    <n v="6.4306002317777482"/>
    <n v="22.771573604060915"/>
    <n v="6.5356886776680962"/>
    <n v="11.434010152284264"/>
    <n v="3.5019632409825281"/>
    <n v="0.74694419171784021"/>
    <n v="1.1059930716464534"/>
    <n v="1.3038371717558861"/>
    <n v="1.0522581450400599"/>
  </r>
  <r>
    <x v="9"/>
    <s v="IMP"/>
    <n v="5"/>
    <n v="5"/>
    <n v="5"/>
    <n v="5"/>
    <n v="6"/>
    <n v="5"/>
    <n v="5"/>
    <n v="5"/>
    <n v="6"/>
    <n v="6"/>
    <n v="20"/>
    <n v="21"/>
    <n v="12"/>
    <n v="53"/>
    <n v="0.48304589153964794"/>
    <n v="23.196700507614214"/>
    <n v="6.4306002317777482"/>
    <n v="22.771573604060915"/>
    <n v="6.5356886776680962"/>
    <n v="11.434010152284264"/>
    <n v="3.5019632409825281"/>
    <n v="-0.49710764040614003"/>
    <n v="-0.27106150421672232"/>
    <n v="0.16162072779408701"/>
    <n v="-0.20218280560959179"/>
  </r>
  <r>
    <x v="9"/>
    <s v="IMP"/>
    <n v="7"/>
    <n v="7"/>
    <n v="7"/>
    <n v="7"/>
    <n v="8"/>
    <n v="8"/>
    <n v="8"/>
    <n v="8"/>
    <n v="8"/>
    <n v="8"/>
    <n v="28"/>
    <n v="32"/>
    <n v="16"/>
    <n v="76"/>
    <n v="0.5163977794943222"/>
    <n v="23.196700507614214"/>
    <n v="6.4306002317777482"/>
    <n v="22.771573604060915"/>
    <n v="6.5356886776680962"/>
    <n v="11.434010152284264"/>
    <n v="3.5019632409825281"/>
    <n v="0.74694419171784021"/>
    <n v="1.4120051996160479"/>
    <n v="1.3038371717558861"/>
    <n v="1.1542621876965915"/>
  </r>
  <r>
    <x v="9"/>
    <s v="IMP"/>
    <n v="7"/>
    <n v="6"/>
    <n v="6"/>
    <n v="6"/>
    <n v="8"/>
    <n v="6"/>
    <n v="6"/>
    <n v="6"/>
    <n v="6"/>
    <n v="6"/>
    <n v="25"/>
    <n v="26"/>
    <n v="12"/>
    <n v="63"/>
    <n v="0.67494855771055284"/>
    <n v="23.196700507614214"/>
    <n v="6.4306002317777482"/>
    <n v="22.771573604060915"/>
    <n v="6.5356886776680962"/>
    <n v="11.434010152284264"/>
    <n v="3.5019632409825281"/>
    <n v="0.28042475467134764"/>
    <n v="0.49396881570726414"/>
    <n v="0.16162072779408701"/>
    <n v="0.31200476605756627"/>
  </r>
  <r>
    <x v="9"/>
    <s v="IMP"/>
    <n v="6"/>
    <n v="8"/>
    <n v="8"/>
    <n v="9"/>
    <n v="6"/>
    <n v="5"/>
    <n v="5"/>
    <n v="5"/>
    <n v="7"/>
    <n v="6"/>
    <n v="31"/>
    <n v="21"/>
    <n v="13"/>
    <n v="65"/>
    <n v="1.4337208778404378"/>
    <n v="23.196700507614214"/>
    <n v="6.4306002317777482"/>
    <n v="22.771573604060915"/>
    <n v="6.5356886776680962"/>
    <n v="11.434010152284264"/>
    <n v="3.5019632409825281"/>
    <n v="1.2134636287643328"/>
    <n v="-0.27106150421672232"/>
    <n v="0.44717483878453679"/>
    <n v="0.46319232111071579"/>
  </r>
  <r>
    <x v="9"/>
    <s v="IMP"/>
    <n v="6"/>
    <n v="7"/>
    <n v="6"/>
    <n v="6"/>
    <n v="6"/>
    <n v="6"/>
    <n v="5"/>
    <n v="5"/>
    <n v="6"/>
    <n v="5"/>
    <n v="25"/>
    <n v="22"/>
    <n v="11"/>
    <n v="58"/>
    <n v="0.63245553203367599"/>
    <n v="23.196700507614214"/>
    <n v="6.4306002317777482"/>
    <n v="22.771573604060915"/>
    <n v="6.5356886776680962"/>
    <n v="11.434010152284264"/>
    <n v="3.5019632409825281"/>
    <n v="0.28042475467134764"/>
    <n v="-0.11805544023192505"/>
    <n v="-0.12393338319636275"/>
    <n v="1.2811977081019948E-2"/>
  </r>
  <r>
    <x v="9"/>
    <s v="IMP"/>
    <n v="6"/>
    <n v="7"/>
    <n v="6"/>
    <n v="6"/>
    <n v="6"/>
    <n v="5"/>
    <n v="5"/>
    <n v="5"/>
    <n v="5"/>
    <n v="5"/>
    <n v="25"/>
    <n v="21"/>
    <n v="10"/>
    <n v="56"/>
    <n v="0.69920589878010098"/>
    <n v="23.196700507614214"/>
    <n v="6.4306002317777482"/>
    <n v="22.771573604060915"/>
    <n v="6.5356886776680962"/>
    <n v="11.434010152284264"/>
    <n v="3.5019632409825281"/>
    <n v="0.28042475467134764"/>
    <n v="-0.27106150421672232"/>
    <n v="-0.40948749418681252"/>
    <n v="-0.13337474791072906"/>
  </r>
  <r>
    <x v="9"/>
    <s v="IMP"/>
    <n v="5"/>
    <n v="5"/>
    <n v="6"/>
    <n v="6"/>
    <n v="6"/>
    <n v="5"/>
    <n v="5"/>
    <n v="5"/>
    <n v="5"/>
    <n v="4"/>
    <n v="22"/>
    <n v="21"/>
    <n v="9"/>
    <n v="52"/>
    <n v="0.63245553203367577"/>
    <n v="23.196700507614214"/>
    <n v="6.4306002317777482"/>
    <n v="22.771573604060915"/>
    <n v="6.5356886776680962"/>
    <n v="11.434010152284264"/>
    <n v="3.5019632409825281"/>
    <n v="-0.18609468237514495"/>
    <n v="-0.27106150421672232"/>
    <n v="-0.69504160517726232"/>
    <n v="-0.38406593058970984"/>
  </r>
  <r>
    <x v="9"/>
    <s v="IMP"/>
    <n v="5"/>
    <n v="4"/>
    <n v="4"/>
    <n v="4"/>
    <n v="6"/>
    <n v="6"/>
    <n v="5"/>
    <n v="6"/>
    <n v="5"/>
    <n v="6"/>
    <n v="17"/>
    <n v="23"/>
    <n v="11"/>
    <n v="51"/>
    <n v="0.87559503577091324"/>
    <n v="23.196700507614214"/>
    <n v="6.4306002317777482"/>
    <n v="22.771573604060915"/>
    <n v="6.5356886776680962"/>
    <n v="11.434010152284264"/>
    <n v="3.5019632409825281"/>
    <n v="-0.96362707745263265"/>
    <n v="3.4950623752872265E-2"/>
    <n v="-0.12393338319636275"/>
    <n v="-0.35086994563204105"/>
  </r>
  <r>
    <x v="9"/>
    <s v="IMP"/>
    <n v="7"/>
    <n v="5"/>
    <n v="7"/>
    <n v="7"/>
    <n v="8"/>
    <n v="8"/>
    <n v="7"/>
    <n v="8"/>
    <n v="8"/>
    <n v="8"/>
    <n v="26"/>
    <n v="31"/>
    <n v="16"/>
    <n v="73"/>
    <n v="0.94868329805051388"/>
    <n v="23.196700507614214"/>
    <n v="6.4306002317777482"/>
    <n v="22.771573604060915"/>
    <n v="6.5356886776680962"/>
    <n v="11.434010152284264"/>
    <n v="3.5019632409825281"/>
    <n v="0.43593123368684517"/>
    <n v="1.2589991356312507"/>
    <n v="1.3038371717558861"/>
    <n v="0.99958918035799404"/>
  </r>
  <r>
    <x v="9"/>
    <s v="IMP"/>
    <n v="6"/>
    <n v="5"/>
    <n v="5"/>
    <n v="5"/>
    <n v="7"/>
    <n v="7"/>
    <n v="6"/>
    <n v="7"/>
    <n v="8"/>
    <n v="6"/>
    <n v="21"/>
    <n v="27"/>
    <n v="14"/>
    <n v="62"/>
    <n v="1.0327955589886446"/>
    <n v="23.196700507614214"/>
    <n v="6.4306002317777482"/>
    <n v="22.771573604060915"/>
    <n v="6.5356886776680962"/>
    <n v="11.434010152284264"/>
    <n v="3.5019632409825281"/>
    <n v="-0.3416011613906425"/>
    <n v="0.64697487969206147"/>
    <n v="0.73272894977498659"/>
    <n v="0.34603422269213518"/>
  </r>
  <r>
    <x v="9"/>
    <s v="IMP"/>
    <n v="5"/>
    <n v="5"/>
    <n v="4"/>
    <n v="4"/>
    <n v="4"/>
    <n v="4"/>
    <n v="4"/>
    <n v="5"/>
    <n v="4"/>
    <n v="6"/>
    <n v="18"/>
    <n v="17"/>
    <n v="10"/>
    <n v="45"/>
    <n v="0.70710678118654735"/>
    <n v="23.196700507614214"/>
    <n v="6.4306002317777482"/>
    <n v="22.771573604060915"/>
    <n v="6.5356886776680962"/>
    <n v="11.434010152284264"/>
    <n v="3.5019632409825281"/>
    <n v="-0.80812059843713513"/>
    <n v="-0.88308576015591156"/>
    <n v="-0.40948749418681252"/>
    <n v="-0.70023128425995296"/>
  </r>
  <r>
    <x v="9"/>
    <s v="IMP"/>
    <n v="5"/>
    <n v="5"/>
    <n v="4"/>
    <n v="4"/>
    <n v="5"/>
    <n v="5"/>
    <n v="5"/>
    <n v="5"/>
    <n v="4"/>
    <n v="5"/>
    <n v="18"/>
    <n v="20"/>
    <n v="9"/>
    <n v="47"/>
    <n v="0.48304589153964811"/>
    <n v="23.196700507614214"/>
    <n v="6.4306002317777482"/>
    <n v="22.771573604060915"/>
    <n v="6.5356886776680962"/>
    <n v="11.434010152284264"/>
    <n v="3.5019632409825281"/>
    <n v="-0.80812059843713513"/>
    <n v="-0.42406756820151964"/>
    <n v="-0.69504160517726232"/>
    <n v="-0.64240992393863905"/>
  </r>
  <r>
    <x v="9"/>
    <s v="IMP"/>
    <n v="6"/>
    <n v="5"/>
    <n v="6"/>
    <n v="5"/>
    <n v="8"/>
    <n v="8"/>
    <n v="7"/>
    <n v="8"/>
    <n v="7"/>
    <n v="6"/>
    <n v="22"/>
    <n v="31"/>
    <n v="13"/>
    <n v="66"/>
    <n v="1.1737877907772674"/>
    <n v="23.196700507614214"/>
    <n v="6.4306002317777482"/>
    <n v="22.771573604060915"/>
    <n v="6.5356886776680962"/>
    <n v="11.434010152284264"/>
    <n v="3.5019632409825281"/>
    <n v="-0.18609468237514495"/>
    <n v="1.2589991356312507"/>
    <n v="0.44717483878453679"/>
    <n v="0.50669309734688073"/>
  </r>
  <r>
    <x v="9"/>
    <s v="IMP"/>
    <n v="7"/>
    <n v="7"/>
    <n v="6"/>
    <n v="5"/>
    <n v="5"/>
    <n v="5"/>
    <n v="5"/>
    <n v="5"/>
    <n v="5"/>
    <n v="5"/>
    <n v="25"/>
    <n v="20"/>
    <n v="10"/>
    <n v="55"/>
    <n v="0.84983658559879749"/>
    <n v="23.196700507614214"/>
    <n v="6.4306002317777482"/>
    <n v="22.771573604060915"/>
    <n v="6.5356886776680962"/>
    <n v="11.434010152284264"/>
    <n v="3.5019632409825281"/>
    <n v="0.28042475467134764"/>
    <n v="-0.42406756820151964"/>
    <n v="-0.40948749418681252"/>
    <n v="-0.18437676923899482"/>
  </r>
  <r>
    <x v="9"/>
    <s v="IMP"/>
    <n v="5"/>
    <n v="6"/>
    <n v="5"/>
    <n v="5"/>
    <n v="5"/>
    <n v="4"/>
    <n v="4"/>
    <n v="4"/>
    <n v="4"/>
    <n v="5"/>
    <n v="21"/>
    <n v="17"/>
    <n v="9"/>
    <n v="47"/>
    <n v="0.67494855771055284"/>
    <n v="23.196700507614214"/>
    <n v="6.4306002317777482"/>
    <n v="22.771573604060915"/>
    <n v="6.5356886776680962"/>
    <n v="11.434010152284264"/>
    <n v="3.5019632409825281"/>
    <n v="-0.3416011613906425"/>
    <n v="-0.88308576015591156"/>
    <n v="-0.69504160517726232"/>
    <n v="-0.63990950890793885"/>
  </r>
  <r>
    <x v="9"/>
    <s v="IMP"/>
    <n v="7"/>
    <n v="7"/>
    <n v="7"/>
    <n v="7"/>
    <n v="7"/>
    <n v="6"/>
    <n v="6"/>
    <n v="5"/>
    <n v="5"/>
    <n v="6"/>
    <n v="28"/>
    <n v="24"/>
    <n v="11"/>
    <n v="63"/>
    <n v="0.82327260234856459"/>
    <n v="23.196700507614214"/>
    <n v="6.4306002317777482"/>
    <n v="22.771573604060915"/>
    <n v="6.5356886776680962"/>
    <n v="11.434010152284264"/>
    <n v="3.5019632409825281"/>
    <n v="0.74694419171784021"/>
    <n v="0.18795668773766958"/>
    <n v="-0.12393338319636275"/>
    <n v="0.27032249875304903"/>
  </r>
  <r>
    <x v="9"/>
    <s v="IMP"/>
    <n v="4"/>
    <n v="4"/>
    <n v="3"/>
    <n v="2"/>
    <n v="4"/>
    <n v="3"/>
    <n v="4"/>
    <n v="4"/>
    <n v="4"/>
    <n v="3"/>
    <n v="13"/>
    <n v="15"/>
    <n v="7"/>
    <n v="35"/>
    <n v="0.70710678118654757"/>
    <n v="23.196700507614214"/>
    <n v="6.4306002317777482"/>
    <n v="22.771573604060915"/>
    <n v="6.5356886776680962"/>
    <n v="11.434010152284264"/>
    <n v="3.5019632409825281"/>
    <n v="-1.5856529935146229"/>
    <n v="-1.1890978881255061"/>
    <n v="-1.2661498271581617"/>
    <n v="-1.3469669029327636"/>
  </r>
  <r>
    <x v="9"/>
    <s v="IMP"/>
    <n v="6"/>
    <n v="5"/>
    <n v="6"/>
    <n v="6"/>
    <n v="7"/>
    <n v="6"/>
    <n v="6"/>
    <n v="6"/>
    <n v="7"/>
    <n v="5"/>
    <n v="23"/>
    <n v="25"/>
    <n v="12"/>
    <n v="60"/>
    <n v="0.66666666666666663"/>
    <n v="23.196700507614214"/>
    <n v="6.4306002317777482"/>
    <n v="22.771573604060915"/>
    <n v="6.5356886776680962"/>
    <n v="11.434010152284264"/>
    <n v="3.5019632409825281"/>
    <n v="-3.0588203359647428E-2"/>
    <n v="0.34096275172246687"/>
    <n v="0.16162072779408701"/>
    <n v="0.15733175871896884"/>
  </r>
  <r>
    <x v="9"/>
    <s v="IMP"/>
    <n v="8"/>
    <n v="8"/>
    <n v="7"/>
    <n v="7"/>
    <n v="6"/>
    <n v="5"/>
    <n v="6"/>
    <n v="5"/>
    <n v="7"/>
    <n v="5"/>
    <n v="30"/>
    <n v="22"/>
    <n v="12"/>
    <n v="64"/>
    <n v="1.1737877907772674"/>
    <n v="23.196700507614214"/>
    <n v="6.4306002317777482"/>
    <n v="22.771573604060915"/>
    <n v="6.5356886776680962"/>
    <n v="11.434010152284264"/>
    <n v="3.5019632409825281"/>
    <n v="1.0579571497488354"/>
    <n v="-0.11805544023192505"/>
    <n v="0.16162072779408701"/>
    <n v="0.36717414577033242"/>
  </r>
  <r>
    <x v="9"/>
    <s v="IMP"/>
    <n v="6"/>
    <n v="5"/>
    <n v="5"/>
    <n v="6"/>
    <n v="6"/>
    <n v="5"/>
    <n v="5"/>
    <n v="5"/>
    <n v="7"/>
    <n v="6"/>
    <n v="22"/>
    <n v="21"/>
    <n v="13"/>
    <n v="56"/>
    <n v="0.69920589878010109"/>
    <n v="23.196700507614214"/>
    <n v="6.4306002317777482"/>
    <n v="22.771573604060915"/>
    <n v="6.5356886776680962"/>
    <n v="11.434010152284264"/>
    <n v="3.5019632409825281"/>
    <n v="-0.18609468237514495"/>
    <n v="-0.27106150421672232"/>
    <n v="0.44717483878453679"/>
    <n v="-3.3271159357768365E-3"/>
  </r>
  <r>
    <x v="9"/>
    <s v="IMP"/>
    <n v="7"/>
    <n v="8"/>
    <n v="8"/>
    <n v="8"/>
    <n v="9"/>
    <n v="8"/>
    <n v="8"/>
    <n v="8"/>
    <n v="8"/>
    <n v="8"/>
    <n v="31"/>
    <n v="33"/>
    <n v="16"/>
    <n v="80"/>
    <n v="0.47140452079103168"/>
    <n v="23.196700507614214"/>
    <n v="6.4306002317777482"/>
    <n v="22.771573604060915"/>
    <n v="6.5356886776680962"/>
    <n v="11.434010152284264"/>
    <n v="3.5019632409825281"/>
    <n v="1.2134636287643328"/>
    <n v="1.5650112636008453"/>
    <n v="1.3038371717558861"/>
    <n v="1.3607706880403547"/>
  </r>
  <r>
    <x v="9"/>
    <s v="IMP"/>
    <n v="7"/>
    <n v="7"/>
    <n v="7"/>
    <n v="7"/>
    <n v="6"/>
    <n v="5"/>
    <n v="5"/>
    <n v="5"/>
    <n v="6"/>
    <n v="4"/>
    <n v="28"/>
    <n v="21"/>
    <n v="10"/>
    <n v="59"/>
    <n v="1.1005049346146116"/>
    <n v="23.196700507614214"/>
    <n v="6.4306002317777482"/>
    <n v="22.771573604060915"/>
    <n v="6.5356886776680962"/>
    <n v="11.434010152284264"/>
    <n v="3.5019632409825281"/>
    <n v="0.74694419171784021"/>
    <n v="-0.27106150421672232"/>
    <n v="-0.40948749418681252"/>
    <n v="2.213173110476846E-2"/>
  </r>
  <r>
    <x v="9"/>
    <s v="IMP"/>
    <n v="7"/>
    <n v="7"/>
    <n v="7"/>
    <n v="7"/>
    <n v="6"/>
    <n v="5"/>
    <n v="5"/>
    <n v="5"/>
    <n v="6"/>
    <n v="5"/>
    <n v="28"/>
    <n v="21"/>
    <n v="11"/>
    <n v="60"/>
    <n v="0.94280904158206325"/>
    <n v="23.196700507614214"/>
    <n v="6.4306002317777482"/>
    <n v="22.771573604060915"/>
    <n v="6.5356886776680962"/>
    <n v="11.434010152284264"/>
    <n v="3.5019632409825281"/>
    <n v="0.74694419171784021"/>
    <n v="-0.27106150421672232"/>
    <n v="-0.12393338319636275"/>
    <n v="0.11731643476825171"/>
  </r>
  <r>
    <x v="9"/>
    <s v="IMP"/>
    <n v="7"/>
    <n v="6"/>
    <n v="7"/>
    <n v="6"/>
    <n v="6"/>
    <n v="5"/>
    <n v="5"/>
    <n v="4"/>
    <n v="4"/>
    <n v="4"/>
    <n v="26"/>
    <n v="20"/>
    <n v="8"/>
    <n v="54"/>
    <n v="1.1737877907772674"/>
    <n v="23.196700507614214"/>
    <n v="6.4306002317777482"/>
    <n v="22.771573604060915"/>
    <n v="6.5356886776680962"/>
    <n v="11.434010152284264"/>
    <n v="3.5019632409825281"/>
    <n v="0.43593123368684517"/>
    <n v="-0.42406756820151964"/>
    <n v="-0.98059571616771202"/>
    <n v="-0.3229106835607955"/>
  </r>
  <r>
    <x v="9"/>
    <s v="IMP"/>
    <n v="8"/>
    <n v="9"/>
    <n v="8"/>
    <n v="9"/>
    <n v="6"/>
    <n v="5"/>
    <n v="5"/>
    <n v="6"/>
    <n v="6"/>
    <n v="7"/>
    <n v="34"/>
    <n v="22"/>
    <n v="13"/>
    <n v="69"/>
    <n v="1.5238839267549946"/>
    <n v="23.196700507614214"/>
    <n v="6.4306002317777482"/>
    <n v="22.771573604060915"/>
    <n v="6.5356886776680962"/>
    <n v="11.434010152284264"/>
    <n v="3.5019632409825281"/>
    <n v="1.6799830658108255"/>
    <n v="-0.11805544023192505"/>
    <n v="0.44717483878453679"/>
    <n v="0.66970082145447918"/>
  </r>
  <r>
    <x v="9"/>
    <s v="IMP"/>
    <n v="7"/>
    <n v="7"/>
    <n v="7"/>
    <n v="6"/>
    <n v="6"/>
    <n v="5"/>
    <n v="5"/>
    <n v="5"/>
    <n v="6"/>
    <n v="5"/>
    <n v="27"/>
    <n v="21"/>
    <n v="11"/>
    <n v="59"/>
    <n v="0.87559503577091302"/>
    <n v="23.196700507614214"/>
    <n v="6.4306002317777482"/>
    <n v="22.771573604060915"/>
    <n v="6.5356886776680962"/>
    <n v="11.434010152284264"/>
    <n v="3.5019632409825281"/>
    <n v="0.59143771270234269"/>
    <n v="-0.27106150421672232"/>
    <n v="-0.12393338319636275"/>
    <n v="6.5480941763085873E-2"/>
  </r>
  <r>
    <x v="9"/>
    <s v="IMP"/>
    <n v="5"/>
    <n v="5"/>
    <n v="4"/>
    <n v="4"/>
    <n v="4"/>
    <n v="3"/>
    <n v="3"/>
    <n v="3"/>
    <n v="4"/>
    <n v="2"/>
    <n v="18"/>
    <n v="13"/>
    <n v="6"/>
    <n v="37"/>
    <n v="0.94868329805051388"/>
    <n v="23.196700507614214"/>
    <n v="6.4306002317777482"/>
    <n v="22.771573604060915"/>
    <n v="6.5356886776680962"/>
    <n v="11.434010152284264"/>
    <n v="3.5019632409825281"/>
    <n v="-0.80812059843713513"/>
    <n v="-1.4951100160951007"/>
    <n v="-1.5517039381486115"/>
    <n v="-1.2849781842269492"/>
  </r>
  <r>
    <x v="10"/>
    <s v="IMP"/>
    <n v="3"/>
    <n v="4"/>
    <n v="3"/>
    <n v="4"/>
    <n v="3"/>
    <n v="2"/>
    <n v="3"/>
    <n v="3"/>
    <n v="3"/>
    <n v="3"/>
    <n v="14"/>
    <n v="11"/>
    <n v="6"/>
    <n v="31"/>
    <n v="0.56764621219754663"/>
    <n v="23.196700507614214"/>
    <n v="6.4306002317777482"/>
    <n v="22.771573604060915"/>
    <n v="6.5356886776680962"/>
    <n v="11.434010152284264"/>
    <n v="3.5019632409825281"/>
    <n v="-1.4301465144991252"/>
    <n v="-1.8011221440646954"/>
    <n v="-1.5517039381486115"/>
    <n v="-1.5943241989041439"/>
  </r>
  <r>
    <x v="10"/>
    <s v="IMP"/>
    <n v="2"/>
    <n v="2"/>
    <n v="1"/>
    <n v="2"/>
    <n v="1"/>
    <n v="1"/>
    <n v="1"/>
    <n v="1"/>
    <n v="1"/>
    <n v="1"/>
    <n v="7"/>
    <n v="4"/>
    <n v="2"/>
    <n v="13"/>
    <n v="0.48304589153964794"/>
    <n v="23.196700507614214"/>
    <n v="6.4306002317777482"/>
    <n v="22.771573604060915"/>
    <n v="6.5356886776680962"/>
    <n v="11.434010152284264"/>
    <n v="3.5019632409825281"/>
    <n v="-2.518691867607608"/>
    <n v="-2.8721645919582763"/>
    <n v="-2.6939203821104107"/>
    <n v="-2.6949256138920981"/>
  </r>
  <r>
    <x v="10"/>
    <s v="IMP"/>
    <n v="3"/>
    <n v="3"/>
    <n v="3"/>
    <n v="3"/>
    <n v="3"/>
    <n v="2"/>
    <n v="3"/>
    <n v="3"/>
    <n v="2"/>
    <n v="3"/>
    <n v="12"/>
    <n v="11"/>
    <n v="5"/>
    <n v="28"/>
    <n v="0.4216370213557839"/>
    <n v="23.196700507614214"/>
    <n v="6.4306002317777482"/>
    <n v="22.771573604060915"/>
    <n v="6.5356886776680962"/>
    <n v="11.434010152284264"/>
    <n v="3.5019632409825281"/>
    <n v="-1.7411594725301203"/>
    <n v="-1.8011221440646954"/>
    <n v="-1.8372580491390613"/>
    <n v="-1.7931798885779591"/>
  </r>
  <r>
    <x v="10"/>
    <s v="IMP"/>
    <n v="4"/>
    <n v="3"/>
    <n v="3"/>
    <n v="3"/>
    <n v="3"/>
    <n v="2"/>
    <n v="3"/>
    <n v="3"/>
    <n v="3"/>
    <n v="3"/>
    <n v="13"/>
    <n v="11"/>
    <n v="6"/>
    <n v="30"/>
    <n v="0.47140452079103173"/>
    <n v="23.196700507614214"/>
    <n v="6.4306002317777482"/>
    <n v="22.771573604060915"/>
    <n v="6.5356886776680962"/>
    <n v="11.434010152284264"/>
    <n v="3.5019632409825281"/>
    <n v="-1.5856529935146229"/>
    <n v="-1.8011221440646954"/>
    <n v="-1.5517039381486115"/>
    <n v="-1.64615969190931"/>
  </r>
  <r>
    <x v="10"/>
    <s v="IMP"/>
    <n v="4"/>
    <n v="3"/>
    <n v="4"/>
    <n v="4"/>
    <n v="3"/>
    <n v="2"/>
    <n v="4"/>
    <n v="4"/>
    <n v="3"/>
    <n v="2"/>
    <n v="15"/>
    <n v="13"/>
    <n v="5"/>
    <n v="33"/>
    <n v="0.82327260234856459"/>
    <n v="23.196700507614214"/>
    <n v="6.4306002317777482"/>
    <n v="22.771573604060915"/>
    <n v="6.5356886776680962"/>
    <n v="11.434010152284264"/>
    <n v="3.5019632409825281"/>
    <n v="-1.2746400354836278"/>
    <n v="-1.4951100160951007"/>
    <n v="-1.8372580491390613"/>
    <n v="-1.53566936690593"/>
  </r>
  <r>
    <x v="10"/>
    <s v="IMP"/>
    <n v="3"/>
    <n v="3"/>
    <n v="2"/>
    <n v="2"/>
    <n v="3"/>
    <n v="3"/>
    <n v="3"/>
    <n v="2"/>
    <n v="2"/>
    <n v="2"/>
    <n v="10"/>
    <n v="11"/>
    <n v="4"/>
    <n v="25"/>
    <n v="0.52704627669472981"/>
    <n v="23.196700507614214"/>
    <n v="6.4306002317777482"/>
    <n v="22.771573604060915"/>
    <n v="6.5356886776680962"/>
    <n v="11.434010152284264"/>
    <n v="3.5019632409825281"/>
    <n v="-2.0521724305611153"/>
    <n v="-1.8011221440646954"/>
    <n v="-2.1228121601295111"/>
    <n v="-1.992035578251774"/>
  </r>
  <r>
    <x v="10"/>
    <s v="IMP"/>
    <n v="2"/>
    <n v="2"/>
    <n v="2"/>
    <n v="2"/>
    <n v="3"/>
    <n v="3"/>
    <n v="2"/>
    <n v="3"/>
    <n v="3"/>
    <n v="2"/>
    <n v="8"/>
    <n v="11"/>
    <n v="5"/>
    <n v="24"/>
    <n v="0.5163977794943222"/>
    <n v="23.196700507614214"/>
    <n v="6.4306002317777482"/>
    <n v="22.771573604060915"/>
    <n v="6.5356886776680962"/>
    <n v="11.434010152284264"/>
    <n v="3.5019632409825281"/>
    <n v="-2.3631853885921106"/>
    <n v="-1.8011221440646954"/>
    <n v="-1.8372580491390613"/>
    <n v="-2.0005218605986221"/>
  </r>
  <r>
    <x v="10"/>
    <s v="IMP"/>
    <n v="5"/>
    <n v="5"/>
    <n v="5"/>
    <n v="6"/>
    <n v="6"/>
    <n v="5"/>
    <n v="5"/>
    <n v="5"/>
    <n v="6"/>
    <n v="8"/>
    <n v="21"/>
    <n v="21"/>
    <n v="14"/>
    <n v="56"/>
    <n v="0.96609178307929577"/>
    <n v="23.196700507614214"/>
    <n v="6.4306002317777482"/>
    <n v="22.771573604060915"/>
    <n v="6.5356886776680962"/>
    <n v="11.434010152284264"/>
    <n v="3.5019632409825281"/>
    <n v="-0.3416011613906425"/>
    <n v="-0.27106150421672232"/>
    <n v="0.73272894977498659"/>
    <n v="4.0022094722540591E-2"/>
  </r>
  <r>
    <x v="10"/>
    <s v="IMP"/>
    <n v="6"/>
    <n v="6"/>
    <n v="6"/>
    <n v="6"/>
    <n v="6"/>
    <n v="5"/>
    <n v="5"/>
    <n v="5"/>
    <n v="6"/>
    <n v="8"/>
    <n v="24"/>
    <n v="21"/>
    <n v="14"/>
    <n v="59"/>
    <n v="0.87559503577091302"/>
    <n v="23.196700507614214"/>
    <n v="6.4306002317777482"/>
    <n v="22.771573604060915"/>
    <n v="6.5356886776680962"/>
    <n v="11.434010152284264"/>
    <n v="3.5019632409825281"/>
    <n v="0.12491827565585011"/>
    <n v="-0.27106150421672232"/>
    <n v="0.73272894977498659"/>
    <n v="0.19552857373803811"/>
  </r>
  <r>
    <x v="10"/>
    <s v="IMP"/>
    <n v="6"/>
    <n v="6"/>
    <n v="6"/>
    <n v="6"/>
    <n v="6"/>
    <n v="5"/>
    <n v="5"/>
    <n v="5"/>
    <n v="6"/>
    <n v="8"/>
    <n v="24"/>
    <n v="21"/>
    <n v="14"/>
    <n v="59"/>
    <n v="0.87559503577091302"/>
    <n v="23.196700507614214"/>
    <n v="6.4306002317777482"/>
    <n v="22.771573604060915"/>
    <n v="6.5356886776680962"/>
    <n v="11.434010152284264"/>
    <n v="3.5019632409825281"/>
    <n v="0.12491827565585011"/>
    <n v="-0.27106150421672232"/>
    <n v="0.73272894977498659"/>
    <n v="0.19552857373803811"/>
  </r>
  <r>
    <x v="10"/>
    <s v="IMP"/>
    <n v="6"/>
    <n v="7"/>
    <n v="6"/>
    <n v="6"/>
    <n v="6"/>
    <n v="6"/>
    <n v="6"/>
    <n v="6"/>
    <n v="6"/>
    <n v="8"/>
    <n v="25"/>
    <n v="24"/>
    <n v="14"/>
    <n v="63"/>
    <n v="0.67494855771055307"/>
    <n v="23.196700507614214"/>
    <n v="6.4306002317777482"/>
    <n v="22.771573604060915"/>
    <n v="6.5356886776680962"/>
    <n v="11.434010152284264"/>
    <n v="3.5019632409825281"/>
    <n v="0.28042475467134764"/>
    <n v="0.18795668773766958"/>
    <n v="0.73272894977498659"/>
    <n v="0.40037013072800126"/>
  </r>
  <r>
    <x v="10"/>
    <s v="IMP"/>
    <n v="6"/>
    <n v="5"/>
    <n v="5"/>
    <n v="5"/>
    <n v="6"/>
    <n v="5"/>
    <n v="5"/>
    <n v="5"/>
    <n v="5"/>
    <n v="7"/>
    <n v="21"/>
    <n v="21"/>
    <n v="12"/>
    <n v="54"/>
    <n v="0.69920589878010075"/>
    <n v="23.196700507614214"/>
    <n v="6.4306002317777482"/>
    <n v="22.771573604060915"/>
    <n v="6.5356886776680962"/>
    <n v="11.434010152284264"/>
    <n v="3.5019632409825281"/>
    <n v="-0.3416011613906425"/>
    <n v="-0.27106150421672232"/>
    <n v="0.16162072779408701"/>
    <n v="-0.15034731260442594"/>
  </r>
  <r>
    <x v="10"/>
    <s v="IMP"/>
    <n v="6"/>
    <n v="7"/>
    <n v="7"/>
    <n v="6"/>
    <n v="7"/>
    <n v="6"/>
    <n v="6"/>
    <n v="7"/>
    <n v="6"/>
    <n v="8"/>
    <n v="26"/>
    <n v="26"/>
    <n v="14"/>
    <n v="66"/>
    <n v="0.69920589878010087"/>
    <n v="23.196700507614214"/>
    <n v="6.4306002317777482"/>
    <n v="22.771573604060915"/>
    <n v="6.5356886776680962"/>
    <n v="11.434010152284264"/>
    <n v="3.5019632409825281"/>
    <n v="0.43593123368684517"/>
    <n v="0.49396881570726414"/>
    <n v="0.73272894977498659"/>
    <n v="0.5542096663896986"/>
  </r>
  <r>
    <x v="10"/>
    <s v="IMP"/>
    <n v="6"/>
    <n v="6"/>
    <n v="6"/>
    <n v="5"/>
    <n v="6"/>
    <n v="5"/>
    <n v="5"/>
    <n v="5"/>
    <n v="5"/>
    <n v="6"/>
    <n v="23"/>
    <n v="21"/>
    <n v="11"/>
    <n v="55"/>
    <n v="0.52704627669472981"/>
    <n v="23.196700507614214"/>
    <n v="6.4306002317777482"/>
    <n v="22.771573604060915"/>
    <n v="6.5356886776680962"/>
    <n v="11.434010152284264"/>
    <n v="3.5019632409825281"/>
    <n v="-3.0588203359647428E-2"/>
    <n v="-0.27106150421672232"/>
    <n v="-0.12393338319636275"/>
    <n v="-0.14186103025757749"/>
  </r>
  <r>
    <x v="11"/>
    <s v="IMP"/>
    <n v="5"/>
    <n v="6"/>
    <n v="6"/>
    <n v="4"/>
    <n v="6"/>
    <n v="7"/>
    <n v="6"/>
    <n v="7"/>
    <n v="6"/>
    <n v="8"/>
    <n v="21"/>
    <n v="26"/>
    <n v="14"/>
    <n v="61"/>
    <n v="1.1005049346146116"/>
    <n v="23.196700507614214"/>
    <n v="6.4306002317777482"/>
    <n v="22.771573604060915"/>
    <n v="6.5356886776680962"/>
    <n v="11.434010152284264"/>
    <n v="3.5019632409825281"/>
    <n v="-0.3416011613906425"/>
    <n v="0.49396881570726414"/>
    <n v="0.73272894977498659"/>
    <n v="0.29503220136386937"/>
  </r>
  <r>
    <x v="11"/>
    <s v="IMP"/>
    <n v="7"/>
    <n v="6"/>
    <n v="7"/>
    <n v="5"/>
    <n v="5"/>
    <n v="4"/>
    <n v="7"/>
    <n v="4"/>
    <n v="6"/>
    <n v="5"/>
    <n v="25"/>
    <n v="20"/>
    <n v="11"/>
    <n v="56"/>
    <n v="1.1737877907772674"/>
    <n v="23.196700507614214"/>
    <n v="6.4306002317777482"/>
    <n v="22.771573604060915"/>
    <n v="6.5356886776680962"/>
    <n v="11.434010152284264"/>
    <n v="3.5019632409825281"/>
    <n v="0.28042475467134764"/>
    <n v="-0.42406756820151964"/>
    <n v="-0.12393338319636275"/>
    <n v="-8.9192065575511584E-2"/>
  </r>
  <r>
    <x v="11"/>
    <s v="IMP"/>
    <n v="5"/>
    <n v="6"/>
    <n v="5"/>
    <n v="5"/>
    <n v="5"/>
    <n v="4"/>
    <n v="4"/>
    <n v="4"/>
    <n v="4"/>
    <n v="7"/>
    <n v="21"/>
    <n v="17"/>
    <n v="11"/>
    <n v="49"/>
    <n v="0.99442892601175314"/>
    <n v="23.196700507614214"/>
    <n v="6.4306002317777482"/>
    <n v="22.771573604060915"/>
    <n v="6.5356886776680962"/>
    <n v="11.434010152284264"/>
    <n v="3.5019632409825281"/>
    <n v="-0.3416011613906425"/>
    <n v="-0.88308576015591156"/>
    <n v="-0.12393338319636275"/>
    <n v="-0.4495401015809723"/>
  </r>
  <r>
    <x v="11"/>
    <s v="IMP"/>
    <n v="7"/>
    <n v="8"/>
    <n v="7"/>
    <n v="6"/>
    <n v="7"/>
    <n v="8"/>
    <n v="6"/>
    <n v="6"/>
    <n v="7"/>
    <n v="7"/>
    <n v="28"/>
    <n v="27"/>
    <n v="14"/>
    <n v="69"/>
    <n v="0.73786478737262184"/>
    <n v="23.196700507614214"/>
    <n v="6.4306002317777482"/>
    <n v="22.771573604060915"/>
    <n v="6.5356886776680962"/>
    <n v="11.434010152284264"/>
    <n v="3.5019632409825281"/>
    <n v="0.74694419171784021"/>
    <n v="0.64697487969206147"/>
    <n v="0.73272894977498659"/>
    <n v="0.70888267372829616"/>
  </r>
  <r>
    <x v="11"/>
    <s v="IMP"/>
    <n v="9"/>
    <n v="9"/>
    <n v="8"/>
    <n v="9"/>
    <n v="9"/>
    <n v="8"/>
    <n v="8"/>
    <n v="8"/>
    <n v="8"/>
    <n v="9"/>
    <n v="35"/>
    <n v="33"/>
    <n v="17"/>
    <n v="85"/>
    <n v="0.52704627669473036"/>
    <n v="23.196700507614214"/>
    <n v="6.4306002317777482"/>
    <n v="22.771573604060915"/>
    <n v="6.5356886776680962"/>
    <n v="11.434010152284264"/>
    <n v="3.5019632409825281"/>
    <n v="1.8354895448263231"/>
    <n v="1.5650112636008453"/>
    <n v="1.5893912827463359"/>
    <n v="1.6632973637245014"/>
  </r>
  <r>
    <x v="11"/>
    <s v="IMP"/>
    <n v="7"/>
    <n v="7"/>
    <n v="8"/>
    <n v="8"/>
    <n v="9"/>
    <n v="8"/>
    <n v="7"/>
    <n v="7"/>
    <n v="8"/>
    <n v="8"/>
    <n v="30"/>
    <n v="31"/>
    <n v="16"/>
    <n v="77"/>
    <n v="0.67494855771055284"/>
    <n v="23.196700507614214"/>
    <n v="6.4306002317777482"/>
    <n v="22.771573604060915"/>
    <n v="6.5356886776680962"/>
    <n v="11.434010152284264"/>
    <n v="3.5019632409825281"/>
    <n v="1.0579571497488354"/>
    <n v="1.2589991356312507"/>
    <n v="1.3038371717558861"/>
    <n v="1.2069311523786574"/>
  </r>
  <r>
    <x v="11"/>
    <s v="IMP"/>
    <n v="8"/>
    <n v="9"/>
    <n v="8"/>
    <n v="7"/>
    <n v="8"/>
    <n v="7"/>
    <n v="7"/>
    <n v="7"/>
    <n v="8"/>
    <n v="9"/>
    <n v="32"/>
    <n v="29"/>
    <n v="17"/>
    <n v="78"/>
    <n v="0.78881063774661542"/>
    <n v="23.196700507614214"/>
    <n v="6.4306002317777482"/>
    <n v="22.771573604060915"/>
    <n v="6.5356886776680962"/>
    <n v="11.434010152284264"/>
    <n v="3.5019632409825281"/>
    <n v="1.3689701077798304"/>
    <n v="0.95298700766165612"/>
    <n v="1.5893912827463359"/>
    <n v="1.3037827993959408"/>
  </r>
  <r>
    <x v="11"/>
    <s v="IMP"/>
    <n v="9"/>
    <n v="7"/>
    <n v="8"/>
    <n v="7"/>
    <n v="8"/>
    <n v="7"/>
    <n v="8"/>
    <n v="8"/>
    <n v="7"/>
    <n v="8"/>
    <n v="31"/>
    <n v="31"/>
    <n v="15"/>
    <n v="77"/>
    <n v="0.67494855771055284"/>
    <n v="23.196700507614214"/>
    <n v="6.4306002317777482"/>
    <n v="22.771573604060915"/>
    <n v="6.5356886776680962"/>
    <n v="11.434010152284264"/>
    <n v="3.5019632409825281"/>
    <n v="1.2134636287643328"/>
    <n v="1.2589991356312507"/>
    <n v="1.0182830607654363"/>
    <n v="1.1635819417203399"/>
  </r>
  <r>
    <x v="11"/>
    <s v="IMP"/>
    <n v="5"/>
    <n v="4"/>
    <n v="5"/>
    <n v="5"/>
    <n v="6"/>
    <n v="7"/>
    <n v="6"/>
    <n v="6"/>
    <n v="5"/>
    <n v="5"/>
    <n v="19"/>
    <n v="25"/>
    <n v="10"/>
    <n v="54"/>
    <n v="0.84327404271156781"/>
    <n v="23.196700507614214"/>
    <n v="6.4306002317777482"/>
    <n v="22.771573604060915"/>
    <n v="6.5356886776680962"/>
    <n v="11.434010152284264"/>
    <n v="3.5019632409825281"/>
    <n v="-0.65261411942163761"/>
    <n v="0.34096275172246687"/>
    <n v="-0.40948749418681252"/>
    <n v="-0.24037962062866111"/>
  </r>
  <r>
    <x v="11"/>
    <s v="IMP"/>
    <n v="7"/>
    <n v="7"/>
    <n v="6"/>
    <n v="6"/>
    <n v="7"/>
    <n v="8"/>
    <n v="7"/>
    <n v="7"/>
    <n v="6"/>
    <n v="7"/>
    <n v="26"/>
    <n v="29"/>
    <n v="13"/>
    <n v="68"/>
    <n v="0.63245553203367599"/>
    <n v="23.196700507614214"/>
    <n v="6.4306002317777482"/>
    <n v="22.771573604060915"/>
    <n v="6.5356886776680962"/>
    <n v="11.434010152284264"/>
    <n v="3.5019632409825281"/>
    <n v="0.43593123368684517"/>
    <n v="0.95298700766165612"/>
    <n v="0.44717483878453679"/>
    <n v="0.61203102671101262"/>
  </r>
  <r>
    <x v="11"/>
    <s v="IMP"/>
    <n v="6"/>
    <n v="5"/>
    <n v="4"/>
    <n v="2"/>
    <n v="3"/>
    <n v="2"/>
    <n v="4"/>
    <n v="4"/>
    <n v="3"/>
    <n v="2"/>
    <n v="17"/>
    <n v="13"/>
    <n v="5"/>
    <n v="35"/>
    <n v="1.35400640077266"/>
    <n v="23.196700507614214"/>
    <n v="6.4306002317777482"/>
    <n v="22.771573604060915"/>
    <n v="6.5356886776680962"/>
    <n v="11.434010152284264"/>
    <n v="3.5019632409825281"/>
    <n v="-0.96362707745263265"/>
    <n v="-1.4951100160951007"/>
    <n v="-1.8372580491390613"/>
    <n v="-1.4319983808955981"/>
  </r>
  <r>
    <x v="11"/>
    <s v="IMP"/>
    <n v="7"/>
    <n v="8"/>
    <n v="7"/>
    <n v="7"/>
    <n v="8"/>
    <n v="7"/>
    <n v="8"/>
    <n v="7"/>
    <n v="7"/>
    <n v="8"/>
    <n v="29"/>
    <n v="30"/>
    <n v="15"/>
    <n v="74"/>
    <n v="0.5163977794943222"/>
    <n v="23.196700507614214"/>
    <n v="6.4306002317777482"/>
    <n v="22.771573604060915"/>
    <n v="6.5356886776680962"/>
    <n v="11.434010152284264"/>
    <n v="3.5019632409825281"/>
    <n v="0.90245067073333785"/>
    <n v="1.1059930716464534"/>
    <n v="1.0182830607654363"/>
    <n v="1.0089089343817426"/>
  </r>
  <r>
    <x v="11"/>
    <s v="IMP"/>
    <n v="6"/>
    <n v="6"/>
    <n v="6"/>
    <n v="4"/>
    <n v="6"/>
    <n v="6"/>
    <n v="6"/>
    <n v="6"/>
    <n v="5"/>
    <n v="6"/>
    <n v="22"/>
    <n v="24"/>
    <n v="11"/>
    <n v="57"/>
    <n v="0.67494855771055307"/>
    <n v="23.196700507614214"/>
    <n v="6.4306002317777482"/>
    <n v="22.771573604060915"/>
    <n v="6.5356886776680962"/>
    <n v="11.434010152284264"/>
    <n v="3.5019632409825281"/>
    <n v="-0.18609468237514495"/>
    <n v="0.18795668773766958"/>
    <n v="-0.12393338319636275"/>
    <n v="-4.0690459277946046E-2"/>
  </r>
  <r>
    <x v="11"/>
    <s v="IMP"/>
    <n v="8"/>
    <n v="8"/>
    <n v="8"/>
    <n v="8"/>
    <n v="9"/>
    <n v="8"/>
    <n v="8"/>
    <n v="8"/>
    <n v="8"/>
    <n v="8"/>
    <n v="32"/>
    <n v="33"/>
    <n v="16"/>
    <n v="81"/>
    <n v="0.31622776601683794"/>
    <n v="23.196700507614214"/>
    <n v="6.4306002317777482"/>
    <n v="22.771573604060915"/>
    <n v="6.5356886776680962"/>
    <n v="11.434010152284264"/>
    <n v="3.5019632409825281"/>
    <n v="1.3689701077798304"/>
    <n v="1.5650112636008453"/>
    <n v="1.3038371717558861"/>
    <n v="1.4126061810455208"/>
  </r>
  <r>
    <x v="11"/>
    <s v="IMP"/>
    <n v="7"/>
    <n v="6"/>
    <n v="6"/>
    <n v="6"/>
    <n v="7"/>
    <n v="5"/>
    <n v="6"/>
    <n v="7"/>
    <n v="7"/>
    <n v="7"/>
    <n v="25"/>
    <n v="25"/>
    <n v="14"/>
    <n v="64"/>
    <n v="0.69920589878010109"/>
    <n v="23.196700507614214"/>
    <n v="6.4306002317777482"/>
    <n v="22.771573604060915"/>
    <n v="6.5356886776680962"/>
    <n v="11.434010152284264"/>
    <n v="3.5019632409825281"/>
    <n v="0.28042475467134764"/>
    <n v="0.34096275172246687"/>
    <n v="0.73272894977498659"/>
    <n v="0.45137215205626707"/>
  </r>
  <r>
    <x v="11"/>
    <s v="IMP"/>
    <n v="7"/>
    <n v="4"/>
    <n v="5"/>
    <n v="4"/>
    <n v="6"/>
    <n v="7"/>
    <n v="6"/>
    <n v="6"/>
    <n v="7"/>
    <n v="6"/>
    <n v="20"/>
    <n v="25"/>
    <n v="13"/>
    <n v="58"/>
    <n v="1.1352924243950933"/>
    <n v="23.196700507614214"/>
    <n v="6.4306002317777482"/>
    <n v="22.771573604060915"/>
    <n v="6.5356886776680962"/>
    <n v="11.434010152284264"/>
    <n v="3.5019632409825281"/>
    <n v="-0.49710764040614003"/>
    <n v="0.34096275172246687"/>
    <n v="0.44717483878453679"/>
    <n v="9.7009983366954544E-2"/>
  </r>
  <r>
    <x v="11"/>
    <s v="IMP"/>
    <n v="7"/>
    <n v="6"/>
    <n v="7"/>
    <n v="7"/>
    <n v="6"/>
    <n v="5"/>
    <n v="5"/>
    <n v="6"/>
    <n v="6"/>
    <n v="8"/>
    <n v="27"/>
    <n v="22"/>
    <n v="14"/>
    <n v="63"/>
    <n v="0.94868329805051377"/>
    <n v="23.196700507614214"/>
    <n v="6.4306002317777482"/>
    <n v="22.771573604060915"/>
    <n v="6.5356886776680962"/>
    <n v="11.434010152284264"/>
    <n v="3.5019632409825281"/>
    <n v="0.59143771270234269"/>
    <n v="-0.11805544023192505"/>
    <n v="0.73272894977498659"/>
    <n v="0.40203707408180139"/>
  </r>
  <r>
    <x v="11"/>
    <s v="IMP"/>
    <n v="6"/>
    <n v="5"/>
    <n v="6"/>
    <n v="5"/>
    <n v="6"/>
    <n v="6"/>
    <n v="5"/>
    <n v="4"/>
    <n v="5"/>
    <n v="5"/>
    <n v="22"/>
    <n v="21"/>
    <n v="10"/>
    <n v="53"/>
    <n v="0.67494855771055284"/>
    <n v="23.196700507614214"/>
    <n v="6.4306002317777482"/>
    <n v="22.771573604060915"/>
    <n v="6.5356886776680962"/>
    <n v="11.434010152284264"/>
    <n v="3.5019632409825281"/>
    <n v="-0.18609468237514495"/>
    <n v="-0.27106150421672232"/>
    <n v="-0.40948749418681252"/>
    <n v="-0.28888122692622659"/>
  </r>
  <r>
    <x v="11"/>
    <s v="IMP"/>
    <n v="7"/>
    <n v="7"/>
    <n v="6"/>
    <n v="6"/>
    <n v="7"/>
    <n v="5"/>
    <n v="6"/>
    <n v="5"/>
    <n v="6"/>
    <n v="6"/>
    <n v="26"/>
    <n v="23"/>
    <n v="12"/>
    <n v="61"/>
    <n v="0.73786478737262173"/>
    <n v="23.196700507614214"/>
    <n v="6.4306002317777482"/>
    <n v="22.771573604060915"/>
    <n v="6.5356886776680962"/>
    <n v="11.434010152284264"/>
    <n v="3.5019632409825281"/>
    <n v="0.43593123368684517"/>
    <n v="3.4950623752872265E-2"/>
    <n v="0.16162072779408701"/>
    <n v="0.2108341950779348"/>
  </r>
  <r>
    <x v="11"/>
    <s v="IMP"/>
    <n v="7"/>
    <n v="7"/>
    <n v="7"/>
    <n v="7"/>
    <n v="7"/>
    <n v="6"/>
    <n v="7"/>
    <n v="6"/>
    <n v="6"/>
    <n v="7"/>
    <n v="28"/>
    <n v="26"/>
    <n v="13"/>
    <n v="67"/>
    <n v="0.48304589153964789"/>
    <n v="23.196700507614214"/>
    <n v="6.4306002317777482"/>
    <n v="22.771573604060915"/>
    <n v="6.5356886776680962"/>
    <n v="11.434010152284264"/>
    <n v="3.5019632409825281"/>
    <n v="0.74694419171784021"/>
    <n v="0.49396881570726414"/>
    <n v="0.44717483878453679"/>
    <n v="0.56269594873654716"/>
  </r>
  <r>
    <x v="11"/>
    <s v="IMP"/>
    <n v="6"/>
    <n v="4"/>
    <n v="6"/>
    <n v="5"/>
    <n v="6"/>
    <n v="5"/>
    <n v="5"/>
    <n v="4"/>
    <n v="5"/>
    <n v="6"/>
    <n v="21"/>
    <n v="20"/>
    <n v="11"/>
    <n v="52"/>
    <n v="0.78881063774661564"/>
    <n v="23.196700507614214"/>
    <n v="6.4306002317777482"/>
    <n v="22.771573604060915"/>
    <n v="6.5356886776680962"/>
    <n v="11.434010152284264"/>
    <n v="3.5019632409825281"/>
    <n v="-0.3416011613906425"/>
    <n v="-0.42406756820151964"/>
    <n v="-0.12393338319636275"/>
    <n v="-0.29653403759617497"/>
  </r>
  <r>
    <x v="11"/>
    <s v="IMP"/>
    <n v="7"/>
    <n v="7"/>
    <n v="7"/>
    <n v="7"/>
    <n v="6"/>
    <n v="5"/>
    <n v="6"/>
    <n v="7"/>
    <n v="6"/>
    <n v="7"/>
    <n v="28"/>
    <n v="24"/>
    <n v="13"/>
    <n v="65"/>
    <n v="0.70710678118654746"/>
    <n v="23.196700507614214"/>
    <n v="6.4306002317777482"/>
    <n v="22.771573604060915"/>
    <n v="6.5356886776680962"/>
    <n v="11.434010152284264"/>
    <n v="3.5019632409825281"/>
    <n v="0.74694419171784021"/>
    <n v="0.18795668773766958"/>
    <n v="0.44717483878453679"/>
    <n v="0.46069190608001548"/>
  </r>
  <r>
    <x v="11"/>
    <s v="IMP"/>
    <n v="6"/>
    <n v="6"/>
    <n v="6"/>
    <n v="6"/>
    <n v="7"/>
    <n v="6"/>
    <n v="7"/>
    <n v="7"/>
    <n v="6"/>
    <n v="7"/>
    <n v="24"/>
    <n v="27"/>
    <n v="13"/>
    <n v="64"/>
    <n v="0.51639777949432231"/>
    <n v="23.196700507614214"/>
    <n v="6.4306002317777482"/>
    <n v="22.771573604060915"/>
    <n v="6.5356886776680962"/>
    <n v="11.434010152284264"/>
    <n v="3.5019632409825281"/>
    <n v="0.12491827565585011"/>
    <n v="0.64697487969206147"/>
    <n v="0.44717483878453679"/>
    <n v="0.4063559980441494"/>
  </r>
  <r>
    <x v="11"/>
    <s v="IMP"/>
    <n v="7"/>
    <n v="6"/>
    <n v="7"/>
    <n v="7"/>
    <n v="7"/>
    <n v="6"/>
    <n v="6"/>
    <n v="7"/>
    <n v="6"/>
    <n v="5"/>
    <n v="27"/>
    <n v="26"/>
    <n v="11"/>
    <n v="64"/>
    <n v="0.69920589878010087"/>
    <n v="23.196700507614214"/>
    <n v="6.4306002317777482"/>
    <n v="22.771573604060915"/>
    <n v="6.5356886776680962"/>
    <n v="11.434010152284264"/>
    <n v="3.5019632409825281"/>
    <n v="0.59143771270234269"/>
    <n v="0.49396881570726414"/>
    <n v="-0.12393338319636275"/>
    <n v="0.32049104840441472"/>
  </r>
  <r>
    <x v="11"/>
    <s v="IMP"/>
    <n v="6"/>
    <n v="4"/>
    <n v="5"/>
    <n v="6"/>
    <n v="5"/>
    <n v="5"/>
    <n v="6"/>
    <n v="7"/>
    <n v="7"/>
    <n v="6"/>
    <n v="21"/>
    <n v="23"/>
    <n v="13"/>
    <n v="57"/>
    <n v="0.94868329805051377"/>
    <n v="23.196700507614214"/>
    <n v="6.4306002317777482"/>
    <n v="22.771573604060915"/>
    <n v="6.5356886776680962"/>
    <n v="11.434010152284264"/>
    <n v="3.5019632409825281"/>
    <n v="-0.3416011613906425"/>
    <n v="3.4950623752872265E-2"/>
    <n v="0.44717483878453679"/>
    <n v="4.6841433715588854E-2"/>
  </r>
  <r>
    <x v="11"/>
    <s v="IMP"/>
    <n v="8"/>
    <n v="8"/>
    <n v="8"/>
    <n v="8"/>
    <n v="8"/>
    <n v="9"/>
    <n v="8"/>
    <n v="8"/>
    <n v="7"/>
    <n v="7"/>
    <n v="32"/>
    <n v="33"/>
    <n v="14"/>
    <n v="79"/>
    <n v="0.56764621219754674"/>
    <n v="23.196700507614214"/>
    <n v="6.4306002317777482"/>
    <n v="22.771573604060915"/>
    <n v="6.5356886776680962"/>
    <n v="11.434010152284264"/>
    <n v="3.5019632409825281"/>
    <n v="1.3689701077798304"/>
    <n v="1.5650112636008453"/>
    <n v="0.73272894977498659"/>
    <n v="1.222236773718554"/>
  </r>
  <r>
    <x v="11"/>
    <s v="IMP"/>
    <n v="6"/>
    <n v="5"/>
    <n v="6"/>
    <n v="6"/>
    <n v="6"/>
    <n v="5"/>
    <n v="6"/>
    <n v="5"/>
    <n v="6"/>
    <n v="6"/>
    <n v="23"/>
    <n v="22"/>
    <n v="12"/>
    <n v="57"/>
    <n v="0.48304589153964789"/>
    <n v="23.196700507614214"/>
    <n v="6.4306002317777482"/>
    <n v="22.771573604060915"/>
    <n v="6.5356886776680962"/>
    <n v="11.434010152284264"/>
    <n v="3.5019632409825281"/>
    <n v="-3.0588203359647428E-2"/>
    <n v="-0.11805544023192505"/>
    <n v="0.16162072779408701"/>
    <n v="4.3256947341715106E-3"/>
  </r>
  <r>
    <x v="11"/>
    <s v="IMP"/>
    <n v="8"/>
    <n v="7"/>
    <n v="7"/>
    <n v="8"/>
    <n v="8"/>
    <n v="8"/>
    <n v="7"/>
    <n v="8"/>
    <n v="8"/>
    <n v="8"/>
    <n v="30"/>
    <n v="31"/>
    <n v="16"/>
    <n v="77"/>
    <n v="0.48304589153964789"/>
    <n v="23.196700507614214"/>
    <n v="6.4306002317777482"/>
    <n v="22.771573604060915"/>
    <n v="6.5356886776680962"/>
    <n v="11.434010152284264"/>
    <n v="3.5019632409825281"/>
    <n v="1.0579571497488354"/>
    <n v="1.2589991356312507"/>
    <n v="1.3038371717558861"/>
    <n v="1.2069311523786574"/>
  </r>
  <r>
    <x v="11"/>
    <s v="IMP"/>
    <n v="8"/>
    <n v="7"/>
    <n v="7"/>
    <n v="8"/>
    <n v="7"/>
    <n v="6"/>
    <n v="6"/>
    <n v="6"/>
    <n v="6"/>
    <n v="5"/>
    <n v="30"/>
    <n v="25"/>
    <n v="11"/>
    <n v="66"/>
    <n v="0.96609178307929588"/>
    <n v="23.196700507614214"/>
    <n v="6.4306002317777482"/>
    <n v="22.771573604060915"/>
    <n v="6.5356886776680962"/>
    <n v="11.434010152284264"/>
    <n v="3.5019632409825281"/>
    <n v="1.0579571497488354"/>
    <n v="0.34096275172246687"/>
    <n v="-0.12393338319636275"/>
    <n v="0.42499550609164655"/>
  </r>
  <r>
    <x v="11"/>
    <s v="IMP"/>
    <n v="8"/>
    <n v="7"/>
    <n v="8"/>
    <n v="8"/>
    <n v="7"/>
    <n v="7"/>
    <n v="7"/>
    <n v="8"/>
    <n v="8"/>
    <n v="8"/>
    <n v="31"/>
    <n v="29"/>
    <n v="16"/>
    <n v="76"/>
    <n v="0.5163977794943222"/>
    <n v="23.196700507614214"/>
    <n v="6.4306002317777482"/>
    <n v="22.771573604060915"/>
    <n v="6.5356886776680962"/>
    <n v="11.434010152284264"/>
    <n v="3.5019632409825281"/>
    <n v="1.2134636287643328"/>
    <n v="0.95298700766165612"/>
    <n v="1.3038371717558861"/>
    <n v="1.1567626027272917"/>
  </r>
  <r>
    <x v="11"/>
    <s v="IMP"/>
    <n v="8"/>
    <n v="9"/>
    <n v="9"/>
    <n v="8"/>
    <n v="8"/>
    <n v="7"/>
    <n v="7"/>
    <n v="8"/>
    <n v="8"/>
    <n v="7"/>
    <n v="34"/>
    <n v="30"/>
    <n v="15"/>
    <n v="79"/>
    <n v="0.73786478737262251"/>
    <n v="23.196700507614214"/>
    <n v="6.4306002317777482"/>
    <n v="22.771573604060915"/>
    <n v="6.5356886776680962"/>
    <n v="11.434010152284264"/>
    <n v="3.5019632409825281"/>
    <n v="1.6799830658108255"/>
    <n v="1.1059930716464534"/>
    <n v="1.0182830607654363"/>
    <n v="1.268086399407572"/>
  </r>
  <r>
    <x v="11"/>
    <s v="IMP"/>
    <n v="6"/>
    <n v="4"/>
    <n v="4"/>
    <n v="2"/>
    <n v="2"/>
    <n v="1"/>
    <n v="2"/>
    <n v="2"/>
    <n v="3"/>
    <n v="2"/>
    <n v="16"/>
    <n v="7"/>
    <n v="5"/>
    <n v="28"/>
    <n v="1.4757295747452439"/>
    <n v="23.196700507614214"/>
    <n v="6.4306002317777482"/>
    <n v="22.771573604060915"/>
    <n v="6.5356886776680962"/>
    <n v="11.434010152284264"/>
    <n v="3.5019632409825281"/>
    <n v="-1.1191335564681302"/>
    <n v="-2.4131464000038845"/>
    <n v="-1.8372580491390613"/>
    <n v="-1.7898460018703586"/>
  </r>
  <r>
    <x v="12"/>
    <s v="IMP"/>
    <n v="6"/>
    <n v="5"/>
    <n v="5"/>
    <n v="6"/>
    <n v="5"/>
    <n v="5"/>
    <n v="5"/>
    <n v="5"/>
    <n v="5"/>
    <n v="7"/>
    <n v="22"/>
    <n v="20"/>
    <n v="12"/>
    <n v="54"/>
    <n v="0.69920589878010087"/>
    <n v="23.196700507614214"/>
    <n v="6.4306002317777482"/>
    <n v="22.771573604060915"/>
    <n v="6.5356886776680962"/>
    <n v="11.434010152284264"/>
    <n v="3.5019632409825281"/>
    <n v="-0.18609468237514495"/>
    <n v="-0.42406756820151964"/>
    <n v="0.16162072779408701"/>
    <n v="-0.14951384092752587"/>
  </r>
  <r>
    <x v="12"/>
    <s v="IMP"/>
    <n v="6"/>
    <n v="5"/>
    <n v="5"/>
    <n v="5"/>
    <n v="7"/>
    <n v="5"/>
    <n v="5"/>
    <n v="5"/>
    <n v="5"/>
    <n v="6"/>
    <n v="21"/>
    <n v="22"/>
    <n v="11"/>
    <n v="54"/>
    <n v="0.69920589878010109"/>
    <n v="23.196700507614214"/>
    <n v="6.4306002317777482"/>
    <n v="22.771573604060915"/>
    <n v="6.5356886776680962"/>
    <n v="11.434010152284264"/>
    <n v="3.5019632409825281"/>
    <n v="-0.3416011613906425"/>
    <n v="-0.11805544023192505"/>
    <n v="-0.12393338319636275"/>
    <n v="-0.19452999493964343"/>
  </r>
  <r>
    <x v="12"/>
    <s v="IMP"/>
    <n v="7"/>
    <n v="7"/>
    <n v="7"/>
    <n v="7"/>
    <n v="6"/>
    <n v="6"/>
    <n v="7"/>
    <n v="6"/>
    <n v="6"/>
    <n v="6"/>
    <n v="28"/>
    <n v="25"/>
    <n v="12"/>
    <n v="65"/>
    <n v="0.52704627669472948"/>
    <n v="23.196700507614214"/>
    <n v="6.4306002317777482"/>
    <n v="22.771573604060915"/>
    <n v="6.5356886776680962"/>
    <n v="11.434010152284264"/>
    <n v="3.5019632409825281"/>
    <n v="0.74694419171784021"/>
    <n v="0.34096275172246687"/>
    <n v="0.16162072779408701"/>
    <n v="0.41650922374479804"/>
  </r>
  <r>
    <x v="12"/>
    <s v="IMP"/>
    <n v="7"/>
    <n v="6"/>
    <n v="7"/>
    <n v="6"/>
    <n v="6"/>
    <n v="5"/>
    <n v="7"/>
    <n v="6"/>
    <n v="6"/>
    <n v="6"/>
    <n v="26"/>
    <n v="24"/>
    <n v="12"/>
    <n v="62"/>
    <n v="0.63245553203367588"/>
    <n v="23.196700507614214"/>
    <n v="6.4306002317777482"/>
    <n v="22.771573604060915"/>
    <n v="6.5356886776680962"/>
    <n v="11.434010152284264"/>
    <n v="3.5019632409825281"/>
    <n v="0.43593123368684517"/>
    <n v="0.18795668773766958"/>
    <n v="0.16162072779408701"/>
    <n v="0.26183621640620058"/>
  </r>
  <r>
    <x v="12"/>
    <s v="IMP"/>
    <n v="7"/>
    <n v="8"/>
    <n v="7"/>
    <n v="7"/>
    <n v="7"/>
    <n v="7"/>
    <n v="8"/>
    <n v="8"/>
    <n v="7"/>
    <n v="8"/>
    <n v="29"/>
    <n v="30"/>
    <n v="15"/>
    <n v="74"/>
    <n v="0.51639777949432231"/>
    <n v="23.196700507614214"/>
    <n v="6.4306002317777482"/>
    <n v="22.771573604060915"/>
    <n v="6.5356886776680962"/>
    <n v="11.434010152284264"/>
    <n v="3.5019632409825281"/>
    <n v="0.90245067073333785"/>
    <n v="1.1059930716464534"/>
    <n v="1.0182830607654363"/>
    <n v="1.0089089343817426"/>
  </r>
  <r>
    <x v="12"/>
    <s v="IMP"/>
    <n v="6"/>
    <n v="6"/>
    <n v="7"/>
    <n v="6"/>
    <n v="6"/>
    <n v="6"/>
    <n v="5"/>
    <n v="5"/>
    <n v="6"/>
    <n v="5"/>
    <n v="25"/>
    <n v="22"/>
    <n v="11"/>
    <n v="58"/>
    <n v="0.63245553203367599"/>
    <n v="23.196700507614214"/>
    <n v="6.4306002317777482"/>
    <n v="22.771573604060915"/>
    <n v="6.5356886776680962"/>
    <n v="11.434010152284264"/>
    <n v="3.5019632409825281"/>
    <n v="0.28042475467134764"/>
    <n v="-0.11805544023192505"/>
    <n v="-0.12393338319636275"/>
    <n v="1.2811977081019948E-2"/>
  </r>
  <r>
    <x v="12"/>
    <s v="IMP"/>
    <n v="6"/>
    <n v="5"/>
    <n v="5"/>
    <n v="5"/>
    <n v="6"/>
    <n v="6"/>
    <n v="5"/>
    <n v="6"/>
    <n v="5"/>
    <n v="6"/>
    <n v="21"/>
    <n v="23"/>
    <n v="11"/>
    <n v="55"/>
    <n v="0.52704627669472981"/>
    <n v="23.196700507614214"/>
    <n v="6.4306002317777482"/>
    <n v="22.771573604060915"/>
    <n v="6.5356886776680962"/>
    <n v="11.434010152284264"/>
    <n v="3.5019632409825281"/>
    <n v="-0.3416011613906425"/>
    <n v="3.4950623752872265E-2"/>
    <n v="-0.12393338319636275"/>
    <n v="-0.14352797361137767"/>
  </r>
  <r>
    <x v="12"/>
    <s v="IMP"/>
    <n v="5"/>
    <n v="6"/>
    <n v="6"/>
    <n v="5"/>
    <n v="5"/>
    <n v="5"/>
    <n v="6"/>
    <n v="5"/>
    <n v="5"/>
    <n v="6"/>
    <n v="22"/>
    <n v="21"/>
    <n v="11"/>
    <n v="54"/>
    <n v="0.51639777949432231"/>
    <n v="23.196700507614214"/>
    <n v="6.4306002317777482"/>
    <n v="22.771573604060915"/>
    <n v="6.5356886776680962"/>
    <n v="11.434010152284264"/>
    <n v="3.5019632409825281"/>
    <n v="-0.18609468237514495"/>
    <n v="-0.27106150421672232"/>
    <n v="-0.12393338319636275"/>
    <n v="-0.19369652326274334"/>
  </r>
  <r>
    <x v="12"/>
    <s v="IMP"/>
    <n v="4"/>
    <n v="2"/>
    <n v="4"/>
    <n v="4"/>
    <n v="4"/>
    <n v="4"/>
    <n v="2"/>
    <n v="4"/>
    <n v="6"/>
    <n v="6"/>
    <n v="14"/>
    <n v="14"/>
    <n v="12"/>
    <n v="40"/>
    <n v="1.3333333333333333"/>
    <n v="23.196700507614214"/>
    <n v="6.4306002317777482"/>
    <n v="22.771573604060915"/>
    <n v="6.5356886776680962"/>
    <n v="11.434010152284264"/>
    <n v="3.5019632409825281"/>
    <n v="-1.4301465144991252"/>
    <n v="-1.3421039521103035"/>
    <n v="0.16162072779408701"/>
    <n v="-0.87020991293844741"/>
  </r>
  <r>
    <x v="12"/>
    <s v="IMP"/>
    <n v="4"/>
    <n v="6"/>
    <n v="4"/>
    <n v="6"/>
    <n v="2"/>
    <n v="2"/>
    <n v="2"/>
    <n v="2"/>
    <n v="4"/>
    <n v="6"/>
    <n v="20"/>
    <n v="8"/>
    <n v="10"/>
    <n v="38"/>
    <n v="1.7511900715418263"/>
    <n v="23.196700507614214"/>
    <n v="6.4306002317777482"/>
    <n v="22.771573604060915"/>
    <n v="6.5356886776680962"/>
    <n v="11.434010152284264"/>
    <n v="3.5019632409825281"/>
    <n v="-0.49710764040614003"/>
    <n v="-2.260140336019087"/>
    <n v="-0.40948749418681252"/>
    <n v="-1.0555784902040131"/>
  </r>
  <r>
    <x v="12"/>
    <s v="IMP"/>
    <n v="4"/>
    <n v="2"/>
    <n v="2"/>
    <n v="2"/>
    <n v="4"/>
    <n v="4"/>
    <n v="2"/>
    <n v="4"/>
    <n v="4"/>
    <n v="2"/>
    <n v="10"/>
    <n v="14"/>
    <n v="6"/>
    <n v="30"/>
    <n v="1.0540925533894598"/>
    <n v="23.196700507614214"/>
    <n v="6.4306002317777482"/>
    <n v="22.771573604060915"/>
    <n v="6.5356886776680962"/>
    <n v="11.434010152284264"/>
    <n v="3.5019632409825281"/>
    <n v="-2.0521724305611153"/>
    <n v="-1.3421039521103035"/>
    <n v="-1.5517039381486115"/>
    <n v="-1.6486601069400102"/>
  </r>
  <r>
    <x v="12"/>
    <s v="IMP"/>
    <n v="4"/>
    <n v="4"/>
    <n v="2"/>
    <n v="4"/>
    <n v="4"/>
    <n v="4"/>
    <n v="2"/>
    <n v="4"/>
    <n v="4"/>
    <n v="6"/>
    <n v="14"/>
    <n v="14"/>
    <n v="10"/>
    <n v="38"/>
    <n v="1.1352924243950935"/>
    <n v="23.196700507614214"/>
    <n v="6.4306002317777482"/>
    <n v="22.771573604060915"/>
    <n v="6.5356886776680962"/>
    <n v="11.434010152284264"/>
    <n v="3.5019632409825281"/>
    <n v="-1.4301465144991252"/>
    <n v="-1.3421039521103035"/>
    <n v="-0.40948749418681252"/>
    <n v="-1.0605793202654139"/>
  </r>
  <r>
    <x v="12"/>
    <s v="IMP"/>
    <n v="6"/>
    <n v="7"/>
    <n v="8"/>
    <n v="8"/>
    <n v="6"/>
    <n v="6"/>
    <n v="6"/>
    <n v="8"/>
    <n v="6"/>
    <n v="8"/>
    <n v="29"/>
    <n v="26"/>
    <n v="14"/>
    <n v="69"/>
    <n v="0.99442892601175314"/>
    <n v="23.196700507614214"/>
    <n v="6.4306002317777482"/>
    <n v="22.771573604060915"/>
    <n v="6.5356886776680962"/>
    <n v="11.434010152284264"/>
    <n v="3.5019632409825281"/>
    <n v="0.90245067073333785"/>
    <n v="0.49396881570726414"/>
    <n v="0.73272894977498659"/>
    <n v="0.70971614540519612"/>
  </r>
  <r>
    <x v="12"/>
    <s v="IMP"/>
    <n v="4"/>
    <n v="6"/>
    <n v="4"/>
    <n v="4"/>
    <n v="4"/>
    <n v="4"/>
    <n v="4"/>
    <n v="4"/>
    <n v="4"/>
    <n v="6"/>
    <n v="18"/>
    <n v="16"/>
    <n v="10"/>
    <n v="44"/>
    <n v="0.8432740427115677"/>
    <n v="23.196700507614214"/>
    <n v="6.4306002317777482"/>
    <n v="22.771573604060915"/>
    <n v="6.5356886776680962"/>
    <n v="11.434010152284264"/>
    <n v="3.5019632409825281"/>
    <n v="-0.80812059843713513"/>
    <n v="-1.0360918241407089"/>
    <n v="-0.40948749418681252"/>
    <n v="-0.75123330558821877"/>
  </r>
  <r>
    <x v="13"/>
    <s v="IMP"/>
    <n v="4"/>
    <n v="3"/>
    <n v="3"/>
    <n v="3"/>
    <n v="2"/>
    <n v="2"/>
    <n v="2"/>
    <n v="2"/>
    <n v="2"/>
    <n v="2"/>
    <n v="13"/>
    <n v="8"/>
    <n v="4"/>
    <n v="25"/>
    <n v="0.70710678118654757"/>
    <n v="23.196700507614214"/>
    <n v="6.4306002317777482"/>
    <n v="22.771573604060915"/>
    <n v="6.5356886776680962"/>
    <n v="11.434010152284264"/>
    <n v="3.5019632409825281"/>
    <n v="-1.5856529935146229"/>
    <n v="-2.260140336019087"/>
    <n v="-2.1228121601295111"/>
    <n v="-1.9895351632210738"/>
  </r>
  <r>
    <x v="13"/>
    <s v="IMP"/>
    <n v="3"/>
    <n v="4"/>
    <n v="5"/>
    <n v="2"/>
    <n v="7"/>
    <n v="6"/>
    <n v="5"/>
    <n v="5"/>
    <n v="5"/>
    <n v="5"/>
    <n v="14"/>
    <n v="23"/>
    <n v="10"/>
    <n v="47"/>
    <n v="1.4181364924121764"/>
    <n v="23.196700507614214"/>
    <n v="6.4306002317777482"/>
    <n v="22.771573604060915"/>
    <n v="6.5356886776680962"/>
    <n v="11.434010152284264"/>
    <n v="3.5019632409825281"/>
    <n v="-1.4301465144991252"/>
    <n v="3.4950623752872265E-2"/>
    <n v="-0.40948749418681252"/>
    <n v="-0.60156112831102182"/>
  </r>
  <r>
    <x v="13"/>
    <s v="IMP"/>
    <n v="6"/>
    <n v="4"/>
    <n v="5"/>
    <n v="6"/>
    <n v="5"/>
    <n v="5"/>
    <n v="4"/>
    <n v="6"/>
    <n v="6"/>
    <n v="7"/>
    <n v="21"/>
    <n v="20"/>
    <n v="13"/>
    <n v="54"/>
    <n v="0.96609178307929577"/>
    <n v="23.196700507614214"/>
    <n v="6.4306002317777482"/>
    <n v="22.771573604060915"/>
    <n v="6.5356886776680962"/>
    <n v="11.434010152284264"/>
    <n v="3.5019632409825281"/>
    <n v="-0.3416011613906425"/>
    <n v="-0.42406756820151964"/>
    <n v="0.44717483878453679"/>
    <n v="-0.10616463026920846"/>
  </r>
  <r>
    <x v="13"/>
    <s v="IMP"/>
    <n v="9"/>
    <n v="9"/>
    <n v="9"/>
    <n v="10"/>
    <n v="10"/>
    <n v="10"/>
    <n v="9"/>
    <n v="10"/>
    <n v="10"/>
    <n v="10"/>
    <n v="37"/>
    <n v="39"/>
    <n v="20"/>
    <n v="96"/>
    <n v="0.5163977794943222"/>
    <n v="23.196700507614214"/>
    <n v="6.4306002317777482"/>
    <n v="22.771573604060915"/>
    <n v="6.5356886776680962"/>
    <n v="11.434010152284264"/>
    <n v="3.5019632409825281"/>
    <n v="2.1465025028573179"/>
    <n v="2.483047647509629"/>
    <n v="2.4460536157176853"/>
    <n v="2.3585345886948779"/>
  </r>
  <r>
    <x v="13"/>
    <s v="IMP"/>
    <n v="8"/>
    <n v="8"/>
    <n v="7"/>
    <n v="6"/>
    <n v="7"/>
    <n v="6"/>
    <n v="6"/>
    <n v="7"/>
    <n v="6"/>
    <n v="7"/>
    <n v="29"/>
    <n v="26"/>
    <n v="13"/>
    <n v="68"/>
    <n v="0.78881063774661553"/>
    <n v="23.196700507614214"/>
    <n v="6.4306002317777482"/>
    <n v="22.771573604060915"/>
    <n v="6.5356886776680962"/>
    <n v="11.434010152284264"/>
    <n v="3.5019632409825281"/>
    <n v="0.90245067073333785"/>
    <n v="0.49396881570726414"/>
    <n v="0.44717483878453679"/>
    <n v="0.61453144174171292"/>
  </r>
  <r>
    <x v="13"/>
    <s v="IMP"/>
    <n v="10"/>
    <n v="9"/>
    <n v="9"/>
    <n v="10"/>
    <n v="9"/>
    <n v="9"/>
    <n v="10"/>
    <n v="10"/>
    <n v="10"/>
    <n v="9"/>
    <n v="38"/>
    <n v="38"/>
    <n v="19"/>
    <n v="95"/>
    <n v="0.52704627669472992"/>
    <n v="23.196700507614214"/>
    <n v="6.4306002317777482"/>
    <n v="22.771573604060915"/>
    <n v="6.5356886776680962"/>
    <n v="11.434010152284264"/>
    <n v="3.5019632409825281"/>
    <n v="2.3020089818728158"/>
    <n v="2.3300415835248316"/>
    <n v="2.1604995047272353"/>
    <n v="2.2641833567082941"/>
  </r>
  <r>
    <x v="13"/>
    <s v="IMP"/>
    <n v="7"/>
    <n v="6"/>
    <n v="7"/>
    <n v="7"/>
    <n v="8"/>
    <n v="9"/>
    <n v="8"/>
    <n v="9"/>
    <n v="9"/>
    <n v="10"/>
    <n v="27"/>
    <n v="34"/>
    <n v="19"/>
    <n v="80"/>
    <n v="1.2472191289246475"/>
    <n v="23.196700507614214"/>
    <n v="6.4306002317777482"/>
    <n v="22.771573604060915"/>
    <n v="6.5356886776680962"/>
    <n v="11.434010152284264"/>
    <n v="3.5019632409825281"/>
    <n v="0.59143771270234269"/>
    <n v="1.7180173275856425"/>
    <n v="2.1604995047272353"/>
    <n v="1.4899848483384066"/>
  </r>
  <r>
    <x v="13"/>
    <s v="IMP"/>
    <n v="6"/>
    <n v="5"/>
    <n v="5"/>
    <n v="4"/>
    <n v="6"/>
    <n v="6"/>
    <n v="6"/>
    <n v="5"/>
    <n v="5"/>
    <n v="5"/>
    <n v="20"/>
    <n v="23"/>
    <n v="10"/>
    <n v="53"/>
    <n v="0.67494855771055273"/>
    <n v="23.196700507614214"/>
    <n v="6.4306002317777482"/>
    <n v="22.771573604060915"/>
    <n v="6.5356886776680962"/>
    <n v="11.434010152284264"/>
    <n v="3.5019632409825281"/>
    <n v="-0.49710764040614003"/>
    <n v="3.4950623752872265E-2"/>
    <n v="-0.40948749418681252"/>
    <n v="-0.29054817028002677"/>
  </r>
  <r>
    <x v="13"/>
    <s v="IMP"/>
    <n v="7"/>
    <n v="7"/>
    <n v="7"/>
    <n v="7"/>
    <n v="7"/>
    <n v="7"/>
    <n v="7"/>
    <n v="7"/>
    <n v="7"/>
    <n v="8"/>
    <n v="28"/>
    <n v="28"/>
    <n v="15"/>
    <n v="71"/>
    <n v="0.316227766016838"/>
    <n v="23.196700507614214"/>
    <n v="6.4306002317777482"/>
    <n v="22.771573604060915"/>
    <n v="6.5356886776680962"/>
    <n v="11.434010152284264"/>
    <n v="3.5019632409825281"/>
    <n v="0.74694419171784021"/>
    <n v="0.79998094367685879"/>
    <n v="1.0182830607654363"/>
    <n v="0.85506939872004517"/>
  </r>
  <r>
    <x v="13"/>
    <s v="IMP"/>
    <n v="8"/>
    <n v="8"/>
    <n v="8"/>
    <n v="8"/>
    <n v="8"/>
    <n v="9"/>
    <n v="8"/>
    <n v="8"/>
    <n v="9"/>
    <n v="9"/>
    <n v="32"/>
    <n v="33"/>
    <n v="18"/>
    <n v="83"/>
    <n v="0.48304589153964822"/>
    <n v="23.196700507614214"/>
    <n v="6.4306002317777482"/>
    <n v="22.771573604060915"/>
    <n v="6.5356886776680962"/>
    <n v="11.434010152284264"/>
    <n v="3.5019632409825281"/>
    <n v="1.3689701077798304"/>
    <n v="1.5650112636008453"/>
    <n v="1.8749453937367857"/>
    <n v="1.6029755883724872"/>
  </r>
  <r>
    <x v="13"/>
    <s v="IMP"/>
    <n v="8"/>
    <n v="9"/>
    <n v="7"/>
    <n v="8"/>
    <n v="7"/>
    <n v="9"/>
    <n v="8"/>
    <n v="7"/>
    <n v="8"/>
    <n v="8"/>
    <n v="32"/>
    <n v="31"/>
    <n v="16"/>
    <n v="79"/>
    <n v="0.73786478737262184"/>
    <n v="23.196700507614214"/>
    <n v="6.4306002317777482"/>
    <n v="22.771573604060915"/>
    <n v="6.5356886776680962"/>
    <n v="11.434010152284264"/>
    <n v="3.5019632409825281"/>
    <n v="1.3689701077798304"/>
    <n v="1.2589991356312507"/>
    <n v="1.3038371717558861"/>
    <n v="1.310602138388989"/>
  </r>
  <r>
    <x v="13"/>
    <s v="IMP"/>
    <n v="7"/>
    <n v="7"/>
    <n v="6"/>
    <n v="7"/>
    <n v="6"/>
    <n v="7"/>
    <n v="6"/>
    <n v="6"/>
    <n v="7"/>
    <n v="8"/>
    <n v="27"/>
    <n v="25"/>
    <n v="15"/>
    <n v="67"/>
    <n v="0.67494855771055284"/>
    <n v="23.196700507614214"/>
    <n v="6.4306002317777482"/>
    <n v="22.771573604060915"/>
    <n v="6.5356886776680962"/>
    <n v="11.434010152284264"/>
    <n v="3.5019632409825281"/>
    <n v="0.59143771270234269"/>
    <n v="0.34096275172246687"/>
    <n v="1.0182830607654363"/>
    <n v="0.65022784173008197"/>
  </r>
  <r>
    <x v="13"/>
    <s v="IMP"/>
    <n v="7"/>
    <n v="7"/>
    <n v="7"/>
    <n v="7"/>
    <n v="7"/>
    <n v="6"/>
    <n v="6"/>
    <n v="6"/>
    <n v="6"/>
    <n v="7"/>
    <n v="28"/>
    <n v="25"/>
    <n v="13"/>
    <n v="66"/>
    <n v="0.5163977794943222"/>
    <n v="23.196700507614214"/>
    <n v="6.4306002317777482"/>
    <n v="22.771573604060915"/>
    <n v="6.5356886776680962"/>
    <n v="11.434010152284264"/>
    <n v="3.5019632409825281"/>
    <n v="0.74694419171784021"/>
    <n v="0.34096275172246687"/>
    <n v="0.44717483878453679"/>
    <n v="0.51169392740828135"/>
  </r>
  <r>
    <x v="13"/>
    <s v="IMP"/>
    <n v="5"/>
    <n v="5"/>
    <n v="5"/>
    <n v="5"/>
    <n v="7"/>
    <n v="6"/>
    <n v="6"/>
    <n v="5"/>
    <n v="5"/>
    <n v="5"/>
    <n v="20"/>
    <n v="24"/>
    <n v="10"/>
    <n v="54"/>
    <n v="0.69920589878010098"/>
    <n v="23.196700507614214"/>
    <n v="6.4306002317777482"/>
    <n v="22.771573604060915"/>
    <n v="6.5356886776680962"/>
    <n v="11.434010152284264"/>
    <n v="3.5019632409825281"/>
    <n v="-0.49710764040614003"/>
    <n v="0.18795668773766958"/>
    <n v="-0.40948749418681252"/>
    <n v="-0.23954614895176099"/>
  </r>
  <r>
    <x v="13"/>
    <s v="IMP"/>
    <n v="6"/>
    <n v="5"/>
    <n v="6"/>
    <n v="6"/>
    <n v="6"/>
    <n v="6"/>
    <n v="5"/>
    <n v="5"/>
    <n v="5"/>
    <n v="5"/>
    <n v="23"/>
    <n v="22"/>
    <n v="10"/>
    <n v="55"/>
    <n v="0.52704627669472992"/>
    <n v="23.196700507614214"/>
    <n v="6.4306002317777482"/>
    <n v="22.771573604060915"/>
    <n v="6.5356886776680962"/>
    <n v="11.434010152284264"/>
    <n v="3.5019632409825281"/>
    <n v="-3.0588203359647428E-2"/>
    <n v="-0.11805544023192505"/>
    <n v="-0.40948749418681252"/>
    <n v="-0.18604371259279498"/>
  </r>
  <r>
    <x v="13"/>
    <s v="IMP"/>
    <n v="6"/>
    <n v="5"/>
    <n v="6"/>
    <n v="6"/>
    <n v="4"/>
    <n v="3"/>
    <n v="4"/>
    <n v="4"/>
    <n v="3"/>
    <n v="5"/>
    <n v="23"/>
    <n v="15"/>
    <n v="8"/>
    <n v="46"/>
    <n v="1.1737877907772671"/>
    <n v="23.196700507614214"/>
    <n v="6.4306002317777482"/>
    <n v="22.771573604060915"/>
    <n v="6.5356886776680962"/>
    <n v="11.434010152284264"/>
    <n v="3.5019632409825281"/>
    <n v="-3.0588203359647428E-2"/>
    <n v="-1.1890978881255061"/>
    <n v="-0.98059571616771202"/>
    <n v="-0.7334272692176218"/>
  </r>
  <r>
    <x v="13"/>
    <s v="IMP"/>
    <n v="8"/>
    <n v="7"/>
    <n v="8"/>
    <n v="8"/>
    <n v="6"/>
    <n v="6"/>
    <n v="8"/>
    <n v="9"/>
    <n v="8"/>
    <n v="9"/>
    <n v="31"/>
    <n v="29"/>
    <n v="17"/>
    <n v="77"/>
    <n v="1.0593499054713802"/>
    <n v="23.196700507614214"/>
    <n v="6.4306002317777482"/>
    <n v="22.771573604060915"/>
    <n v="6.5356886776680962"/>
    <n v="11.434010152284264"/>
    <n v="3.5019632409825281"/>
    <n v="1.2134636287643328"/>
    <n v="0.95298700766165612"/>
    <n v="1.5893912827463359"/>
    <n v="1.2519473063907751"/>
  </r>
  <r>
    <x v="13"/>
    <s v="IMP"/>
    <n v="9"/>
    <n v="9"/>
    <n v="8"/>
    <n v="9"/>
    <n v="9"/>
    <n v="10"/>
    <n v="10"/>
    <n v="10"/>
    <n v="9"/>
    <n v="9"/>
    <n v="35"/>
    <n v="39"/>
    <n v="18"/>
    <n v="92"/>
    <n v="0.63245553203367577"/>
    <n v="23.196700507614214"/>
    <n v="6.4306002317777482"/>
    <n v="22.771573604060915"/>
    <n v="6.5356886776680962"/>
    <n v="11.434010152284264"/>
    <n v="3.5019632409825281"/>
    <n v="1.8354895448263231"/>
    <n v="2.483047647509629"/>
    <n v="1.8749453937367857"/>
    <n v="2.0644941953575793"/>
  </r>
  <r>
    <x v="13"/>
    <s v="IMP"/>
    <n v="9"/>
    <n v="7"/>
    <n v="8"/>
    <n v="8"/>
    <n v="7"/>
    <n v="6"/>
    <n v="7"/>
    <n v="6"/>
    <n v="8"/>
    <n v="8"/>
    <n v="32"/>
    <n v="26"/>
    <n v="16"/>
    <n v="74"/>
    <n v="0.96609178307929588"/>
    <n v="23.196700507614214"/>
    <n v="6.4306002317777482"/>
    <n v="22.771573604060915"/>
    <n v="6.5356886776680962"/>
    <n v="11.434010152284264"/>
    <n v="3.5019632409825281"/>
    <n v="1.3689701077798304"/>
    <n v="0.49396881570726414"/>
    <n v="1.3038371717558861"/>
    <n v="1.0555920317476601"/>
  </r>
  <r>
    <x v="13"/>
    <s v="IMP"/>
    <n v="7"/>
    <n v="7"/>
    <n v="8"/>
    <n v="7"/>
    <n v="5"/>
    <n v="5"/>
    <n v="6"/>
    <n v="6"/>
    <n v="7"/>
    <n v="8"/>
    <n v="29"/>
    <n v="22"/>
    <n v="15"/>
    <n v="66"/>
    <n v="1.0749676997731399"/>
    <n v="23.196700507614214"/>
    <n v="6.4306002317777482"/>
    <n v="22.771573604060915"/>
    <n v="6.5356886776680962"/>
    <n v="11.434010152284264"/>
    <n v="3.5019632409825281"/>
    <n v="0.90245067073333785"/>
    <n v="-0.11805544023192505"/>
    <n v="1.0182830607654363"/>
    <n v="0.6008927637556164"/>
  </r>
  <r>
    <x v="13"/>
    <s v="IMP"/>
    <n v="9"/>
    <n v="8"/>
    <n v="8"/>
    <n v="9"/>
    <n v="9"/>
    <n v="9"/>
    <n v="8"/>
    <n v="8"/>
    <n v="8"/>
    <n v="8"/>
    <n v="34"/>
    <n v="34"/>
    <n v="16"/>
    <n v="84"/>
    <n v="0.51639777949432231"/>
    <n v="23.196700507614214"/>
    <n v="6.4306002317777482"/>
    <n v="22.771573604060915"/>
    <n v="6.5356886776680962"/>
    <n v="11.434010152284264"/>
    <n v="3.5019632409825281"/>
    <n v="1.6799830658108255"/>
    <n v="1.7180173275856425"/>
    <n v="1.3038371717558861"/>
    <n v="1.5672791883841182"/>
  </r>
  <r>
    <x v="14"/>
    <s v="IMP"/>
    <n v="6"/>
    <n v="6"/>
    <n v="7"/>
    <n v="7"/>
    <n v="6"/>
    <n v="6"/>
    <n v="5"/>
    <n v="7"/>
    <n v="6"/>
    <n v="6"/>
    <n v="26"/>
    <n v="24"/>
    <n v="12"/>
    <n v="62"/>
    <n v="0.63245553203367599"/>
    <n v="23.196700507614214"/>
    <n v="6.4306002317777482"/>
    <n v="22.771573604060915"/>
    <n v="6.5356886776680962"/>
    <n v="11.434010152284264"/>
    <n v="3.5019632409825281"/>
    <n v="0.43593123368684517"/>
    <n v="0.18795668773766958"/>
    <n v="0.16162072779408701"/>
    <n v="0.26183621640620058"/>
  </r>
  <r>
    <x v="14"/>
    <s v="IMP"/>
    <n v="7"/>
    <n v="4"/>
    <n v="4"/>
    <n v="5"/>
    <n v="4"/>
    <n v="4"/>
    <n v="5"/>
    <n v="3"/>
    <n v="3"/>
    <n v="3"/>
    <n v="20"/>
    <n v="16"/>
    <n v="6"/>
    <n v="42"/>
    <n v="1.2292725943057179"/>
    <n v="23.196700507614214"/>
    <n v="6.4306002317777482"/>
    <n v="22.771573604060915"/>
    <n v="6.5356886776680962"/>
    <n v="11.434010152284264"/>
    <n v="3.5019632409825281"/>
    <n v="-0.49710764040614003"/>
    <n v="-1.0360918241407089"/>
    <n v="-1.5517039381486115"/>
    <n v="-1.0283011342318202"/>
  </r>
  <r>
    <x v="14"/>
    <s v="IMP"/>
    <n v="7"/>
    <n v="6"/>
    <n v="7"/>
    <n v="7"/>
    <n v="8"/>
    <n v="8"/>
    <n v="6"/>
    <n v="6"/>
    <n v="7"/>
    <n v="5"/>
    <n v="27"/>
    <n v="28"/>
    <n v="12"/>
    <n v="67"/>
    <n v="0.94868329805051388"/>
    <n v="23.196700507614214"/>
    <n v="6.4306002317777482"/>
    <n v="22.771573604060915"/>
    <n v="6.5356886776680962"/>
    <n v="11.434010152284264"/>
    <n v="3.5019632409825281"/>
    <n v="0.59143771270234269"/>
    <n v="0.79998094367685879"/>
    <n v="0.16162072779408701"/>
    <n v="0.51767979472442949"/>
  </r>
  <r>
    <x v="14"/>
    <s v="IMP"/>
    <n v="7"/>
    <n v="7"/>
    <n v="7"/>
    <n v="6"/>
    <n v="6"/>
    <n v="6"/>
    <n v="6"/>
    <n v="6"/>
    <n v="7"/>
    <n v="5"/>
    <n v="27"/>
    <n v="24"/>
    <n v="12"/>
    <n v="63"/>
    <n v="0.67494855771055284"/>
    <n v="23.196700507614214"/>
    <n v="6.4306002317777482"/>
    <n v="22.771573604060915"/>
    <n v="6.5356886776680962"/>
    <n v="11.434010152284264"/>
    <n v="3.5019632409825281"/>
    <n v="0.59143771270234269"/>
    <n v="0.18795668773766958"/>
    <n v="0.16162072779408701"/>
    <n v="0.31367170941136641"/>
  </r>
  <r>
    <x v="14"/>
    <s v="IMP"/>
    <n v="5"/>
    <n v="5"/>
    <n v="5"/>
    <n v="5"/>
    <n v="5"/>
    <n v="6"/>
    <n v="7"/>
    <n v="7"/>
    <n v="7"/>
    <n v="5"/>
    <n v="20"/>
    <n v="25"/>
    <n v="12"/>
    <n v="57"/>
    <n v="0.94868329805051366"/>
    <n v="23.196700507614214"/>
    <n v="6.4306002317777482"/>
    <n v="22.771573604060915"/>
    <n v="6.5356886776680962"/>
    <n v="11.434010152284264"/>
    <n v="3.5019632409825281"/>
    <n v="-0.49710764040614003"/>
    <n v="0.34096275172246687"/>
    <n v="0.16162072779408701"/>
    <n v="1.8252797034712849E-3"/>
  </r>
  <r>
    <x v="14"/>
    <s v="IMP"/>
    <n v="2"/>
    <n v="3"/>
    <n v="3"/>
    <n v="3"/>
    <n v="3"/>
    <n v="2"/>
    <n v="2"/>
    <n v="4"/>
    <n v="3"/>
    <n v="4"/>
    <n v="11"/>
    <n v="11"/>
    <n v="7"/>
    <n v="29"/>
    <n v="0.73786478737262184"/>
    <n v="23.196700507614214"/>
    <n v="6.4306002317777482"/>
    <n v="22.771573604060915"/>
    <n v="6.5356886776680962"/>
    <n v="11.434010152284264"/>
    <n v="3.5019632409825281"/>
    <n v="-1.8966659515456179"/>
    <n v="-1.8011221440646954"/>
    <n v="-1.2661498271581617"/>
    <n v="-1.6546459742561586"/>
  </r>
  <r>
    <x v="14"/>
    <s v="IMP"/>
    <n v="6"/>
    <n v="4"/>
    <n v="7"/>
    <n v="6"/>
    <n v="8"/>
    <n v="7"/>
    <n v="7"/>
    <n v="6"/>
    <n v="7"/>
    <n v="7"/>
    <n v="23"/>
    <n v="28"/>
    <n v="14"/>
    <n v="65"/>
    <n v="1.0801234497346432"/>
    <n v="23.196700507614214"/>
    <n v="6.4306002317777482"/>
    <n v="22.771573604060915"/>
    <n v="6.5356886776680962"/>
    <n v="11.434010152284264"/>
    <n v="3.5019632409825281"/>
    <n v="-3.0588203359647428E-2"/>
    <n v="0.79998094367685879"/>
    <n v="0.73272894977498659"/>
    <n v="0.50070723003073259"/>
  </r>
  <r>
    <x v="14"/>
    <s v="IMP"/>
    <n v="8"/>
    <n v="9"/>
    <n v="8"/>
    <n v="9"/>
    <n v="8"/>
    <n v="9"/>
    <n v="9"/>
    <n v="9"/>
    <n v="9"/>
    <n v="7"/>
    <n v="34"/>
    <n v="35"/>
    <n v="16"/>
    <n v="85"/>
    <n v="0.70710678118654757"/>
    <n v="23.196700507614214"/>
    <n v="6.4306002317777482"/>
    <n v="22.771573604060915"/>
    <n v="6.5356886776680962"/>
    <n v="11.434010152284264"/>
    <n v="3.5019632409825281"/>
    <n v="1.6799830658108255"/>
    <n v="1.87102339157044"/>
    <n v="1.3038371717558861"/>
    <n v="1.618281209712384"/>
  </r>
  <r>
    <x v="14"/>
    <s v="IMP"/>
    <n v="9"/>
    <n v="9"/>
    <n v="8"/>
    <n v="9"/>
    <n v="6"/>
    <n v="8"/>
    <n v="8"/>
    <n v="8"/>
    <n v="8"/>
    <n v="9"/>
    <n v="35"/>
    <n v="30"/>
    <n v="17"/>
    <n v="82"/>
    <n v="0.91893658347268137"/>
    <n v="23.196700507614214"/>
    <n v="6.4306002317777482"/>
    <n v="22.771573604060915"/>
    <n v="6.5356886776680962"/>
    <n v="11.434010152284264"/>
    <n v="3.5019632409825281"/>
    <n v="1.8354895448263231"/>
    <n v="1.1059930716464534"/>
    <n v="1.5893912827463359"/>
    <n v="1.510291299739704"/>
  </r>
  <r>
    <x v="14"/>
    <s v="IMP"/>
    <n v="9"/>
    <n v="10"/>
    <n v="10"/>
    <n v="10"/>
    <n v="8"/>
    <n v="10"/>
    <n v="8"/>
    <n v="9"/>
    <n v="9"/>
    <n v="9"/>
    <n v="39"/>
    <n v="35"/>
    <n v="18"/>
    <n v="92"/>
    <n v="0.78881063774661553"/>
    <n v="23.196700507614214"/>
    <n v="6.4306002317777482"/>
    <n v="22.771573604060915"/>
    <n v="6.5356886776680962"/>
    <n v="11.434010152284264"/>
    <n v="3.5019632409825281"/>
    <n v="2.4575154608883132"/>
    <n v="1.87102339157044"/>
    <n v="1.8749453937367857"/>
    <n v="2.0678280820651795"/>
  </r>
  <r>
    <x v="14"/>
    <s v="IMP"/>
    <n v="7"/>
    <n v="7"/>
    <n v="7"/>
    <n v="7"/>
    <n v="8"/>
    <n v="8"/>
    <n v="9"/>
    <n v="8"/>
    <n v="8"/>
    <n v="8"/>
    <n v="28"/>
    <n v="33"/>
    <n v="16"/>
    <n v="77"/>
    <n v="0.67494855771055251"/>
    <n v="23.196700507614214"/>
    <n v="6.4306002317777482"/>
    <n v="22.771573604060915"/>
    <n v="6.5356886776680962"/>
    <n v="11.434010152284264"/>
    <n v="3.5019632409825281"/>
    <n v="0.74694419171784021"/>
    <n v="1.5650112636008453"/>
    <n v="1.3038371717558861"/>
    <n v="1.2052642090248573"/>
  </r>
  <r>
    <x v="14"/>
    <s v="IMP"/>
    <n v="8"/>
    <n v="8"/>
    <n v="7"/>
    <n v="7"/>
    <n v="8"/>
    <n v="8"/>
    <n v="7"/>
    <n v="8"/>
    <n v="7"/>
    <n v="6"/>
    <n v="30"/>
    <n v="31"/>
    <n v="13"/>
    <n v="74"/>
    <n v="0.69920589878010098"/>
    <n v="23.196700507614214"/>
    <n v="6.4306002317777482"/>
    <n v="22.771573604060915"/>
    <n v="6.5356886776680962"/>
    <n v="11.434010152284264"/>
    <n v="3.5019632409825281"/>
    <n v="1.0579571497488354"/>
    <n v="1.2589991356312507"/>
    <n v="0.44717483878453679"/>
    <n v="0.92137704138820764"/>
  </r>
  <r>
    <x v="14"/>
    <s v="IMP"/>
    <n v="9"/>
    <n v="10"/>
    <n v="10"/>
    <n v="10"/>
    <n v="9"/>
    <n v="10"/>
    <n v="10"/>
    <n v="9"/>
    <n v="9"/>
    <n v="7"/>
    <n v="39"/>
    <n v="38"/>
    <n v="16"/>
    <n v="93"/>
    <n v="0.94868329805051388"/>
    <n v="23.196700507614214"/>
    <n v="6.4306002317777482"/>
    <n v="22.771573604060915"/>
    <n v="6.5356886776680962"/>
    <n v="11.434010152284264"/>
    <n v="3.5019632409825281"/>
    <n v="2.4575154608883132"/>
    <n v="2.3300415835248316"/>
    <n v="1.3038371717558861"/>
    <n v="2.0304647387230101"/>
  </r>
  <r>
    <x v="14"/>
    <s v="IMP"/>
    <n v="4"/>
    <n v="4"/>
    <n v="3"/>
    <n v="4"/>
    <n v="6"/>
    <n v="4"/>
    <n v="5"/>
    <n v="5"/>
    <n v="5"/>
    <n v="4"/>
    <n v="15"/>
    <n v="20"/>
    <n v="9"/>
    <n v="44"/>
    <n v="0.84327404271156781"/>
    <n v="23.196700507614214"/>
    <n v="6.4306002317777482"/>
    <n v="22.771573604060915"/>
    <n v="6.5356886776680962"/>
    <n v="11.434010152284264"/>
    <n v="3.5019632409825281"/>
    <n v="-1.2746400354836278"/>
    <n v="-0.42406756820151964"/>
    <n v="-0.69504160517726232"/>
    <n v="-0.79791640295413657"/>
  </r>
  <r>
    <x v="14"/>
    <s v="IMP"/>
    <n v="8"/>
    <n v="8"/>
    <n v="8"/>
    <n v="8"/>
    <n v="8"/>
    <n v="7"/>
    <n v="8"/>
    <n v="8"/>
    <n v="7"/>
    <n v="8"/>
    <n v="32"/>
    <n v="31"/>
    <n v="15"/>
    <n v="78"/>
    <n v="0.4216370213557839"/>
    <n v="23.196700507614214"/>
    <n v="6.4306002317777482"/>
    <n v="22.771573604060915"/>
    <n v="6.5356886776680962"/>
    <n v="11.434010152284264"/>
    <n v="3.5019632409825281"/>
    <n v="1.3689701077798304"/>
    <n v="1.2589991356312507"/>
    <n v="1.0182830607654363"/>
    <n v="1.2154174347255058"/>
  </r>
  <r>
    <x v="14"/>
    <s v="IMP"/>
    <n v="6"/>
    <n v="4"/>
    <n v="4"/>
    <n v="4"/>
    <n v="7"/>
    <n v="6"/>
    <n v="5"/>
    <n v="7"/>
    <n v="6"/>
    <n v="0"/>
    <n v="18"/>
    <n v="25"/>
    <n v="6"/>
    <n v="49"/>
    <n v="2.0789954839350235"/>
    <n v="23.196700507614214"/>
    <n v="6.4306002317777482"/>
    <n v="22.771573604060915"/>
    <n v="6.5356886776680962"/>
    <n v="11.434010152284264"/>
    <n v="3.5019632409825281"/>
    <n v="-0.80812059843713513"/>
    <n v="0.34096275172246687"/>
    <n v="-1.5517039381486115"/>
    <n v="-0.67295392828776002"/>
  </r>
  <r>
    <x v="14"/>
    <s v="IMP"/>
    <n v="6"/>
    <n v="5"/>
    <n v="6"/>
    <n v="7"/>
    <n v="5"/>
    <n v="6"/>
    <n v="6"/>
    <n v="7"/>
    <n v="5"/>
    <n v="8"/>
    <n v="24"/>
    <n v="24"/>
    <n v="13"/>
    <n v="61"/>
    <n v="0.99442892601175314"/>
    <n v="23.196700507614214"/>
    <n v="6.4306002317777482"/>
    <n v="22.771573604060915"/>
    <n v="6.5356886776680962"/>
    <n v="11.434010152284264"/>
    <n v="3.5019632409825281"/>
    <n v="0.12491827565585011"/>
    <n v="0.18795668773766958"/>
    <n v="0.44717483878453679"/>
    <n v="0.25334993405935213"/>
  </r>
  <r>
    <x v="14"/>
    <s v="IMP"/>
    <n v="8"/>
    <n v="6"/>
    <n v="7"/>
    <n v="7"/>
    <n v="6"/>
    <n v="7"/>
    <n v="7"/>
    <n v="7"/>
    <n v="6"/>
    <n v="9"/>
    <n v="28"/>
    <n v="27"/>
    <n v="15"/>
    <n v="70"/>
    <n v="0.94280904158206336"/>
    <n v="23.196700507614214"/>
    <n v="6.4306002317777482"/>
    <n v="22.771573604060915"/>
    <n v="6.5356886776680962"/>
    <n v="11.434010152284264"/>
    <n v="3.5019632409825281"/>
    <n v="0.74694419171784021"/>
    <n v="0.64697487969206147"/>
    <n v="1.0182830607654363"/>
    <n v="0.80406737739177936"/>
  </r>
  <r>
    <x v="14"/>
    <s v="IMP"/>
    <n v="8"/>
    <n v="8"/>
    <n v="7"/>
    <n v="8"/>
    <n v="6"/>
    <n v="7"/>
    <n v="7"/>
    <n v="6"/>
    <n v="7"/>
    <n v="8"/>
    <n v="31"/>
    <n v="26"/>
    <n v="15"/>
    <n v="72"/>
    <n v="0.78881063774661564"/>
    <n v="23.196700507614214"/>
    <n v="6.4306002317777482"/>
    <n v="22.771573604060915"/>
    <n v="6.5356886776680962"/>
    <n v="11.434010152284264"/>
    <n v="3.5019632409825281"/>
    <n v="1.2134636287643328"/>
    <n v="0.49396881570726414"/>
    <n v="1.0182830607654363"/>
    <n v="0.90857183507901107"/>
  </r>
  <r>
    <x v="14"/>
    <s v="IMP"/>
    <n v="8"/>
    <n v="8"/>
    <n v="7"/>
    <n v="8"/>
    <n v="7"/>
    <n v="7"/>
    <n v="8"/>
    <n v="8"/>
    <n v="8"/>
    <n v="9"/>
    <n v="31"/>
    <n v="30"/>
    <n v="17"/>
    <n v="78"/>
    <n v="0.63245553203367577"/>
    <n v="23.196700507614214"/>
    <n v="6.4306002317777482"/>
    <n v="22.771573604060915"/>
    <n v="6.5356886776680962"/>
    <n v="11.434010152284264"/>
    <n v="3.5019632409825281"/>
    <n v="1.2134636287643328"/>
    <n v="1.1059930716464534"/>
    <n v="1.5893912827463359"/>
    <n v="1.3029493277190405"/>
  </r>
  <r>
    <x v="14"/>
    <s v="IMP"/>
    <n v="9"/>
    <n v="9"/>
    <n v="8"/>
    <n v="9"/>
    <n v="8"/>
    <n v="7"/>
    <n v="8"/>
    <n v="8"/>
    <n v="8"/>
    <n v="9"/>
    <n v="35"/>
    <n v="31"/>
    <n v="17"/>
    <n v="83"/>
    <n v="0.67494855771055262"/>
    <n v="23.196700507614214"/>
    <n v="6.4306002317777482"/>
    <n v="22.771573604060915"/>
    <n v="6.5356886776680962"/>
    <n v="11.434010152284264"/>
    <n v="3.5019632409825281"/>
    <n v="1.8354895448263231"/>
    <n v="1.2589991356312507"/>
    <n v="1.5893912827463359"/>
    <n v="1.5612933210679698"/>
  </r>
  <r>
    <x v="14"/>
    <s v="IMP"/>
    <n v="9"/>
    <n v="9"/>
    <n v="8"/>
    <n v="9"/>
    <n v="9"/>
    <n v="9"/>
    <n v="8"/>
    <n v="9"/>
    <n v="9"/>
    <n v="7"/>
    <n v="35"/>
    <n v="35"/>
    <n v="16"/>
    <n v="86"/>
    <n v="0.69920589878010131"/>
    <n v="23.196700507614214"/>
    <n v="6.4306002317777482"/>
    <n v="22.771573604060915"/>
    <n v="6.5356886776680962"/>
    <n v="11.434010152284264"/>
    <n v="3.5019632409825281"/>
    <n v="1.8354895448263231"/>
    <n v="1.87102339157044"/>
    <n v="1.3038371717558861"/>
    <n v="1.6701167027175494"/>
  </r>
  <r>
    <x v="14"/>
    <s v="IMP"/>
    <n v="8"/>
    <n v="7"/>
    <n v="8"/>
    <n v="7"/>
    <n v="7"/>
    <n v="7"/>
    <n v="8"/>
    <n v="8"/>
    <n v="8"/>
    <n v="8"/>
    <n v="30"/>
    <n v="30"/>
    <n v="16"/>
    <n v="76"/>
    <n v="0.51639777949432231"/>
    <n v="23.196700507614214"/>
    <n v="6.4306002317777482"/>
    <n v="22.771573604060915"/>
    <n v="6.5356886776680962"/>
    <n v="11.434010152284264"/>
    <n v="3.5019632409825281"/>
    <n v="1.0579571497488354"/>
    <n v="1.1059930716464534"/>
    <n v="1.3038371717558861"/>
    <n v="1.1559291310503916"/>
  </r>
  <r>
    <x v="14"/>
    <s v="IMP"/>
    <n v="8"/>
    <n v="8"/>
    <n v="8"/>
    <n v="9"/>
    <n v="8"/>
    <n v="7"/>
    <n v="9"/>
    <n v="8"/>
    <n v="7"/>
    <n v="8"/>
    <n v="33"/>
    <n v="32"/>
    <n v="15"/>
    <n v="80"/>
    <n v="0.66666666666666663"/>
    <n v="23.196700507614214"/>
    <n v="6.4306002317777482"/>
    <n v="22.771573604060915"/>
    <n v="6.5356886776680962"/>
    <n v="11.434010152284264"/>
    <n v="3.5019632409825281"/>
    <n v="1.524476586795328"/>
    <n v="1.4120051996160479"/>
    <n v="1.0182830607654363"/>
    <n v="1.3182549490589375"/>
  </r>
  <r>
    <x v="14"/>
    <s v="IMP"/>
    <n v="8"/>
    <n v="7"/>
    <n v="8"/>
    <n v="7"/>
    <n v="8"/>
    <n v="9"/>
    <n v="8"/>
    <n v="9"/>
    <n v="8"/>
    <n v="9"/>
    <n v="30"/>
    <n v="34"/>
    <n v="17"/>
    <n v="81"/>
    <n v="0.73786478737262207"/>
    <n v="23.196700507614214"/>
    <n v="6.4306002317777482"/>
    <n v="22.771573604060915"/>
    <n v="6.5356886776680962"/>
    <n v="11.434010152284264"/>
    <n v="3.5019632409825281"/>
    <n v="1.0579571497488354"/>
    <n v="1.7180173275856425"/>
    <n v="1.5893912827463359"/>
    <n v="1.4551219200269381"/>
  </r>
  <r>
    <x v="14"/>
    <s v="IMP"/>
    <n v="7"/>
    <n v="7"/>
    <n v="8"/>
    <n v="7"/>
    <n v="5"/>
    <n v="5"/>
    <n v="6"/>
    <n v="5"/>
    <n v="6"/>
    <n v="4"/>
    <n v="29"/>
    <n v="21"/>
    <n v="10"/>
    <n v="60"/>
    <n v="1.247219128924647"/>
    <n v="23.196700507614214"/>
    <n v="6.4306002317777482"/>
    <n v="22.771573604060915"/>
    <n v="6.5356886776680962"/>
    <n v="11.434010152284264"/>
    <n v="3.5019632409825281"/>
    <n v="0.90245067073333785"/>
    <n v="-0.27106150421672232"/>
    <n v="-0.40948749418681252"/>
    <n v="7.3967224109934351E-2"/>
  </r>
  <r>
    <x v="14"/>
    <s v="IMP"/>
    <n v="6"/>
    <n v="6"/>
    <n v="6"/>
    <n v="6"/>
    <n v="6"/>
    <n v="7"/>
    <n v="7"/>
    <n v="5"/>
    <n v="8"/>
    <n v="5"/>
    <n v="24"/>
    <n v="25"/>
    <n v="13"/>
    <n v="62"/>
    <n v="0.91893658347268137"/>
    <n v="23.196700507614214"/>
    <n v="6.4306002317777482"/>
    <n v="22.771573604060915"/>
    <n v="6.5356886776680962"/>
    <n v="11.434010152284264"/>
    <n v="3.5019632409825281"/>
    <n v="0.12491827565585011"/>
    <n v="0.34096275172246687"/>
    <n v="0.44717483878453679"/>
    <n v="0.30435195538761795"/>
  </r>
  <r>
    <x v="14"/>
    <s v="IMP"/>
    <n v="8"/>
    <n v="8"/>
    <n v="7"/>
    <n v="8"/>
    <n v="8"/>
    <n v="8"/>
    <n v="8"/>
    <n v="8"/>
    <n v="8"/>
    <n v="10"/>
    <n v="31"/>
    <n v="32"/>
    <n v="18"/>
    <n v="81"/>
    <n v="0.73786478737262184"/>
    <n v="23.196700507614214"/>
    <n v="6.4306002317777482"/>
    <n v="22.771573604060915"/>
    <n v="6.5356886776680962"/>
    <n v="11.434010152284264"/>
    <n v="3.5019632409825281"/>
    <n v="1.2134636287643328"/>
    <n v="1.4120051996160479"/>
    <n v="1.8749453937367857"/>
    <n v="1.5001380740390555"/>
  </r>
  <r>
    <x v="14"/>
    <s v="IMP"/>
    <n v="7"/>
    <n v="5"/>
    <n v="6"/>
    <n v="6"/>
    <n v="7"/>
    <n v="7"/>
    <n v="7"/>
    <n v="6"/>
    <n v="7"/>
    <n v="5"/>
    <n v="24"/>
    <n v="27"/>
    <n v="12"/>
    <n v="63"/>
    <n v="0.82327260234856459"/>
    <n v="23.196700507614214"/>
    <n v="6.4306002317777482"/>
    <n v="22.771573604060915"/>
    <n v="6.5356886776680962"/>
    <n v="11.434010152284264"/>
    <n v="3.5019632409825281"/>
    <n v="0.12491827565585011"/>
    <n v="0.64697487969206147"/>
    <n v="0.16162072779408701"/>
    <n v="0.31117129438066621"/>
  </r>
  <r>
    <x v="14"/>
    <s v="IMP"/>
    <n v="8"/>
    <n v="8"/>
    <n v="8"/>
    <n v="8"/>
    <n v="7"/>
    <n v="7"/>
    <n v="7"/>
    <n v="8"/>
    <n v="7"/>
    <n v="7"/>
    <n v="32"/>
    <n v="29"/>
    <n v="14"/>
    <n v="75"/>
    <n v="0.5270462766947297"/>
    <n v="23.196700507614214"/>
    <n v="6.4306002317777482"/>
    <n v="22.771573604060915"/>
    <n v="6.5356886776680962"/>
    <n v="11.434010152284264"/>
    <n v="3.5019632409825281"/>
    <n v="1.3689701077798304"/>
    <n v="0.95298700766165612"/>
    <n v="0.73272894977498659"/>
    <n v="1.018228688405491"/>
  </r>
  <r>
    <x v="14"/>
    <s v="IMP"/>
    <n v="6"/>
    <n v="6"/>
    <n v="6"/>
    <n v="6"/>
    <n v="7"/>
    <n v="7"/>
    <n v="7"/>
    <n v="7"/>
    <n v="6"/>
    <n v="8"/>
    <n v="24"/>
    <n v="28"/>
    <n v="14"/>
    <n v="66"/>
    <n v="0.69920589878010087"/>
    <n v="23.196700507614214"/>
    <n v="6.4306002317777482"/>
    <n v="22.771573604060915"/>
    <n v="6.5356886776680962"/>
    <n v="11.434010152284264"/>
    <n v="3.5019632409825281"/>
    <n v="0.12491827565585011"/>
    <n v="0.79998094367685879"/>
    <n v="0.73272894977498659"/>
    <n v="0.55254272303589846"/>
  </r>
  <r>
    <x v="14"/>
    <s v="IMP"/>
    <n v="6"/>
    <n v="5"/>
    <n v="6"/>
    <n v="6"/>
    <n v="5"/>
    <n v="6"/>
    <n v="7"/>
    <n v="7"/>
    <n v="6"/>
    <n v="7"/>
    <n v="23"/>
    <n v="25"/>
    <n v="13"/>
    <n v="61"/>
    <n v="0.73786478737262207"/>
    <n v="23.196700507614214"/>
    <n v="6.4306002317777482"/>
    <n v="22.771573604060915"/>
    <n v="6.5356886776680962"/>
    <n v="11.434010152284264"/>
    <n v="3.5019632409825281"/>
    <n v="-3.0588203359647428E-2"/>
    <n v="0.34096275172246687"/>
    <n v="0.44717483878453679"/>
    <n v="0.25251646238245207"/>
  </r>
  <r>
    <x v="14"/>
    <s v="IMP"/>
    <n v="8"/>
    <n v="8"/>
    <n v="8"/>
    <n v="9"/>
    <n v="7"/>
    <n v="7"/>
    <n v="7"/>
    <n v="7"/>
    <n v="7"/>
    <n v="8"/>
    <n v="33"/>
    <n v="28"/>
    <n v="15"/>
    <n v="76"/>
    <n v="0.69920589878010098"/>
    <n v="23.196700507614214"/>
    <n v="6.4306002317777482"/>
    <n v="22.771573604060915"/>
    <n v="6.5356886776680962"/>
    <n v="11.434010152284264"/>
    <n v="3.5019632409825281"/>
    <n v="1.524476586795328"/>
    <n v="0.79998094367685879"/>
    <n v="1.0182830607654363"/>
    <n v="1.1142468637458744"/>
  </r>
  <r>
    <x v="14"/>
    <s v="IMP"/>
    <n v="8"/>
    <n v="6"/>
    <n v="7"/>
    <n v="7"/>
    <n v="7"/>
    <n v="8"/>
    <n v="7"/>
    <n v="7"/>
    <n v="8"/>
    <n v="9"/>
    <n v="28"/>
    <n v="29"/>
    <n v="17"/>
    <n v="74"/>
    <n v="0.8432740427115677"/>
    <n v="23.196700507614214"/>
    <n v="6.4306002317777482"/>
    <n v="22.771573604060915"/>
    <n v="6.5356886776680962"/>
    <n v="11.434010152284264"/>
    <n v="3.5019632409825281"/>
    <n v="0.74694419171784021"/>
    <n v="0.95298700766165612"/>
    <n v="1.5893912827463359"/>
    <n v="1.0964408273752773"/>
  </r>
  <r>
    <x v="14"/>
    <s v="IMP"/>
    <n v="7"/>
    <n v="6"/>
    <n v="6"/>
    <n v="7"/>
    <n v="8"/>
    <n v="6"/>
    <n v="6"/>
    <n v="7"/>
    <n v="7"/>
    <n v="6"/>
    <n v="26"/>
    <n v="27"/>
    <n v="13"/>
    <n v="66"/>
    <n v="0.69920589878010098"/>
    <n v="23.196700507614214"/>
    <n v="6.4306002317777482"/>
    <n v="22.771573604060915"/>
    <n v="6.5356886776680962"/>
    <n v="11.434010152284264"/>
    <n v="3.5019632409825281"/>
    <n v="0.43593123368684517"/>
    <n v="0.64697487969206147"/>
    <n v="0.44717483878453679"/>
    <n v="0.51002698405448121"/>
  </r>
  <r>
    <x v="14"/>
    <s v="IMP"/>
    <n v="8"/>
    <n v="7"/>
    <n v="7"/>
    <n v="8"/>
    <n v="7"/>
    <n v="7"/>
    <n v="8"/>
    <n v="8"/>
    <n v="8"/>
    <n v="9"/>
    <n v="30"/>
    <n v="30"/>
    <n v="17"/>
    <n v="77"/>
    <n v="0.67494855771055284"/>
    <n v="23.196700507614214"/>
    <n v="6.4306002317777482"/>
    <n v="22.771573604060915"/>
    <n v="6.5356886776680962"/>
    <n v="11.434010152284264"/>
    <n v="3.5019632409825281"/>
    <n v="1.0579571497488354"/>
    <n v="1.1059930716464534"/>
    <n v="1.5893912827463359"/>
    <n v="1.2511138347138748"/>
  </r>
  <r>
    <x v="14"/>
    <s v="IMP"/>
    <n v="8"/>
    <n v="8"/>
    <n v="7"/>
    <n v="7"/>
    <n v="9"/>
    <n v="8"/>
    <n v="8"/>
    <n v="8"/>
    <n v="8"/>
    <n v="10"/>
    <n v="30"/>
    <n v="33"/>
    <n v="18"/>
    <n v="81"/>
    <n v="0.87559503577091313"/>
    <n v="23.196700507614214"/>
    <n v="6.4306002317777482"/>
    <n v="22.771573604060915"/>
    <n v="6.5356886776680962"/>
    <n v="11.434010152284264"/>
    <n v="3.5019632409825281"/>
    <n v="1.0579571497488354"/>
    <n v="1.5650112636008453"/>
    <n v="1.8749453937367857"/>
    <n v="1.4993046023621555"/>
  </r>
  <r>
    <x v="14"/>
    <s v="IMP"/>
    <n v="8"/>
    <n v="8"/>
    <n v="7"/>
    <n v="6"/>
    <n v="8"/>
    <n v="7"/>
    <n v="8"/>
    <n v="8"/>
    <n v="8"/>
    <n v="9"/>
    <n v="29"/>
    <n v="31"/>
    <n v="17"/>
    <n v="77"/>
    <n v="0.82327260234856459"/>
    <n v="23.196700507614214"/>
    <n v="6.4306002317777482"/>
    <n v="22.771573604060915"/>
    <n v="6.5356886776680962"/>
    <n v="11.434010152284264"/>
    <n v="3.5019632409825281"/>
    <n v="0.90245067073333785"/>
    <n v="1.2589991356312507"/>
    <n v="1.5893912827463359"/>
    <n v="1.2502803630369748"/>
  </r>
  <r>
    <x v="14"/>
    <s v="IMP"/>
    <n v="7"/>
    <n v="6"/>
    <n v="6"/>
    <n v="6"/>
    <n v="6"/>
    <n v="5"/>
    <n v="6"/>
    <n v="5"/>
    <n v="7"/>
    <n v="6"/>
    <n v="25"/>
    <n v="22"/>
    <n v="13"/>
    <n v="60"/>
    <n v="0.66666666666666663"/>
    <n v="23.196700507614214"/>
    <n v="6.4306002317777482"/>
    <n v="22.771573604060915"/>
    <n v="6.5356886776680962"/>
    <n v="11.434010152284264"/>
    <n v="3.5019632409825281"/>
    <n v="0.28042475467134764"/>
    <n v="-0.11805544023192505"/>
    <n v="0.44717483878453679"/>
    <n v="0.20318138440798647"/>
  </r>
  <r>
    <x v="14"/>
    <s v="IMP"/>
    <n v="7"/>
    <n v="7"/>
    <n v="6"/>
    <n v="6"/>
    <n v="5"/>
    <n v="4"/>
    <n v="4"/>
    <n v="4"/>
    <n v="4"/>
    <n v="5"/>
    <n v="26"/>
    <n v="17"/>
    <n v="9"/>
    <n v="52"/>
    <n v="1.2292725943057186"/>
    <n v="23.196700507614214"/>
    <n v="6.4306002317777482"/>
    <n v="22.771573604060915"/>
    <n v="6.5356886776680962"/>
    <n v="11.434010152284264"/>
    <n v="3.5019632409825281"/>
    <n v="0.43593123368684517"/>
    <n v="-0.88308576015591156"/>
    <n v="-0.69504160517726232"/>
    <n v="-0.38073204388210957"/>
  </r>
  <r>
    <x v="14"/>
    <s v="IMP"/>
    <n v="5"/>
    <n v="5"/>
    <n v="5"/>
    <n v="5"/>
    <n v="7"/>
    <n v="7"/>
    <n v="6"/>
    <n v="6"/>
    <n v="6"/>
    <n v="4"/>
    <n v="20"/>
    <n v="26"/>
    <n v="10"/>
    <n v="56"/>
    <n v="0.96609178307929577"/>
    <n v="23.196700507614214"/>
    <n v="6.4306002317777482"/>
    <n v="22.771573604060915"/>
    <n v="6.5356886776680962"/>
    <n v="11.434010152284264"/>
    <n v="3.5019632409825281"/>
    <n v="-0.49710764040614003"/>
    <n v="0.49396881570726414"/>
    <n v="-0.40948749418681252"/>
    <n v="-0.13754210629522948"/>
  </r>
  <r>
    <x v="14"/>
    <s v="IMP"/>
    <n v="7"/>
    <n v="6"/>
    <n v="6"/>
    <n v="7"/>
    <n v="6"/>
    <n v="7"/>
    <n v="7"/>
    <n v="6"/>
    <n v="7"/>
    <n v="6"/>
    <n v="26"/>
    <n v="26"/>
    <n v="13"/>
    <n v="65"/>
    <n v="0.52704627669472992"/>
    <n v="23.196700507614214"/>
    <n v="6.4306002317777482"/>
    <n v="22.771573604060915"/>
    <n v="6.5356886776680962"/>
    <n v="11.434010152284264"/>
    <n v="3.5019632409825281"/>
    <n v="0.43593123368684517"/>
    <n v="0.49396881570726414"/>
    <n v="0.44717483878453679"/>
    <n v="0.45902496272621535"/>
  </r>
  <r>
    <x v="14"/>
    <s v="IMP"/>
    <n v="7"/>
    <n v="4"/>
    <n v="5"/>
    <n v="4"/>
    <n v="4"/>
    <n v="5"/>
    <n v="6"/>
    <n v="6"/>
    <n v="5"/>
    <n v="4"/>
    <n v="20"/>
    <n v="21"/>
    <n v="9"/>
    <n v="50"/>
    <n v="1.0540925533894598"/>
    <n v="23.196700507614214"/>
    <n v="6.4306002317777482"/>
    <n v="22.771573604060915"/>
    <n v="6.5356886776680962"/>
    <n v="11.434010152284264"/>
    <n v="3.5019632409825281"/>
    <n v="-0.49710764040614003"/>
    <n v="-0.27106150421672232"/>
    <n v="-0.69504160517726232"/>
    <n v="-0.48773691660004159"/>
  </r>
  <r>
    <x v="14"/>
    <s v="IMP"/>
    <n v="6"/>
    <n v="4"/>
    <n v="5"/>
    <n v="4"/>
    <n v="4"/>
    <n v="6"/>
    <n v="6"/>
    <n v="5"/>
    <n v="6"/>
    <n v="6"/>
    <n v="19"/>
    <n v="21"/>
    <n v="12"/>
    <n v="52"/>
    <n v="0.91893658347268159"/>
    <n v="23.196700507614214"/>
    <n v="6.4306002317777482"/>
    <n v="22.771573604060915"/>
    <n v="6.5356886776680962"/>
    <n v="11.434010152284264"/>
    <n v="3.5019632409825281"/>
    <n v="-0.65261411942163761"/>
    <n v="-0.27106150421672232"/>
    <n v="0.16162072779408701"/>
    <n v="-0.25401829861475761"/>
  </r>
  <r>
    <x v="14"/>
    <s v="IMP"/>
    <n v="6"/>
    <n v="5"/>
    <n v="6"/>
    <n v="5"/>
    <n v="6"/>
    <n v="6"/>
    <n v="7"/>
    <n v="7"/>
    <n v="5"/>
    <n v="4"/>
    <n v="22"/>
    <n v="26"/>
    <n v="9"/>
    <n v="57"/>
    <n v="0.94868329805051399"/>
    <n v="23.196700507614214"/>
    <n v="6.4306002317777482"/>
    <n v="22.771573604060915"/>
    <n v="6.5356886776680962"/>
    <n v="11.434010152284264"/>
    <n v="3.5019632409825281"/>
    <n v="-0.18609468237514495"/>
    <n v="0.49396881570726414"/>
    <n v="-0.69504160517726232"/>
    <n v="-0.12905582394838103"/>
  </r>
  <r>
    <x v="14"/>
    <s v="IMP"/>
    <n v="6"/>
    <n v="7"/>
    <n v="6"/>
    <n v="7"/>
    <n v="8"/>
    <n v="8"/>
    <n v="7"/>
    <n v="6"/>
    <n v="7"/>
    <n v="8"/>
    <n v="26"/>
    <n v="29"/>
    <n v="15"/>
    <n v="70"/>
    <n v="0.81649658092772603"/>
    <n v="23.196700507614214"/>
    <n v="6.4306002317777482"/>
    <n v="22.771573604060915"/>
    <n v="6.5356886776680962"/>
    <n v="11.434010152284264"/>
    <n v="3.5019632409825281"/>
    <n v="0.43593123368684517"/>
    <n v="0.95298700766165612"/>
    <n v="1.0182830607654363"/>
    <n v="0.80240043403797923"/>
  </r>
  <r>
    <x v="14"/>
    <s v="IMP"/>
    <n v="7"/>
    <n v="7"/>
    <n v="6"/>
    <n v="6"/>
    <n v="7"/>
    <n v="5"/>
    <n v="5"/>
    <n v="5"/>
    <n v="5"/>
    <n v="8"/>
    <n v="26"/>
    <n v="22"/>
    <n v="13"/>
    <n v="61"/>
    <n v="1.1005049346146116"/>
    <n v="23.196700507614214"/>
    <n v="6.4306002317777482"/>
    <n v="22.771573604060915"/>
    <n v="6.5356886776680962"/>
    <n v="11.434010152284264"/>
    <n v="3.5019632409825281"/>
    <n v="0.43593123368684517"/>
    <n v="-0.11805544023192505"/>
    <n v="0.44717483878453679"/>
    <n v="0.25501687741315232"/>
  </r>
  <r>
    <x v="14"/>
    <s v="IMP"/>
    <n v="8"/>
    <n v="8"/>
    <n v="8"/>
    <n v="8"/>
    <n v="7"/>
    <n v="7"/>
    <n v="7"/>
    <n v="6"/>
    <n v="8"/>
    <n v="8"/>
    <n v="32"/>
    <n v="27"/>
    <n v="16"/>
    <n v="75"/>
    <n v="0.70710678118654735"/>
    <n v="23.196700507614214"/>
    <n v="6.4306002317777482"/>
    <n v="22.771573604060915"/>
    <n v="6.5356886776680962"/>
    <n v="11.434010152284264"/>
    <n v="3.5019632409825281"/>
    <n v="1.3689701077798304"/>
    <n v="0.64697487969206147"/>
    <n v="1.3038371717558861"/>
    <n v="1.106594053075926"/>
  </r>
  <r>
    <x v="14"/>
    <s v="IMP"/>
    <n v="9"/>
    <n v="9"/>
    <n v="8"/>
    <n v="9"/>
    <n v="8"/>
    <n v="6"/>
    <n v="7"/>
    <n v="7"/>
    <n v="7"/>
    <n v="7"/>
    <n v="35"/>
    <n v="28"/>
    <n v="14"/>
    <n v="77"/>
    <n v="1.0593499054713797"/>
    <n v="23.196700507614214"/>
    <n v="6.4306002317777482"/>
    <n v="22.771573604060915"/>
    <n v="6.5356886776680962"/>
    <n v="11.434010152284264"/>
    <n v="3.5019632409825281"/>
    <n v="1.8354895448263231"/>
    <n v="0.79998094367685879"/>
    <n v="0.73272894977498659"/>
    <n v="1.1227331460927228"/>
  </r>
  <r>
    <x v="14"/>
    <s v="IMP"/>
    <n v="8"/>
    <n v="8"/>
    <n v="7"/>
    <n v="8"/>
    <n v="7"/>
    <n v="8"/>
    <n v="7"/>
    <n v="8"/>
    <n v="8"/>
    <n v="7"/>
    <n v="31"/>
    <n v="30"/>
    <n v="15"/>
    <n v="76"/>
    <n v="0.51639777949432231"/>
    <n v="23.196700507614214"/>
    <n v="6.4306002317777482"/>
    <n v="22.771573604060915"/>
    <n v="6.5356886776680962"/>
    <n v="11.434010152284264"/>
    <n v="3.5019632409825281"/>
    <n v="1.2134636287643328"/>
    <n v="1.1059930716464534"/>
    <n v="1.0182830607654363"/>
    <n v="1.1125799203920741"/>
  </r>
  <r>
    <x v="14"/>
    <s v="IMP"/>
    <n v="8"/>
    <n v="8"/>
    <n v="8"/>
    <n v="8"/>
    <n v="9"/>
    <n v="7"/>
    <n v="8"/>
    <n v="7"/>
    <n v="8"/>
    <n v="7"/>
    <n v="32"/>
    <n v="31"/>
    <n v="15"/>
    <n v="78"/>
    <n v="0.63245553203367566"/>
    <n v="23.196700507614214"/>
    <n v="6.4306002317777482"/>
    <n v="22.771573604060915"/>
    <n v="6.5356886776680962"/>
    <n v="11.434010152284264"/>
    <n v="3.5019632409825281"/>
    <n v="1.3689701077798304"/>
    <n v="1.2589991356312507"/>
    <n v="1.0182830607654363"/>
    <n v="1.2154174347255058"/>
  </r>
  <r>
    <x v="14"/>
    <s v="IMP"/>
    <n v="9"/>
    <n v="8"/>
    <n v="9"/>
    <n v="8"/>
    <n v="6"/>
    <n v="7"/>
    <n v="7"/>
    <n v="8"/>
    <n v="8"/>
    <n v="8"/>
    <n v="34"/>
    <n v="28"/>
    <n v="16"/>
    <n v="78"/>
    <n v="0.91893658347268137"/>
    <n v="23.196700507614214"/>
    <n v="6.4306002317777482"/>
    <n v="22.771573604060915"/>
    <n v="6.5356886776680962"/>
    <n v="11.434010152284264"/>
    <n v="3.5019632409825281"/>
    <n v="1.6799830658108255"/>
    <n v="0.79998094367685879"/>
    <n v="1.3038371717558861"/>
    <n v="1.2612670604145235"/>
  </r>
  <r>
    <x v="15"/>
    <s v="IMP"/>
    <n v="6"/>
    <n v="6"/>
    <n v="5"/>
    <n v="6"/>
    <n v="6"/>
    <n v="5"/>
    <n v="6"/>
    <n v="5"/>
    <n v="6"/>
    <n v="6"/>
    <n v="23"/>
    <n v="22"/>
    <n v="12"/>
    <n v="57"/>
    <n v="0.48304589153964789"/>
    <n v="23.196700507614214"/>
    <n v="6.4306002317777482"/>
    <n v="22.771573604060915"/>
    <n v="6.5356886776680962"/>
    <n v="11.434010152284264"/>
    <n v="3.5019632409825281"/>
    <n v="-3.0588203359647428E-2"/>
    <n v="-0.11805544023192505"/>
    <n v="0.16162072779408701"/>
    <n v="4.3256947341715106E-3"/>
  </r>
  <r>
    <x v="15"/>
    <s v="IMP"/>
    <n v="5"/>
    <n v="4"/>
    <n v="4"/>
    <n v="4"/>
    <n v="5"/>
    <n v="5"/>
    <n v="4"/>
    <n v="4"/>
    <n v="5"/>
    <n v="3"/>
    <n v="17"/>
    <n v="18"/>
    <n v="8"/>
    <n v="43"/>
    <n v="0.67494855771055284"/>
    <n v="23.196700507614214"/>
    <n v="6.4306002317777482"/>
    <n v="22.771573604060915"/>
    <n v="6.5356886776680962"/>
    <n v="11.434010152284264"/>
    <n v="3.5019632409825281"/>
    <n v="-0.96362707745263265"/>
    <n v="-0.73007969617111423"/>
    <n v="-0.98059571616771202"/>
    <n v="-0.89143416326381963"/>
  </r>
  <r>
    <x v="15"/>
    <s v="IMP"/>
    <n v="6"/>
    <n v="5"/>
    <n v="5"/>
    <n v="6"/>
    <n v="6"/>
    <n v="6"/>
    <n v="5"/>
    <n v="6"/>
    <n v="5"/>
    <n v="4"/>
    <n v="22"/>
    <n v="23"/>
    <n v="9"/>
    <n v="54"/>
    <n v="0.69920589878010087"/>
    <n v="23.196700507614214"/>
    <n v="6.4306002317777482"/>
    <n v="22.771573604060915"/>
    <n v="6.5356886776680962"/>
    <n v="11.434010152284264"/>
    <n v="3.5019632409825281"/>
    <n v="-0.18609468237514495"/>
    <n v="3.4950623752872265E-2"/>
    <n v="-0.69504160517726232"/>
    <n v="-0.28206188793317838"/>
  </r>
  <r>
    <x v="15"/>
    <s v="IMP"/>
    <n v="6"/>
    <n v="4"/>
    <n v="4"/>
    <n v="5"/>
    <n v="6"/>
    <n v="7"/>
    <n v="5"/>
    <n v="7"/>
    <n v="5"/>
    <n v="4"/>
    <n v="19"/>
    <n v="25"/>
    <n v="9"/>
    <n v="53"/>
    <n v="1.1595018087284057"/>
    <n v="23.196700507614214"/>
    <n v="6.4306002317777482"/>
    <n v="22.771573604060915"/>
    <n v="6.5356886776680962"/>
    <n v="11.434010152284264"/>
    <n v="3.5019632409825281"/>
    <n v="-0.65261411942163761"/>
    <n v="0.34096275172246687"/>
    <n v="-0.69504160517726232"/>
    <n v="-0.33556432429214439"/>
  </r>
  <r>
    <x v="15"/>
    <s v="IMP"/>
    <n v="7"/>
    <n v="6"/>
    <n v="6"/>
    <n v="6"/>
    <n v="7"/>
    <n v="7"/>
    <n v="6"/>
    <n v="7"/>
    <n v="6"/>
    <n v="6"/>
    <n v="25"/>
    <n v="27"/>
    <n v="12"/>
    <n v="64"/>
    <n v="0.5163977794943222"/>
    <n v="23.196700507614214"/>
    <n v="6.4306002317777482"/>
    <n v="22.771573604060915"/>
    <n v="6.5356886776680962"/>
    <n v="11.434010152284264"/>
    <n v="3.5019632409825281"/>
    <n v="0.28042475467134764"/>
    <n v="0.64697487969206147"/>
    <n v="0.16162072779408701"/>
    <n v="0.36300678738583203"/>
  </r>
  <r>
    <x v="15"/>
    <s v="IMP"/>
    <n v="7"/>
    <n v="6"/>
    <n v="6"/>
    <n v="5"/>
    <n v="7"/>
    <n v="7"/>
    <n v="6"/>
    <n v="7"/>
    <n v="6"/>
    <n v="6"/>
    <n v="24"/>
    <n v="27"/>
    <n v="12"/>
    <n v="63"/>
    <n v="0.67494855771055284"/>
    <n v="23.196700507614214"/>
    <n v="6.4306002317777482"/>
    <n v="22.771573604060915"/>
    <n v="6.5356886776680962"/>
    <n v="11.434010152284264"/>
    <n v="3.5019632409825281"/>
    <n v="0.12491827565585011"/>
    <n v="0.64697487969206147"/>
    <n v="0.16162072779408701"/>
    <n v="0.31117129438066621"/>
  </r>
  <r>
    <x v="15"/>
    <s v="IMP"/>
    <n v="7"/>
    <n v="5"/>
    <n v="5"/>
    <n v="4"/>
    <n v="6"/>
    <n v="7"/>
    <n v="5"/>
    <n v="6"/>
    <n v="6"/>
    <n v="7"/>
    <n v="21"/>
    <n v="24"/>
    <n v="13"/>
    <n v="58"/>
    <n v="1.0327955589886444"/>
    <n v="23.196700507614214"/>
    <n v="6.4306002317777482"/>
    <n v="22.771573604060915"/>
    <n v="6.5356886776680962"/>
    <n v="11.434010152284264"/>
    <n v="3.5019632409825281"/>
    <n v="-0.3416011613906425"/>
    <n v="0.18795668773766958"/>
    <n v="0.44717483878453679"/>
    <n v="9.784345504385461E-2"/>
  </r>
  <r>
    <x v="15"/>
    <s v="IMP"/>
    <n v="6"/>
    <n v="5"/>
    <n v="5"/>
    <n v="5"/>
    <n v="7"/>
    <n v="7"/>
    <n v="6"/>
    <n v="6"/>
    <n v="6"/>
    <n v="7"/>
    <n v="21"/>
    <n v="26"/>
    <n v="13"/>
    <n v="60"/>
    <n v="0.81649658092772603"/>
    <n v="23.196700507614214"/>
    <n v="6.4306002317777482"/>
    <n v="22.771573604060915"/>
    <n v="6.5356886776680962"/>
    <n v="11.434010152284264"/>
    <n v="3.5019632409825281"/>
    <n v="-0.3416011613906425"/>
    <n v="0.49396881570726414"/>
    <n v="0.44717483878453679"/>
    <n v="0.19984749770038612"/>
  </r>
  <r>
    <x v="15"/>
    <s v="IMP"/>
    <n v="6"/>
    <n v="5"/>
    <n v="5"/>
    <n v="6"/>
    <n v="4"/>
    <n v="5"/>
    <n v="6"/>
    <n v="6"/>
    <n v="6"/>
    <n v="7"/>
    <n v="22"/>
    <n v="21"/>
    <n v="13"/>
    <n v="56"/>
    <n v="0.8432740427115677"/>
    <n v="23.196700507614214"/>
    <n v="6.4306002317777482"/>
    <n v="22.771573604060915"/>
    <n v="6.5356886776680962"/>
    <n v="11.434010152284264"/>
    <n v="3.5019632409825281"/>
    <n v="-0.18609468237514495"/>
    <n v="-0.27106150421672232"/>
    <n v="0.44717483878453679"/>
    <n v="-3.3271159357768365E-3"/>
  </r>
  <r>
    <x v="15"/>
    <s v="IMP"/>
    <n v="7"/>
    <n v="6"/>
    <n v="6"/>
    <n v="7"/>
    <n v="6"/>
    <n v="5"/>
    <n v="6"/>
    <n v="5"/>
    <n v="6"/>
    <n v="7"/>
    <n v="26"/>
    <n v="22"/>
    <n v="13"/>
    <n v="61"/>
    <n v="0.73786478737262207"/>
    <n v="23.196700507614214"/>
    <n v="6.4306002317777482"/>
    <n v="22.771573604060915"/>
    <n v="6.5356886776680962"/>
    <n v="11.434010152284264"/>
    <n v="3.5019632409825281"/>
    <n v="0.43593123368684517"/>
    <n v="-0.11805544023192505"/>
    <n v="0.44717483878453679"/>
    <n v="0.25501687741315232"/>
  </r>
  <r>
    <x v="15"/>
    <s v="IMP"/>
    <n v="6"/>
    <n v="4"/>
    <n v="5"/>
    <n v="5"/>
    <n v="4"/>
    <n v="4"/>
    <n v="5"/>
    <n v="4"/>
    <n v="5"/>
    <n v="7"/>
    <n v="20"/>
    <n v="17"/>
    <n v="12"/>
    <n v="49"/>
    <n v="0.99442892601175337"/>
    <n v="23.196700507614214"/>
    <n v="6.4306002317777482"/>
    <n v="22.771573604060915"/>
    <n v="6.5356886776680962"/>
    <n v="11.434010152284264"/>
    <n v="3.5019632409825281"/>
    <n v="-0.49710764040614003"/>
    <n v="-0.88308576015591156"/>
    <n v="0.16162072779408701"/>
    <n v="-0.40619089092265481"/>
  </r>
  <r>
    <x v="15"/>
    <s v="IMP"/>
    <n v="4"/>
    <n v="3"/>
    <n v="4"/>
    <n v="3"/>
    <n v="3"/>
    <n v="4"/>
    <n v="3"/>
    <n v="4"/>
    <n v="4"/>
    <n v="3"/>
    <n v="14"/>
    <n v="14"/>
    <n v="7"/>
    <n v="35"/>
    <n v="0.52704627669472992"/>
    <n v="23.196700507614214"/>
    <n v="6.4306002317777482"/>
    <n v="22.771573604060915"/>
    <n v="6.5356886776680962"/>
    <n v="11.434010152284264"/>
    <n v="3.5019632409825281"/>
    <n v="-1.4301465144991252"/>
    <n v="-1.3421039521103035"/>
    <n v="-1.2661498271581617"/>
    <n v="-1.3461334312558637"/>
  </r>
  <r>
    <x v="15"/>
    <s v="IMP"/>
    <n v="7"/>
    <n v="6"/>
    <n v="7"/>
    <n v="7"/>
    <n v="7"/>
    <n v="6"/>
    <n v="7"/>
    <n v="7"/>
    <n v="7"/>
    <n v="6"/>
    <n v="27"/>
    <n v="27"/>
    <n v="13"/>
    <n v="67"/>
    <n v="0.48304589153964789"/>
    <n v="23.196700507614214"/>
    <n v="6.4306002317777482"/>
    <n v="22.771573604060915"/>
    <n v="6.5356886776680962"/>
    <n v="11.434010152284264"/>
    <n v="3.5019632409825281"/>
    <n v="0.59143771270234269"/>
    <n v="0.64697487969206147"/>
    <n v="0.44717483878453679"/>
    <n v="0.56186247705964698"/>
  </r>
  <r>
    <x v="15"/>
    <s v="IMP"/>
    <n v="4"/>
    <n v="4"/>
    <n v="3"/>
    <n v="3"/>
    <n v="5"/>
    <n v="5"/>
    <n v="3"/>
    <n v="4"/>
    <n v="4"/>
    <n v="3"/>
    <n v="14"/>
    <n v="17"/>
    <n v="7"/>
    <n v="38"/>
    <n v="0.78881063774661553"/>
    <n v="23.196700507614214"/>
    <n v="6.4306002317777482"/>
    <n v="22.771573604060915"/>
    <n v="6.5356886776680962"/>
    <n v="11.434010152284264"/>
    <n v="3.5019632409825281"/>
    <n v="-1.4301465144991252"/>
    <n v="-0.88308576015591156"/>
    <n v="-1.2661498271581617"/>
    <n v="-1.1931273672710663"/>
  </r>
  <r>
    <x v="15"/>
    <s v="IMP"/>
    <n v="6"/>
    <n v="5"/>
    <n v="5"/>
    <n v="4"/>
    <n v="6"/>
    <n v="6"/>
    <n v="5"/>
    <n v="6"/>
    <n v="6"/>
    <n v="5"/>
    <n v="20"/>
    <n v="23"/>
    <n v="11"/>
    <n v="54"/>
    <n v="0.69920589878010087"/>
    <n v="23.196700507614214"/>
    <n v="6.4306002317777482"/>
    <n v="22.771573604060915"/>
    <n v="6.5356886776680962"/>
    <n v="11.434010152284264"/>
    <n v="3.5019632409825281"/>
    <n v="-0.49710764040614003"/>
    <n v="3.4950623752872265E-2"/>
    <n v="-0.12393338319636275"/>
    <n v="-0.1953634666165435"/>
  </r>
  <r>
    <x v="15"/>
    <s v="IMP"/>
    <n v="4"/>
    <n v="3"/>
    <n v="4"/>
    <n v="3"/>
    <n v="5"/>
    <n v="6"/>
    <n v="3"/>
    <n v="4"/>
    <n v="6"/>
    <n v="5"/>
    <n v="14"/>
    <n v="18"/>
    <n v="11"/>
    <n v="43"/>
    <n v="1.1595018087284061"/>
    <n v="23.196700507614214"/>
    <n v="6.4306002317777482"/>
    <n v="22.771573604060915"/>
    <n v="6.5356886776680962"/>
    <n v="11.434010152284264"/>
    <n v="3.5019632409825281"/>
    <n v="-1.4301465144991252"/>
    <n v="-0.73007969617111423"/>
    <n v="-0.12393338319636275"/>
    <n v="-0.76138653128886735"/>
  </r>
  <r>
    <x v="15"/>
    <s v="IMP"/>
    <n v="6"/>
    <n v="5"/>
    <n v="4"/>
    <n v="4"/>
    <n v="4"/>
    <n v="3"/>
    <n v="4"/>
    <n v="4"/>
    <n v="4"/>
    <n v="4"/>
    <n v="19"/>
    <n v="15"/>
    <n v="8"/>
    <n v="42"/>
    <n v="0.78881063774661531"/>
    <n v="23.196700507614214"/>
    <n v="6.4306002317777482"/>
    <n v="22.771573604060915"/>
    <n v="6.5356886776680962"/>
    <n v="11.434010152284264"/>
    <n v="3.5019632409825281"/>
    <n v="-0.65261411942163761"/>
    <n v="-1.1890978881255061"/>
    <n v="-0.98059571616771202"/>
    <n v="-0.9407692412382852"/>
  </r>
  <r>
    <x v="15"/>
    <s v="IMP"/>
    <n v="7"/>
    <n v="5"/>
    <n v="5"/>
    <n v="5"/>
    <n v="6"/>
    <n v="6"/>
    <n v="6"/>
    <n v="7"/>
    <n v="6"/>
    <n v="6"/>
    <n v="22"/>
    <n v="25"/>
    <n v="12"/>
    <n v="59"/>
    <n v="0.73786478737262207"/>
    <n v="23.196700507614214"/>
    <n v="6.4306002317777482"/>
    <n v="22.771573604060915"/>
    <n v="6.5356886776680962"/>
    <n v="11.434010152284264"/>
    <n v="3.5019632409825281"/>
    <n v="-0.18609468237514495"/>
    <n v="0.34096275172246687"/>
    <n v="0.16162072779408701"/>
    <n v="0.10549626571380298"/>
  </r>
  <r>
    <x v="15"/>
    <s v="IMP"/>
    <n v="7"/>
    <n v="5"/>
    <n v="6"/>
    <n v="6"/>
    <n v="3"/>
    <n v="5"/>
    <n v="5"/>
    <n v="4"/>
    <n v="5"/>
    <n v="4"/>
    <n v="24"/>
    <n v="17"/>
    <n v="9"/>
    <n v="50"/>
    <n v="1.1547005383792517"/>
    <n v="23.196700507614214"/>
    <n v="6.4306002317777482"/>
    <n v="22.771573604060915"/>
    <n v="6.5356886776680962"/>
    <n v="11.434010152284264"/>
    <n v="3.5019632409825281"/>
    <n v="0.12491827565585011"/>
    <n v="-0.88308576015591156"/>
    <n v="-0.69504160517726232"/>
    <n v="-0.48440302989244127"/>
  </r>
  <r>
    <x v="15"/>
    <s v="IMP"/>
    <n v="6"/>
    <n v="5"/>
    <n v="5"/>
    <n v="5"/>
    <n v="4"/>
    <n v="5"/>
    <n v="6"/>
    <n v="5"/>
    <n v="6"/>
    <n v="4"/>
    <n v="21"/>
    <n v="20"/>
    <n v="10"/>
    <n v="51"/>
    <n v="0.73786478737262173"/>
    <n v="23.196700507614214"/>
    <n v="6.4306002317777482"/>
    <n v="22.771573604060915"/>
    <n v="6.5356886776680962"/>
    <n v="11.434010152284264"/>
    <n v="3.5019632409825281"/>
    <n v="-0.3416011613906425"/>
    <n v="-0.42406756820151964"/>
    <n v="-0.40948749418681252"/>
    <n v="-0.39171874125965828"/>
  </r>
  <r>
    <x v="15"/>
    <s v="IMP"/>
    <n v="6"/>
    <n v="4"/>
    <n v="4"/>
    <n v="5"/>
    <n v="6"/>
    <n v="5"/>
    <n v="5"/>
    <n v="4"/>
    <n v="5"/>
    <n v="4"/>
    <n v="19"/>
    <n v="20"/>
    <n v="9"/>
    <n v="48"/>
    <n v="0.78881063774661553"/>
    <n v="23.196700507614214"/>
    <n v="6.4306002317777482"/>
    <n v="22.771573604060915"/>
    <n v="6.5356886776680962"/>
    <n v="11.434010152284264"/>
    <n v="3.5019632409825281"/>
    <n v="-0.65261411942163761"/>
    <n v="-0.42406756820151964"/>
    <n v="-0.69504160517726232"/>
    <n v="-0.59057443093347317"/>
  </r>
  <r>
    <x v="15"/>
    <s v="IMP"/>
    <n v="5"/>
    <n v="3"/>
    <n v="4"/>
    <n v="4"/>
    <n v="5"/>
    <n v="3"/>
    <n v="3"/>
    <n v="3"/>
    <n v="3"/>
    <n v="3"/>
    <n v="16"/>
    <n v="14"/>
    <n v="6"/>
    <n v="36"/>
    <n v="0.84327404271156781"/>
    <n v="23.196700507614214"/>
    <n v="6.4306002317777482"/>
    <n v="22.771573604060915"/>
    <n v="6.5356886776680962"/>
    <n v="11.434010152284264"/>
    <n v="3.5019632409825281"/>
    <n v="-1.1191335564681302"/>
    <n v="-1.3421039521103035"/>
    <n v="-1.5517039381486115"/>
    <n v="-1.3376471489090151"/>
  </r>
  <r>
    <x v="16"/>
    <s v="IMP"/>
    <n v="5"/>
    <n v="6"/>
    <n v="4"/>
    <n v="5"/>
    <n v="4"/>
    <n v="5"/>
    <n v="6"/>
    <n v="5"/>
    <n v="5"/>
    <n v="6"/>
    <n v="20"/>
    <n v="20"/>
    <n v="11"/>
    <n v="51"/>
    <n v="0.73786478737262184"/>
    <n v="23.196700507614214"/>
    <n v="6.4306002317777482"/>
    <n v="22.771573604060915"/>
    <n v="6.5356886776680962"/>
    <n v="11.434010152284264"/>
    <n v="3.5019632409825281"/>
    <n v="-0.49710764040614003"/>
    <n v="-0.42406756820151964"/>
    <n v="-0.12393338319636275"/>
    <n v="-0.34836953060134079"/>
  </r>
  <r>
    <x v="16"/>
    <s v="IMP"/>
    <n v="5"/>
    <n v="4"/>
    <n v="4"/>
    <n v="4"/>
    <n v="5"/>
    <n v="6"/>
    <n v="5"/>
    <n v="4"/>
    <n v="4"/>
    <n v="5"/>
    <n v="17"/>
    <n v="20"/>
    <n v="9"/>
    <n v="46"/>
    <n v="0.69920589878010087"/>
    <n v="23.196700507614214"/>
    <n v="6.4306002317777482"/>
    <n v="22.771573604060915"/>
    <n v="6.5356886776680962"/>
    <n v="11.434010152284264"/>
    <n v="3.5019632409825281"/>
    <n v="-0.96362707745263265"/>
    <n v="-0.42406756820151964"/>
    <n v="-0.69504160517726232"/>
    <n v="-0.69424541694380493"/>
  </r>
  <r>
    <x v="16"/>
    <s v="IMP"/>
    <n v="6"/>
    <n v="5"/>
    <n v="4"/>
    <n v="5"/>
    <n v="6"/>
    <n v="5"/>
    <n v="5"/>
    <n v="6"/>
    <n v="6"/>
    <n v="5"/>
    <n v="20"/>
    <n v="22"/>
    <n v="11"/>
    <n v="53"/>
    <n v="0.67494855771055284"/>
    <n v="23.196700507614214"/>
    <n v="6.4306002317777482"/>
    <n v="22.771573604060915"/>
    <n v="6.5356886776680962"/>
    <n v="11.434010152284264"/>
    <n v="3.5019632409825281"/>
    <n v="-0.49710764040614003"/>
    <n v="-0.11805544023192505"/>
    <n v="-0.12393338319636275"/>
    <n v="-0.24636548794480925"/>
  </r>
  <r>
    <x v="16"/>
    <s v="IMP"/>
    <n v="4"/>
    <n v="4"/>
    <n v="3"/>
    <n v="4"/>
    <n v="5"/>
    <n v="4"/>
    <n v="3"/>
    <n v="4"/>
    <n v="4"/>
    <n v="3"/>
    <n v="15"/>
    <n v="16"/>
    <n v="7"/>
    <n v="38"/>
    <n v="0.63245553203367588"/>
    <n v="23.196700507614214"/>
    <n v="6.4306002317777482"/>
    <n v="22.771573604060915"/>
    <n v="6.5356886776680962"/>
    <n v="11.434010152284264"/>
    <n v="3.5019632409825281"/>
    <n v="-1.2746400354836278"/>
    <n v="-1.0360918241407089"/>
    <n v="-1.2661498271581617"/>
    <n v="-1.1922938955941662"/>
  </r>
  <r>
    <x v="16"/>
    <s v="IMP"/>
    <n v="6"/>
    <n v="6"/>
    <n v="6"/>
    <n v="5"/>
    <n v="5"/>
    <n v="5"/>
    <n v="6"/>
    <n v="6"/>
    <n v="5"/>
    <n v="4"/>
    <n v="23"/>
    <n v="22"/>
    <n v="9"/>
    <n v="54"/>
    <n v="0.69920589878010087"/>
    <n v="23.196700507614214"/>
    <n v="6.4306002317777482"/>
    <n v="22.771573604060915"/>
    <n v="6.5356886776680962"/>
    <n v="11.434010152284264"/>
    <n v="3.5019632409825281"/>
    <n v="-3.0588203359647428E-2"/>
    <n v="-0.11805544023192505"/>
    <n v="-0.69504160517726232"/>
    <n v="-0.28122841625627826"/>
  </r>
  <r>
    <x v="16"/>
    <s v="IMP"/>
    <n v="5"/>
    <n v="6"/>
    <n v="4"/>
    <n v="4"/>
    <n v="5"/>
    <n v="4"/>
    <n v="4"/>
    <n v="5"/>
    <n v="5"/>
    <n v="6"/>
    <n v="19"/>
    <n v="18"/>
    <n v="11"/>
    <n v="48"/>
    <n v="0.78881063774661531"/>
    <n v="23.196700507614214"/>
    <n v="6.4306002317777482"/>
    <n v="22.771573604060915"/>
    <n v="6.5356886776680962"/>
    <n v="11.434010152284264"/>
    <n v="3.5019632409825281"/>
    <n v="-0.65261411942163761"/>
    <n v="-0.73007969617111423"/>
    <n v="-0.12393338319636275"/>
    <n v="-0.50220906626303818"/>
  </r>
  <r>
    <x v="16"/>
    <s v="IMP"/>
    <n v="6"/>
    <n v="6"/>
    <n v="5"/>
    <n v="5"/>
    <n v="5"/>
    <n v="4"/>
    <n v="5"/>
    <n v="6"/>
    <n v="4"/>
    <n v="6"/>
    <n v="22"/>
    <n v="20"/>
    <n v="10"/>
    <n v="52"/>
    <n v="0.78881063774661553"/>
    <n v="23.196700507614214"/>
    <n v="6.4306002317777482"/>
    <n v="22.771573604060915"/>
    <n v="6.5356886776680962"/>
    <n v="11.434010152284264"/>
    <n v="3.5019632409825281"/>
    <n v="-0.18609468237514495"/>
    <n v="-0.42406756820151964"/>
    <n v="-0.40948749418681252"/>
    <n v="-0.3398832482544924"/>
  </r>
  <r>
    <x v="16"/>
    <s v="IMP"/>
    <n v="6"/>
    <n v="6"/>
    <n v="6"/>
    <n v="6"/>
    <n v="5"/>
    <n v="5"/>
    <n v="5"/>
    <n v="5"/>
    <n v="6"/>
    <n v="5"/>
    <n v="24"/>
    <n v="20"/>
    <n v="11"/>
    <n v="55"/>
    <n v="0.5270462766947297"/>
    <n v="23.196700507614214"/>
    <n v="6.4306002317777482"/>
    <n v="22.771573604060915"/>
    <n v="6.5356886776680962"/>
    <n v="11.434010152284264"/>
    <n v="3.5019632409825281"/>
    <n v="0.12491827565585011"/>
    <n v="-0.42406756820151964"/>
    <n v="-0.12393338319636275"/>
    <n v="-0.14102755858067742"/>
  </r>
  <r>
    <x v="16"/>
    <s v="IMP"/>
    <n v="6"/>
    <n v="5"/>
    <n v="4"/>
    <n v="5"/>
    <n v="4"/>
    <n v="4"/>
    <n v="5"/>
    <n v="5"/>
    <n v="5"/>
    <n v="6"/>
    <n v="20"/>
    <n v="18"/>
    <n v="11"/>
    <n v="49"/>
    <n v="0.73786478737262207"/>
    <n v="23.196700507614214"/>
    <n v="6.4306002317777482"/>
    <n v="22.771573604060915"/>
    <n v="6.5356886776680962"/>
    <n v="11.434010152284264"/>
    <n v="3.5019632409825281"/>
    <n v="-0.49710764040614003"/>
    <n v="-0.73007969617111423"/>
    <n v="-0.12393338319636275"/>
    <n v="-0.45037357325787236"/>
  </r>
  <r>
    <x v="16"/>
    <s v="IMP"/>
    <n v="4"/>
    <n v="3"/>
    <n v="3"/>
    <n v="4"/>
    <n v="4"/>
    <n v="4"/>
    <n v="3"/>
    <n v="4"/>
    <n v="4"/>
    <n v="4"/>
    <n v="14"/>
    <n v="15"/>
    <n v="8"/>
    <n v="37"/>
    <n v="0.48304589153964794"/>
    <n v="23.196700507614214"/>
    <n v="6.4306002317777482"/>
    <n v="22.771573604060915"/>
    <n v="6.5356886776680962"/>
    <n v="11.434010152284264"/>
    <n v="3.5019632409825281"/>
    <n v="-1.4301465144991252"/>
    <n v="-1.1890978881255061"/>
    <n v="-0.98059571616771202"/>
    <n v="-1.1999467062641145"/>
  </r>
  <r>
    <x v="16"/>
    <s v="IMP"/>
    <n v="5"/>
    <n v="6"/>
    <n v="5"/>
    <n v="6"/>
    <n v="5"/>
    <n v="6"/>
    <n v="6"/>
    <n v="6"/>
    <n v="6"/>
    <n v="5"/>
    <n v="22"/>
    <n v="23"/>
    <n v="11"/>
    <n v="56"/>
    <n v="0.51639777949432231"/>
    <n v="23.196700507614214"/>
    <n v="6.4306002317777482"/>
    <n v="22.771573604060915"/>
    <n v="6.5356886776680962"/>
    <n v="11.434010152284264"/>
    <n v="3.5019632409825281"/>
    <n v="-0.18609468237514495"/>
    <n v="3.4950623752872265E-2"/>
    <n v="-0.12393338319636275"/>
    <n v="-9.1692480606211824E-2"/>
  </r>
  <r>
    <x v="16"/>
    <s v="IMP"/>
    <n v="5"/>
    <n v="6"/>
    <n v="4"/>
    <n v="6"/>
    <n v="4"/>
    <n v="4"/>
    <n v="5"/>
    <n v="5"/>
    <n v="4"/>
    <n v="4"/>
    <n v="21"/>
    <n v="18"/>
    <n v="8"/>
    <n v="47"/>
    <n v="0.82327260234856459"/>
    <n v="23.196700507614214"/>
    <n v="6.4306002317777482"/>
    <n v="22.771573604060915"/>
    <n v="6.5356886776680962"/>
    <n v="11.434010152284264"/>
    <n v="3.5019632409825281"/>
    <n v="-0.3416011613906425"/>
    <n v="-0.73007969617111423"/>
    <n v="-0.98059571616771202"/>
    <n v="-0.68409219124315623"/>
  </r>
  <r>
    <x v="16"/>
    <s v="IMP"/>
    <n v="5"/>
    <n v="6"/>
    <n v="5"/>
    <n v="4"/>
    <n v="4"/>
    <n v="6"/>
    <n v="6"/>
    <n v="6"/>
    <n v="5"/>
    <n v="5"/>
    <n v="20"/>
    <n v="22"/>
    <n v="10"/>
    <n v="52"/>
    <n v="0.78881063774661531"/>
    <n v="23.196700507614214"/>
    <n v="6.4306002317777482"/>
    <n v="22.771573604060915"/>
    <n v="6.5356886776680962"/>
    <n v="11.434010152284264"/>
    <n v="3.5019632409825281"/>
    <n v="-0.49710764040614003"/>
    <n v="-0.11805544023192505"/>
    <n v="-0.40948749418681252"/>
    <n v="-0.34155019160829253"/>
  </r>
  <r>
    <x v="16"/>
    <s v="IMP"/>
    <n v="4"/>
    <n v="4"/>
    <n v="4"/>
    <n v="5"/>
    <n v="5"/>
    <n v="5"/>
    <n v="4"/>
    <n v="5"/>
    <n v="4"/>
    <n v="4"/>
    <n v="17"/>
    <n v="19"/>
    <n v="8"/>
    <n v="44"/>
    <n v="0.5163977794943222"/>
    <n v="23.196700507614214"/>
    <n v="6.4306002317777482"/>
    <n v="22.771573604060915"/>
    <n v="6.5356886776680962"/>
    <n v="11.434010152284264"/>
    <n v="3.5019632409825281"/>
    <n v="-0.96362707745263265"/>
    <n v="-0.57707363218631691"/>
    <n v="-0.98059571616771202"/>
    <n v="-0.84043214193555382"/>
  </r>
  <r>
    <x v="16"/>
    <s v="IMP"/>
    <n v="5"/>
    <n v="3"/>
    <n v="3"/>
    <n v="3"/>
    <n v="4"/>
    <n v="3"/>
    <n v="4"/>
    <n v="4"/>
    <n v="3"/>
    <n v="3"/>
    <n v="14"/>
    <n v="15"/>
    <n v="6"/>
    <n v="35"/>
    <n v="0.70710678118654757"/>
    <n v="23.196700507614214"/>
    <n v="6.4306002317777482"/>
    <n v="22.771573604060915"/>
    <n v="6.5356886776680962"/>
    <n v="11.434010152284264"/>
    <n v="3.5019632409825281"/>
    <n v="-1.4301465144991252"/>
    <n v="-1.1890978881255061"/>
    <n v="-1.5517039381486115"/>
    <n v="-1.3903161135910811"/>
  </r>
  <r>
    <x v="16"/>
    <s v="IMP"/>
    <n v="7"/>
    <n v="7"/>
    <n v="6"/>
    <n v="7"/>
    <n v="6"/>
    <n v="7"/>
    <n v="6"/>
    <n v="6"/>
    <n v="5"/>
    <n v="4"/>
    <n v="27"/>
    <n v="25"/>
    <n v="9"/>
    <n v="61"/>
    <n v="0.99442892601175314"/>
    <n v="23.196700507614214"/>
    <n v="6.4306002317777482"/>
    <n v="22.771573604060915"/>
    <n v="6.5356886776680962"/>
    <n v="11.434010152284264"/>
    <n v="3.5019632409825281"/>
    <n v="0.59143771270234269"/>
    <n v="0.34096275172246687"/>
    <n v="-0.69504160517726232"/>
    <n v="7.9119619749182427E-2"/>
  </r>
  <r>
    <x v="16"/>
    <s v="IMP"/>
    <n v="6"/>
    <n v="4"/>
    <n v="5"/>
    <n v="7"/>
    <n v="6"/>
    <n v="5"/>
    <n v="4"/>
    <n v="5"/>
    <n v="5"/>
    <n v="5"/>
    <n v="22"/>
    <n v="20"/>
    <n v="10"/>
    <n v="52"/>
    <n v="0.91893658347268148"/>
    <n v="23.196700507614214"/>
    <n v="6.4306002317777482"/>
    <n v="22.771573604060915"/>
    <n v="6.5356886776680962"/>
    <n v="11.434010152284264"/>
    <n v="3.5019632409825281"/>
    <n v="-0.18609468237514495"/>
    <n v="-0.42406756820151964"/>
    <n v="-0.40948749418681252"/>
    <n v="-0.3398832482544924"/>
  </r>
  <r>
    <x v="16"/>
    <s v="IMP"/>
    <n v="7"/>
    <n v="5"/>
    <n v="5"/>
    <n v="5"/>
    <n v="4"/>
    <n v="5"/>
    <n v="5"/>
    <n v="6"/>
    <n v="5"/>
    <n v="4"/>
    <n v="22"/>
    <n v="20"/>
    <n v="9"/>
    <n v="51"/>
    <n v="0.87559503577091313"/>
    <n v="23.196700507614214"/>
    <n v="6.4306002317777482"/>
    <n v="22.771573604060915"/>
    <n v="6.5356886776680962"/>
    <n v="11.434010152284264"/>
    <n v="3.5019632409825281"/>
    <n v="-0.18609468237514495"/>
    <n v="-0.42406756820151964"/>
    <n v="-0.69504160517726232"/>
    <n v="-0.43506795191797565"/>
  </r>
  <r>
    <x v="16"/>
    <s v="IMP"/>
    <n v="7"/>
    <n v="6"/>
    <n v="7"/>
    <n v="5"/>
    <n v="4"/>
    <n v="5"/>
    <n v="6"/>
    <n v="5"/>
    <n v="4"/>
    <n v="4"/>
    <n v="25"/>
    <n v="20"/>
    <n v="8"/>
    <n v="53"/>
    <n v="1.1595018087284055"/>
    <n v="23.196700507614214"/>
    <n v="6.4306002317777482"/>
    <n v="22.771573604060915"/>
    <n v="6.5356886776680962"/>
    <n v="11.434010152284264"/>
    <n v="3.5019632409825281"/>
    <n v="0.28042475467134764"/>
    <n v="-0.42406756820151964"/>
    <n v="-0.98059571616771202"/>
    <n v="-0.37474617656596138"/>
  </r>
  <r>
    <x v="16"/>
    <s v="IMP"/>
    <n v="7"/>
    <n v="5"/>
    <n v="6"/>
    <n v="6"/>
    <n v="5"/>
    <n v="5"/>
    <n v="6"/>
    <n v="5"/>
    <n v="7"/>
    <n v="6"/>
    <n v="24"/>
    <n v="21"/>
    <n v="13"/>
    <n v="58"/>
    <n v="0.78881063774661564"/>
    <n v="23.196700507614214"/>
    <n v="6.4306002317777482"/>
    <n v="22.771573604060915"/>
    <n v="6.5356886776680962"/>
    <n v="11.434010152284264"/>
    <n v="3.5019632409825281"/>
    <n v="0.12491827565585011"/>
    <n v="-0.27106150421672232"/>
    <n v="0.44717483878453679"/>
    <n v="0.10034387007455486"/>
  </r>
  <r>
    <x v="16"/>
    <s v="IMP"/>
    <n v="7"/>
    <n v="5"/>
    <n v="6"/>
    <n v="6"/>
    <n v="7"/>
    <n v="6"/>
    <n v="7"/>
    <n v="7"/>
    <n v="6"/>
    <n v="5"/>
    <n v="24"/>
    <n v="27"/>
    <n v="11"/>
    <n v="62"/>
    <n v="0.78881063774661531"/>
    <n v="23.196700507614214"/>
    <n v="6.4306002317777482"/>
    <n v="22.771573604060915"/>
    <n v="6.5356886776680962"/>
    <n v="11.434010152284264"/>
    <n v="3.5019632409825281"/>
    <n v="0.12491827565585011"/>
    <n v="0.64697487969206147"/>
    <n v="-0.12393338319636275"/>
    <n v="0.21598659071718296"/>
  </r>
  <r>
    <x v="16"/>
    <s v="IMP"/>
    <n v="7"/>
    <n v="7"/>
    <n v="6"/>
    <n v="7"/>
    <n v="5"/>
    <n v="5"/>
    <n v="7"/>
    <n v="6"/>
    <n v="5"/>
    <n v="6"/>
    <n v="27"/>
    <n v="23"/>
    <n v="11"/>
    <n v="61"/>
    <n v="0.87559503577091324"/>
    <n v="23.196700507614214"/>
    <n v="6.4306002317777482"/>
    <n v="22.771573604060915"/>
    <n v="6.5356886776680962"/>
    <n v="11.434010152284264"/>
    <n v="3.5019632409825281"/>
    <n v="0.59143771270234269"/>
    <n v="3.4950623752872265E-2"/>
    <n v="-0.12393338319636275"/>
    <n v="0.16748498441961743"/>
  </r>
  <r>
    <x v="17"/>
    <s v="IMP"/>
    <n v="6"/>
    <n v="6"/>
    <n v="6"/>
    <n v="6"/>
    <n v="5"/>
    <n v="6"/>
    <n v="6"/>
    <n v="6"/>
    <n v="7"/>
    <n v="9"/>
    <n v="24"/>
    <n v="23"/>
    <n v="16"/>
    <n v="63"/>
    <n v="1.0593499054713804"/>
    <n v="23.196700507614214"/>
    <n v="6.4306002317777482"/>
    <n v="22.771573604060915"/>
    <n v="6.5356886776680962"/>
    <n v="11.434010152284264"/>
    <n v="3.5019632409825281"/>
    <n v="0.12491827565585011"/>
    <n v="3.4950623752872265E-2"/>
    <n v="1.3038371717558861"/>
    <n v="0.48790202372153613"/>
  </r>
  <r>
    <x v="17"/>
    <s v="IMP"/>
    <n v="7"/>
    <n v="6"/>
    <n v="7"/>
    <n v="6"/>
    <n v="6"/>
    <n v="6"/>
    <n v="7"/>
    <n v="7"/>
    <n v="7"/>
    <n v="7"/>
    <n v="26"/>
    <n v="26"/>
    <n v="14"/>
    <n v="66"/>
    <n v="0.51639777949432231"/>
    <n v="23.196700507614214"/>
    <n v="6.4306002317777482"/>
    <n v="22.771573604060915"/>
    <n v="6.5356886776680962"/>
    <n v="11.434010152284264"/>
    <n v="3.5019632409825281"/>
    <n v="0.43593123368684517"/>
    <n v="0.49396881570726414"/>
    <n v="0.73272894977498659"/>
    <n v="0.5542096663896986"/>
  </r>
  <r>
    <x v="17"/>
    <s v="IMP"/>
    <n v="5"/>
    <n v="4"/>
    <n v="5"/>
    <n v="4"/>
    <n v="6"/>
    <n v="6"/>
    <n v="4"/>
    <n v="6"/>
    <n v="6"/>
    <n v="7"/>
    <n v="18"/>
    <n v="22"/>
    <n v="13"/>
    <n v="53"/>
    <n v="1.0593499054713804"/>
    <n v="23.196700507614214"/>
    <n v="6.4306002317777482"/>
    <n v="22.771573604060915"/>
    <n v="6.5356886776680962"/>
    <n v="11.434010152284264"/>
    <n v="3.5019632409825281"/>
    <n v="-0.80812059843713513"/>
    <n v="-0.11805544023192505"/>
    <n v="0.44717483878453679"/>
    <n v="-0.15966706662817445"/>
  </r>
  <r>
    <x v="17"/>
    <s v="IMP"/>
    <n v="6"/>
    <n v="4"/>
    <n v="5"/>
    <n v="5"/>
    <n v="4"/>
    <n v="5"/>
    <n v="4"/>
    <n v="5"/>
    <n v="5"/>
    <n v="5"/>
    <n v="20"/>
    <n v="18"/>
    <n v="10"/>
    <n v="48"/>
    <n v="0.63245553203367577"/>
    <n v="23.196700507614214"/>
    <n v="6.4306002317777482"/>
    <n v="22.771573604060915"/>
    <n v="6.5356886776680962"/>
    <n v="11.434010152284264"/>
    <n v="3.5019632409825281"/>
    <n v="-0.49710764040614003"/>
    <n v="-0.73007969617111423"/>
    <n v="-0.40948749418681252"/>
    <n v="-0.54555827692135561"/>
  </r>
  <r>
    <x v="17"/>
    <s v="IMP"/>
    <n v="5"/>
    <n v="7"/>
    <n v="7"/>
    <n v="7"/>
    <n v="7"/>
    <n v="7"/>
    <n v="7"/>
    <n v="7"/>
    <n v="7"/>
    <n v="8"/>
    <n v="26"/>
    <n v="28"/>
    <n v="15"/>
    <n v="69"/>
    <n v="0.73786478737262207"/>
    <n v="23.196700507614214"/>
    <n v="6.4306002317777482"/>
    <n v="22.771573604060915"/>
    <n v="6.5356886776680962"/>
    <n v="11.434010152284264"/>
    <n v="3.5019632409825281"/>
    <n v="0.43593123368684517"/>
    <n v="0.79998094367685879"/>
    <n v="1.0182830607654363"/>
    <n v="0.75139841270971353"/>
  </r>
  <r>
    <x v="17"/>
    <s v="IMP"/>
    <n v="4"/>
    <n v="4"/>
    <n v="4"/>
    <n v="4"/>
    <n v="3"/>
    <n v="4"/>
    <n v="3"/>
    <n v="5"/>
    <n v="5"/>
    <n v="4"/>
    <n v="16"/>
    <n v="15"/>
    <n v="9"/>
    <n v="40"/>
    <n v="0.66666666666666674"/>
    <n v="23.196700507614214"/>
    <n v="6.4306002317777482"/>
    <n v="22.771573604060915"/>
    <n v="6.5356886776680962"/>
    <n v="11.434010152284264"/>
    <n v="3.5019632409825281"/>
    <n v="-1.1191335564681302"/>
    <n v="-1.1890978881255061"/>
    <n v="-0.69504160517726232"/>
    <n v="-1.0010910165902995"/>
  </r>
  <r>
    <x v="17"/>
    <s v="IMP"/>
    <n v="5"/>
    <n v="5"/>
    <n v="6"/>
    <n v="6"/>
    <n v="6"/>
    <n v="6"/>
    <n v="7"/>
    <n v="6"/>
    <n v="7"/>
    <n v="7"/>
    <n v="22"/>
    <n v="25"/>
    <n v="14"/>
    <n v="61"/>
    <n v="0.73786478737262207"/>
    <n v="23.196700507614214"/>
    <n v="6.4306002317777482"/>
    <n v="22.771573604060915"/>
    <n v="6.5356886776680962"/>
    <n v="11.434010152284264"/>
    <n v="3.5019632409825281"/>
    <n v="-0.18609468237514495"/>
    <n v="0.34096275172246687"/>
    <n v="0.73272894977498659"/>
    <n v="0.29586567304076949"/>
  </r>
  <r>
    <x v="17"/>
    <s v="IMP"/>
    <n v="5"/>
    <n v="3"/>
    <n v="4"/>
    <n v="3"/>
    <n v="5"/>
    <n v="5"/>
    <n v="4"/>
    <n v="5"/>
    <n v="4"/>
    <n v="4"/>
    <n v="15"/>
    <n v="19"/>
    <n v="8"/>
    <n v="42"/>
    <n v="0.78881063774661542"/>
    <n v="23.196700507614214"/>
    <n v="6.4306002317777482"/>
    <n v="22.771573604060915"/>
    <n v="6.5356886776680962"/>
    <n v="11.434010152284264"/>
    <n v="3.5019632409825281"/>
    <n v="-1.2746400354836278"/>
    <n v="-0.57707363218631691"/>
    <n v="-0.98059571616771202"/>
    <n v="-0.94410312794588558"/>
  </r>
  <r>
    <x v="17"/>
    <s v="IMP"/>
    <n v="6"/>
    <n v="4"/>
    <n v="6"/>
    <n v="5"/>
    <n v="5"/>
    <n v="4"/>
    <n v="5"/>
    <n v="6"/>
    <n v="6"/>
    <n v="7"/>
    <n v="21"/>
    <n v="20"/>
    <n v="13"/>
    <n v="54"/>
    <n v="0.96609178307929577"/>
    <n v="23.196700507614214"/>
    <n v="6.4306002317777482"/>
    <n v="22.771573604060915"/>
    <n v="6.5356886776680962"/>
    <n v="11.434010152284264"/>
    <n v="3.5019632409825281"/>
    <n v="-0.3416011613906425"/>
    <n v="-0.42406756820151964"/>
    <n v="0.44717483878453679"/>
    <n v="-0.10616463026920846"/>
  </r>
  <r>
    <x v="17"/>
    <s v="IMP"/>
    <n v="7"/>
    <n v="6"/>
    <n v="7"/>
    <n v="6"/>
    <n v="6"/>
    <n v="5"/>
    <n v="5"/>
    <n v="5"/>
    <n v="6"/>
    <n v="5"/>
    <n v="26"/>
    <n v="21"/>
    <n v="11"/>
    <n v="58"/>
    <n v="0.78881063774661564"/>
    <n v="23.196700507614214"/>
    <n v="6.4306002317777482"/>
    <n v="22.771573604060915"/>
    <n v="6.5356886776680962"/>
    <n v="11.434010152284264"/>
    <n v="3.5019632409825281"/>
    <n v="0.43593123368684517"/>
    <n v="-0.27106150421672232"/>
    <n v="-0.12393338319636275"/>
    <n v="1.3645448757920032E-2"/>
  </r>
  <r>
    <x v="17"/>
    <s v="IMP"/>
    <n v="8"/>
    <n v="7"/>
    <n v="7"/>
    <n v="8"/>
    <n v="7"/>
    <n v="7"/>
    <n v="7"/>
    <n v="7"/>
    <n v="8"/>
    <n v="8"/>
    <n v="30"/>
    <n v="28"/>
    <n v="16"/>
    <n v="74"/>
    <n v="0.5163977794943222"/>
    <n v="23.196700507614214"/>
    <n v="6.4306002317777482"/>
    <n v="22.771573604060915"/>
    <n v="6.5356886776680962"/>
    <n v="11.434010152284264"/>
    <n v="3.5019632409825281"/>
    <n v="1.0579571497488354"/>
    <n v="0.79998094367685879"/>
    <n v="1.3038371717558861"/>
    <n v="1.05392508839386"/>
  </r>
  <r>
    <x v="17"/>
    <s v="IMP"/>
    <n v="6"/>
    <n v="4"/>
    <n v="4"/>
    <n v="3"/>
    <n v="5"/>
    <n v="3"/>
    <n v="3"/>
    <n v="3"/>
    <n v="3"/>
    <n v="3"/>
    <n v="17"/>
    <n v="14"/>
    <n v="6"/>
    <n v="37"/>
    <n v="1.0593499054713804"/>
    <n v="23.196700507614214"/>
    <n v="6.4306002317777482"/>
    <n v="22.771573604060915"/>
    <n v="6.5356886776680962"/>
    <n v="11.434010152284264"/>
    <n v="3.5019632409825281"/>
    <n v="-0.96362707745263265"/>
    <n v="-1.3421039521103035"/>
    <n v="-1.5517039381486115"/>
    <n v="-1.2858116559038493"/>
  </r>
  <r>
    <x v="17"/>
    <s v="IMP"/>
    <n v="8"/>
    <n v="7"/>
    <n v="8"/>
    <n v="8"/>
    <n v="8"/>
    <n v="7"/>
    <n v="7"/>
    <n v="7"/>
    <n v="8"/>
    <n v="8"/>
    <n v="31"/>
    <n v="29"/>
    <n v="16"/>
    <n v="76"/>
    <n v="0.5163977794943222"/>
    <n v="23.196700507614214"/>
    <n v="6.4306002317777482"/>
    <n v="22.771573604060915"/>
    <n v="6.5356886776680962"/>
    <n v="11.434010152284264"/>
    <n v="3.5019632409825281"/>
    <n v="1.2134636287643328"/>
    <n v="0.95298700766165612"/>
    <n v="1.3038371717558861"/>
    <n v="1.1567626027272917"/>
  </r>
  <r>
    <x v="17"/>
    <s v="IMP"/>
    <n v="5"/>
    <n v="6"/>
    <n v="5"/>
    <n v="6"/>
    <n v="6"/>
    <n v="6"/>
    <n v="5"/>
    <n v="5"/>
    <n v="6"/>
    <n v="7"/>
    <n v="22"/>
    <n v="22"/>
    <n v="13"/>
    <n v="57"/>
    <n v="0.67494855771055284"/>
    <n v="23.196700507614214"/>
    <n v="6.4306002317777482"/>
    <n v="22.771573604060915"/>
    <n v="6.5356886776680962"/>
    <n v="11.434010152284264"/>
    <n v="3.5019632409825281"/>
    <n v="-0.18609468237514495"/>
    <n v="-0.11805544023192505"/>
    <n v="0.44717483878453679"/>
    <n v="4.7674905392488941E-2"/>
  </r>
  <r>
    <x v="17"/>
    <s v="IMP"/>
    <n v="5"/>
    <n v="5"/>
    <n v="5"/>
    <n v="5"/>
    <n v="6"/>
    <n v="5"/>
    <n v="4"/>
    <n v="4"/>
    <n v="5"/>
    <n v="6"/>
    <n v="20"/>
    <n v="19"/>
    <n v="11"/>
    <n v="50"/>
    <n v="0.66666666666666663"/>
    <n v="23.196700507614214"/>
    <n v="6.4306002317777482"/>
    <n v="22.771573604060915"/>
    <n v="6.5356886776680962"/>
    <n v="11.434010152284264"/>
    <n v="3.5019632409825281"/>
    <n v="-0.49710764040614003"/>
    <n v="-0.57707363218631691"/>
    <n v="-0.12393338319636275"/>
    <n v="-0.39937155192960655"/>
  </r>
  <r>
    <x v="17"/>
    <s v="IMP"/>
    <n v="6"/>
    <n v="7"/>
    <n v="5"/>
    <n v="7"/>
    <n v="6"/>
    <n v="6"/>
    <n v="5"/>
    <n v="5"/>
    <n v="5"/>
    <n v="6"/>
    <n v="25"/>
    <n v="22"/>
    <n v="11"/>
    <n v="58"/>
    <n v="0.78881063774661553"/>
    <n v="23.196700507614214"/>
    <n v="6.4306002317777482"/>
    <n v="22.771573604060915"/>
    <n v="6.5356886776680962"/>
    <n v="11.434010152284264"/>
    <n v="3.5019632409825281"/>
    <n v="0.28042475467134764"/>
    <n v="-0.11805544023192505"/>
    <n v="-0.12393338319636275"/>
    <n v="1.2811977081019948E-2"/>
  </r>
  <r>
    <x v="17"/>
    <s v="IMP"/>
    <n v="6"/>
    <n v="7"/>
    <n v="7"/>
    <n v="7"/>
    <n v="6"/>
    <n v="5"/>
    <n v="5"/>
    <n v="5"/>
    <n v="5"/>
    <n v="5"/>
    <n v="27"/>
    <n v="21"/>
    <n v="10"/>
    <n v="58"/>
    <n v="0.91893658347268137"/>
    <n v="23.196700507614214"/>
    <n v="6.4306002317777482"/>
    <n v="22.771573604060915"/>
    <n v="6.5356886776680962"/>
    <n v="11.434010152284264"/>
    <n v="3.5019632409825281"/>
    <n v="0.59143771270234269"/>
    <n v="-0.27106150421672232"/>
    <n v="-0.40948749418681252"/>
    <n v="-2.970376190039738E-2"/>
  </r>
  <r>
    <x v="17"/>
    <s v="IMP"/>
    <n v="6"/>
    <n v="6"/>
    <n v="6"/>
    <n v="7"/>
    <n v="7"/>
    <n v="7"/>
    <n v="6"/>
    <n v="6"/>
    <n v="7"/>
    <n v="6"/>
    <n v="25"/>
    <n v="26"/>
    <n v="13"/>
    <n v="64"/>
    <n v="0.5163977794943222"/>
    <n v="23.196700507614214"/>
    <n v="6.4306002317777482"/>
    <n v="22.771573604060915"/>
    <n v="6.5356886776680962"/>
    <n v="11.434010152284264"/>
    <n v="3.5019632409825281"/>
    <n v="0.28042475467134764"/>
    <n v="0.49396881570726414"/>
    <n v="0.44717483878453679"/>
    <n v="0.40718946972104958"/>
  </r>
  <r>
    <x v="17"/>
    <s v="IMP"/>
    <n v="5"/>
    <n v="5"/>
    <n v="6"/>
    <n v="5"/>
    <n v="6"/>
    <n v="5"/>
    <n v="5"/>
    <n v="7"/>
    <n v="7"/>
    <n v="5"/>
    <n v="21"/>
    <n v="23"/>
    <n v="12"/>
    <n v="56"/>
    <n v="0.8432740427115677"/>
    <n v="23.196700507614214"/>
    <n v="6.4306002317777482"/>
    <n v="22.771573604060915"/>
    <n v="6.5356886776680962"/>
    <n v="11.434010152284264"/>
    <n v="3.5019632409825281"/>
    <n v="-0.3416011613906425"/>
    <n v="3.4950623752872265E-2"/>
    <n v="0.16162072779408701"/>
    <n v="-4.8343269947894403E-2"/>
  </r>
  <r>
    <x v="17"/>
    <s v="IMP"/>
    <n v="6"/>
    <n v="4"/>
    <n v="3"/>
    <n v="4"/>
    <n v="5"/>
    <n v="5"/>
    <n v="4"/>
    <n v="5"/>
    <n v="6"/>
    <n v="4"/>
    <n v="17"/>
    <n v="19"/>
    <n v="10"/>
    <n v="46"/>
    <n v="0.96609178307929577"/>
    <n v="23.196700507614214"/>
    <n v="6.4306002317777482"/>
    <n v="22.771573604060915"/>
    <n v="6.5356886776680962"/>
    <n v="11.434010152284264"/>
    <n v="3.5019632409825281"/>
    <n v="-0.96362707745263265"/>
    <n v="-0.57707363218631691"/>
    <n v="-0.40948749418681252"/>
    <n v="-0.65006273460858732"/>
  </r>
  <r>
    <x v="17"/>
    <s v="IMP"/>
    <n v="6"/>
    <n v="5"/>
    <n v="5"/>
    <n v="5"/>
    <n v="5"/>
    <n v="5"/>
    <n v="4"/>
    <n v="5"/>
    <n v="5"/>
    <n v="4"/>
    <n v="21"/>
    <n v="19"/>
    <n v="9"/>
    <n v="49"/>
    <n v="0.56764621219754674"/>
    <n v="23.196700507614214"/>
    <n v="6.4306002317777482"/>
    <n v="22.771573604060915"/>
    <n v="6.5356886776680962"/>
    <n v="11.434010152284264"/>
    <n v="3.5019632409825281"/>
    <n v="-0.3416011613906425"/>
    <n v="-0.57707363218631691"/>
    <n v="-0.69504160517726232"/>
    <n v="-0.53790546625140723"/>
  </r>
  <r>
    <x v="17"/>
    <s v="IMP"/>
    <n v="7"/>
    <n v="4"/>
    <n v="6"/>
    <n v="7"/>
    <n v="7"/>
    <n v="7"/>
    <n v="7"/>
    <n v="7"/>
    <n v="7"/>
    <n v="7"/>
    <n v="24"/>
    <n v="28"/>
    <n v="14"/>
    <n v="66"/>
    <n v="0.96609178307929577"/>
    <n v="23.196700507614214"/>
    <n v="6.4306002317777482"/>
    <n v="22.771573604060915"/>
    <n v="6.5356886776680962"/>
    <n v="11.434010152284264"/>
    <n v="3.5019632409825281"/>
    <n v="0.12491827565585011"/>
    <n v="0.79998094367685879"/>
    <n v="0.73272894977498659"/>
    <n v="0.55254272303589846"/>
  </r>
  <r>
    <x v="18"/>
    <s v="IMP"/>
    <n v="9"/>
    <n v="7"/>
    <n v="5"/>
    <n v="8"/>
    <n v="8"/>
    <n v="9"/>
    <n v="8"/>
    <n v="8"/>
    <n v="6"/>
    <n v="9"/>
    <n v="29"/>
    <n v="33"/>
    <n v="15"/>
    <n v="77"/>
    <n v="1.3374935098492586"/>
    <n v="23.196700507614214"/>
    <n v="6.4306002317777482"/>
    <n v="22.771573604060915"/>
    <n v="6.5356886776680962"/>
    <n v="11.434010152284264"/>
    <n v="3.5019632409825281"/>
    <n v="0.90245067073333785"/>
    <n v="1.5650112636008453"/>
    <n v="1.0182830607654363"/>
    <n v="1.1619149983665398"/>
  </r>
  <r>
    <x v="18"/>
    <s v="IMP"/>
    <n v="1"/>
    <n v="1"/>
    <n v="1"/>
    <n v="2"/>
    <n v="4"/>
    <n v="4"/>
    <n v="2"/>
    <n v="3"/>
    <n v="2"/>
    <n v="1"/>
    <n v="5"/>
    <n v="13"/>
    <n v="3"/>
    <n v="21"/>
    <n v="1.1972189997378648"/>
    <n v="23.196700507614214"/>
    <n v="6.4306002317777482"/>
    <n v="22.771573604060915"/>
    <n v="6.5356886776680962"/>
    <n v="11.434010152284264"/>
    <n v="3.5019632409825281"/>
    <n v="-2.8297048256386033"/>
    <n v="-1.4951100160951007"/>
    <n v="-2.4083662711199607"/>
    <n v="-2.2443937042845548"/>
  </r>
  <r>
    <x v="18"/>
    <s v="IMP"/>
    <n v="6"/>
    <n v="5"/>
    <n v="7"/>
    <n v="5"/>
    <n v="4"/>
    <n v="6"/>
    <n v="6"/>
    <n v="5"/>
    <n v="6"/>
    <n v="8"/>
    <n v="23"/>
    <n v="21"/>
    <n v="14"/>
    <n v="58"/>
    <n v="1.1352924243950935"/>
    <n v="23.196700507614214"/>
    <n v="6.4306002317777482"/>
    <n v="22.771573604060915"/>
    <n v="6.5356886776680962"/>
    <n v="11.434010152284264"/>
    <n v="3.5019632409825281"/>
    <n v="-3.0588203359647428E-2"/>
    <n v="-0.27106150421672232"/>
    <n v="0.73272894977498659"/>
    <n v="0.14369308073287229"/>
  </r>
  <r>
    <x v="18"/>
    <s v="IMP"/>
    <n v="2"/>
    <n v="3"/>
    <n v="5"/>
    <n v="3"/>
    <n v="2"/>
    <n v="2"/>
    <n v="5"/>
    <n v="4"/>
    <n v="7"/>
    <n v="8"/>
    <n v="13"/>
    <n v="13"/>
    <n v="15"/>
    <n v="41"/>
    <n v="2.1317702607092643"/>
    <n v="23.196700507614214"/>
    <n v="6.4306002317777482"/>
    <n v="22.771573604060915"/>
    <n v="6.5356886776680962"/>
    <n v="11.434010152284264"/>
    <n v="3.5019632409825281"/>
    <n v="-1.5856529935146229"/>
    <n v="-1.4951100160951007"/>
    <n v="1.0182830607654363"/>
    <n v="-0.68749331628142907"/>
  </r>
  <r>
    <x v="18"/>
    <s v="IMP"/>
    <n v="6"/>
    <n v="9"/>
    <n v="9"/>
    <n v="7"/>
    <n v="8"/>
    <n v="7"/>
    <n v="6"/>
    <n v="8"/>
    <n v="5"/>
    <n v="9"/>
    <n v="31"/>
    <n v="29"/>
    <n v="14"/>
    <n v="74"/>
    <n v="1.429840705968481"/>
    <n v="23.196700507614214"/>
    <n v="6.4306002317777482"/>
    <n v="22.771573604060915"/>
    <n v="6.5356886776680962"/>
    <n v="11.434010152284264"/>
    <n v="3.5019632409825281"/>
    <n v="1.2134636287643328"/>
    <n v="0.95298700766165612"/>
    <n v="0.73272894977498659"/>
    <n v="0.9663931954003252"/>
  </r>
  <r>
    <x v="18"/>
    <s v="IMP"/>
    <n v="6"/>
    <n v="5"/>
    <n v="4"/>
    <n v="8"/>
    <n v="7"/>
    <n v="9"/>
    <n v="9"/>
    <n v="8"/>
    <n v="8"/>
    <n v="9"/>
    <n v="23"/>
    <n v="33"/>
    <n v="17"/>
    <n v="73"/>
    <n v="1.7669811040931429"/>
    <n v="23.196700507614214"/>
    <n v="6.4306002317777482"/>
    <n v="22.771573604060915"/>
    <n v="6.5356886776680962"/>
    <n v="11.434010152284264"/>
    <n v="3.5019632409825281"/>
    <n v="-3.0588203359647428E-2"/>
    <n v="1.5650112636008453"/>
    <n v="1.5893912827463359"/>
    <n v="1.0412714476625113"/>
  </r>
  <r>
    <x v="18"/>
    <s v="IMP"/>
    <n v="8"/>
    <n v="2"/>
    <n v="5"/>
    <n v="4"/>
    <n v="9"/>
    <n v="8"/>
    <n v="7"/>
    <n v="7"/>
    <n v="8"/>
    <n v="6"/>
    <n v="19"/>
    <n v="31"/>
    <n v="14"/>
    <n v="64"/>
    <n v="2.1705094128132942"/>
    <n v="23.196700507614214"/>
    <n v="6.4306002317777482"/>
    <n v="22.771573604060915"/>
    <n v="6.5356886776680962"/>
    <n v="11.434010152284264"/>
    <n v="3.5019632409825281"/>
    <n v="-0.65261411942163761"/>
    <n v="1.2589991356312507"/>
    <n v="0.73272894977498659"/>
    <n v="0.44637132199486657"/>
  </r>
  <r>
    <x v="18"/>
    <s v="IMP"/>
    <n v="6"/>
    <n v="7"/>
    <n v="8"/>
    <n v="5"/>
    <n v="9"/>
    <n v="7"/>
    <n v="9"/>
    <n v="9"/>
    <n v="4"/>
    <n v="3"/>
    <n v="26"/>
    <n v="34"/>
    <n v="7"/>
    <n v="67"/>
    <n v="2.1628170930011112"/>
    <n v="23.196700507614214"/>
    <n v="6.4306002317777482"/>
    <n v="22.771573604060915"/>
    <n v="6.5356886776680962"/>
    <n v="11.434010152284264"/>
    <n v="3.5019632409825281"/>
    <n v="0.43593123368684517"/>
    <n v="1.7180173275856425"/>
    <n v="-1.2661498271581617"/>
    <n v="0.29593291137144201"/>
  </r>
  <r>
    <x v="19"/>
    <s v="IMP"/>
    <n v="7"/>
    <n v="6"/>
    <n v="6"/>
    <n v="7"/>
    <n v="7"/>
    <n v="5"/>
    <n v="7"/>
    <n v="5"/>
    <n v="8"/>
    <n v="5"/>
    <n v="26"/>
    <n v="24"/>
    <n v="13"/>
    <n v="63"/>
    <n v="1.05934990547138"/>
    <n v="23.196700507614214"/>
    <n v="6.4306002317777482"/>
    <n v="22.771573604060915"/>
    <n v="6.5356886776680962"/>
    <n v="11.434010152284264"/>
    <n v="3.5019632409825281"/>
    <n v="0.43593123368684517"/>
    <n v="0.18795668773766958"/>
    <n v="0.44717483878453679"/>
    <n v="0.35702092006968389"/>
  </r>
  <r>
    <x v="19"/>
    <s v="IMP"/>
    <n v="6"/>
    <n v="3"/>
    <n v="4"/>
    <n v="3"/>
    <n v="3"/>
    <n v="4"/>
    <n v="2"/>
    <n v="2"/>
    <n v="2"/>
    <n v="2"/>
    <n v="16"/>
    <n v="11"/>
    <n v="4"/>
    <n v="31"/>
    <n v="1.2866839377079187"/>
    <n v="23.196700507614214"/>
    <n v="6.4306002317777482"/>
    <n v="22.771573604060915"/>
    <n v="6.5356886776680962"/>
    <n v="11.434010152284264"/>
    <n v="3.5019632409825281"/>
    <n v="-1.1191335564681302"/>
    <n v="-1.8011221440646954"/>
    <n v="-2.1228121601295111"/>
    <n v="-1.681022620220779"/>
  </r>
  <r>
    <x v="19"/>
    <s v="IMP"/>
    <n v="7"/>
    <n v="7"/>
    <n v="6"/>
    <n v="7"/>
    <n v="8"/>
    <n v="8"/>
    <n v="7"/>
    <n v="8"/>
    <n v="7"/>
    <n v="4"/>
    <n v="27"/>
    <n v="31"/>
    <n v="11"/>
    <n v="69"/>
    <n v="1.1972189997378646"/>
    <n v="23.196700507614214"/>
    <n v="6.4306002317777482"/>
    <n v="22.771573604060915"/>
    <n v="6.5356886776680962"/>
    <n v="11.434010152284264"/>
    <n v="3.5019632409825281"/>
    <n v="0.59143771270234269"/>
    <n v="1.2589991356312507"/>
    <n v="-0.12393338319636275"/>
    <n v="0.57550115504574351"/>
  </r>
  <r>
    <x v="19"/>
    <s v="IMP"/>
    <n v="6"/>
    <n v="6"/>
    <n v="6"/>
    <n v="4"/>
    <n v="4"/>
    <n v="6"/>
    <n v="5"/>
    <n v="7"/>
    <n v="5"/>
    <n v="5"/>
    <n v="22"/>
    <n v="22"/>
    <n v="10"/>
    <n v="54"/>
    <n v="0.96609178307929588"/>
    <n v="23.196700507614214"/>
    <n v="6.4306002317777482"/>
    <n v="22.771573604060915"/>
    <n v="6.5356886776680962"/>
    <n v="11.434010152284264"/>
    <n v="3.5019632409825281"/>
    <n v="-0.18609468237514495"/>
    <n v="-0.11805544023192505"/>
    <n v="-0.40948749418681252"/>
    <n v="-0.23787920559796083"/>
  </r>
  <r>
    <x v="19"/>
    <s v="IMP"/>
    <n v="6"/>
    <n v="6"/>
    <n v="6"/>
    <n v="3"/>
    <n v="5"/>
    <n v="6"/>
    <n v="4"/>
    <n v="5"/>
    <n v="4"/>
    <n v="3"/>
    <n v="21"/>
    <n v="20"/>
    <n v="7"/>
    <n v="48"/>
    <n v="1.2292725943057183"/>
    <n v="23.196700507614214"/>
    <n v="6.4306002317777482"/>
    <n v="22.771573604060915"/>
    <n v="6.5356886776680962"/>
    <n v="11.434010152284264"/>
    <n v="3.5019632409825281"/>
    <n v="-0.3416011613906425"/>
    <n v="-0.42406756820151964"/>
    <n v="-1.2661498271581617"/>
    <n v="-0.67727285225010803"/>
  </r>
  <r>
    <x v="19"/>
    <s v="IMP"/>
    <n v="2"/>
    <n v="3"/>
    <n v="3"/>
    <n v="4"/>
    <n v="3"/>
    <n v="5"/>
    <n v="3"/>
    <n v="4"/>
    <n v="4"/>
    <n v="5"/>
    <n v="12"/>
    <n v="15"/>
    <n v="9"/>
    <n v="36"/>
    <n v="0.96609178307929577"/>
    <n v="23.196700507614214"/>
    <n v="6.4306002317777482"/>
    <n v="22.771573604060915"/>
    <n v="6.5356886776680962"/>
    <n v="11.434010152284264"/>
    <n v="3.5019632409825281"/>
    <n v="-1.7411594725301203"/>
    <n v="-1.1890978881255061"/>
    <n v="-0.69504160517726232"/>
    <n v="-1.2084329886109628"/>
  </r>
  <r>
    <x v="19"/>
    <s v="IMP"/>
    <n v="6"/>
    <n v="2"/>
    <n v="8"/>
    <n v="7"/>
    <n v="7"/>
    <n v="7"/>
    <n v="7"/>
    <n v="7"/>
    <n v="6"/>
    <n v="5"/>
    <n v="23"/>
    <n v="28"/>
    <n v="11"/>
    <n v="62"/>
    <n v="1.6865480854231356"/>
    <n v="23.196700507614214"/>
    <n v="6.4306002317777482"/>
    <n v="22.771573604060915"/>
    <n v="6.5356886776680962"/>
    <n v="11.434010152284264"/>
    <n v="3.5019632409825281"/>
    <n v="-3.0588203359647428E-2"/>
    <n v="0.79998094367685879"/>
    <n v="-0.12393338319636275"/>
    <n v="0.21515311904028289"/>
  </r>
  <r>
    <x v="19"/>
    <s v="IMP"/>
    <n v="9"/>
    <n v="9"/>
    <n v="9"/>
    <n v="9"/>
    <n v="8"/>
    <n v="9"/>
    <n v="8"/>
    <n v="9"/>
    <n v="8"/>
    <n v="9"/>
    <n v="36"/>
    <n v="34"/>
    <n v="17"/>
    <n v="87"/>
    <n v="0.48304589153964811"/>
    <n v="23.196700507614214"/>
    <n v="6.4306002317777482"/>
    <n v="22.771573604060915"/>
    <n v="6.5356886776680962"/>
    <n v="11.434010152284264"/>
    <n v="3.5019632409825281"/>
    <n v="1.9909960238418205"/>
    <n v="1.7180173275856425"/>
    <n v="1.5893912827463359"/>
    <n v="1.7661348780579329"/>
  </r>
  <r>
    <x v="19"/>
    <s v="IMP"/>
    <n v="6"/>
    <n v="7"/>
    <n v="6"/>
    <n v="6"/>
    <n v="6"/>
    <n v="6"/>
    <n v="6"/>
    <n v="8"/>
    <n v="6"/>
    <n v="5"/>
    <n v="25"/>
    <n v="26"/>
    <n v="11"/>
    <n v="62"/>
    <n v="0.78881063774661531"/>
    <n v="23.196700507614214"/>
    <n v="6.4306002317777482"/>
    <n v="22.771573604060915"/>
    <n v="6.5356886776680962"/>
    <n v="11.434010152284264"/>
    <n v="3.5019632409825281"/>
    <n v="0.28042475467134764"/>
    <n v="0.49396881570726414"/>
    <n v="-0.12393338319636275"/>
    <n v="0.21682006239408302"/>
  </r>
  <r>
    <x v="19"/>
    <s v="IMP"/>
    <n v="5"/>
    <n v="6"/>
    <n v="6"/>
    <n v="6"/>
    <n v="6"/>
    <n v="5"/>
    <n v="6"/>
    <n v="6"/>
    <n v="6"/>
    <n v="6"/>
    <n v="23"/>
    <n v="23"/>
    <n v="12"/>
    <n v="58"/>
    <n v="0.42163702135578407"/>
    <n v="23.196700507614214"/>
    <n v="6.4306002317777482"/>
    <n v="22.771573604060915"/>
    <n v="6.5356886776680962"/>
    <n v="11.434010152284264"/>
    <n v="3.5019632409825281"/>
    <n v="-3.0588203359647428E-2"/>
    <n v="3.4950623752872265E-2"/>
    <n v="0.16162072779408701"/>
    <n v="5.5327716062437284E-2"/>
  </r>
  <r>
    <x v="19"/>
    <s v="IMP"/>
    <n v="5"/>
    <n v="3"/>
    <n v="4"/>
    <n v="4"/>
    <n v="3"/>
    <n v="3"/>
    <n v="2"/>
    <n v="3"/>
    <n v="3"/>
    <n v="2"/>
    <n v="16"/>
    <n v="11"/>
    <n v="5"/>
    <n v="32"/>
    <n v="0.91893658347268148"/>
    <n v="23.196700507614214"/>
    <n v="6.4306002317777482"/>
    <n v="22.771573604060915"/>
    <n v="6.5356886776680962"/>
    <n v="11.434010152284264"/>
    <n v="3.5019632409825281"/>
    <n v="-1.1191335564681302"/>
    <n v="-1.8011221440646954"/>
    <n v="-1.8372580491390613"/>
    <n v="-1.5858379165572956"/>
  </r>
  <r>
    <x v="19"/>
    <s v="IMP"/>
    <n v="8"/>
    <n v="9"/>
    <n v="8"/>
    <n v="8"/>
    <n v="8"/>
    <n v="9"/>
    <n v="7"/>
    <n v="9"/>
    <n v="9"/>
    <n v="9"/>
    <n v="33"/>
    <n v="33"/>
    <n v="18"/>
    <n v="84"/>
    <n v="0.69920589878010087"/>
    <n v="23.196700507614214"/>
    <n v="6.4306002317777482"/>
    <n v="22.771573604060915"/>
    <n v="6.5356886776680962"/>
    <n v="11.434010152284264"/>
    <n v="3.5019632409825281"/>
    <n v="1.524476586795328"/>
    <n v="1.5650112636008453"/>
    <n v="1.8749453937367857"/>
    <n v="1.6548110813776529"/>
  </r>
  <r>
    <x v="19"/>
    <s v="IMP"/>
    <n v="6"/>
    <n v="5"/>
    <n v="6"/>
    <n v="5"/>
    <n v="5"/>
    <n v="6"/>
    <n v="7"/>
    <n v="7"/>
    <n v="7"/>
    <n v="6"/>
    <n v="22"/>
    <n v="25"/>
    <n v="13"/>
    <n v="60"/>
    <n v="0.81649658092772603"/>
    <n v="23.196700507614214"/>
    <n v="6.4306002317777482"/>
    <n v="22.771573604060915"/>
    <n v="6.5356886776680962"/>
    <n v="11.434010152284264"/>
    <n v="3.5019632409825281"/>
    <n v="-0.18609468237514495"/>
    <n v="0.34096275172246687"/>
    <n v="0.44717483878453679"/>
    <n v="0.20068096937728622"/>
  </r>
  <r>
    <x v="19"/>
    <s v="IMP"/>
    <n v="6"/>
    <n v="6"/>
    <n v="6"/>
    <n v="5"/>
    <n v="7"/>
    <n v="8"/>
    <n v="7"/>
    <n v="7"/>
    <n v="7"/>
    <n v="6"/>
    <n v="23"/>
    <n v="29"/>
    <n v="13"/>
    <n v="65"/>
    <n v="0.8498365855987976"/>
    <n v="23.196700507614214"/>
    <n v="6.4306002317777482"/>
    <n v="22.771573604060915"/>
    <n v="6.5356886776680962"/>
    <n v="11.434010152284264"/>
    <n v="3.5019632409825281"/>
    <n v="-3.0588203359647428E-2"/>
    <n v="0.95298700766165612"/>
    <n v="0.44717483878453679"/>
    <n v="0.45652454769551515"/>
  </r>
  <r>
    <x v="19"/>
    <s v="IMP"/>
    <n v="7"/>
    <n v="6"/>
    <n v="5"/>
    <n v="5"/>
    <n v="6"/>
    <n v="6"/>
    <n v="7"/>
    <n v="6"/>
    <n v="6"/>
    <n v="6"/>
    <n v="23"/>
    <n v="25"/>
    <n v="12"/>
    <n v="60"/>
    <n v="0.66666666666666663"/>
    <n v="23.196700507614214"/>
    <n v="6.4306002317777482"/>
    <n v="22.771573604060915"/>
    <n v="6.5356886776680962"/>
    <n v="11.434010152284264"/>
    <n v="3.5019632409825281"/>
    <n v="-3.0588203359647428E-2"/>
    <n v="0.34096275172246687"/>
    <n v="0.16162072779408701"/>
    <n v="0.15733175871896884"/>
  </r>
  <r>
    <x v="19"/>
    <s v="IMP"/>
    <n v="8"/>
    <n v="7"/>
    <n v="6"/>
    <n v="6"/>
    <n v="7"/>
    <n v="5"/>
    <n v="6"/>
    <n v="6"/>
    <n v="6"/>
    <n v="6"/>
    <n v="27"/>
    <n v="24"/>
    <n v="12"/>
    <n v="63"/>
    <n v="0.82327260234856459"/>
    <n v="23.196700507614214"/>
    <n v="6.4306002317777482"/>
    <n v="22.771573604060915"/>
    <n v="6.5356886776680962"/>
    <n v="11.434010152284264"/>
    <n v="3.5019632409825281"/>
    <n v="0.59143771270234269"/>
    <n v="0.18795668773766958"/>
    <n v="0.16162072779408701"/>
    <n v="0.31367170941136641"/>
  </r>
  <r>
    <x v="19"/>
    <s v="IMP"/>
    <n v="6"/>
    <n v="5"/>
    <n v="6"/>
    <n v="4"/>
    <n v="6"/>
    <n v="5"/>
    <n v="5"/>
    <n v="5"/>
    <n v="5"/>
    <n v="4"/>
    <n v="21"/>
    <n v="21"/>
    <n v="9"/>
    <n v="51"/>
    <n v="0.73786478737262207"/>
    <n v="23.196700507614214"/>
    <n v="6.4306002317777482"/>
    <n v="22.771573604060915"/>
    <n v="6.5356886776680962"/>
    <n v="11.434010152284264"/>
    <n v="3.5019632409825281"/>
    <n v="-0.3416011613906425"/>
    <n v="-0.27106150421672232"/>
    <n v="-0.69504160517726232"/>
    <n v="-0.43590142359487571"/>
  </r>
  <r>
    <x v="19"/>
    <s v="IMP"/>
    <n v="7"/>
    <n v="7"/>
    <n v="6"/>
    <n v="6"/>
    <n v="6"/>
    <n v="6"/>
    <n v="6"/>
    <n v="6"/>
    <n v="7"/>
    <n v="7"/>
    <n v="26"/>
    <n v="24"/>
    <n v="14"/>
    <n v="64"/>
    <n v="0.51639777949432231"/>
    <n v="23.196700507614214"/>
    <n v="6.4306002317777482"/>
    <n v="22.771573604060915"/>
    <n v="6.5356886776680962"/>
    <n v="11.434010152284264"/>
    <n v="3.5019632409825281"/>
    <n v="0.43593123368684517"/>
    <n v="0.18795668773766958"/>
    <n v="0.73272894977498659"/>
    <n v="0.45220562373316708"/>
  </r>
  <r>
    <x v="19"/>
    <s v="IMP"/>
    <n v="6"/>
    <n v="5"/>
    <n v="6"/>
    <n v="4"/>
    <n v="7"/>
    <n v="7"/>
    <n v="7"/>
    <n v="7"/>
    <n v="6"/>
    <n v="6"/>
    <n v="21"/>
    <n v="28"/>
    <n v="12"/>
    <n v="61"/>
    <n v="0.99442892601175348"/>
    <n v="23.196700507614214"/>
    <n v="6.4306002317777482"/>
    <n v="22.771573604060915"/>
    <n v="6.5356886776680962"/>
    <n v="11.434010152284264"/>
    <n v="3.5019632409825281"/>
    <n v="-0.3416011613906425"/>
    <n v="0.79998094367685879"/>
    <n v="0.16162072779408701"/>
    <n v="0.20666683669343444"/>
  </r>
  <r>
    <x v="19"/>
    <s v="IMP"/>
    <n v="6"/>
    <n v="7"/>
    <n v="6"/>
    <n v="6"/>
    <n v="5"/>
    <n v="5"/>
    <n v="4"/>
    <n v="5"/>
    <n v="5"/>
    <n v="7"/>
    <n v="25"/>
    <n v="19"/>
    <n v="12"/>
    <n v="56"/>
    <n v="0.96609178307929577"/>
    <n v="23.196700507614214"/>
    <n v="6.4306002317777482"/>
    <n v="22.771573604060915"/>
    <n v="6.5356886776680962"/>
    <n v="11.434010152284264"/>
    <n v="3.5019632409825281"/>
    <n v="0.28042475467134764"/>
    <n v="-0.57707363218631691"/>
    <n v="0.16162072779408701"/>
    <n v="-4.5009383240294083E-2"/>
  </r>
  <r>
    <x v="19"/>
    <s v="IMP"/>
    <n v="7"/>
    <n v="7"/>
    <n v="6"/>
    <n v="7"/>
    <n v="6"/>
    <n v="7"/>
    <n v="8"/>
    <n v="7"/>
    <n v="8"/>
    <n v="8"/>
    <n v="27"/>
    <n v="28"/>
    <n v="16"/>
    <n v="71"/>
    <n v="0.73786478737262207"/>
    <n v="23.196700507614214"/>
    <n v="6.4306002317777482"/>
    <n v="22.771573604060915"/>
    <n v="6.5356886776680962"/>
    <n v="11.434010152284264"/>
    <n v="3.5019632409825281"/>
    <n v="0.59143771270234269"/>
    <n v="0.79998094367685879"/>
    <n v="1.3038371717558861"/>
    <n v="0.89841860937836249"/>
  </r>
  <r>
    <x v="19"/>
    <s v="IMP"/>
    <n v="7"/>
    <n v="7"/>
    <n v="7"/>
    <n v="7"/>
    <n v="8"/>
    <n v="7"/>
    <n v="6"/>
    <n v="7"/>
    <n v="5"/>
    <n v="6"/>
    <n v="28"/>
    <n v="28"/>
    <n v="11"/>
    <n v="67"/>
    <n v="0.82327260234856459"/>
    <n v="23.196700507614214"/>
    <n v="6.4306002317777482"/>
    <n v="22.771573604060915"/>
    <n v="6.5356886776680962"/>
    <n v="11.434010152284264"/>
    <n v="3.5019632409825281"/>
    <n v="0.74694419171784021"/>
    <n v="0.79998094367685879"/>
    <n v="-0.12393338319636275"/>
    <n v="0.47433058406611206"/>
  </r>
  <r>
    <x v="19"/>
    <s v="IMP"/>
    <n v="8"/>
    <n v="7"/>
    <n v="7"/>
    <n v="7"/>
    <n v="5"/>
    <n v="8"/>
    <n v="6"/>
    <n v="6"/>
    <n v="5"/>
    <n v="6"/>
    <n v="29"/>
    <n v="25"/>
    <n v="11"/>
    <n v="65"/>
    <n v="1.0801234497346435"/>
    <n v="23.196700507614214"/>
    <n v="6.4306002317777482"/>
    <n v="22.771573604060915"/>
    <n v="6.5356886776680962"/>
    <n v="11.434010152284264"/>
    <n v="3.5019632409825281"/>
    <n v="0.90245067073333785"/>
    <n v="0.34096275172246687"/>
    <n v="-0.12393338319636275"/>
    <n v="0.37316001308648067"/>
  </r>
  <r>
    <x v="19"/>
    <s v="IMP"/>
    <n v="8"/>
    <n v="8"/>
    <n v="8"/>
    <n v="6"/>
    <n v="7"/>
    <n v="7"/>
    <n v="7"/>
    <n v="7"/>
    <n v="7"/>
    <n v="7"/>
    <n v="30"/>
    <n v="28"/>
    <n v="14"/>
    <n v="72"/>
    <n v="0.6324555320336761"/>
    <n v="23.196700507614214"/>
    <n v="6.4306002317777482"/>
    <n v="22.771573604060915"/>
    <n v="6.5356886776680962"/>
    <n v="11.434010152284264"/>
    <n v="3.5019632409825281"/>
    <n v="1.0579571497488354"/>
    <n v="0.79998094367685879"/>
    <n v="0.73272894977498659"/>
    <n v="0.86355568106689351"/>
  </r>
  <r>
    <x v="19"/>
    <s v="IMP"/>
    <n v="7"/>
    <n v="8"/>
    <n v="6"/>
    <n v="7"/>
    <n v="6"/>
    <n v="7"/>
    <n v="7"/>
    <n v="6"/>
    <n v="7"/>
    <n v="7"/>
    <n v="28"/>
    <n v="26"/>
    <n v="14"/>
    <n v="68"/>
    <n v="0.63245553203367577"/>
    <n v="23.196700507614214"/>
    <n v="6.4306002317777482"/>
    <n v="22.771573604060915"/>
    <n v="6.5356886776680962"/>
    <n v="11.434010152284264"/>
    <n v="3.5019632409825281"/>
    <n v="0.74694419171784021"/>
    <n v="0.49396881570726414"/>
    <n v="0.73272894977498659"/>
    <n v="0.65788065240003035"/>
  </r>
  <r>
    <x v="19"/>
    <s v="IMP"/>
    <n v="7"/>
    <n v="3"/>
    <n v="3"/>
    <n v="5"/>
    <n v="7"/>
    <n v="8"/>
    <n v="8"/>
    <n v="9"/>
    <n v="8"/>
    <n v="9"/>
    <n v="18"/>
    <n v="32"/>
    <n v="17"/>
    <n v="67"/>
    <n v="2.263232692902394"/>
    <n v="23.196700507614214"/>
    <n v="6.4306002317777482"/>
    <n v="22.771573604060915"/>
    <n v="6.5356886776680962"/>
    <n v="11.434010152284264"/>
    <n v="3.5019632409825281"/>
    <n v="-0.80812059843713513"/>
    <n v="1.4120051996160479"/>
    <n v="1.5893912827463359"/>
    <n v="0.73109196130841614"/>
  </r>
  <r>
    <x v="19"/>
    <s v="IMP"/>
    <n v="6"/>
    <n v="5"/>
    <n v="5"/>
    <n v="4"/>
    <n v="6"/>
    <n v="7"/>
    <n v="5"/>
    <n v="4"/>
    <n v="5"/>
    <n v="3"/>
    <n v="20"/>
    <n v="22"/>
    <n v="8"/>
    <n v="50"/>
    <n v="1.1547005383792515"/>
    <n v="23.196700507614214"/>
    <n v="6.4306002317777482"/>
    <n v="22.771573604060915"/>
    <n v="6.5356886776680962"/>
    <n v="11.434010152284264"/>
    <n v="3.5019632409825281"/>
    <n v="-0.49710764040614003"/>
    <n v="-0.11805544023192505"/>
    <n v="-0.98059571616771202"/>
    <n v="-0.53191959893525897"/>
  </r>
  <r>
    <x v="19"/>
    <s v="IMP"/>
    <n v="6"/>
    <n v="6"/>
    <n v="6"/>
    <n v="5"/>
    <n v="5"/>
    <n v="6"/>
    <n v="6"/>
    <n v="4"/>
    <n v="5"/>
    <n v="6"/>
    <n v="23"/>
    <n v="21"/>
    <n v="11"/>
    <n v="55"/>
    <n v="0.70710678118654735"/>
    <n v="23.196700507614214"/>
    <n v="6.4306002317777482"/>
    <n v="22.771573604060915"/>
    <n v="6.5356886776680962"/>
    <n v="11.434010152284264"/>
    <n v="3.5019632409825281"/>
    <n v="-3.0588203359647428E-2"/>
    <n v="-0.27106150421672232"/>
    <n v="-0.12393338319636275"/>
    <n v="-0.14186103025757749"/>
  </r>
  <r>
    <x v="19"/>
    <s v="IMP"/>
    <n v="8"/>
    <n v="6"/>
    <n v="8"/>
    <n v="8"/>
    <n v="8"/>
    <n v="8"/>
    <n v="8"/>
    <n v="8"/>
    <n v="8"/>
    <n v="7"/>
    <n v="30"/>
    <n v="32"/>
    <n v="15"/>
    <n v="77"/>
    <n v="0.67494855771055307"/>
    <n v="23.196700507614214"/>
    <n v="6.4306002317777482"/>
    <n v="22.771573604060915"/>
    <n v="6.5356886776680962"/>
    <n v="11.434010152284264"/>
    <n v="3.5019632409825281"/>
    <n v="1.0579571497488354"/>
    <n v="1.4120051996160479"/>
    <n v="1.0182830607654363"/>
    <n v="1.1627484700434401"/>
  </r>
  <r>
    <x v="19"/>
    <s v="IMP"/>
    <n v="6"/>
    <n v="7"/>
    <n v="7"/>
    <n v="8"/>
    <n v="6"/>
    <n v="8"/>
    <n v="8"/>
    <n v="9"/>
    <n v="8"/>
    <n v="9"/>
    <n v="28"/>
    <n v="31"/>
    <n v="17"/>
    <n v="76"/>
    <n v="1.0749676997731399"/>
    <n v="23.196700507614214"/>
    <n v="6.4306002317777482"/>
    <n v="22.771573604060915"/>
    <n v="6.5356886776680962"/>
    <n v="11.434010152284264"/>
    <n v="3.5019632409825281"/>
    <n v="0.74694419171784021"/>
    <n v="1.2589991356312507"/>
    <n v="1.5893912827463359"/>
    <n v="1.1984448700318089"/>
  </r>
  <r>
    <x v="20"/>
    <s v="IMP"/>
    <n v="7"/>
    <n v="6"/>
    <n v="6"/>
    <n v="6"/>
    <n v="7"/>
    <n v="6"/>
    <n v="5"/>
    <n v="6"/>
    <n v="7"/>
    <n v="6"/>
    <n v="25"/>
    <n v="24"/>
    <n v="13"/>
    <n v="62"/>
    <n v="0.63245553203367599"/>
    <n v="23.196700507614214"/>
    <n v="6.4306002317777482"/>
    <n v="22.771573604060915"/>
    <n v="6.5356886776680962"/>
    <n v="11.434010152284264"/>
    <n v="3.5019632409825281"/>
    <n v="0.28042475467134764"/>
    <n v="0.18795668773766958"/>
    <n v="0.44717483878453679"/>
    <n v="0.30518542706451801"/>
  </r>
  <r>
    <x v="20"/>
    <s v="IMP"/>
    <n v="4"/>
    <n v="4"/>
    <n v="4"/>
    <n v="4"/>
    <n v="3"/>
    <n v="4"/>
    <n v="3"/>
    <n v="4"/>
    <n v="3"/>
    <n v="4"/>
    <n v="16"/>
    <n v="14"/>
    <n v="7"/>
    <n v="37"/>
    <n v="0.48304589153964789"/>
    <n v="23.196700507614214"/>
    <n v="6.4306002317777482"/>
    <n v="22.771573604060915"/>
    <n v="6.5356886776680962"/>
    <n v="11.434010152284264"/>
    <n v="3.5019632409825281"/>
    <n v="-1.1191335564681302"/>
    <n v="-1.3421039521103035"/>
    <n v="-1.2661498271581617"/>
    <n v="-1.2424624452455317"/>
  </r>
  <r>
    <x v="20"/>
    <s v="IMP"/>
    <n v="6"/>
    <n v="4"/>
    <n v="4"/>
    <n v="5"/>
    <n v="5"/>
    <n v="4"/>
    <n v="4"/>
    <n v="5"/>
    <n v="4"/>
    <n v="5"/>
    <n v="19"/>
    <n v="18"/>
    <n v="9"/>
    <n v="46"/>
    <n v="0.69920589878010098"/>
    <n v="23.196700507614214"/>
    <n v="6.4306002317777482"/>
    <n v="22.771573604060915"/>
    <n v="6.5356886776680962"/>
    <n v="11.434010152284264"/>
    <n v="3.5019632409825281"/>
    <n v="-0.65261411942163761"/>
    <n v="-0.73007969617111423"/>
    <n v="-0.69504160517726232"/>
    <n v="-0.69257847359000468"/>
  </r>
  <r>
    <x v="20"/>
    <s v="IMP"/>
    <n v="6"/>
    <n v="5"/>
    <n v="5"/>
    <n v="5"/>
    <n v="4"/>
    <n v="4"/>
    <n v="3"/>
    <n v="4"/>
    <n v="4"/>
    <n v="5"/>
    <n v="21"/>
    <n v="15"/>
    <n v="9"/>
    <n v="45"/>
    <n v="0.84983658559879738"/>
    <n v="23.196700507614214"/>
    <n v="6.4306002317777482"/>
    <n v="22.771573604060915"/>
    <n v="6.5356886776680962"/>
    <n v="11.434010152284264"/>
    <n v="3.5019632409825281"/>
    <n v="-0.3416011613906425"/>
    <n v="-1.1890978881255061"/>
    <n v="-0.69504160517726232"/>
    <n v="-0.74191355156447025"/>
  </r>
  <r>
    <x v="20"/>
    <s v="IMP"/>
    <n v="6"/>
    <n v="6"/>
    <n v="6"/>
    <n v="6"/>
    <n v="7"/>
    <n v="7"/>
    <n v="6"/>
    <n v="6"/>
    <n v="6"/>
    <n v="6"/>
    <n v="24"/>
    <n v="26"/>
    <n v="12"/>
    <n v="62"/>
    <n v="0.42163702135578407"/>
    <n v="23.196700507614214"/>
    <n v="6.4306002317777482"/>
    <n v="22.771573604060915"/>
    <n v="6.5356886776680962"/>
    <n v="11.434010152284264"/>
    <n v="3.5019632409825281"/>
    <n v="0.12491827565585011"/>
    <n v="0.49396881570726414"/>
    <n v="0.16162072779408701"/>
    <n v="0.2601692730524004"/>
  </r>
  <r>
    <x v="20"/>
    <s v="IMP"/>
    <n v="7"/>
    <n v="5"/>
    <n v="5"/>
    <n v="6"/>
    <n v="7"/>
    <n v="6"/>
    <n v="5"/>
    <n v="5"/>
    <n v="6"/>
    <n v="6"/>
    <n v="23"/>
    <n v="23"/>
    <n v="12"/>
    <n v="58"/>
    <n v="0.78881063774661542"/>
    <n v="23.196700507614214"/>
    <n v="6.4306002317777482"/>
    <n v="22.771573604060915"/>
    <n v="6.5356886776680962"/>
    <n v="11.434010152284264"/>
    <n v="3.5019632409825281"/>
    <n v="-3.0588203359647428E-2"/>
    <n v="3.4950623752872265E-2"/>
    <n v="0.16162072779408701"/>
    <n v="5.5327716062437284E-2"/>
  </r>
  <r>
    <x v="20"/>
    <s v="IMP"/>
    <n v="6"/>
    <n v="5"/>
    <n v="5"/>
    <n v="6"/>
    <n v="7"/>
    <n v="6"/>
    <n v="5"/>
    <n v="5"/>
    <n v="6"/>
    <n v="6"/>
    <n v="22"/>
    <n v="23"/>
    <n v="12"/>
    <n v="57"/>
    <n v="0.67494855771055284"/>
    <n v="23.196700507614214"/>
    <n v="6.4306002317777482"/>
    <n v="22.771573604060915"/>
    <n v="6.5356886776680962"/>
    <n v="11.434010152284264"/>
    <n v="3.5019632409825281"/>
    <n v="-0.18609468237514495"/>
    <n v="3.4950623752872265E-2"/>
    <n v="0.16162072779408701"/>
    <n v="3.4922230572714355E-3"/>
  </r>
  <r>
    <x v="20"/>
    <s v="IMP"/>
    <n v="7"/>
    <n v="6"/>
    <n v="6"/>
    <n v="6"/>
    <n v="6"/>
    <n v="6"/>
    <n v="5"/>
    <n v="5"/>
    <n v="6"/>
    <n v="6"/>
    <n v="25"/>
    <n v="22"/>
    <n v="12"/>
    <n v="59"/>
    <n v="0.56764621219754663"/>
    <n v="23.196700507614214"/>
    <n v="6.4306002317777482"/>
    <n v="22.771573604060915"/>
    <n v="6.5356886776680962"/>
    <n v="11.434010152284264"/>
    <n v="3.5019632409825281"/>
    <n v="0.28042475467134764"/>
    <n v="-0.11805544023192505"/>
    <n v="0.16162072779408701"/>
    <n v="0.10799668074450319"/>
  </r>
  <r>
    <x v="20"/>
    <s v="IMP"/>
    <n v="6"/>
    <n v="6"/>
    <n v="5"/>
    <n v="5"/>
    <n v="5"/>
    <n v="5"/>
    <n v="5"/>
    <n v="5"/>
    <n v="5"/>
    <n v="6"/>
    <n v="22"/>
    <n v="20"/>
    <n v="11"/>
    <n v="53"/>
    <n v="0.48304589153964805"/>
    <n v="23.196700507614214"/>
    <n v="6.4306002317777482"/>
    <n v="22.771573604060915"/>
    <n v="6.5356886776680962"/>
    <n v="11.434010152284264"/>
    <n v="3.5019632409825281"/>
    <n v="-0.18609468237514495"/>
    <n v="-0.42406756820151964"/>
    <n v="-0.12393338319636275"/>
    <n v="-0.24469854459100912"/>
  </r>
  <r>
    <x v="20"/>
    <s v="IMP"/>
    <n v="5"/>
    <n v="5"/>
    <n v="5"/>
    <n v="5"/>
    <n v="6"/>
    <n v="5"/>
    <n v="5"/>
    <n v="5"/>
    <n v="5"/>
    <n v="6"/>
    <n v="20"/>
    <n v="21"/>
    <n v="11"/>
    <n v="52"/>
    <n v="0.42163702135578407"/>
    <n v="23.196700507614214"/>
    <n v="6.4306002317777482"/>
    <n v="22.771573604060915"/>
    <n v="6.5356886776680962"/>
    <n v="11.434010152284264"/>
    <n v="3.5019632409825281"/>
    <n v="-0.49710764040614003"/>
    <n v="-0.27106150421672232"/>
    <n v="-0.12393338319636275"/>
    <n v="-0.29736750927307504"/>
  </r>
  <r>
    <x v="20"/>
    <s v="IMP"/>
    <n v="5"/>
    <n v="5"/>
    <n v="5"/>
    <n v="5"/>
    <n v="5"/>
    <n v="5"/>
    <n v="5"/>
    <n v="4"/>
    <n v="5"/>
    <n v="5"/>
    <n v="20"/>
    <n v="19"/>
    <n v="10"/>
    <n v="49"/>
    <n v="0.31622776601683794"/>
    <n v="23.196700507614214"/>
    <n v="6.4306002317777482"/>
    <n v="22.771573604060915"/>
    <n v="6.5356886776680962"/>
    <n v="11.434010152284264"/>
    <n v="3.5019632409825281"/>
    <n v="-0.49710764040614003"/>
    <n v="-0.57707363218631691"/>
    <n v="-0.40948749418681252"/>
    <n v="-0.4945562555930898"/>
  </r>
  <r>
    <x v="20"/>
    <s v="IMP"/>
    <n v="7"/>
    <n v="7"/>
    <n v="6"/>
    <n v="6"/>
    <n v="6"/>
    <n v="6"/>
    <n v="6"/>
    <n v="5"/>
    <n v="6"/>
    <n v="6"/>
    <n v="26"/>
    <n v="23"/>
    <n v="12"/>
    <n v="61"/>
    <n v="0.56764621219754707"/>
    <n v="23.196700507614214"/>
    <n v="6.4306002317777482"/>
    <n v="22.771573604060915"/>
    <n v="6.5356886776680962"/>
    <n v="11.434010152284264"/>
    <n v="3.5019632409825281"/>
    <n v="0.43593123368684517"/>
    <n v="3.4950623752872265E-2"/>
    <n v="0.16162072779408701"/>
    <n v="0.2108341950779348"/>
  </r>
  <r>
    <x v="20"/>
    <s v="IMP"/>
    <n v="6"/>
    <n v="6"/>
    <n v="5"/>
    <n v="6"/>
    <n v="5"/>
    <n v="6"/>
    <n v="5"/>
    <n v="5"/>
    <n v="5"/>
    <n v="6"/>
    <n v="23"/>
    <n v="21"/>
    <n v="11"/>
    <n v="55"/>
    <n v="0.52704627669472992"/>
    <n v="23.196700507614214"/>
    <n v="6.4306002317777482"/>
    <n v="22.771573604060915"/>
    <n v="6.5356886776680962"/>
    <n v="11.434010152284264"/>
    <n v="3.5019632409825281"/>
    <n v="-3.0588203359647428E-2"/>
    <n v="-0.27106150421672232"/>
    <n v="-0.12393338319636275"/>
    <n v="-0.14186103025757749"/>
  </r>
  <r>
    <x v="20"/>
    <s v="IMP"/>
    <n v="7"/>
    <n v="6"/>
    <n v="5"/>
    <n v="5"/>
    <n v="5"/>
    <n v="6"/>
    <n v="5"/>
    <n v="5"/>
    <n v="5"/>
    <n v="5"/>
    <n v="23"/>
    <n v="21"/>
    <n v="10"/>
    <n v="54"/>
    <n v="0.69920589878010098"/>
    <n v="23.196700507614214"/>
    <n v="6.4306002317777482"/>
    <n v="22.771573604060915"/>
    <n v="6.5356886776680962"/>
    <n v="11.434010152284264"/>
    <n v="3.5019632409825281"/>
    <n v="-3.0588203359647428E-2"/>
    <n v="-0.27106150421672232"/>
    <n v="-0.40948749418681252"/>
    <n v="-0.23704573392106076"/>
  </r>
  <r>
    <x v="20"/>
    <s v="IMP"/>
    <n v="6"/>
    <n v="5"/>
    <n v="5"/>
    <n v="5"/>
    <n v="5"/>
    <n v="5"/>
    <n v="4"/>
    <n v="4"/>
    <n v="5"/>
    <n v="5"/>
    <n v="21"/>
    <n v="18"/>
    <n v="10"/>
    <n v="49"/>
    <n v="0.56764621219754663"/>
    <n v="23.196700507614214"/>
    <n v="6.4306002317777482"/>
    <n v="22.771573604060915"/>
    <n v="6.5356886776680962"/>
    <n v="11.434010152284264"/>
    <n v="3.5019632409825281"/>
    <n v="-0.3416011613906425"/>
    <n v="-0.73007969617111423"/>
    <n v="-0.40948749418681252"/>
    <n v="-0.49372278391618973"/>
  </r>
  <r>
    <x v="20"/>
    <s v="IMP"/>
    <n v="6"/>
    <n v="6"/>
    <n v="5"/>
    <n v="5"/>
    <n v="5"/>
    <n v="5"/>
    <n v="5"/>
    <n v="4"/>
    <n v="5"/>
    <n v="6"/>
    <n v="22"/>
    <n v="19"/>
    <n v="11"/>
    <n v="52"/>
    <n v="0.6324555320336761"/>
    <n v="23.196700507614214"/>
    <n v="6.4306002317777482"/>
    <n v="22.771573604060915"/>
    <n v="6.5356886776680962"/>
    <n v="11.434010152284264"/>
    <n v="3.5019632409825281"/>
    <n v="-0.18609468237514495"/>
    <n v="-0.57707363218631691"/>
    <n v="-0.12393338319636275"/>
    <n v="-0.29570056591927485"/>
  </r>
  <r>
    <x v="20"/>
    <s v="IMP"/>
    <n v="7"/>
    <n v="8"/>
    <n v="7"/>
    <n v="7"/>
    <n v="7"/>
    <n v="6"/>
    <n v="6"/>
    <n v="7"/>
    <n v="7"/>
    <n v="6"/>
    <n v="29"/>
    <n v="26"/>
    <n v="13"/>
    <n v="68"/>
    <n v="0.63245553203367588"/>
    <n v="23.196700507614214"/>
    <n v="6.4306002317777482"/>
    <n v="22.771573604060915"/>
    <n v="6.5356886776680962"/>
    <n v="11.434010152284264"/>
    <n v="3.5019632409825281"/>
    <n v="0.90245067073333785"/>
    <n v="0.49396881570726414"/>
    <n v="0.44717483878453679"/>
    <n v="0.61453144174171292"/>
  </r>
  <r>
    <x v="20"/>
    <s v="IMP"/>
    <n v="6"/>
    <n v="6"/>
    <n v="6"/>
    <n v="5"/>
    <n v="6"/>
    <n v="6"/>
    <n v="6"/>
    <n v="5"/>
    <n v="6"/>
    <n v="6"/>
    <n v="23"/>
    <n v="23"/>
    <n v="12"/>
    <n v="58"/>
    <n v="0.4216370213557839"/>
    <n v="23.196700507614214"/>
    <n v="6.4306002317777482"/>
    <n v="22.771573604060915"/>
    <n v="6.5356886776680962"/>
    <n v="11.434010152284264"/>
    <n v="3.5019632409825281"/>
    <n v="-3.0588203359647428E-2"/>
    <n v="3.4950623752872265E-2"/>
    <n v="0.16162072779408701"/>
    <n v="5.5327716062437284E-2"/>
  </r>
  <r>
    <x v="20"/>
    <s v="IMP"/>
    <n v="7"/>
    <n v="6"/>
    <n v="6"/>
    <n v="5"/>
    <n v="6"/>
    <n v="6"/>
    <n v="6"/>
    <n v="5"/>
    <n v="5"/>
    <n v="6"/>
    <n v="24"/>
    <n v="23"/>
    <n v="11"/>
    <n v="58"/>
    <n v="0.63245553203367577"/>
    <n v="23.196700507614214"/>
    <n v="6.4306002317777482"/>
    <n v="22.771573604060915"/>
    <n v="6.5356886776680962"/>
    <n v="11.434010152284264"/>
    <n v="3.5019632409825281"/>
    <n v="0.12491827565585011"/>
    <n v="3.4950623752872265E-2"/>
    <n v="-0.12393338319636275"/>
    <n v="1.1978505404119872E-2"/>
  </r>
  <r>
    <x v="20"/>
    <s v="IMP"/>
    <n v="7"/>
    <n v="5"/>
    <n v="6"/>
    <n v="6"/>
    <n v="7"/>
    <n v="5"/>
    <n v="6"/>
    <n v="6"/>
    <n v="6"/>
    <n v="6"/>
    <n v="24"/>
    <n v="24"/>
    <n v="12"/>
    <n v="60"/>
    <n v="0.66666666666666663"/>
    <n v="23.196700507614214"/>
    <n v="6.4306002317777482"/>
    <n v="22.771573604060915"/>
    <n v="6.5356886776680962"/>
    <n v="11.434010152284264"/>
    <n v="3.5019632409825281"/>
    <n v="0.12491827565585011"/>
    <n v="0.18795668773766958"/>
    <n v="0.16162072779408701"/>
    <n v="0.15816523039586891"/>
  </r>
  <r>
    <x v="20"/>
    <s v="IMP"/>
    <n v="7"/>
    <n v="6"/>
    <n v="6"/>
    <n v="7"/>
    <n v="7"/>
    <n v="6"/>
    <n v="6"/>
    <n v="7"/>
    <n v="6"/>
    <n v="6"/>
    <n v="26"/>
    <n v="26"/>
    <n v="12"/>
    <n v="64"/>
    <n v="0.51639777949432231"/>
    <n v="23.196700507614214"/>
    <n v="6.4306002317777482"/>
    <n v="22.771573604060915"/>
    <n v="6.5356886776680962"/>
    <n v="11.434010152284264"/>
    <n v="3.5019632409825281"/>
    <n v="0.43593123368684517"/>
    <n v="0.49396881570726414"/>
    <n v="0.16162072779408701"/>
    <n v="0.3638402590627321"/>
  </r>
  <r>
    <x v="20"/>
    <s v="IMP"/>
    <n v="7"/>
    <n v="6"/>
    <n v="6"/>
    <n v="8"/>
    <n v="7"/>
    <n v="6"/>
    <n v="7"/>
    <n v="6"/>
    <n v="6"/>
    <n v="6"/>
    <n v="27"/>
    <n v="26"/>
    <n v="12"/>
    <n v="65"/>
    <n v="0.70710678118654735"/>
    <n v="23.196700507614214"/>
    <n v="6.4306002317777482"/>
    <n v="22.771573604060915"/>
    <n v="6.5356886776680962"/>
    <n v="11.434010152284264"/>
    <n v="3.5019632409825281"/>
    <n v="0.59143771270234269"/>
    <n v="0.49396881570726414"/>
    <n v="0.16162072779408701"/>
    <n v="0.41567575206789797"/>
  </r>
  <r>
    <x v="20"/>
    <s v="IMP"/>
    <n v="7"/>
    <n v="7"/>
    <n v="8"/>
    <n v="7"/>
    <n v="7"/>
    <n v="6"/>
    <n v="7"/>
    <n v="6"/>
    <n v="6"/>
    <n v="6"/>
    <n v="29"/>
    <n v="26"/>
    <n v="12"/>
    <n v="67"/>
    <n v="0.67494855771055295"/>
    <n v="23.196700507614214"/>
    <n v="6.4306002317777482"/>
    <n v="22.771573604060915"/>
    <n v="6.5356886776680962"/>
    <n v="11.434010152284264"/>
    <n v="3.5019632409825281"/>
    <n v="0.90245067073333785"/>
    <n v="0.49396881570726414"/>
    <n v="0.16162072779408701"/>
    <n v="0.51934673807822962"/>
  </r>
  <r>
    <x v="20"/>
    <s v="IMP"/>
    <n v="7"/>
    <n v="7"/>
    <n v="7"/>
    <n v="8"/>
    <n v="8"/>
    <n v="7"/>
    <n v="7"/>
    <n v="7"/>
    <n v="6"/>
    <n v="6"/>
    <n v="29"/>
    <n v="29"/>
    <n v="12"/>
    <n v="70"/>
    <n v="0.66666666666666685"/>
    <n v="23.196700507614214"/>
    <n v="6.4306002317777482"/>
    <n v="22.771573604060915"/>
    <n v="6.5356886776680962"/>
    <n v="11.434010152284264"/>
    <n v="3.5019632409825281"/>
    <n v="0.90245067073333785"/>
    <n v="0.95298700766165612"/>
    <n v="0.16162072779408701"/>
    <n v="0.67235280206302706"/>
  </r>
  <r>
    <x v="20"/>
    <s v="IMP"/>
    <n v="8"/>
    <n v="5"/>
    <n v="7"/>
    <n v="7"/>
    <n v="6"/>
    <n v="7"/>
    <n v="8"/>
    <n v="7"/>
    <n v="7"/>
    <n v="5"/>
    <n v="27"/>
    <n v="28"/>
    <n v="12"/>
    <n v="67"/>
    <n v="1.0593499054713804"/>
    <n v="23.196700507614214"/>
    <n v="6.4306002317777482"/>
    <n v="22.771573604060915"/>
    <n v="6.5356886776680962"/>
    <n v="11.434010152284264"/>
    <n v="3.5019632409825281"/>
    <n v="0.59143771270234269"/>
    <n v="0.79998094367685879"/>
    <n v="0.16162072779408701"/>
    <n v="0.51767979472442949"/>
  </r>
  <r>
    <x v="20"/>
    <s v="IMP"/>
    <n v="7"/>
    <n v="6"/>
    <n v="6"/>
    <n v="6"/>
    <n v="6"/>
    <n v="6"/>
    <n v="5"/>
    <n v="6"/>
    <n v="6"/>
    <n v="6"/>
    <n v="25"/>
    <n v="23"/>
    <n v="12"/>
    <n v="60"/>
    <n v="0.47140452079103168"/>
    <n v="23.196700507614214"/>
    <n v="6.4306002317777482"/>
    <n v="22.771573604060915"/>
    <n v="6.5356886776680962"/>
    <n v="11.434010152284264"/>
    <n v="3.5019632409825281"/>
    <n v="0.28042475467134764"/>
    <n v="3.4950623752872265E-2"/>
    <n v="0.16162072779408701"/>
    <n v="0.15899870207276898"/>
  </r>
  <r>
    <x v="20"/>
    <s v="IMP"/>
    <n v="7"/>
    <n v="6"/>
    <n v="6"/>
    <n v="6"/>
    <n v="6"/>
    <n v="6"/>
    <n v="6"/>
    <n v="6"/>
    <n v="5"/>
    <n v="5"/>
    <n v="25"/>
    <n v="24"/>
    <n v="10"/>
    <n v="59"/>
    <n v="0.56764621219754674"/>
    <n v="23.196700507614214"/>
    <n v="6.4306002317777482"/>
    <n v="22.771573604060915"/>
    <n v="6.5356886776680962"/>
    <n v="11.434010152284264"/>
    <n v="3.5019632409825281"/>
    <n v="0.28042475467134764"/>
    <n v="0.18795668773766958"/>
    <n v="-0.40948749418681252"/>
    <n v="1.9631316074068244E-2"/>
  </r>
  <r>
    <x v="20"/>
    <s v="IMP"/>
    <n v="8"/>
    <n v="8"/>
    <n v="8"/>
    <n v="7"/>
    <n v="7"/>
    <n v="7"/>
    <n v="7"/>
    <n v="7"/>
    <n v="6"/>
    <n v="6"/>
    <n v="31"/>
    <n v="28"/>
    <n v="12"/>
    <n v="71"/>
    <n v="0.73786478737262184"/>
    <n v="23.196700507614214"/>
    <n v="6.4306002317777482"/>
    <n v="22.771573604060915"/>
    <n v="6.5356886776680962"/>
    <n v="11.434010152284264"/>
    <n v="3.5019632409825281"/>
    <n v="1.2134636287643328"/>
    <n v="0.79998094367685879"/>
    <n v="0.16162072779408701"/>
    <n v="0.72502176674509278"/>
  </r>
  <r>
    <x v="20"/>
    <s v="IMP"/>
    <n v="5"/>
    <n v="5"/>
    <n v="5"/>
    <n v="5"/>
    <n v="4"/>
    <n v="4"/>
    <n v="4"/>
    <n v="4"/>
    <n v="4"/>
    <n v="3"/>
    <n v="20"/>
    <n v="16"/>
    <n v="7"/>
    <n v="43"/>
    <n v="0.67494855771055284"/>
    <n v="23.196700507614214"/>
    <n v="6.4306002317777482"/>
    <n v="22.771573604060915"/>
    <n v="6.5356886776680962"/>
    <n v="11.434010152284264"/>
    <n v="3.5019632409825281"/>
    <n v="-0.49710764040614003"/>
    <n v="-1.0360918241407089"/>
    <n v="-1.2661498271581617"/>
    <n v="-0.93311643056833693"/>
  </r>
  <r>
    <x v="20"/>
    <s v="IMP"/>
    <n v="8"/>
    <n v="7"/>
    <n v="7"/>
    <n v="7"/>
    <n v="8"/>
    <n v="7"/>
    <n v="7"/>
    <n v="7"/>
    <n v="6"/>
    <n v="7"/>
    <n v="29"/>
    <n v="29"/>
    <n v="13"/>
    <n v="71"/>
    <n v="0.56764621219754696"/>
    <n v="23.196700507614214"/>
    <n v="6.4306002317777482"/>
    <n v="22.771573604060915"/>
    <n v="6.5356886776680962"/>
    <n v="11.434010152284264"/>
    <n v="3.5019632409825281"/>
    <n v="0.90245067073333785"/>
    <n v="0.95298700766165612"/>
    <n v="0.44717483878453679"/>
    <n v="0.76753750572651025"/>
  </r>
  <r>
    <x v="20"/>
    <s v="IMP"/>
    <n v="7"/>
    <n v="5"/>
    <n v="5"/>
    <n v="6"/>
    <n v="6"/>
    <n v="6"/>
    <n v="6"/>
    <n v="6"/>
    <n v="6"/>
    <n v="5"/>
    <n v="23"/>
    <n v="24"/>
    <n v="11"/>
    <n v="58"/>
    <n v="0.63245553203367588"/>
    <n v="23.196700507614214"/>
    <n v="6.4306002317777482"/>
    <n v="22.771573604060915"/>
    <n v="6.5356886776680962"/>
    <n v="11.434010152284264"/>
    <n v="3.5019632409825281"/>
    <n v="-3.0588203359647428E-2"/>
    <n v="0.18795668773766958"/>
    <n v="-0.12393338319636275"/>
    <n v="1.1145033727219797E-2"/>
  </r>
  <r>
    <x v="21"/>
    <s v="IMP"/>
    <n v="7"/>
    <n v="8"/>
    <n v="8"/>
    <n v="5"/>
    <n v="4"/>
    <n v="6"/>
    <n v="8"/>
    <n v="7"/>
    <n v="7"/>
    <n v="7"/>
    <n v="28"/>
    <n v="25"/>
    <n v="14"/>
    <n v="67"/>
    <n v="1.3374935098492586"/>
    <n v="23.196700507614214"/>
    <n v="6.4306002317777482"/>
    <n v="22.771573604060915"/>
    <n v="6.5356886776680962"/>
    <n v="11.434010152284264"/>
    <n v="3.5019632409825281"/>
    <n v="0.74694419171784021"/>
    <n v="0.34096275172246687"/>
    <n v="0.73272894977498659"/>
    <n v="0.60687863107176454"/>
  </r>
  <r>
    <x v="21"/>
    <s v="IMP"/>
    <n v="8"/>
    <n v="9"/>
    <n v="10"/>
    <n v="10"/>
    <n v="6"/>
    <n v="10"/>
    <n v="10"/>
    <n v="8"/>
    <n v="10"/>
    <n v="8"/>
    <n v="37"/>
    <n v="34"/>
    <n v="18"/>
    <n v="89"/>
    <n v="1.3703203194062978"/>
    <n v="23.196700507614214"/>
    <n v="6.4306002317777482"/>
    <n v="22.771573604060915"/>
    <n v="6.5356886776680962"/>
    <n v="11.434010152284264"/>
    <n v="3.5019632409825281"/>
    <n v="2.1465025028573179"/>
    <n v="1.7180173275856425"/>
    <n v="1.8749453937367857"/>
    <n v="1.913155074726582"/>
  </r>
  <r>
    <x v="21"/>
    <s v="IMP"/>
    <n v="7"/>
    <n v="7"/>
    <n v="7"/>
    <n v="7"/>
    <n v="6"/>
    <n v="6"/>
    <n v="6"/>
    <n v="7"/>
    <n v="7"/>
    <n v="7"/>
    <n v="28"/>
    <n v="25"/>
    <n v="14"/>
    <n v="67"/>
    <n v="0.48304589153964778"/>
    <n v="23.196700507614214"/>
    <n v="6.4306002317777482"/>
    <n v="22.771573604060915"/>
    <n v="6.5356886776680962"/>
    <n v="11.434010152284264"/>
    <n v="3.5019632409825281"/>
    <n v="0.74694419171784021"/>
    <n v="0.34096275172246687"/>
    <n v="0.73272894977498659"/>
    <n v="0.60687863107176454"/>
  </r>
  <r>
    <x v="21"/>
    <s v="IMP"/>
    <n v="6"/>
    <n v="5"/>
    <n v="5"/>
    <n v="5"/>
    <n v="6"/>
    <n v="7"/>
    <n v="5"/>
    <n v="7"/>
    <n v="7"/>
    <n v="7"/>
    <n v="21"/>
    <n v="25"/>
    <n v="14"/>
    <n v="60"/>
    <n v="0.94280904158206313"/>
    <n v="23.196700507614214"/>
    <n v="6.4306002317777482"/>
    <n v="22.771573604060915"/>
    <n v="6.5356886776680962"/>
    <n v="11.434010152284264"/>
    <n v="3.5019632409825281"/>
    <n v="-0.3416011613906425"/>
    <n v="0.34096275172246687"/>
    <n v="0.73272894977498659"/>
    <n v="0.24403018003560364"/>
  </r>
  <r>
    <x v="21"/>
    <s v="IMP"/>
    <n v="8"/>
    <n v="7"/>
    <n v="6"/>
    <n v="6"/>
    <n v="7"/>
    <n v="9"/>
    <n v="8"/>
    <n v="8"/>
    <n v="8"/>
    <n v="8"/>
    <n v="27"/>
    <n v="32"/>
    <n v="16"/>
    <n v="75"/>
    <n v="0.97182531580755005"/>
    <n v="23.196700507614214"/>
    <n v="6.4306002317777482"/>
    <n v="22.771573604060915"/>
    <n v="6.5356886776680962"/>
    <n v="11.434010152284264"/>
    <n v="3.5019632409825281"/>
    <n v="0.59143771270234269"/>
    <n v="1.4120051996160479"/>
    <n v="1.3038371717558861"/>
    <n v="1.1024266946914254"/>
  </r>
  <r>
    <x v="21"/>
    <s v="IMP"/>
    <n v="8"/>
    <n v="6"/>
    <n v="7"/>
    <n v="7"/>
    <n v="7"/>
    <n v="8"/>
    <n v="7"/>
    <n v="7"/>
    <n v="7"/>
    <n v="8"/>
    <n v="28"/>
    <n v="29"/>
    <n v="15"/>
    <n v="72"/>
    <n v="0.63245553203367588"/>
    <n v="23.196700507614214"/>
    <n v="6.4306002317777482"/>
    <n v="22.771573604060915"/>
    <n v="6.5356886776680962"/>
    <n v="11.434010152284264"/>
    <n v="3.5019632409825281"/>
    <n v="0.74694419171784021"/>
    <n v="0.95298700766165612"/>
    <n v="1.0182830607654363"/>
    <n v="0.90607142004831098"/>
  </r>
  <r>
    <x v="21"/>
    <s v="IMP"/>
    <n v="7"/>
    <n v="7"/>
    <n v="6"/>
    <n v="7"/>
    <n v="9"/>
    <n v="7"/>
    <n v="6"/>
    <n v="7"/>
    <n v="6"/>
    <n v="6"/>
    <n v="27"/>
    <n v="29"/>
    <n v="12"/>
    <n v="68"/>
    <n v="0.91893658347268148"/>
    <n v="23.196700507614214"/>
    <n v="6.4306002317777482"/>
    <n v="22.771573604060915"/>
    <n v="6.5356886776680962"/>
    <n v="11.434010152284264"/>
    <n v="3.5019632409825281"/>
    <n v="0.59143771270234269"/>
    <n v="0.95298700766165612"/>
    <n v="0.16162072779408701"/>
    <n v="0.5686818160526953"/>
  </r>
  <r>
    <x v="21"/>
    <s v="IMP"/>
    <n v="5"/>
    <n v="5"/>
    <n v="5"/>
    <n v="5"/>
    <n v="8"/>
    <n v="7"/>
    <n v="7"/>
    <n v="6"/>
    <n v="6"/>
    <n v="7"/>
    <n v="20"/>
    <n v="28"/>
    <n v="13"/>
    <n v="61"/>
    <n v="1.1005049346146121"/>
    <n v="23.196700507614214"/>
    <n v="6.4306002317777482"/>
    <n v="22.771573604060915"/>
    <n v="6.5356886776680962"/>
    <n v="11.434010152284264"/>
    <n v="3.5019632409825281"/>
    <n v="-0.49710764040614003"/>
    <n v="0.79998094367685879"/>
    <n v="0.44717483878453679"/>
    <n v="0.25001604735175187"/>
  </r>
  <r>
    <x v="21"/>
    <s v="IMP"/>
    <n v="8"/>
    <n v="5"/>
    <n v="6"/>
    <n v="5"/>
    <n v="6"/>
    <n v="7"/>
    <n v="6"/>
    <n v="7"/>
    <n v="7"/>
    <n v="5"/>
    <n v="24"/>
    <n v="26"/>
    <n v="12"/>
    <n v="62"/>
    <n v="1.0327955589886444"/>
    <n v="23.196700507614214"/>
    <n v="6.4306002317777482"/>
    <n v="22.771573604060915"/>
    <n v="6.5356886776680962"/>
    <n v="11.434010152284264"/>
    <n v="3.5019632409825281"/>
    <n v="0.12491827565585011"/>
    <n v="0.49396881570726414"/>
    <n v="0.16162072779408701"/>
    <n v="0.2601692730524004"/>
  </r>
  <r>
    <x v="21"/>
    <s v="IMP"/>
    <n v="7"/>
    <n v="7"/>
    <n v="7"/>
    <n v="8"/>
    <n v="7"/>
    <n v="7"/>
    <n v="7"/>
    <n v="7"/>
    <n v="7"/>
    <n v="7"/>
    <n v="29"/>
    <n v="28"/>
    <n v="14"/>
    <n v="71"/>
    <n v="0.316227766016838"/>
    <n v="23.196700507614214"/>
    <n v="6.4306002317777482"/>
    <n v="22.771573604060915"/>
    <n v="6.5356886776680962"/>
    <n v="11.434010152284264"/>
    <n v="3.5019632409825281"/>
    <n v="0.90245067073333785"/>
    <n v="0.79998094367685879"/>
    <n v="0.73272894977498659"/>
    <n v="0.81172018806172774"/>
  </r>
  <r>
    <x v="21"/>
    <s v="IMP"/>
    <n v="8"/>
    <n v="7"/>
    <n v="7"/>
    <n v="7"/>
    <n v="7"/>
    <n v="8"/>
    <n v="8"/>
    <n v="7"/>
    <n v="7"/>
    <n v="8"/>
    <n v="29"/>
    <n v="30"/>
    <n v="15"/>
    <n v="74"/>
    <n v="0.5163977794943222"/>
    <n v="23.196700507614214"/>
    <n v="6.4306002317777482"/>
    <n v="22.771573604060915"/>
    <n v="6.5356886776680962"/>
    <n v="11.434010152284264"/>
    <n v="3.5019632409825281"/>
    <n v="0.90245067073333785"/>
    <n v="1.1059930716464534"/>
    <n v="1.0182830607654363"/>
    <n v="1.0089089343817426"/>
  </r>
  <r>
    <x v="21"/>
    <s v="IMP"/>
    <n v="7"/>
    <n v="6"/>
    <n v="7"/>
    <n v="7"/>
    <n v="7"/>
    <n v="7"/>
    <n v="6"/>
    <n v="6"/>
    <n v="6"/>
    <n v="6"/>
    <n v="27"/>
    <n v="26"/>
    <n v="12"/>
    <n v="65"/>
    <n v="0.52704627669472992"/>
    <n v="23.196700507614214"/>
    <n v="6.4306002317777482"/>
    <n v="22.771573604060915"/>
    <n v="6.5356886776680962"/>
    <n v="11.434010152284264"/>
    <n v="3.5019632409825281"/>
    <n v="0.59143771270234269"/>
    <n v="0.49396881570726414"/>
    <n v="0.16162072779408701"/>
    <n v="0.41567575206789797"/>
  </r>
  <r>
    <x v="22"/>
    <s v="IMP"/>
    <n v="7"/>
    <n v="8"/>
    <n v="5"/>
    <n v="8"/>
    <n v="6"/>
    <n v="6"/>
    <n v="6"/>
    <n v="4"/>
    <n v="7"/>
    <n v="5"/>
    <n v="28"/>
    <n v="22"/>
    <n v="12"/>
    <n v="62"/>
    <n v="1.3165611772087666"/>
    <n v="23.196700507614214"/>
    <n v="6.4306002317777482"/>
    <n v="22.771573604060915"/>
    <n v="6.5356886776680962"/>
    <n v="11.434010152284264"/>
    <n v="3.5019632409825281"/>
    <n v="0.74694419171784021"/>
    <n v="-0.11805544023192505"/>
    <n v="0.16162072779408701"/>
    <n v="0.26350315976000072"/>
  </r>
  <r>
    <x v="22"/>
    <s v="IMP"/>
    <n v="5"/>
    <n v="5"/>
    <n v="4"/>
    <n v="4"/>
    <n v="6"/>
    <n v="5"/>
    <n v="5"/>
    <n v="4"/>
    <n v="3"/>
    <n v="6"/>
    <n v="18"/>
    <n v="20"/>
    <n v="9"/>
    <n v="47"/>
    <n v="0.94868329805051377"/>
    <n v="23.196700507614214"/>
    <n v="6.4306002317777482"/>
    <n v="22.771573604060915"/>
    <n v="6.5356886776680962"/>
    <n v="11.434010152284264"/>
    <n v="3.5019632409825281"/>
    <n v="-0.80812059843713513"/>
    <n v="-0.42406756820151964"/>
    <n v="-0.69504160517726232"/>
    <n v="-0.64240992393863905"/>
  </r>
  <r>
    <x v="22"/>
    <s v="IMP"/>
    <n v="4"/>
    <n v="4"/>
    <n v="4"/>
    <n v="3"/>
    <n v="4"/>
    <n v="5"/>
    <n v="4"/>
    <n v="4"/>
    <n v="5"/>
    <n v="5"/>
    <n v="15"/>
    <n v="17"/>
    <n v="10"/>
    <n v="42"/>
    <n v="0.63245553203367599"/>
    <n v="23.196700507614214"/>
    <n v="6.4306002317777482"/>
    <n v="22.771573604060915"/>
    <n v="6.5356886776680962"/>
    <n v="11.434010152284264"/>
    <n v="3.5019632409825281"/>
    <n v="-1.2746400354836278"/>
    <n v="-0.88308576015591156"/>
    <n v="-0.40948749418681252"/>
    <n v="-0.8557377632754507"/>
  </r>
  <r>
    <x v="22"/>
    <s v="IMP"/>
    <n v="4"/>
    <n v="4"/>
    <n v="3"/>
    <n v="3"/>
    <n v="3"/>
    <n v="3"/>
    <n v="3"/>
    <n v="3"/>
    <n v="2"/>
    <n v="4"/>
    <n v="14"/>
    <n v="12"/>
    <n v="6"/>
    <n v="32"/>
    <n v="0.63245553203367577"/>
    <n v="23.196700507614214"/>
    <n v="6.4306002317777482"/>
    <n v="22.771573604060915"/>
    <n v="6.5356886776680962"/>
    <n v="11.434010152284264"/>
    <n v="3.5019632409825281"/>
    <n v="-1.4301465144991252"/>
    <n v="-1.648116080079898"/>
    <n v="-1.5517039381486115"/>
    <n v="-1.5433221775758781"/>
  </r>
  <r>
    <x v="22"/>
    <s v="IMP"/>
    <n v="7"/>
    <n v="6"/>
    <n v="5"/>
    <n v="5"/>
    <n v="6"/>
    <n v="7"/>
    <n v="8"/>
    <n v="6"/>
    <n v="6"/>
    <n v="5"/>
    <n v="23"/>
    <n v="27"/>
    <n v="11"/>
    <n v="61"/>
    <n v="0.99442892601175314"/>
    <n v="23.196700507614214"/>
    <n v="6.4306002317777482"/>
    <n v="22.771573604060915"/>
    <n v="6.5356886776680962"/>
    <n v="11.434010152284264"/>
    <n v="3.5019632409825281"/>
    <n v="-3.0588203359647428E-2"/>
    <n v="0.64697487969206147"/>
    <n v="-0.12393338319636275"/>
    <n v="0.16415109771201711"/>
  </r>
  <r>
    <x v="22"/>
    <s v="IMP"/>
    <n v="5"/>
    <n v="5"/>
    <n v="4"/>
    <n v="4"/>
    <n v="5"/>
    <n v="5"/>
    <n v="5"/>
    <n v="5"/>
    <n v="2"/>
    <n v="2"/>
    <n v="18"/>
    <n v="20"/>
    <n v="4"/>
    <n v="42"/>
    <n v="1.2292725943057181"/>
    <n v="23.196700507614214"/>
    <n v="6.4306002317777482"/>
    <n v="22.771573604060915"/>
    <n v="6.5356886776680962"/>
    <n v="11.434010152284264"/>
    <n v="3.5019632409825281"/>
    <n v="-0.80812059843713513"/>
    <n v="-0.42406756820151964"/>
    <n v="-2.1228121601295111"/>
    <n v="-1.1183334422560554"/>
  </r>
  <r>
    <x v="22"/>
    <s v="IMP"/>
    <n v="7"/>
    <n v="5"/>
    <n v="6"/>
    <n v="6"/>
    <n v="6"/>
    <n v="5"/>
    <n v="5"/>
    <n v="6"/>
    <n v="6"/>
    <n v="5"/>
    <n v="24"/>
    <n v="22"/>
    <n v="11"/>
    <n v="57"/>
    <n v="0.67494855771055284"/>
    <n v="23.196700507614214"/>
    <n v="6.4306002317777482"/>
    <n v="22.771573604060915"/>
    <n v="6.5356886776680962"/>
    <n v="11.434010152284264"/>
    <n v="3.5019632409825281"/>
    <n v="0.12491827565585011"/>
    <n v="-0.11805544023192505"/>
    <n v="-0.12393338319636275"/>
    <n v="-3.90235159241459E-2"/>
  </r>
  <r>
    <x v="22"/>
    <s v="IMP"/>
    <n v="4"/>
    <n v="4"/>
    <n v="4"/>
    <n v="4"/>
    <n v="5"/>
    <n v="5"/>
    <n v="4"/>
    <n v="3"/>
    <n v="2"/>
    <n v="2"/>
    <n v="16"/>
    <n v="17"/>
    <n v="4"/>
    <n v="37"/>
    <n v="1.0593499054713806"/>
    <n v="23.196700507614214"/>
    <n v="6.4306002317777482"/>
    <n v="22.771573604060915"/>
    <n v="6.5356886776680962"/>
    <n v="11.434010152284264"/>
    <n v="3.5019632409825281"/>
    <n v="-1.1191335564681302"/>
    <n v="-0.88308576015591156"/>
    <n v="-2.1228121601295111"/>
    <n v="-1.3750104922511843"/>
  </r>
  <r>
    <x v="22"/>
    <s v="IMP"/>
    <n v="5"/>
    <n v="5"/>
    <n v="5"/>
    <n v="5"/>
    <n v="5"/>
    <n v="4"/>
    <n v="4"/>
    <n v="5"/>
    <n v="5"/>
    <n v="2"/>
    <n v="20"/>
    <n v="18"/>
    <n v="7"/>
    <n v="45"/>
    <n v="0.97182531580755005"/>
    <n v="23.196700507614214"/>
    <n v="6.4306002317777482"/>
    <n v="22.771573604060915"/>
    <n v="6.5356886776680962"/>
    <n v="11.434010152284264"/>
    <n v="3.5019632409825281"/>
    <n v="-0.49710764040614003"/>
    <n v="-0.73007969617111423"/>
    <n v="-1.2661498271581617"/>
    <n v="-0.83111238791180531"/>
  </r>
  <r>
    <x v="22"/>
    <s v="IMP"/>
    <n v="6"/>
    <n v="8"/>
    <n v="6"/>
    <n v="7"/>
    <n v="6"/>
    <n v="5"/>
    <n v="7"/>
    <n v="5"/>
    <n v="5"/>
    <n v="7"/>
    <n v="27"/>
    <n v="23"/>
    <n v="12"/>
    <n v="62"/>
    <n v="1.0327955589886444"/>
    <n v="23.196700507614214"/>
    <n v="6.4306002317777482"/>
    <n v="22.771573604060915"/>
    <n v="6.5356886776680962"/>
    <n v="11.434010152284264"/>
    <n v="3.5019632409825281"/>
    <n v="0.59143771270234269"/>
    <n v="3.4950623752872265E-2"/>
    <n v="0.16162072779408701"/>
    <n v="0.26266968808310065"/>
  </r>
  <r>
    <x v="22"/>
    <s v="IMP"/>
    <n v="5"/>
    <n v="4"/>
    <n v="4"/>
    <n v="4"/>
    <n v="5"/>
    <n v="4"/>
    <n v="4"/>
    <n v="4"/>
    <n v="2"/>
    <n v="2"/>
    <n v="17"/>
    <n v="17"/>
    <n v="4"/>
    <n v="38"/>
    <n v="1.0327955589886448"/>
    <n v="23.196700507614214"/>
    <n v="6.4306002317777482"/>
    <n v="22.771573604060915"/>
    <n v="6.5356886776680962"/>
    <n v="11.434010152284264"/>
    <n v="3.5019632409825281"/>
    <n v="-0.96362707745263265"/>
    <n v="-0.88308576015591156"/>
    <n v="-2.1228121601295111"/>
    <n v="-1.3231749992460184"/>
  </r>
  <r>
    <x v="22"/>
    <s v="IMP"/>
    <n v="6"/>
    <n v="8"/>
    <n v="6"/>
    <n v="8"/>
    <n v="7"/>
    <n v="8"/>
    <n v="6"/>
    <n v="7"/>
    <n v="8"/>
    <n v="8"/>
    <n v="28"/>
    <n v="28"/>
    <n v="16"/>
    <n v="72"/>
    <n v="0.91893658347268148"/>
    <n v="23.196700507614214"/>
    <n v="6.4306002317777482"/>
    <n v="22.771573604060915"/>
    <n v="6.5356886776680962"/>
    <n v="11.434010152284264"/>
    <n v="3.5019632409825281"/>
    <n v="0.74694419171784021"/>
    <n v="0.79998094367685879"/>
    <n v="1.3038371717558861"/>
    <n v="0.95025410238352837"/>
  </r>
  <r>
    <x v="22"/>
    <s v="IMP"/>
    <n v="5"/>
    <n v="5"/>
    <n v="5"/>
    <n v="5"/>
    <n v="5"/>
    <n v="5"/>
    <n v="5"/>
    <n v="5"/>
    <n v="7"/>
    <n v="7"/>
    <n v="20"/>
    <n v="20"/>
    <n v="14"/>
    <n v="54"/>
    <n v="0.8432740427115677"/>
    <n v="23.196700507614214"/>
    <n v="6.4306002317777482"/>
    <n v="22.771573604060915"/>
    <n v="6.5356886776680962"/>
    <n v="11.434010152284264"/>
    <n v="3.5019632409825281"/>
    <n v="-0.49710764040614003"/>
    <n v="-0.42406756820151964"/>
    <n v="0.73272894977498659"/>
    <n v="-6.281541961089103E-2"/>
  </r>
  <r>
    <x v="22"/>
    <s v="IMP"/>
    <n v="9"/>
    <n v="9"/>
    <n v="9"/>
    <n v="9"/>
    <n v="9"/>
    <n v="8"/>
    <n v="9"/>
    <n v="8"/>
    <n v="9"/>
    <n v="8"/>
    <n v="36"/>
    <n v="34"/>
    <n v="17"/>
    <n v="87"/>
    <n v="0.48304589153964822"/>
    <n v="23.196700507614214"/>
    <n v="6.4306002317777482"/>
    <n v="22.771573604060915"/>
    <n v="6.5356886776680962"/>
    <n v="11.434010152284264"/>
    <n v="3.5019632409825281"/>
    <n v="1.9909960238418205"/>
    <n v="1.7180173275856425"/>
    <n v="1.5893912827463359"/>
    <n v="1.7661348780579329"/>
  </r>
  <r>
    <x v="22"/>
    <s v="IMP"/>
    <n v="5"/>
    <n v="5"/>
    <n v="5"/>
    <n v="5"/>
    <n v="5"/>
    <n v="5"/>
    <n v="5"/>
    <n v="5"/>
    <n v="6"/>
    <n v="6"/>
    <n v="20"/>
    <n v="20"/>
    <n v="12"/>
    <n v="52"/>
    <n v="0.42163702135578407"/>
    <n v="23.196700507614214"/>
    <n v="6.4306002317777482"/>
    <n v="22.771573604060915"/>
    <n v="6.5356886776680962"/>
    <n v="11.434010152284264"/>
    <n v="3.5019632409825281"/>
    <n v="-0.49710764040614003"/>
    <n v="-0.42406756820151964"/>
    <n v="0.16162072779408701"/>
    <n v="-0.25318482693785754"/>
  </r>
  <r>
    <x v="22"/>
    <s v="IMP"/>
    <n v="6"/>
    <n v="6"/>
    <n v="6"/>
    <n v="6"/>
    <n v="5"/>
    <n v="6"/>
    <n v="5"/>
    <n v="6"/>
    <n v="5"/>
    <n v="2"/>
    <n v="24"/>
    <n v="22"/>
    <n v="7"/>
    <n v="53"/>
    <n v="1.2516655570345727"/>
    <n v="23.196700507614214"/>
    <n v="6.4306002317777482"/>
    <n v="22.771573604060915"/>
    <n v="6.5356886776680962"/>
    <n v="11.434010152284264"/>
    <n v="3.5019632409825281"/>
    <n v="0.12491827565585011"/>
    <n v="-0.11805544023192505"/>
    <n v="-1.2661498271581617"/>
    <n v="-0.41976233057807888"/>
  </r>
  <r>
    <x v="22"/>
    <s v="IMP"/>
    <n v="5"/>
    <n v="6"/>
    <n v="5"/>
    <n v="5"/>
    <n v="7"/>
    <n v="7"/>
    <n v="7"/>
    <n v="7"/>
    <n v="6"/>
    <n v="6"/>
    <n v="21"/>
    <n v="28"/>
    <n v="12"/>
    <n v="61"/>
    <n v="0.87559503577091313"/>
    <n v="23.196700507614214"/>
    <n v="6.4306002317777482"/>
    <n v="22.771573604060915"/>
    <n v="6.5356886776680962"/>
    <n v="11.434010152284264"/>
    <n v="3.5019632409825281"/>
    <n v="-0.3416011613906425"/>
    <n v="0.79998094367685879"/>
    <n v="0.16162072779408701"/>
    <n v="0.20666683669343444"/>
  </r>
  <r>
    <x v="22"/>
    <s v="IMP"/>
    <n v="6"/>
    <n v="6"/>
    <n v="7"/>
    <n v="6"/>
    <n v="7"/>
    <n v="8"/>
    <n v="8"/>
    <n v="7"/>
    <n v="7"/>
    <n v="7"/>
    <n v="25"/>
    <n v="30"/>
    <n v="14"/>
    <n v="69"/>
    <n v="0.73786478737262173"/>
    <n v="23.196700507614214"/>
    <n v="6.4306002317777482"/>
    <n v="22.771573604060915"/>
    <n v="6.5356886776680962"/>
    <n v="11.434010152284264"/>
    <n v="3.5019632409825281"/>
    <n v="0.28042475467134764"/>
    <n v="1.1059930716464534"/>
    <n v="0.73272894977498659"/>
    <n v="0.70638225869759586"/>
  </r>
  <r>
    <x v="22"/>
    <s v="IMP"/>
    <n v="7"/>
    <n v="7"/>
    <n v="7"/>
    <n v="7"/>
    <n v="6"/>
    <n v="6"/>
    <n v="6"/>
    <n v="7"/>
    <n v="7"/>
    <n v="7"/>
    <n v="28"/>
    <n v="25"/>
    <n v="14"/>
    <n v="67"/>
    <n v="0.48304589153964778"/>
    <n v="23.196700507614214"/>
    <n v="6.4306002317777482"/>
    <n v="22.771573604060915"/>
    <n v="6.5356886776680962"/>
    <n v="11.434010152284264"/>
    <n v="3.5019632409825281"/>
    <n v="0.74694419171784021"/>
    <n v="0.34096275172246687"/>
    <n v="0.73272894977498659"/>
    <n v="0.60687863107176454"/>
  </r>
  <r>
    <x v="22"/>
    <s v="IMP"/>
    <n v="6"/>
    <n v="5"/>
    <n v="5"/>
    <n v="5"/>
    <n v="5"/>
    <n v="5"/>
    <n v="5"/>
    <n v="6"/>
    <n v="6"/>
    <n v="5"/>
    <n v="21"/>
    <n v="21"/>
    <n v="11"/>
    <n v="53"/>
    <n v="0.48304589153964789"/>
    <n v="23.196700507614214"/>
    <n v="6.4306002317777482"/>
    <n v="22.771573604060915"/>
    <n v="6.5356886776680962"/>
    <n v="11.434010152284264"/>
    <n v="3.5019632409825281"/>
    <n v="-0.3416011613906425"/>
    <n v="-0.27106150421672232"/>
    <n v="-0.12393338319636275"/>
    <n v="-0.24553201626790919"/>
  </r>
  <r>
    <x v="22"/>
    <s v="IMP"/>
    <n v="9"/>
    <n v="8"/>
    <n v="9"/>
    <n v="8"/>
    <n v="9"/>
    <n v="8"/>
    <n v="8"/>
    <n v="9"/>
    <n v="9"/>
    <n v="8"/>
    <n v="34"/>
    <n v="34"/>
    <n v="17"/>
    <n v="85"/>
    <n v="0.52704627669472992"/>
    <n v="23.196700507614214"/>
    <n v="6.4306002317777482"/>
    <n v="22.771573604060915"/>
    <n v="6.5356886776680962"/>
    <n v="11.434010152284264"/>
    <n v="3.5019632409825281"/>
    <n v="1.6799830658108255"/>
    <n v="1.7180173275856425"/>
    <n v="1.5893912827463359"/>
    <n v="1.6624638920476011"/>
  </r>
  <r>
    <x v="22"/>
    <s v="IMP"/>
    <n v="7"/>
    <n v="6"/>
    <n v="6"/>
    <n v="6"/>
    <n v="5"/>
    <n v="5"/>
    <n v="5"/>
    <n v="6"/>
    <n v="5"/>
    <n v="7"/>
    <n v="25"/>
    <n v="21"/>
    <n v="12"/>
    <n v="58"/>
    <n v="0.78881063774661531"/>
    <n v="23.196700507614214"/>
    <n v="6.4306002317777482"/>
    <n v="22.771573604060915"/>
    <n v="6.5356886776680962"/>
    <n v="11.434010152284264"/>
    <n v="3.5019632409825281"/>
    <n v="0.28042475467134764"/>
    <n v="-0.27106150421672232"/>
    <n v="0.16162072779408701"/>
    <n v="5.6994659416237443E-2"/>
  </r>
  <r>
    <x v="22"/>
    <s v="IMP"/>
    <n v="6"/>
    <n v="6"/>
    <n v="7"/>
    <n v="7"/>
    <n v="7"/>
    <n v="6"/>
    <n v="6"/>
    <n v="6"/>
    <n v="6"/>
    <n v="6"/>
    <n v="26"/>
    <n v="25"/>
    <n v="12"/>
    <n v="63"/>
    <n v="0.48304589153964794"/>
    <n v="23.196700507614214"/>
    <n v="6.4306002317777482"/>
    <n v="22.771573604060915"/>
    <n v="6.5356886776680962"/>
    <n v="11.434010152284264"/>
    <n v="3.5019632409825281"/>
    <n v="0.43593123368684517"/>
    <n v="0.34096275172246687"/>
    <n v="0.16162072779408701"/>
    <n v="0.31283823773446634"/>
  </r>
  <r>
    <x v="22"/>
    <s v="IMP"/>
    <n v="9"/>
    <n v="9"/>
    <n v="9"/>
    <n v="9"/>
    <n v="9"/>
    <n v="8"/>
    <n v="9"/>
    <n v="9"/>
    <n v="8"/>
    <n v="8"/>
    <n v="36"/>
    <n v="35"/>
    <n v="16"/>
    <n v="87"/>
    <n v="0.48304589153964822"/>
    <n v="23.196700507614214"/>
    <n v="6.4306002317777482"/>
    <n v="22.771573604060915"/>
    <n v="6.5356886776680962"/>
    <n v="11.434010152284264"/>
    <n v="3.5019632409825281"/>
    <n v="1.9909960238418205"/>
    <n v="1.87102339157044"/>
    <n v="1.3038371717558861"/>
    <n v="1.7219521957227155"/>
  </r>
  <r>
    <x v="22"/>
    <s v="IMP"/>
    <n v="6"/>
    <n v="6"/>
    <n v="5"/>
    <n v="6"/>
    <n v="7"/>
    <n v="7"/>
    <n v="7"/>
    <n v="7"/>
    <n v="7"/>
    <n v="4"/>
    <n v="23"/>
    <n v="28"/>
    <n v="11"/>
    <n v="62"/>
    <n v="1.0327955589886444"/>
    <n v="23.196700507614214"/>
    <n v="6.4306002317777482"/>
    <n v="22.771573604060915"/>
    <n v="6.5356886776680962"/>
    <n v="11.434010152284264"/>
    <n v="3.5019632409825281"/>
    <n v="-3.0588203359647428E-2"/>
    <n v="0.79998094367685879"/>
    <n v="-0.12393338319636275"/>
    <n v="0.21515311904028289"/>
  </r>
  <r>
    <x v="22"/>
    <s v="IMP"/>
    <n v="8"/>
    <n v="7"/>
    <n v="8"/>
    <n v="8"/>
    <n v="8"/>
    <n v="8"/>
    <n v="8"/>
    <n v="7"/>
    <n v="9"/>
    <n v="9"/>
    <n v="31"/>
    <n v="31"/>
    <n v="18"/>
    <n v="80"/>
    <n v="0.66666666666666663"/>
    <n v="23.196700507614214"/>
    <n v="6.4306002317777482"/>
    <n v="22.771573604060915"/>
    <n v="6.5356886776680962"/>
    <n v="11.434010152284264"/>
    <n v="3.5019632409825281"/>
    <n v="1.2134636287643328"/>
    <n v="1.2589991356312507"/>
    <n v="1.8749453937367857"/>
    <n v="1.4491360527107897"/>
  </r>
  <r>
    <x v="22"/>
    <s v="IMP"/>
    <n v="6"/>
    <n v="6"/>
    <n v="6"/>
    <n v="7"/>
    <n v="5"/>
    <n v="5"/>
    <n v="5"/>
    <n v="6"/>
    <n v="7"/>
    <n v="6"/>
    <n v="25"/>
    <n v="21"/>
    <n v="13"/>
    <n v="59"/>
    <n v="0.73786478737262173"/>
    <n v="23.196700507614214"/>
    <n v="6.4306002317777482"/>
    <n v="22.771573604060915"/>
    <n v="6.5356886776680962"/>
    <n v="11.434010152284264"/>
    <n v="3.5019632409825281"/>
    <n v="0.28042475467134764"/>
    <n v="-0.27106150421672232"/>
    <n v="0.44717483878453679"/>
    <n v="0.15217936307972071"/>
  </r>
  <r>
    <x v="22"/>
    <s v="IMP"/>
    <n v="9"/>
    <n v="9"/>
    <n v="9"/>
    <n v="9"/>
    <n v="5"/>
    <n v="5"/>
    <n v="5"/>
    <n v="5"/>
    <n v="6"/>
    <n v="6"/>
    <n v="36"/>
    <n v="20"/>
    <n v="12"/>
    <n v="68"/>
    <n v="1.9321835661585915"/>
    <n v="23.196700507614214"/>
    <n v="6.4306002317777482"/>
    <n v="22.771573604060915"/>
    <n v="6.5356886776680962"/>
    <n v="11.434010152284264"/>
    <n v="3.5019632409825281"/>
    <n v="1.9909960238418205"/>
    <n v="-0.42406756820151964"/>
    <n v="0.16162072779408701"/>
    <n v="0.576183061144796"/>
  </r>
  <r>
    <x v="22"/>
    <s v="IMP"/>
    <n v="8"/>
    <n v="7"/>
    <n v="8"/>
    <n v="7"/>
    <n v="7"/>
    <n v="7"/>
    <n v="8"/>
    <n v="7"/>
    <n v="9"/>
    <n v="8"/>
    <n v="30"/>
    <n v="29"/>
    <n v="17"/>
    <n v="76"/>
    <n v="0.69920589878010109"/>
    <n v="23.196700507614214"/>
    <n v="6.4306002317777482"/>
    <n v="22.771573604060915"/>
    <n v="6.5356886776680962"/>
    <n v="11.434010152284264"/>
    <n v="3.5019632409825281"/>
    <n v="1.0579571497488354"/>
    <n v="0.95298700766165612"/>
    <n v="1.5893912827463359"/>
    <n v="1.2001118133856092"/>
  </r>
  <r>
    <x v="22"/>
    <s v="IMP"/>
    <n v="5"/>
    <n v="4"/>
    <n v="5"/>
    <n v="5"/>
    <n v="6"/>
    <n v="5"/>
    <n v="5"/>
    <n v="5"/>
    <n v="5"/>
    <n v="4"/>
    <n v="19"/>
    <n v="21"/>
    <n v="9"/>
    <n v="49"/>
    <n v="0.56764621219754674"/>
    <n v="23.196700507614214"/>
    <n v="6.4306002317777482"/>
    <n v="22.771573604060915"/>
    <n v="6.5356886776680962"/>
    <n v="11.434010152284264"/>
    <n v="3.5019632409825281"/>
    <n v="-0.65261411942163761"/>
    <n v="-0.27106150421672232"/>
    <n v="-0.69504160517726232"/>
    <n v="-0.53957240960520736"/>
  </r>
  <r>
    <x v="22"/>
    <s v="IMP"/>
    <n v="5"/>
    <n v="6"/>
    <n v="5"/>
    <n v="5"/>
    <n v="4"/>
    <n v="4"/>
    <n v="4"/>
    <n v="5"/>
    <n v="5"/>
    <n v="4"/>
    <n v="21"/>
    <n v="17"/>
    <n v="9"/>
    <n v="47"/>
    <n v="0.67494855771055284"/>
    <n v="23.196700507614214"/>
    <n v="6.4306002317777482"/>
    <n v="22.771573604060915"/>
    <n v="6.5356886776680962"/>
    <n v="11.434010152284264"/>
    <n v="3.5019632409825281"/>
    <n v="-0.3416011613906425"/>
    <n v="-0.88308576015591156"/>
    <n v="-0.69504160517726232"/>
    <n v="-0.63990950890793885"/>
  </r>
  <r>
    <x v="22"/>
    <s v="IMP"/>
    <n v="7"/>
    <n v="6"/>
    <n v="7"/>
    <n v="6"/>
    <n v="8"/>
    <n v="8"/>
    <n v="8"/>
    <n v="7"/>
    <n v="8"/>
    <n v="7"/>
    <n v="26"/>
    <n v="31"/>
    <n v="15"/>
    <n v="72"/>
    <n v="0.78881063774661553"/>
    <n v="23.196700507614214"/>
    <n v="6.4306002317777482"/>
    <n v="22.771573604060915"/>
    <n v="6.5356886776680962"/>
    <n v="11.434010152284264"/>
    <n v="3.5019632409825281"/>
    <n v="0.43593123368684517"/>
    <n v="1.2589991356312507"/>
    <n v="1.0182830607654363"/>
    <n v="0.90440447669451063"/>
  </r>
  <r>
    <x v="22"/>
    <s v="IMP"/>
    <n v="8"/>
    <n v="8"/>
    <n v="7"/>
    <n v="7"/>
    <n v="7"/>
    <n v="6"/>
    <n v="7"/>
    <n v="7"/>
    <n v="8"/>
    <n v="9"/>
    <n v="30"/>
    <n v="27"/>
    <n v="17"/>
    <n v="74"/>
    <n v="0.84327404271156781"/>
    <n v="23.196700507614214"/>
    <n v="6.4306002317777482"/>
    <n v="22.771573604060915"/>
    <n v="6.5356886776680962"/>
    <n v="11.434010152284264"/>
    <n v="3.5019632409825281"/>
    <n v="1.0579571497488354"/>
    <n v="0.64697487969206147"/>
    <n v="1.5893912827463359"/>
    <n v="1.0981077707290776"/>
  </r>
  <r>
    <x v="22"/>
    <s v="IMP"/>
    <n v="8"/>
    <n v="8"/>
    <n v="9"/>
    <n v="8"/>
    <n v="6"/>
    <n v="8"/>
    <n v="8"/>
    <n v="8"/>
    <n v="8"/>
    <n v="7"/>
    <n v="33"/>
    <n v="30"/>
    <n v="15"/>
    <n v="78"/>
    <n v="0.78881063774661553"/>
    <n v="23.196700507614214"/>
    <n v="6.4306002317777482"/>
    <n v="22.771573604060915"/>
    <n v="6.5356886776680962"/>
    <n v="11.434010152284264"/>
    <n v="3.5019632409825281"/>
    <n v="1.524476586795328"/>
    <n v="1.1059930716464534"/>
    <n v="1.0182830607654363"/>
    <n v="1.2162509064024061"/>
  </r>
  <r>
    <x v="22"/>
    <s v="IMP"/>
    <n v="6"/>
    <n v="6"/>
    <n v="5"/>
    <n v="6"/>
    <n v="5"/>
    <n v="5"/>
    <n v="5"/>
    <n v="5"/>
    <n v="5"/>
    <n v="7"/>
    <n v="23"/>
    <n v="20"/>
    <n v="12"/>
    <n v="55"/>
    <n v="0.70710678118654757"/>
    <n v="23.196700507614214"/>
    <n v="6.4306002317777482"/>
    <n v="22.771573604060915"/>
    <n v="6.5356886776680962"/>
    <n v="11.434010152284264"/>
    <n v="3.5019632409825281"/>
    <n v="-3.0588203359647428E-2"/>
    <n v="-0.42406756820151964"/>
    <n v="0.16162072779408701"/>
    <n v="-9.7678347922360007E-2"/>
  </r>
  <r>
    <x v="22"/>
    <s v="IMP"/>
    <n v="7"/>
    <n v="7"/>
    <n v="6"/>
    <n v="7"/>
    <n v="7"/>
    <n v="7"/>
    <n v="6"/>
    <n v="6"/>
    <n v="6"/>
    <n v="7"/>
    <n v="27"/>
    <n v="26"/>
    <n v="13"/>
    <n v="66"/>
    <n v="0.51639777949432231"/>
    <n v="23.196700507614214"/>
    <n v="6.4306002317777482"/>
    <n v="22.771573604060915"/>
    <n v="6.5356886776680962"/>
    <n v="11.434010152284264"/>
    <n v="3.5019632409825281"/>
    <n v="0.59143771270234269"/>
    <n v="0.49396881570726414"/>
    <n v="0.44717483878453679"/>
    <n v="0.51086045573138117"/>
  </r>
  <r>
    <x v="22"/>
    <s v="IMP"/>
    <n v="6"/>
    <n v="6"/>
    <n v="6"/>
    <n v="6"/>
    <n v="7"/>
    <n v="6"/>
    <n v="6"/>
    <n v="7"/>
    <n v="6"/>
    <n v="5"/>
    <n v="24"/>
    <n v="26"/>
    <n v="11"/>
    <n v="61"/>
    <n v="0.56764621219754663"/>
    <n v="23.196700507614214"/>
    <n v="6.4306002317777482"/>
    <n v="22.771573604060915"/>
    <n v="6.5356886776680962"/>
    <n v="11.434010152284264"/>
    <n v="3.5019632409825281"/>
    <n v="0.12491827565585011"/>
    <n v="0.49396881570726414"/>
    <n v="-0.12393338319636275"/>
    <n v="0.16498456938891717"/>
  </r>
  <r>
    <x v="22"/>
    <s v="IMP"/>
    <n v="8"/>
    <n v="8"/>
    <n v="8"/>
    <n v="8"/>
    <n v="8"/>
    <n v="8"/>
    <n v="8"/>
    <n v="7"/>
    <n v="8"/>
    <n v="8"/>
    <n v="32"/>
    <n v="31"/>
    <n v="16"/>
    <n v="79"/>
    <n v="0.31622776601683794"/>
    <n v="23.196700507614214"/>
    <n v="6.4306002317777482"/>
    <n v="22.771573604060915"/>
    <n v="6.5356886776680962"/>
    <n v="11.434010152284264"/>
    <n v="3.5019632409825281"/>
    <n v="1.3689701077798304"/>
    <n v="1.2589991356312507"/>
    <n v="1.3038371717558861"/>
    <n v="1.310602138388989"/>
  </r>
  <r>
    <x v="22"/>
    <s v="IMP"/>
    <n v="9"/>
    <n v="9"/>
    <n v="9"/>
    <n v="9"/>
    <n v="6"/>
    <n v="7"/>
    <n v="7"/>
    <n v="8"/>
    <n v="8"/>
    <n v="7"/>
    <n v="36"/>
    <n v="28"/>
    <n v="15"/>
    <n v="79"/>
    <n v="1.1005049346146123"/>
    <n v="23.196700507614214"/>
    <n v="6.4306002317777482"/>
    <n v="22.771573604060915"/>
    <n v="6.5356886776680962"/>
    <n v="11.434010152284264"/>
    <n v="3.5019632409825281"/>
    <n v="1.9909960238418205"/>
    <n v="0.79998094367685879"/>
    <n v="1.0182830607654363"/>
    <n v="1.2697533427613719"/>
  </r>
  <r>
    <x v="22"/>
    <s v="IMP"/>
    <n v="9"/>
    <n v="8"/>
    <n v="9"/>
    <n v="8"/>
    <n v="8"/>
    <n v="8"/>
    <n v="7"/>
    <n v="9"/>
    <n v="8"/>
    <n v="8"/>
    <n v="34"/>
    <n v="32"/>
    <n v="16"/>
    <n v="82"/>
    <n v="0.63245553203367599"/>
    <n v="23.196700507614214"/>
    <n v="6.4306002317777482"/>
    <n v="22.771573604060915"/>
    <n v="6.5356886776680962"/>
    <n v="11.434010152284264"/>
    <n v="3.5019632409825281"/>
    <n v="1.6799830658108255"/>
    <n v="1.4120051996160479"/>
    <n v="1.3038371717558861"/>
    <n v="1.4652751457275865"/>
  </r>
  <r>
    <x v="22"/>
    <s v="IMP"/>
    <n v="8"/>
    <n v="8"/>
    <n v="8"/>
    <n v="8"/>
    <n v="7"/>
    <n v="7"/>
    <n v="7"/>
    <n v="7"/>
    <n v="8"/>
    <n v="8"/>
    <n v="32"/>
    <n v="28"/>
    <n v="16"/>
    <n v="76"/>
    <n v="0.5163977794943222"/>
    <n v="23.196700507614214"/>
    <n v="6.4306002317777482"/>
    <n v="22.771573604060915"/>
    <n v="6.5356886776680962"/>
    <n v="11.434010152284264"/>
    <n v="3.5019632409825281"/>
    <n v="1.3689701077798304"/>
    <n v="0.79998094367685879"/>
    <n v="1.3038371717558861"/>
    <n v="1.1575960744041918"/>
  </r>
  <r>
    <x v="22"/>
    <s v="IMP"/>
    <n v="7"/>
    <n v="7"/>
    <n v="7"/>
    <n v="7"/>
    <n v="7"/>
    <n v="8"/>
    <n v="7"/>
    <n v="8"/>
    <n v="8"/>
    <n v="7"/>
    <n v="28"/>
    <n v="30"/>
    <n v="15"/>
    <n v="73"/>
    <n v="0.48304589153964789"/>
    <n v="23.196700507614214"/>
    <n v="6.4306002317777482"/>
    <n v="22.771573604060915"/>
    <n v="6.5356886776680962"/>
    <n v="11.434010152284264"/>
    <n v="3.5019632409825281"/>
    <n v="0.74694419171784021"/>
    <n v="1.1059930716464534"/>
    <n v="1.0182830607654363"/>
    <n v="0.95707344137657679"/>
  </r>
  <r>
    <x v="22"/>
    <s v="IMP"/>
    <n v="8"/>
    <n v="8"/>
    <n v="8"/>
    <n v="8"/>
    <n v="7"/>
    <n v="7"/>
    <n v="8"/>
    <n v="7"/>
    <n v="7"/>
    <n v="8"/>
    <n v="32"/>
    <n v="29"/>
    <n v="15"/>
    <n v="76"/>
    <n v="0.51639777949432208"/>
    <n v="23.196700507614214"/>
    <n v="6.4306002317777482"/>
    <n v="22.771573604060915"/>
    <n v="6.5356886776680962"/>
    <n v="11.434010152284264"/>
    <n v="3.5019632409825281"/>
    <n v="1.3689701077798304"/>
    <n v="0.95298700766165612"/>
    <n v="1.0182830607654363"/>
    <n v="1.1134133920689742"/>
  </r>
  <r>
    <x v="22"/>
    <s v="IMP"/>
    <n v="9"/>
    <n v="7"/>
    <n v="8"/>
    <n v="8"/>
    <n v="9"/>
    <n v="9"/>
    <n v="9"/>
    <n v="8"/>
    <n v="9"/>
    <n v="9"/>
    <n v="32"/>
    <n v="35"/>
    <n v="18"/>
    <n v="85"/>
    <n v="0.70710678118654802"/>
    <n v="23.196700507614214"/>
    <n v="6.4306002317777482"/>
    <n v="22.771573604060915"/>
    <n v="6.5356886776680962"/>
    <n v="11.434010152284264"/>
    <n v="3.5019632409825281"/>
    <n v="1.3689701077798304"/>
    <n v="1.87102339157044"/>
    <n v="1.8749453937367857"/>
    <n v="1.7049796310290188"/>
  </r>
  <r>
    <x v="23"/>
    <s v="IMP"/>
    <n v="3"/>
    <n v="2"/>
    <n v="2"/>
    <n v="3"/>
    <n v="2"/>
    <n v="2"/>
    <n v="2"/>
    <n v="3"/>
    <n v="3"/>
    <n v="1"/>
    <n v="10"/>
    <n v="9"/>
    <n v="4"/>
    <n v="23"/>
    <n v="0.67494855771055284"/>
    <n v="23.196700507614214"/>
    <n v="6.4306002317777482"/>
    <n v="22.771573604060915"/>
    <n v="6.5356886776680962"/>
    <n v="11.434010152284264"/>
    <n v="3.5019632409825281"/>
    <n v="-2.0521724305611153"/>
    <n v="-2.10713427203429"/>
    <n v="-2.1228121601295111"/>
    <n v="-2.0940396209083052"/>
  </r>
  <r>
    <x v="23"/>
    <s v="IMP"/>
    <n v="6"/>
    <n v="5"/>
    <n v="4"/>
    <n v="3"/>
    <n v="5"/>
    <n v="4"/>
    <n v="6"/>
    <n v="4"/>
    <n v="5"/>
    <n v="2"/>
    <n v="18"/>
    <n v="19"/>
    <n v="7"/>
    <n v="44"/>
    <n v="1.2649110640673518"/>
    <n v="23.196700507614214"/>
    <n v="6.4306002317777482"/>
    <n v="22.771573604060915"/>
    <n v="6.5356886776680962"/>
    <n v="11.434010152284264"/>
    <n v="3.5019632409825281"/>
    <n v="-0.80812059843713513"/>
    <n v="-0.57707363218631691"/>
    <n v="-1.2661498271581617"/>
    <n v="-0.88378135259387136"/>
  </r>
  <r>
    <x v="23"/>
    <s v="IMP"/>
    <n v="7"/>
    <n v="4"/>
    <n v="6"/>
    <n v="5"/>
    <n v="4"/>
    <n v="3"/>
    <n v="4"/>
    <n v="5"/>
    <n v="6"/>
    <n v="6"/>
    <n v="22"/>
    <n v="16"/>
    <n v="12"/>
    <n v="50"/>
    <n v="1.247219128924647"/>
    <n v="23.196700507614214"/>
    <n v="6.4306002317777482"/>
    <n v="22.771573604060915"/>
    <n v="6.5356886776680962"/>
    <n v="11.434010152284264"/>
    <n v="3.5019632409825281"/>
    <n v="-0.18609468237514495"/>
    <n v="-1.0360918241407089"/>
    <n v="0.16162072779408701"/>
    <n v="-0.35352192624058892"/>
  </r>
  <r>
    <x v="23"/>
    <s v="IMP"/>
    <n v="9"/>
    <n v="9"/>
    <n v="9"/>
    <n v="8"/>
    <n v="9"/>
    <n v="9"/>
    <n v="9"/>
    <n v="10"/>
    <n v="10"/>
    <n v="9"/>
    <n v="35"/>
    <n v="37"/>
    <n v="19"/>
    <n v="91"/>
    <n v="0.56764621219754663"/>
    <n v="23.196700507614214"/>
    <n v="6.4306002317777482"/>
    <n v="22.771573604060915"/>
    <n v="6.5356886776680962"/>
    <n v="11.434010152284264"/>
    <n v="3.5019632409825281"/>
    <n v="1.8354895448263231"/>
    <n v="2.1770355195400346"/>
    <n v="2.1604995047272353"/>
    <n v="2.0576748563645313"/>
  </r>
  <r>
    <x v="23"/>
    <s v="IMP"/>
    <n v="8"/>
    <n v="7"/>
    <n v="8"/>
    <n v="7"/>
    <n v="7"/>
    <n v="6"/>
    <n v="7"/>
    <n v="6"/>
    <n v="7"/>
    <n v="3"/>
    <n v="30"/>
    <n v="26"/>
    <n v="10"/>
    <n v="66"/>
    <n v="1.429840705968481"/>
    <n v="23.196700507614214"/>
    <n v="6.4306002317777482"/>
    <n v="22.771573604060915"/>
    <n v="6.5356886776680962"/>
    <n v="11.434010152284264"/>
    <n v="3.5019632409825281"/>
    <n v="1.0579571497488354"/>
    <n v="0.49396881570726414"/>
    <n v="-0.40948749418681252"/>
    <n v="0.380812823756429"/>
  </r>
  <r>
    <x v="23"/>
    <s v="IMP"/>
    <n v="7"/>
    <n v="8"/>
    <n v="9"/>
    <n v="9"/>
    <n v="10"/>
    <n v="9"/>
    <n v="9"/>
    <n v="10"/>
    <n v="10"/>
    <n v="8"/>
    <n v="33"/>
    <n v="38"/>
    <n v="18"/>
    <n v="89"/>
    <n v="0.99442892601175348"/>
    <n v="23.196700507614214"/>
    <n v="6.4306002317777482"/>
    <n v="22.771573604060915"/>
    <n v="6.5356886776680962"/>
    <n v="11.434010152284264"/>
    <n v="3.5019632409825281"/>
    <n v="1.524476586795328"/>
    <n v="2.3300415835248316"/>
    <n v="1.8749453937367857"/>
    <n v="1.9098211880189817"/>
  </r>
  <r>
    <x v="23"/>
    <s v="IMP"/>
    <n v="6"/>
    <n v="8"/>
    <n v="8"/>
    <n v="7"/>
    <n v="9"/>
    <n v="9"/>
    <n v="8"/>
    <n v="8"/>
    <n v="8"/>
    <n v="10"/>
    <n v="29"/>
    <n v="34"/>
    <n v="18"/>
    <n v="81"/>
    <n v="1.1005049346146119"/>
    <n v="23.196700507614214"/>
    <n v="6.4306002317777482"/>
    <n v="22.771573604060915"/>
    <n v="6.5356886776680962"/>
    <n v="11.434010152284264"/>
    <n v="3.5019632409825281"/>
    <n v="0.90245067073333785"/>
    <n v="1.7180173275856425"/>
    <n v="1.8749453937367857"/>
    <n v="1.4984711306852556"/>
  </r>
  <r>
    <x v="23"/>
    <s v="IMP"/>
    <n v="6"/>
    <n v="5"/>
    <n v="6"/>
    <n v="5"/>
    <n v="6"/>
    <n v="5"/>
    <n v="5"/>
    <n v="5"/>
    <n v="5"/>
    <n v="5"/>
    <n v="22"/>
    <n v="21"/>
    <n v="10"/>
    <n v="53"/>
    <n v="0.48304589153964789"/>
    <n v="23.196700507614214"/>
    <n v="6.4306002317777482"/>
    <n v="22.771573604060915"/>
    <n v="6.5356886776680962"/>
    <n v="11.434010152284264"/>
    <n v="3.5019632409825281"/>
    <n v="-0.18609468237514495"/>
    <n v="-0.27106150421672232"/>
    <n v="-0.40948749418681252"/>
    <n v="-0.28888122692622659"/>
  </r>
  <r>
    <x v="23"/>
    <s v="IMP"/>
    <n v="6"/>
    <n v="6"/>
    <n v="6"/>
    <n v="7"/>
    <n v="8"/>
    <n v="7"/>
    <n v="6"/>
    <n v="5"/>
    <n v="5"/>
    <n v="6"/>
    <n v="25"/>
    <n v="26"/>
    <n v="11"/>
    <n v="62"/>
    <n v="0.91893658347268148"/>
    <n v="23.196700507614214"/>
    <n v="6.4306002317777482"/>
    <n v="22.771573604060915"/>
    <n v="6.5356886776680962"/>
    <n v="11.434010152284264"/>
    <n v="3.5019632409825281"/>
    <n v="0.28042475467134764"/>
    <n v="0.49396881570726414"/>
    <n v="-0.12393338319636275"/>
    <n v="0.21682006239408302"/>
  </r>
  <r>
    <x v="23"/>
    <s v="IMP"/>
    <n v="8"/>
    <n v="7"/>
    <n v="8"/>
    <n v="8"/>
    <n v="8"/>
    <n v="7"/>
    <n v="8"/>
    <n v="9"/>
    <n v="7"/>
    <n v="7"/>
    <n v="31"/>
    <n v="32"/>
    <n v="14"/>
    <n v="77"/>
    <n v="0.67494855771055284"/>
    <n v="23.196700507614214"/>
    <n v="6.4306002317777482"/>
    <n v="22.771573604060915"/>
    <n v="6.5356886776680962"/>
    <n v="11.434010152284264"/>
    <n v="3.5019632409825281"/>
    <n v="1.2134636287643328"/>
    <n v="1.4120051996160479"/>
    <n v="0.73272894977498659"/>
    <n v="1.1193992593851225"/>
  </r>
  <r>
    <x v="23"/>
    <s v="IMP"/>
    <n v="7"/>
    <n v="6"/>
    <n v="7"/>
    <n v="6"/>
    <n v="7"/>
    <n v="6"/>
    <n v="7"/>
    <n v="7"/>
    <n v="7"/>
    <n v="6"/>
    <n v="26"/>
    <n v="27"/>
    <n v="13"/>
    <n v="66"/>
    <n v="0.51639777949432231"/>
    <n v="23.196700507614214"/>
    <n v="6.4306002317777482"/>
    <n v="22.771573604060915"/>
    <n v="6.5356886776680962"/>
    <n v="11.434010152284264"/>
    <n v="3.5019632409825281"/>
    <n v="0.43593123368684517"/>
    <n v="0.64697487969206147"/>
    <n v="0.44717483878453679"/>
    <n v="0.51002698405448121"/>
  </r>
  <r>
    <x v="23"/>
    <s v="IMP"/>
    <n v="8"/>
    <n v="7"/>
    <n v="8"/>
    <n v="7"/>
    <n v="9"/>
    <n v="8"/>
    <n v="8"/>
    <n v="8"/>
    <n v="9"/>
    <n v="8"/>
    <n v="30"/>
    <n v="33"/>
    <n v="17"/>
    <n v="80"/>
    <n v="0.66666666666666663"/>
    <n v="23.196700507614214"/>
    <n v="6.4306002317777482"/>
    <n v="22.771573604060915"/>
    <n v="6.5356886776680962"/>
    <n v="11.434010152284264"/>
    <n v="3.5019632409825281"/>
    <n v="1.0579571497488354"/>
    <n v="1.5650112636008453"/>
    <n v="1.5893912827463359"/>
    <n v="1.4041198986986723"/>
  </r>
  <r>
    <x v="23"/>
    <s v="IMP"/>
    <n v="7"/>
    <n v="7"/>
    <n v="8"/>
    <n v="7"/>
    <n v="7"/>
    <n v="8"/>
    <n v="7"/>
    <n v="6"/>
    <n v="6"/>
    <n v="6"/>
    <n v="29"/>
    <n v="28"/>
    <n v="12"/>
    <n v="69"/>
    <n v="0.73786478737262218"/>
    <n v="23.196700507614214"/>
    <n v="6.4306002317777482"/>
    <n v="22.771573604060915"/>
    <n v="6.5356886776680962"/>
    <n v="11.434010152284264"/>
    <n v="3.5019632409825281"/>
    <n v="0.90245067073333785"/>
    <n v="0.79998094367685879"/>
    <n v="0.16162072779408701"/>
    <n v="0.62135078073476124"/>
  </r>
  <r>
    <x v="23"/>
    <s v="IMP"/>
    <n v="8"/>
    <n v="6"/>
    <n v="7"/>
    <n v="7"/>
    <n v="7"/>
    <n v="6"/>
    <n v="7"/>
    <n v="6"/>
    <n v="7"/>
    <n v="6"/>
    <n v="28"/>
    <n v="26"/>
    <n v="13"/>
    <n v="67"/>
    <n v="0.67494855771055284"/>
    <n v="23.196700507614214"/>
    <n v="6.4306002317777482"/>
    <n v="22.771573604060915"/>
    <n v="6.5356886776680962"/>
    <n v="11.434010152284264"/>
    <n v="3.5019632409825281"/>
    <n v="0.74694419171784021"/>
    <n v="0.49396881570726414"/>
    <n v="0.44717483878453679"/>
    <n v="0.56269594873654716"/>
  </r>
  <r>
    <x v="23"/>
    <s v="IMP"/>
    <n v="8"/>
    <n v="5"/>
    <n v="8"/>
    <n v="7"/>
    <n v="8"/>
    <n v="7"/>
    <n v="8"/>
    <n v="7"/>
    <n v="7"/>
    <n v="8"/>
    <n v="28"/>
    <n v="30"/>
    <n v="15"/>
    <n v="73"/>
    <n v="0.94868329805051377"/>
    <n v="23.196700507614214"/>
    <n v="6.4306002317777482"/>
    <n v="22.771573604060915"/>
    <n v="6.5356886776680962"/>
    <n v="11.434010152284264"/>
    <n v="3.5019632409825281"/>
    <n v="0.74694419171784021"/>
    <n v="1.1059930716464534"/>
    <n v="1.0182830607654363"/>
    <n v="0.95707344137657679"/>
  </r>
  <r>
    <x v="23"/>
    <s v="IMP"/>
    <n v="8"/>
    <n v="7"/>
    <n v="8"/>
    <n v="7"/>
    <n v="7"/>
    <n v="6"/>
    <n v="7"/>
    <n v="7"/>
    <n v="7"/>
    <n v="7"/>
    <n v="30"/>
    <n v="27"/>
    <n v="14"/>
    <n v="71"/>
    <n v="0.56764621219754674"/>
    <n v="23.196700507614214"/>
    <n v="6.4306002317777482"/>
    <n v="22.771573604060915"/>
    <n v="6.5356886776680962"/>
    <n v="11.434010152284264"/>
    <n v="3.5019632409825281"/>
    <n v="1.0579571497488354"/>
    <n v="0.64697487969206147"/>
    <n v="0.73272894977498659"/>
    <n v="0.8125536597386277"/>
  </r>
  <r>
    <x v="23"/>
    <s v="IMP"/>
    <n v="7"/>
    <n v="6"/>
    <n v="6"/>
    <n v="5"/>
    <n v="5"/>
    <n v="6"/>
    <n v="5"/>
    <n v="4"/>
    <n v="4"/>
    <n v="3"/>
    <n v="24"/>
    <n v="20"/>
    <n v="7"/>
    <n v="51"/>
    <n v="1.1972189997378646"/>
    <n v="23.196700507614214"/>
    <n v="6.4306002317777482"/>
    <n v="22.771573604060915"/>
    <n v="6.5356886776680962"/>
    <n v="11.434010152284264"/>
    <n v="3.5019632409825281"/>
    <n v="0.12491827565585011"/>
    <n v="-0.42406756820151964"/>
    <n v="-1.2661498271581617"/>
    <n v="-0.52176637323461039"/>
  </r>
  <r>
    <x v="23"/>
    <s v="IMP"/>
    <n v="6"/>
    <n v="6"/>
    <n v="5"/>
    <n v="5"/>
    <n v="7"/>
    <n v="5"/>
    <n v="5"/>
    <n v="6"/>
    <n v="6"/>
    <n v="7"/>
    <n v="22"/>
    <n v="23"/>
    <n v="13"/>
    <n v="58"/>
    <n v="0.78881063774661542"/>
    <n v="23.196700507614214"/>
    <n v="6.4306002317777482"/>
    <n v="22.771573604060915"/>
    <n v="6.5356886776680962"/>
    <n v="11.434010152284264"/>
    <n v="3.5019632409825281"/>
    <n v="-0.18609468237514495"/>
    <n v="3.4950623752872265E-2"/>
    <n v="0.44717483878453679"/>
    <n v="9.867692672075469E-2"/>
  </r>
  <r>
    <x v="23"/>
    <s v="IMP"/>
    <n v="7"/>
    <n v="6"/>
    <n v="8"/>
    <n v="6"/>
    <n v="8"/>
    <n v="8"/>
    <n v="7"/>
    <n v="8"/>
    <n v="9"/>
    <n v="8"/>
    <n v="27"/>
    <n v="31"/>
    <n v="17"/>
    <n v="75"/>
    <n v="0.97182531580755005"/>
    <n v="23.196700507614214"/>
    <n v="6.4306002317777482"/>
    <n v="22.771573604060915"/>
    <n v="6.5356886776680962"/>
    <n v="11.434010152284264"/>
    <n v="3.5019632409825281"/>
    <n v="0.59143771270234269"/>
    <n v="1.2589991356312507"/>
    <n v="1.5893912827463359"/>
    <n v="1.1466093770266432"/>
  </r>
  <r>
    <x v="23"/>
    <s v="IMP"/>
    <n v="6"/>
    <n v="7"/>
    <n v="7"/>
    <n v="6"/>
    <n v="7"/>
    <n v="6"/>
    <n v="6"/>
    <n v="7"/>
    <n v="8"/>
    <n v="7"/>
    <n v="26"/>
    <n v="26"/>
    <n v="15"/>
    <n v="67"/>
    <n v="0.67494855771055284"/>
    <n v="23.196700507614214"/>
    <n v="6.4306002317777482"/>
    <n v="22.771573604060915"/>
    <n v="6.5356886776680962"/>
    <n v="11.434010152284264"/>
    <n v="3.5019632409825281"/>
    <n v="0.43593123368684517"/>
    <n v="0.49396881570726414"/>
    <n v="1.0182830607654363"/>
    <n v="0.6493943700531819"/>
  </r>
  <r>
    <x v="23"/>
    <s v="IMP"/>
    <n v="5"/>
    <n v="4"/>
    <n v="5"/>
    <n v="4"/>
    <n v="4"/>
    <n v="3"/>
    <n v="3"/>
    <n v="3"/>
    <n v="3"/>
    <n v="4"/>
    <n v="18"/>
    <n v="13"/>
    <n v="7"/>
    <n v="38"/>
    <n v="0.78881063774661553"/>
    <n v="23.196700507614214"/>
    <n v="6.4306002317777482"/>
    <n v="22.771573604060915"/>
    <n v="6.5356886776680962"/>
    <n v="11.434010152284264"/>
    <n v="3.5019632409825281"/>
    <n v="-0.80812059843713513"/>
    <n v="-1.4951100160951007"/>
    <n v="-1.2661498271581617"/>
    <n v="-1.189793480563466"/>
  </r>
  <r>
    <x v="23"/>
    <s v="IMP"/>
    <n v="6"/>
    <n v="5"/>
    <n v="5"/>
    <n v="4"/>
    <n v="6"/>
    <n v="5"/>
    <n v="4"/>
    <n v="5"/>
    <n v="5"/>
    <n v="3"/>
    <n v="20"/>
    <n v="20"/>
    <n v="8"/>
    <n v="48"/>
    <n v="0.91893658347268148"/>
    <n v="23.196700507614214"/>
    <n v="6.4306002317777482"/>
    <n v="22.771573604060915"/>
    <n v="6.5356886776680962"/>
    <n v="11.434010152284264"/>
    <n v="3.5019632409825281"/>
    <n v="-0.49710764040614003"/>
    <n v="-0.42406756820151964"/>
    <n v="-0.98059571616771202"/>
    <n v="-0.6339236415917906"/>
  </r>
  <r>
    <x v="23"/>
    <s v="IMP"/>
    <n v="7"/>
    <n v="5"/>
    <n v="6"/>
    <n v="7"/>
    <n v="8"/>
    <n v="7"/>
    <n v="6"/>
    <n v="7"/>
    <n v="7"/>
    <n v="7"/>
    <n v="25"/>
    <n v="28"/>
    <n v="14"/>
    <n v="67"/>
    <n v="0.82327260234856459"/>
    <n v="23.196700507614214"/>
    <n v="6.4306002317777482"/>
    <n v="22.771573604060915"/>
    <n v="6.5356886776680962"/>
    <n v="11.434010152284264"/>
    <n v="3.5019632409825281"/>
    <n v="0.28042475467134764"/>
    <n v="0.79998094367685879"/>
    <n v="0.73272894977498659"/>
    <n v="0.60437821604106434"/>
  </r>
  <r>
    <x v="24"/>
    <s v="IMP"/>
    <n v="6"/>
    <n v="6"/>
    <n v="5"/>
    <n v="6"/>
    <n v="6"/>
    <n v="5"/>
    <n v="5"/>
    <n v="5"/>
    <n v="5"/>
    <n v="5"/>
    <n v="23"/>
    <n v="21"/>
    <n v="10"/>
    <n v="54"/>
    <n v="0.5163977794943222"/>
    <n v="23.196700507614214"/>
    <n v="6.4306002317777482"/>
    <n v="22.771573604060915"/>
    <n v="6.5356886776680962"/>
    <n v="11.434010152284264"/>
    <n v="3.5019632409825281"/>
    <n v="-3.0588203359647428E-2"/>
    <n v="-0.27106150421672232"/>
    <n v="-0.40948749418681252"/>
    <n v="-0.23704573392106076"/>
  </r>
  <r>
    <x v="24"/>
    <s v="IMP"/>
    <n v="4"/>
    <n v="4"/>
    <n v="4"/>
    <n v="4"/>
    <n v="5"/>
    <n v="4"/>
    <n v="4"/>
    <n v="5"/>
    <n v="5"/>
    <n v="4"/>
    <n v="16"/>
    <n v="18"/>
    <n v="9"/>
    <n v="43"/>
    <n v="0.48304589153964789"/>
    <n v="23.196700507614214"/>
    <n v="6.4306002317777482"/>
    <n v="22.771573604060915"/>
    <n v="6.5356886776680962"/>
    <n v="11.434010152284264"/>
    <n v="3.5019632409825281"/>
    <n v="-1.1191335564681302"/>
    <n v="-0.73007969617111423"/>
    <n v="-0.69504160517726232"/>
    <n v="-0.84808495260550221"/>
  </r>
  <r>
    <x v="24"/>
    <s v="IMP"/>
    <n v="4"/>
    <n v="5"/>
    <n v="4"/>
    <n v="5"/>
    <n v="5"/>
    <n v="5"/>
    <n v="5"/>
    <n v="4"/>
    <n v="5"/>
    <n v="5"/>
    <n v="18"/>
    <n v="19"/>
    <n v="10"/>
    <n v="47"/>
    <n v="0.48304589153964805"/>
    <n v="23.196700507614214"/>
    <n v="6.4306002317777482"/>
    <n v="22.771573604060915"/>
    <n v="6.5356886776680962"/>
    <n v="11.434010152284264"/>
    <n v="3.5019632409825281"/>
    <n v="-0.80812059843713513"/>
    <n v="-0.57707363218631691"/>
    <n v="-0.40948749418681252"/>
    <n v="-0.59822724160342156"/>
  </r>
  <r>
    <x v="24"/>
    <s v="IMP"/>
    <n v="4"/>
    <n v="4"/>
    <n v="4"/>
    <n v="5"/>
    <n v="4"/>
    <n v="4"/>
    <n v="5"/>
    <n v="4"/>
    <n v="5"/>
    <n v="5"/>
    <n v="17"/>
    <n v="17"/>
    <n v="10"/>
    <n v="44"/>
    <n v="0.51639777949432231"/>
    <n v="23.196700507614214"/>
    <n v="6.4306002317777482"/>
    <n v="22.771573604060915"/>
    <n v="6.5356886776680962"/>
    <n v="11.434010152284264"/>
    <n v="3.5019632409825281"/>
    <n v="-0.96362707745263265"/>
    <n v="-0.88308576015591156"/>
    <n v="-0.40948749418681252"/>
    <n v="-0.75206677726511895"/>
  </r>
  <r>
    <x v="24"/>
    <s v="IMP"/>
    <n v="6"/>
    <n v="6"/>
    <n v="6"/>
    <n v="6"/>
    <n v="6"/>
    <n v="5"/>
    <n v="6"/>
    <n v="6"/>
    <n v="6"/>
    <n v="6"/>
    <n v="24"/>
    <n v="23"/>
    <n v="12"/>
    <n v="59"/>
    <n v="0.31622776601683789"/>
    <n v="23.196700507614214"/>
    <n v="6.4306002317777482"/>
    <n v="22.771573604060915"/>
    <n v="6.5356886776680962"/>
    <n v="11.434010152284264"/>
    <n v="3.5019632409825281"/>
    <n v="0.12491827565585011"/>
    <n v="3.4950623752872265E-2"/>
    <n v="0.16162072779408701"/>
    <n v="0.10716320906760313"/>
  </r>
  <r>
    <x v="24"/>
    <s v="IMP"/>
    <n v="6"/>
    <n v="5"/>
    <n v="6"/>
    <n v="6"/>
    <n v="6"/>
    <n v="6"/>
    <n v="6"/>
    <n v="6"/>
    <n v="5"/>
    <n v="6"/>
    <n v="23"/>
    <n v="24"/>
    <n v="11"/>
    <n v="58"/>
    <n v="0.4216370213557839"/>
    <n v="23.196700507614214"/>
    <n v="6.4306002317777482"/>
    <n v="22.771573604060915"/>
    <n v="6.5356886776680962"/>
    <n v="11.434010152284264"/>
    <n v="3.5019632409825281"/>
    <n v="-3.0588203359647428E-2"/>
    <n v="0.18795668773766958"/>
    <n v="-0.12393338319636275"/>
    <n v="1.1145033727219797E-2"/>
  </r>
  <r>
    <x v="24"/>
    <s v="IMP"/>
    <n v="6"/>
    <n v="6"/>
    <n v="5"/>
    <n v="6"/>
    <n v="6"/>
    <n v="6"/>
    <n v="6"/>
    <n v="6"/>
    <n v="5"/>
    <n v="6"/>
    <n v="23"/>
    <n v="24"/>
    <n v="11"/>
    <n v="58"/>
    <n v="0.42163702135578396"/>
    <n v="23.196700507614214"/>
    <n v="6.4306002317777482"/>
    <n v="22.771573604060915"/>
    <n v="6.5356886776680962"/>
    <n v="11.434010152284264"/>
    <n v="3.5019632409825281"/>
    <n v="-3.0588203359647428E-2"/>
    <n v="0.18795668773766958"/>
    <n v="-0.12393338319636275"/>
    <n v="1.1145033727219797E-2"/>
  </r>
  <r>
    <x v="24"/>
    <s v="IMP"/>
    <n v="6"/>
    <n v="5"/>
    <n v="5"/>
    <n v="5"/>
    <n v="6"/>
    <n v="6"/>
    <n v="6"/>
    <n v="5"/>
    <n v="5"/>
    <n v="6"/>
    <n v="21"/>
    <n v="23"/>
    <n v="11"/>
    <n v="55"/>
    <n v="0.52704627669472981"/>
    <n v="23.196700507614214"/>
    <n v="6.4306002317777482"/>
    <n v="22.771573604060915"/>
    <n v="6.5356886776680962"/>
    <n v="11.434010152284264"/>
    <n v="3.5019632409825281"/>
    <n v="-0.3416011613906425"/>
    <n v="3.4950623752872265E-2"/>
    <n v="-0.12393338319636275"/>
    <n v="-0.14352797361137767"/>
  </r>
  <r>
    <x v="24"/>
    <s v="IMP"/>
    <n v="5"/>
    <n v="4"/>
    <n v="5"/>
    <n v="5"/>
    <n v="4"/>
    <n v="5"/>
    <n v="4"/>
    <n v="5"/>
    <n v="4"/>
    <n v="5"/>
    <n v="19"/>
    <n v="18"/>
    <n v="9"/>
    <n v="46"/>
    <n v="0.5163977794943222"/>
    <n v="23.196700507614214"/>
    <n v="6.4306002317777482"/>
    <n v="22.771573604060915"/>
    <n v="6.5356886776680962"/>
    <n v="11.434010152284264"/>
    <n v="3.5019632409825281"/>
    <n v="-0.65261411942163761"/>
    <n v="-0.73007969617111423"/>
    <n v="-0.69504160517726232"/>
    <n v="-0.69257847359000468"/>
  </r>
  <r>
    <x v="24"/>
    <s v="IMP"/>
    <n v="6"/>
    <n v="4"/>
    <n v="5"/>
    <n v="5"/>
    <n v="5"/>
    <n v="5"/>
    <n v="5"/>
    <n v="5"/>
    <n v="5"/>
    <n v="5"/>
    <n v="20"/>
    <n v="20"/>
    <n v="10"/>
    <n v="50"/>
    <n v="0.47140452079103168"/>
    <n v="23.196700507614214"/>
    <n v="6.4306002317777482"/>
    <n v="22.771573604060915"/>
    <n v="6.5356886776680962"/>
    <n v="11.434010152284264"/>
    <n v="3.5019632409825281"/>
    <n v="-0.49710764040614003"/>
    <n v="-0.42406756820151964"/>
    <n v="-0.40948749418681252"/>
    <n v="-0.44355423426482404"/>
  </r>
  <r>
    <x v="24"/>
    <s v="IMP"/>
    <n v="5"/>
    <n v="5"/>
    <n v="6"/>
    <n v="5"/>
    <n v="5"/>
    <n v="6"/>
    <n v="5"/>
    <n v="5"/>
    <n v="5"/>
    <n v="5"/>
    <n v="21"/>
    <n v="21"/>
    <n v="10"/>
    <n v="52"/>
    <n v="0.42163702135578407"/>
    <n v="23.196700507614214"/>
    <n v="6.4306002317777482"/>
    <n v="22.771573604060915"/>
    <n v="6.5356886776680962"/>
    <n v="11.434010152284264"/>
    <n v="3.5019632409825281"/>
    <n v="-0.3416011613906425"/>
    <n v="-0.27106150421672232"/>
    <n v="-0.40948749418681252"/>
    <n v="-0.34071671993139246"/>
  </r>
  <r>
    <x v="24"/>
    <s v="IMP"/>
    <n v="4"/>
    <n v="5"/>
    <n v="5"/>
    <n v="5"/>
    <n v="5"/>
    <n v="5"/>
    <n v="5"/>
    <n v="4"/>
    <n v="4"/>
    <n v="4"/>
    <n v="19"/>
    <n v="19"/>
    <n v="8"/>
    <n v="46"/>
    <n v="0.51639777949432231"/>
    <n v="23.196700507614214"/>
    <n v="6.4306002317777482"/>
    <n v="22.771573604060915"/>
    <n v="6.5356886776680962"/>
    <n v="11.434010152284264"/>
    <n v="3.5019632409825281"/>
    <n v="-0.65261411942163761"/>
    <n v="-0.57707363218631691"/>
    <n v="-0.98059571616771202"/>
    <n v="-0.73676115592522218"/>
  </r>
  <r>
    <x v="24"/>
    <s v="IMP"/>
    <n v="5"/>
    <n v="6"/>
    <n v="5"/>
    <n v="6"/>
    <n v="6"/>
    <n v="5"/>
    <n v="5"/>
    <n v="5"/>
    <n v="6"/>
    <n v="6"/>
    <n v="22"/>
    <n v="21"/>
    <n v="12"/>
    <n v="55"/>
    <n v="0.52704627669472992"/>
    <n v="23.196700507614214"/>
    <n v="6.4306002317777482"/>
    <n v="22.771573604060915"/>
    <n v="6.5356886776680962"/>
    <n v="11.434010152284264"/>
    <n v="3.5019632409825281"/>
    <n v="-0.18609468237514495"/>
    <n v="-0.27106150421672232"/>
    <n v="0.16162072779408701"/>
    <n v="-9.85118195992601E-2"/>
  </r>
  <r>
    <x v="24"/>
    <s v="IMP"/>
    <n v="5"/>
    <n v="5"/>
    <n v="4"/>
    <n v="5"/>
    <n v="6"/>
    <n v="5"/>
    <n v="5"/>
    <n v="5"/>
    <n v="6"/>
    <n v="6"/>
    <n v="19"/>
    <n v="21"/>
    <n v="12"/>
    <n v="52"/>
    <n v="0.63245553203367599"/>
    <n v="23.196700507614214"/>
    <n v="6.4306002317777482"/>
    <n v="22.771573604060915"/>
    <n v="6.5356886776680962"/>
    <n v="11.434010152284264"/>
    <n v="3.5019632409825281"/>
    <n v="-0.65261411942163761"/>
    <n v="-0.27106150421672232"/>
    <n v="0.16162072779408701"/>
    <n v="-0.25401829861475761"/>
  </r>
  <r>
    <x v="24"/>
    <s v="IMP"/>
    <n v="7"/>
    <n v="5"/>
    <n v="6"/>
    <n v="6"/>
    <n v="6"/>
    <n v="5"/>
    <n v="6"/>
    <n v="5"/>
    <n v="6"/>
    <n v="6"/>
    <n v="24"/>
    <n v="22"/>
    <n v="12"/>
    <n v="58"/>
    <n v="0.63245553203367577"/>
    <n v="23.196700507614214"/>
    <n v="6.4306002317777482"/>
    <n v="22.771573604060915"/>
    <n v="6.5356886776680962"/>
    <n v="11.434010152284264"/>
    <n v="3.5019632409825281"/>
    <n v="0.12491827565585011"/>
    <n v="-0.11805544023192505"/>
    <n v="0.16162072779408701"/>
    <n v="5.616118773933735E-2"/>
  </r>
  <r>
    <x v="24"/>
    <s v="IMP"/>
    <n v="7"/>
    <n v="6"/>
    <n v="6"/>
    <n v="7"/>
    <n v="6"/>
    <n v="6"/>
    <n v="6"/>
    <n v="5"/>
    <n v="6"/>
    <n v="6"/>
    <n v="26"/>
    <n v="23"/>
    <n v="12"/>
    <n v="61"/>
    <n v="0.56764621219754696"/>
    <n v="23.196700507614214"/>
    <n v="6.4306002317777482"/>
    <n v="22.771573604060915"/>
    <n v="6.5356886776680962"/>
    <n v="11.434010152284264"/>
    <n v="3.5019632409825281"/>
    <n v="0.43593123368684517"/>
    <n v="3.4950623752872265E-2"/>
    <n v="0.16162072779408701"/>
    <n v="0.2108341950779348"/>
  </r>
  <r>
    <x v="24"/>
    <s v="IMP"/>
    <n v="4"/>
    <n v="3"/>
    <n v="4"/>
    <n v="3"/>
    <n v="5"/>
    <n v="4"/>
    <n v="3"/>
    <n v="3"/>
    <n v="4"/>
    <n v="4"/>
    <n v="14"/>
    <n v="15"/>
    <n v="8"/>
    <n v="37"/>
    <n v="0.67494855771055284"/>
    <n v="23.196700507614214"/>
    <n v="6.4306002317777482"/>
    <n v="22.771573604060915"/>
    <n v="6.5356886776680962"/>
    <n v="11.434010152284264"/>
    <n v="3.5019632409825281"/>
    <n v="-1.4301465144991252"/>
    <n v="-1.1890978881255061"/>
    <n v="-0.98059571616771202"/>
    <n v="-1.1999467062641145"/>
  </r>
  <r>
    <x v="24"/>
    <s v="IMP"/>
    <n v="5"/>
    <n v="6"/>
    <n v="6"/>
    <n v="5"/>
    <n v="5"/>
    <n v="5"/>
    <n v="6"/>
    <n v="5"/>
    <n v="5"/>
    <n v="5"/>
    <n v="22"/>
    <n v="21"/>
    <n v="10"/>
    <n v="53"/>
    <n v="0.48304589153964789"/>
    <n v="23.196700507614214"/>
    <n v="6.4306002317777482"/>
    <n v="22.771573604060915"/>
    <n v="6.5356886776680962"/>
    <n v="11.434010152284264"/>
    <n v="3.5019632409825281"/>
    <n v="-0.18609468237514495"/>
    <n v="-0.27106150421672232"/>
    <n v="-0.40948749418681252"/>
    <n v="-0.28888122692622659"/>
  </r>
  <r>
    <x v="24"/>
    <s v="IMP"/>
    <n v="5"/>
    <n v="6"/>
    <n v="5"/>
    <n v="5"/>
    <n v="6"/>
    <n v="5"/>
    <n v="6"/>
    <n v="5"/>
    <n v="5"/>
    <n v="5"/>
    <n v="21"/>
    <n v="22"/>
    <n v="10"/>
    <n v="53"/>
    <n v="0.48304589153964789"/>
    <n v="23.196700507614214"/>
    <n v="6.4306002317777482"/>
    <n v="22.771573604060915"/>
    <n v="6.5356886776680962"/>
    <n v="11.434010152284264"/>
    <n v="3.5019632409825281"/>
    <n v="-0.3416011613906425"/>
    <n v="-0.11805544023192505"/>
    <n v="-0.40948749418681252"/>
    <n v="-0.28971469860312671"/>
  </r>
  <r>
    <x v="24"/>
    <s v="IMP"/>
    <n v="6"/>
    <n v="6"/>
    <n v="6"/>
    <n v="6"/>
    <n v="6"/>
    <n v="6"/>
    <n v="6"/>
    <n v="5"/>
    <n v="5"/>
    <n v="5"/>
    <n v="24"/>
    <n v="23"/>
    <n v="10"/>
    <n v="57"/>
    <n v="0.48304589153964789"/>
    <n v="23.196700507614214"/>
    <n v="6.4306002317777482"/>
    <n v="22.771573604060915"/>
    <n v="6.5356886776680962"/>
    <n v="11.434010152284264"/>
    <n v="3.5019632409825281"/>
    <n v="0.12491827565585011"/>
    <n v="3.4950623752872265E-2"/>
    <n v="-0.40948749418681252"/>
    <n v="-8.3206198259363387E-2"/>
  </r>
  <r>
    <x v="24"/>
    <s v="IMP"/>
    <n v="6"/>
    <n v="6"/>
    <n v="5"/>
    <n v="6"/>
    <n v="6"/>
    <n v="6"/>
    <n v="5"/>
    <n v="6"/>
    <n v="6"/>
    <n v="6"/>
    <n v="23"/>
    <n v="23"/>
    <n v="12"/>
    <n v="58"/>
    <n v="0.42163702135578396"/>
    <n v="23.196700507614214"/>
    <n v="6.4306002317777482"/>
    <n v="22.771573604060915"/>
    <n v="6.5356886776680962"/>
    <n v="11.434010152284264"/>
    <n v="3.5019632409825281"/>
    <n v="-3.0588203359647428E-2"/>
    <n v="3.4950623752872265E-2"/>
    <n v="0.16162072779408701"/>
    <n v="5.5327716062437284E-2"/>
  </r>
  <r>
    <x v="24"/>
    <s v="IMP"/>
    <n v="6"/>
    <n v="6"/>
    <n v="6"/>
    <n v="6"/>
    <n v="6"/>
    <n v="6"/>
    <n v="6"/>
    <n v="6"/>
    <n v="5"/>
    <n v="6"/>
    <n v="24"/>
    <n v="24"/>
    <n v="11"/>
    <n v="59"/>
    <n v="0.316227766016838"/>
    <n v="23.196700507614214"/>
    <n v="6.4306002317777482"/>
    <n v="22.771573604060915"/>
    <n v="6.5356886776680962"/>
    <n v="11.434010152284264"/>
    <n v="3.5019632409825281"/>
    <n v="0.12491827565585011"/>
    <n v="0.18795668773766958"/>
    <n v="-0.12393338319636275"/>
    <n v="6.2980526732385633E-2"/>
  </r>
  <r>
    <x v="24"/>
    <s v="IMP"/>
    <n v="5"/>
    <n v="7"/>
    <n v="6"/>
    <n v="6"/>
    <n v="5"/>
    <n v="4"/>
    <n v="4"/>
    <n v="5"/>
    <n v="5"/>
    <n v="5"/>
    <n v="24"/>
    <n v="18"/>
    <n v="10"/>
    <n v="52"/>
    <n v="0.91893658347268148"/>
    <n v="23.196700507614214"/>
    <n v="6.4306002317777482"/>
    <n v="22.771573604060915"/>
    <n v="6.5356886776680962"/>
    <n v="11.434010152284264"/>
    <n v="3.5019632409825281"/>
    <n v="0.12491827565585011"/>
    <n v="-0.73007969617111423"/>
    <n v="-0.40948749418681252"/>
    <n v="-0.33821630490069216"/>
  </r>
  <r>
    <x v="24"/>
    <s v="IMP"/>
    <n v="6"/>
    <n v="5"/>
    <n v="5"/>
    <n v="6"/>
    <n v="5"/>
    <n v="6"/>
    <n v="4"/>
    <n v="5"/>
    <n v="5"/>
    <n v="5"/>
    <n v="22"/>
    <n v="20"/>
    <n v="10"/>
    <n v="52"/>
    <n v="0.63245553203367588"/>
    <n v="23.196700507614214"/>
    <n v="6.4306002317777482"/>
    <n v="22.771573604060915"/>
    <n v="6.5356886776680962"/>
    <n v="11.434010152284264"/>
    <n v="3.5019632409825281"/>
    <n v="-0.18609468237514495"/>
    <n v="-0.42406756820151964"/>
    <n v="-0.40948749418681252"/>
    <n v="-0.3398832482544924"/>
  </r>
  <r>
    <x v="25"/>
    <s v="IMP"/>
    <n v="5"/>
    <n v="7"/>
    <n v="4"/>
    <n v="5"/>
    <n v="4"/>
    <n v="3"/>
    <n v="4"/>
    <n v="4"/>
    <n v="3"/>
    <n v="3"/>
    <n v="21"/>
    <n v="15"/>
    <n v="6"/>
    <n v="42"/>
    <n v="1.2292725943057186"/>
    <n v="23.196700507614214"/>
    <n v="6.4306002317777482"/>
    <n v="22.771573604060915"/>
    <n v="6.5356886776680962"/>
    <n v="11.434010152284264"/>
    <n v="3.5019632409825281"/>
    <n v="-0.3416011613906425"/>
    <n v="-1.1890978881255061"/>
    <n v="-1.5517039381486115"/>
    <n v="-1.0274676625549199"/>
  </r>
  <r>
    <x v="25"/>
    <s v="IMP"/>
    <n v="5"/>
    <n v="7"/>
    <n v="5"/>
    <n v="6"/>
    <n v="6"/>
    <n v="5"/>
    <n v="6"/>
    <n v="5"/>
    <n v="4"/>
    <n v="3"/>
    <n v="23"/>
    <n v="22"/>
    <n v="7"/>
    <n v="52"/>
    <n v="1.135292424395093"/>
    <n v="23.196700507614214"/>
    <n v="6.4306002317777482"/>
    <n v="22.771573604060915"/>
    <n v="6.5356886776680962"/>
    <n v="11.434010152284264"/>
    <n v="3.5019632409825281"/>
    <n v="-3.0588203359647428E-2"/>
    <n v="-0.11805544023192505"/>
    <n v="-1.2661498271581617"/>
    <n v="-0.47159782358324476"/>
  </r>
  <r>
    <x v="25"/>
    <s v="IMP"/>
    <n v="7"/>
    <n v="5"/>
    <n v="8"/>
    <n v="7"/>
    <n v="7"/>
    <n v="7"/>
    <n v="8"/>
    <n v="8"/>
    <n v="2"/>
    <n v="3"/>
    <n v="27"/>
    <n v="30"/>
    <n v="5"/>
    <n v="62"/>
    <n v="2.1499353995462802"/>
    <n v="23.196700507614214"/>
    <n v="6.4306002317777482"/>
    <n v="22.771573604060915"/>
    <n v="6.5356886776680962"/>
    <n v="11.434010152284264"/>
    <n v="3.5019632409825281"/>
    <n v="0.59143771270234269"/>
    <n v="1.1059930716464534"/>
    <n v="-1.8372580491390613"/>
    <n v="-4.6609088263421729E-2"/>
  </r>
  <r>
    <x v="25"/>
    <s v="IMP"/>
    <n v="6"/>
    <n v="5"/>
    <n v="7"/>
    <n v="5"/>
    <n v="6"/>
    <n v="6"/>
    <n v="5"/>
    <n v="8"/>
    <n v="5"/>
    <n v="2"/>
    <n v="23"/>
    <n v="25"/>
    <n v="7"/>
    <n v="55"/>
    <n v="1.5811388300841898"/>
    <n v="23.196700507614214"/>
    <n v="6.4306002317777482"/>
    <n v="22.771573604060915"/>
    <n v="6.5356886776680962"/>
    <n v="11.434010152284264"/>
    <n v="3.5019632409825281"/>
    <n v="-3.0588203359647428E-2"/>
    <n v="0.34096275172246687"/>
    <n v="-1.2661498271581617"/>
    <n v="-0.31859175959844738"/>
  </r>
  <r>
    <x v="25"/>
    <s v="IMP"/>
    <n v="6"/>
    <n v="6"/>
    <n v="7"/>
    <n v="4"/>
    <n v="8"/>
    <n v="7"/>
    <n v="7"/>
    <n v="7"/>
    <n v="3"/>
    <n v="1"/>
    <n v="23"/>
    <n v="29"/>
    <n v="4"/>
    <n v="56"/>
    <n v="2.2211108331943574"/>
    <n v="23.196700507614214"/>
    <n v="6.4306002317777482"/>
    <n v="22.771573604060915"/>
    <n v="6.5356886776680962"/>
    <n v="11.434010152284264"/>
    <n v="3.5019632409825281"/>
    <n v="-3.0588203359647428E-2"/>
    <n v="0.95298700766165612"/>
    <n v="-2.1228121601295111"/>
    <n v="-0.4001377852758341"/>
  </r>
  <r>
    <x v="25"/>
    <s v="IMP"/>
    <n v="4"/>
    <n v="5"/>
    <n v="6"/>
    <n v="6"/>
    <n v="6"/>
    <n v="7"/>
    <n v="8"/>
    <n v="7"/>
    <n v="4"/>
    <n v="1"/>
    <n v="21"/>
    <n v="28"/>
    <n v="5"/>
    <n v="54"/>
    <n v="2.0110804171997807"/>
    <n v="23.196700507614214"/>
    <n v="6.4306002317777482"/>
    <n v="22.771573604060915"/>
    <n v="6.5356886776680962"/>
    <n v="11.434010152284264"/>
    <n v="3.5019632409825281"/>
    <n v="-0.3416011613906425"/>
    <n v="0.79998094367685879"/>
    <n v="-1.8372580491390613"/>
    <n v="-0.45962608895094831"/>
  </r>
  <r>
    <x v="26"/>
    <s v="IMP"/>
    <n v="6"/>
    <n v="6"/>
    <n v="5"/>
    <n v="5"/>
    <n v="4"/>
    <n v="4"/>
    <n v="4"/>
    <n v="5"/>
    <n v="4"/>
    <n v="4"/>
    <n v="22"/>
    <n v="17"/>
    <n v="8"/>
    <n v="47"/>
    <n v="0.82327260234856459"/>
    <n v="23.196700507614214"/>
    <n v="6.4306002317777482"/>
    <n v="22.771573604060915"/>
    <n v="6.5356886776680962"/>
    <n v="11.434010152284264"/>
    <n v="3.5019632409825281"/>
    <n v="-0.18609468237514495"/>
    <n v="-0.88308576015591156"/>
    <n v="-0.98059571616771202"/>
    <n v="-0.68325871956625617"/>
  </r>
  <r>
    <x v="26"/>
    <s v="IMP"/>
    <n v="5"/>
    <n v="2"/>
    <n v="4"/>
    <n v="4"/>
    <n v="5"/>
    <n v="5"/>
    <n v="4"/>
    <n v="4"/>
    <n v="4"/>
    <n v="4"/>
    <n v="15"/>
    <n v="18"/>
    <n v="8"/>
    <n v="41"/>
    <n v="0.87559503577091313"/>
    <n v="23.196700507614214"/>
    <n v="6.4306002317777482"/>
    <n v="22.771573604060915"/>
    <n v="6.5356886776680962"/>
    <n v="11.434010152284264"/>
    <n v="3.5019632409825281"/>
    <n v="-1.2746400354836278"/>
    <n v="-0.73007969617111423"/>
    <n v="-0.98059571616771202"/>
    <n v="-0.99510514927415128"/>
  </r>
  <r>
    <x v="26"/>
    <s v="IMP"/>
    <n v="5"/>
    <n v="4"/>
    <n v="5"/>
    <n v="4"/>
    <n v="5"/>
    <n v="5"/>
    <n v="5"/>
    <n v="6"/>
    <n v="6"/>
    <n v="5"/>
    <n v="18"/>
    <n v="21"/>
    <n v="11"/>
    <n v="50"/>
    <n v="0.66666666666666707"/>
    <n v="23.196700507614214"/>
    <n v="6.4306002317777482"/>
    <n v="22.771573604060915"/>
    <n v="6.5356886776680962"/>
    <n v="11.434010152284264"/>
    <n v="3.5019632409825281"/>
    <n v="-0.80812059843713513"/>
    <n v="-0.27106150421672232"/>
    <n v="-0.12393338319636275"/>
    <n v="-0.40103849528340674"/>
  </r>
  <r>
    <x v="26"/>
    <s v="IMP"/>
    <n v="4"/>
    <n v="5"/>
    <n v="4"/>
    <n v="4"/>
    <n v="4"/>
    <n v="4"/>
    <n v="3"/>
    <n v="3"/>
    <n v="3"/>
    <n v="3"/>
    <n v="17"/>
    <n v="14"/>
    <n v="6"/>
    <n v="37"/>
    <n v="0.67494855771055284"/>
    <n v="23.196700507614214"/>
    <n v="6.4306002317777482"/>
    <n v="22.771573604060915"/>
    <n v="6.5356886776680962"/>
    <n v="11.434010152284264"/>
    <n v="3.5019632409825281"/>
    <n v="-0.96362707745263265"/>
    <n v="-1.3421039521103035"/>
    <n v="-1.5517039381486115"/>
    <n v="-1.2858116559038493"/>
  </r>
  <r>
    <x v="26"/>
    <s v="IMP"/>
    <n v="4"/>
    <n v="4"/>
    <n v="4"/>
    <n v="4"/>
    <n v="4"/>
    <n v="4"/>
    <n v="3"/>
    <n v="4"/>
    <n v="4"/>
    <n v="4"/>
    <n v="16"/>
    <n v="15"/>
    <n v="8"/>
    <n v="39"/>
    <n v="0.31622776601683794"/>
    <n v="23.196700507614214"/>
    <n v="6.4306002317777482"/>
    <n v="22.771573604060915"/>
    <n v="6.5356886776680962"/>
    <n v="11.434010152284264"/>
    <n v="3.5019632409825281"/>
    <n v="-1.1191335564681302"/>
    <n v="-1.1890978881255061"/>
    <n v="-0.98059571616771202"/>
    <n v="-1.0962757202537827"/>
  </r>
  <r>
    <x v="26"/>
    <s v="IMP"/>
    <n v="5"/>
    <n v="4"/>
    <n v="5"/>
    <n v="5"/>
    <n v="5"/>
    <n v="5"/>
    <n v="4"/>
    <n v="4"/>
    <n v="5"/>
    <n v="4"/>
    <n v="19"/>
    <n v="18"/>
    <n v="9"/>
    <n v="46"/>
    <n v="0.51639777949432231"/>
    <n v="23.196700507614214"/>
    <n v="6.4306002317777482"/>
    <n v="22.771573604060915"/>
    <n v="6.5356886776680962"/>
    <n v="11.434010152284264"/>
    <n v="3.5019632409825281"/>
    <n v="-0.65261411942163761"/>
    <n v="-0.73007969617111423"/>
    <n v="-0.69504160517726232"/>
    <n v="-0.69257847359000468"/>
  </r>
  <r>
    <x v="26"/>
    <s v="IMP"/>
    <n v="4"/>
    <n v="3"/>
    <n v="4"/>
    <n v="4"/>
    <n v="4"/>
    <n v="4"/>
    <n v="5"/>
    <n v="5"/>
    <n v="4"/>
    <n v="3"/>
    <n v="15"/>
    <n v="18"/>
    <n v="7"/>
    <n v="40"/>
    <n v="0.66666666666666663"/>
    <n v="23.196700507614214"/>
    <n v="6.4306002317777482"/>
    <n v="22.771573604060915"/>
    <n v="6.5356886776680962"/>
    <n v="11.434010152284264"/>
    <n v="3.5019632409825281"/>
    <n v="-1.2746400354836278"/>
    <n v="-0.73007969617111423"/>
    <n v="-1.2661498271581617"/>
    <n v="-1.0902898529376346"/>
  </r>
  <r>
    <x v="26"/>
    <s v="IMP"/>
    <n v="4"/>
    <n v="3"/>
    <n v="3"/>
    <n v="4"/>
    <n v="5"/>
    <n v="4"/>
    <n v="4"/>
    <n v="4"/>
    <n v="3"/>
    <n v="0"/>
    <n v="14"/>
    <n v="17"/>
    <n v="3"/>
    <n v="34"/>
    <n v="1.3498971154211057"/>
    <n v="23.196700507614214"/>
    <n v="6.4306002317777482"/>
    <n v="22.771573604060915"/>
    <n v="6.5356886776680962"/>
    <n v="11.434010152284264"/>
    <n v="3.5019632409825281"/>
    <n v="-1.4301465144991252"/>
    <n v="-0.88308576015591156"/>
    <n v="-2.4083662711199607"/>
    <n v="-1.5738661819249991"/>
  </r>
  <r>
    <x v="26"/>
    <s v="IMP"/>
    <n v="4"/>
    <n v="4"/>
    <n v="4"/>
    <n v="4"/>
    <n v="4"/>
    <n v="4"/>
    <n v="3"/>
    <n v="3"/>
    <n v="4"/>
    <n v="4"/>
    <n v="16"/>
    <n v="14"/>
    <n v="8"/>
    <n v="38"/>
    <n v="0.4216370213557839"/>
    <n v="23.196700507614214"/>
    <n v="6.4306002317777482"/>
    <n v="22.771573604060915"/>
    <n v="6.5356886776680962"/>
    <n v="11.434010152284264"/>
    <n v="3.5019632409825281"/>
    <n v="-1.1191335564681302"/>
    <n v="-1.3421039521103035"/>
    <n v="-0.98059571616771202"/>
    <n v="-1.1472777415820485"/>
  </r>
  <r>
    <x v="26"/>
    <s v="IMP"/>
    <n v="4"/>
    <n v="4"/>
    <n v="4"/>
    <n v="4"/>
    <n v="5"/>
    <n v="5"/>
    <n v="4"/>
    <n v="4"/>
    <n v="5"/>
    <n v="5"/>
    <n v="16"/>
    <n v="18"/>
    <n v="10"/>
    <n v="44"/>
    <n v="0.51639777949432208"/>
    <n v="23.196700507614214"/>
    <n v="6.4306002317777482"/>
    <n v="22.771573604060915"/>
    <n v="6.5356886776680962"/>
    <n v="11.434010152284264"/>
    <n v="3.5019632409825281"/>
    <n v="-1.1191335564681302"/>
    <n v="-0.73007969617111423"/>
    <n v="-0.40948749418681252"/>
    <n v="-0.75290024894201901"/>
  </r>
  <r>
    <x v="26"/>
    <s v="IMP"/>
    <n v="4"/>
    <n v="4"/>
    <n v="3"/>
    <n v="4"/>
    <n v="4"/>
    <n v="4"/>
    <n v="3"/>
    <n v="3"/>
    <n v="3"/>
    <n v="3"/>
    <n v="15"/>
    <n v="14"/>
    <n v="6"/>
    <n v="35"/>
    <n v="0.5270462766947297"/>
    <n v="23.196700507614214"/>
    <n v="6.4306002317777482"/>
    <n v="22.771573604060915"/>
    <n v="6.5356886776680962"/>
    <n v="11.434010152284264"/>
    <n v="3.5019632409825281"/>
    <n v="-1.2746400354836278"/>
    <n v="-1.3421039521103035"/>
    <n v="-1.5517039381486115"/>
    <n v="-1.3894826419141808"/>
  </r>
  <r>
    <x v="26"/>
    <s v="IMP"/>
    <n v="4"/>
    <n v="3"/>
    <n v="3"/>
    <n v="3"/>
    <n v="4"/>
    <n v="4"/>
    <n v="4"/>
    <n v="4"/>
    <n v="4"/>
    <n v="4"/>
    <n v="13"/>
    <n v="16"/>
    <n v="8"/>
    <n v="37"/>
    <n v="0.48304589153964794"/>
    <n v="23.196700507614214"/>
    <n v="6.4306002317777482"/>
    <n v="22.771573604060915"/>
    <n v="6.5356886776680962"/>
    <n v="11.434010152284264"/>
    <n v="3.5019632409825281"/>
    <n v="-1.5856529935146229"/>
    <n v="-1.0360918241407089"/>
    <n v="-0.98059571616771202"/>
    <n v="-1.2007801779410145"/>
  </r>
  <r>
    <x v="26"/>
    <s v="IMP"/>
    <n v="5"/>
    <n v="5"/>
    <n v="5"/>
    <n v="5"/>
    <n v="5"/>
    <n v="4"/>
    <n v="5"/>
    <n v="4"/>
    <n v="4"/>
    <n v="5"/>
    <n v="20"/>
    <n v="18"/>
    <n v="9"/>
    <n v="47"/>
    <n v="0.48304589153964789"/>
    <n v="23.196700507614214"/>
    <n v="6.4306002317777482"/>
    <n v="22.771573604060915"/>
    <n v="6.5356886776680962"/>
    <n v="11.434010152284264"/>
    <n v="3.5019632409825281"/>
    <n v="-0.49710764040614003"/>
    <n v="-0.73007969617111423"/>
    <n v="-0.69504160517726232"/>
    <n v="-0.64074298058483892"/>
  </r>
  <r>
    <x v="26"/>
    <s v="IMP"/>
    <n v="4"/>
    <n v="4"/>
    <n v="4"/>
    <n v="4"/>
    <n v="3"/>
    <n v="3"/>
    <n v="4"/>
    <n v="3"/>
    <n v="3"/>
    <n v="3"/>
    <n v="16"/>
    <n v="13"/>
    <n v="6"/>
    <n v="35"/>
    <n v="0.52704627669472981"/>
    <n v="23.196700507614214"/>
    <n v="6.4306002317777482"/>
    <n v="22.771573604060915"/>
    <n v="6.5356886776680962"/>
    <n v="11.434010152284264"/>
    <n v="3.5019632409825281"/>
    <n v="-1.1191335564681302"/>
    <n v="-1.4951100160951007"/>
    <n v="-1.5517039381486115"/>
    <n v="-1.3886491702372805"/>
  </r>
  <r>
    <x v="26"/>
    <s v="IMP"/>
    <n v="8"/>
    <n v="7"/>
    <n v="7"/>
    <n v="6"/>
    <n v="7"/>
    <n v="7"/>
    <n v="7"/>
    <n v="7"/>
    <n v="6"/>
    <n v="6"/>
    <n v="28"/>
    <n v="28"/>
    <n v="12"/>
    <n v="68"/>
    <n v="0.63245553203367599"/>
    <n v="23.196700507614214"/>
    <n v="6.4306002317777482"/>
    <n v="22.771573604060915"/>
    <n v="6.5356886776680962"/>
    <n v="11.434010152284264"/>
    <n v="3.5019632409825281"/>
    <n v="0.74694419171784021"/>
    <n v="0.79998094367685879"/>
    <n v="0.16162072779408701"/>
    <n v="0.56951528772959537"/>
  </r>
  <r>
    <x v="26"/>
    <s v="IMP"/>
    <n v="8"/>
    <n v="7"/>
    <n v="7"/>
    <n v="6"/>
    <n v="6"/>
    <n v="6"/>
    <n v="6"/>
    <n v="6"/>
    <n v="6"/>
    <n v="6"/>
    <n v="28"/>
    <n v="24"/>
    <n v="12"/>
    <n v="64"/>
    <n v="0.69920589878010087"/>
    <n v="23.196700507614214"/>
    <n v="6.4306002317777482"/>
    <n v="22.771573604060915"/>
    <n v="6.5356886776680962"/>
    <n v="11.434010152284264"/>
    <n v="3.5019632409825281"/>
    <n v="0.74694419171784021"/>
    <n v="0.18795668773766958"/>
    <n v="0.16162072779408701"/>
    <n v="0.36550720241653228"/>
  </r>
  <r>
    <x v="26"/>
    <s v="IMP"/>
    <n v="8"/>
    <n v="8"/>
    <n v="8"/>
    <n v="7"/>
    <n v="7"/>
    <n v="8"/>
    <n v="8"/>
    <n v="7"/>
    <n v="7"/>
    <n v="6"/>
    <n v="31"/>
    <n v="30"/>
    <n v="13"/>
    <n v="74"/>
    <n v="0.69920589878010064"/>
    <n v="23.196700507614214"/>
    <n v="6.4306002317777482"/>
    <n v="22.771573604060915"/>
    <n v="6.5356886776680962"/>
    <n v="11.434010152284264"/>
    <n v="3.5019632409825281"/>
    <n v="1.2134636287643328"/>
    <n v="1.1059930716464534"/>
    <n v="0.44717483878453679"/>
    <n v="0.9222105130651076"/>
  </r>
  <r>
    <x v="26"/>
    <s v="IMP"/>
    <n v="8"/>
    <n v="7"/>
    <n v="7"/>
    <n v="7"/>
    <n v="8"/>
    <n v="8"/>
    <n v="8"/>
    <n v="7"/>
    <n v="8"/>
    <n v="7"/>
    <n v="29"/>
    <n v="31"/>
    <n v="15"/>
    <n v="75"/>
    <n v="0.52704627669472981"/>
    <n v="23.196700507614214"/>
    <n v="6.4306002317777482"/>
    <n v="22.771573604060915"/>
    <n v="6.5356886776680962"/>
    <n v="11.434010152284264"/>
    <n v="3.5019632409825281"/>
    <n v="0.90245067073333785"/>
    <n v="1.2589991356312507"/>
    <n v="1.0182830607654363"/>
    <n v="1.0599109557100084"/>
  </r>
  <r>
    <x v="26"/>
    <s v="IMP"/>
    <n v="7"/>
    <n v="7"/>
    <n v="7"/>
    <n v="6"/>
    <n v="7"/>
    <n v="8"/>
    <n v="7"/>
    <n v="6"/>
    <n v="7"/>
    <n v="7"/>
    <n v="27"/>
    <n v="28"/>
    <n v="14"/>
    <n v="69"/>
    <n v="0.56764621219754663"/>
    <n v="23.196700507614214"/>
    <n v="6.4306002317777482"/>
    <n v="22.771573604060915"/>
    <n v="6.5356886776680962"/>
    <n v="11.434010152284264"/>
    <n v="3.5019632409825281"/>
    <n v="0.59143771270234269"/>
    <n v="0.79998094367685879"/>
    <n v="0.73272894977498659"/>
    <n v="0.70804920205139599"/>
  </r>
  <r>
    <x v="26"/>
    <s v="IMP"/>
    <n v="9"/>
    <n v="9"/>
    <n v="8"/>
    <n v="8"/>
    <n v="8"/>
    <n v="9"/>
    <n v="9"/>
    <n v="8"/>
    <n v="9"/>
    <n v="8"/>
    <n v="34"/>
    <n v="34"/>
    <n v="17"/>
    <n v="85"/>
    <n v="0.52704627669472981"/>
    <n v="23.196700507614214"/>
    <n v="6.4306002317777482"/>
    <n v="22.771573604060915"/>
    <n v="6.5356886776680962"/>
    <n v="11.434010152284264"/>
    <n v="3.5019632409825281"/>
    <n v="1.6799830658108255"/>
    <n v="1.7180173275856425"/>
    <n v="1.5893912827463359"/>
    <n v="1.6624638920476011"/>
  </r>
  <r>
    <x v="26"/>
    <s v="IMP"/>
    <n v="8"/>
    <n v="8"/>
    <n v="7"/>
    <n v="7"/>
    <n v="7"/>
    <n v="8"/>
    <n v="8"/>
    <n v="8"/>
    <n v="8"/>
    <n v="7"/>
    <n v="30"/>
    <n v="31"/>
    <n v="15"/>
    <n v="76"/>
    <n v="0.51639777949432231"/>
    <n v="23.196700507614214"/>
    <n v="6.4306002317777482"/>
    <n v="22.771573604060915"/>
    <n v="6.5356886776680962"/>
    <n v="11.434010152284264"/>
    <n v="3.5019632409825281"/>
    <n v="1.0579571497488354"/>
    <n v="1.2589991356312507"/>
    <n v="1.0182830607654363"/>
    <n v="1.1117464487151743"/>
  </r>
  <r>
    <x v="27"/>
    <s v="IMP"/>
    <n v="7"/>
    <n v="7"/>
    <n v="7"/>
    <n v="7"/>
    <n v="7"/>
    <n v="6"/>
    <n v="7"/>
    <n v="7"/>
    <n v="6"/>
    <n v="7"/>
    <n v="28"/>
    <n v="27"/>
    <n v="13"/>
    <n v="68"/>
    <n v="0.4216370213557839"/>
    <n v="23.196700507614214"/>
    <n v="6.4306002317777482"/>
    <n v="22.771573604060915"/>
    <n v="6.5356886776680962"/>
    <n v="11.434010152284264"/>
    <n v="3.5019632409825281"/>
    <n v="0.74694419171784021"/>
    <n v="0.64697487969206147"/>
    <n v="0.44717483878453679"/>
    <n v="0.61369797006481275"/>
  </r>
  <r>
    <x v="27"/>
    <s v="IMP"/>
    <n v="7"/>
    <n v="4"/>
    <n v="5"/>
    <n v="5"/>
    <n v="6"/>
    <n v="5"/>
    <n v="6"/>
    <n v="6"/>
    <n v="6"/>
    <n v="6"/>
    <n v="21"/>
    <n v="23"/>
    <n v="12"/>
    <n v="56"/>
    <n v="0.84327404271156781"/>
    <n v="23.196700507614214"/>
    <n v="6.4306002317777482"/>
    <n v="22.771573604060915"/>
    <n v="6.5356886776680962"/>
    <n v="11.434010152284264"/>
    <n v="3.5019632409825281"/>
    <n v="-0.3416011613906425"/>
    <n v="3.4950623752872265E-2"/>
    <n v="0.16162072779408701"/>
    <n v="-4.8343269947894403E-2"/>
  </r>
  <r>
    <x v="27"/>
    <s v="IMP"/>
    <n v="6"/>
    <n v="7"/>
    <n v="7"/>
    <n v="6"/>
    <n v="6"/>
    <n v="7"/>
    <n v="6"/>
    <n v="7"/>
    <n v="7"/>
    <n v="6"/>
    <n v="26"/>
    <n v="26"/>
    <n v="13"/>
    <n v="65"/>
    <n v="0.52704627669472992"/>
    <n v="23.196700507614214"/>
    <n v="6.4306002317777482"/>
    <n v="22.771573604060915"/>
    <n v="6.5356886776680962"/>
    <n v="11.434010152284264"/>
    <n v="3.5019632409825281"/>
    <n v="0.43593123368684517"/>
    <n v="0.49396881570726414"/>
    <n v="0.44717483878453679"/>
    <n v="0.45902496272621535"/>
  </r>
  <r>
    <x v="27"/>
    <s v="IMP"/>
    <n v="7"/>
    <n v="8"/>
    <n v="6"/>
    <n v="5"/>
    <n v="7"/>
    <n v="8"/>
    <n v="7"/>
    <n v="8"/>
    <n v="8"/>
    <n v="5"/>
    <n v="26"/>
    <n v="30"/>
    <n v="13"/>
    <n v="69"/>
    <n v="1.1972189997378646"/>
    <n v="23.196700507614214"/>
    <n v="6.4306002317777482"/>
    <n v="22.771573604060915"/>
    <n v="6.5356886776680962"/>
    <n v="11.434010152284264"/>
    <n v="3.5019632409825281"/>
    <n v="0.43593123368684517"/>
    <n v="1.1059930716464534"/>
    <n v="0.44717483878453679"/>
    <n v="0.66303304803927843"/>
  </r>
  <r>
    <x v="27"/>
    <s v="IMP"/>
    <n v="7"/>
    <n v="6"/>
    <n v="6"/>
    <n v="7"/>
    <n v="7"/>
    <n v="7"/>
    <n v="6"/>
    <n v="6"/>
    <n v="7"/>
    <n v="7"/>
    <n v="26"/>
    <n v="26"/>
    <n v="14"/>
    <n v="66"/>
    <n v="0.51639777949432231"/>
    <n v="23.196700507614214"/>
    <n v="6.4306002317777482"/>
    <n v="22.771573604060915"/>
    <n v="6.5356886776680962"/>
    <n v="11.434010152284264"/>
    <n v="3.5019632409825281"/>
    <n v="0.43593123368684517"/>
    <n v="0.49396881570726414"/>
    <n v="0.73272894977498659"/>
    <n v="0.5542096663896986"/>
  </r>
  <r>
    <x v="27"/>
    <s v="IMP"/>
    <n v="5"/>
    <n v="6"/>
    <n v="5"/>
    <n v="4"/>
    <n v="5"/>
    <n v="6"/>
    <n v="5"/>
    <n v="4"/>
    <n v="5"/>
    <n v="4"/>
    <n v="20"/>
    <n v="20"/>
    <n v="9"/>
    <n v="49"/>
    <n v="0.73786478737262184"/>
    <n v="23.196700507614214"/>
    <n v="6.4306002317777482"/>
    <n v="22.771573604060915"/>
    <n v="6.5356886776680962"/>
    <n v="11.434010152284264"/>
    <n v="3.5019632409825281"/>
    <n v="-0.49710764040614003"/>
    <n v="-0.42406756820151964"/>
    <n v="-0.69504160517726232"/>
    <n v="-0.53873893792830729"/>
  </r>
  <r>
    <x v="27"/>
    <s v="IMP"/>
    <n v="7"/>
    <n v="5"/>
    <n v="5"/>
    <n v="6"/>
    <n v="6"/>
    <n v="6"/>
    <n v="5"/>
    <n v="5"/>
    <n v="6"/>
    <n v="5"/>
    <n v="23"/>
    <n v="22"/>
    <n v="11"/>
    <n v="56"/>
    <n v="0.69920589878010109"/>
    <n v="23.196700507614214"/>
    <n v="6.4306002317777482"/>
    <n v="22.771573604060915"/>
    <n v="6.5356886776680962"/>
    <n v="11.434010152284264"/>
    <n v="3.5019632409825281"/>
    <n v="-3.0588203359647428E-2"/>
    <n v="-0.11805544023192505"/>
    <n v="-0.12393338319636275"/>
    <n v="-9.0859008929311744E-2"/>
  </r>
  <r>
    <x v="27"/>
    <s v="IMP"/>
    <n v="5"/>
    <n v="6"/>
    <n v="5"/>
    <n v="5"/>
    <n v="6"/>
    <n v="6"/>
    <n v="5"/>
    <n v="5"/>
    <n v="6"/>
    <n v="6"/>
    <n v="21"/>
    <n v="22"/>
    <n v="12"/>
    <n v="55"/>
    <n v="0.52704627669472981"/>
    <n v="23.196700507614214"/>
    <n v="6.4306002317777482"/>
    <n v="22.771573604060915"/>
    <n v="6.5356886776680962"/>
    <n v="11.434010152284264"/>
    <n v="3.5019632409825281"/>
    <n v="-0.3416011613906425"/>
    <n v="-0.11805544023192505"/>
    <n v="0.16162072779408701"/>
    <n v="-9.9345291276160166E-2"/>
  </r>
  <r>
    <x v="27"/>
    <s v="IMP"/>
    <n v="6"/>
    <n v="5"/>
    <n v="6"/>
    <n v="7"/>
    <n v="7"/>
    <n v="7"/>
    <n v="6"/>
    <n v="7"/>
    <n v="7"/>
    <n v="7"/>
    <n v="24"/>
    <n v="27"/>
    <n v="14"/>
    <n v="65"/>
    <n v="0.70710678118654724"/>
    <n v="23.196700507614214"/>
    <n v="6.4306002317777482"/>
    <n v="22.771573604060915"/>
    <n v="6.5356886776680962"/>
    <n v="11.434010152284264"/>
    <n v="3.5019632409825281"/>
    <n v="0.12491827565585011"/>
    <n v="0.64697487969206147"/>
    <n v="0.73272894977498659"/>
    <n v="0.50154070170763276"/>
  </r>
  <r>
    <x v="27"/>
    <s v="IMP"/>
    <n v="3"/>
    <n v="2"/>
    <n v="2"/>
    <n v="2"/>
    <n v="2"/>
    <n v="2"/>
    <n v="1"/>
    <n v="2"/>
    <n v="2"/>
    <n v="2"/>
    <n v="9"/>
    <n v="7"/>
    <n v="4"/>
    <n v="20"/>
    <n v="0.47140452079103179"/>
    <n v="23.196700507614214"/>
    <n v="6.4306002317777482"/>
    <n v="22.771573604060915"/>
    <n v="6.5356886776680962"/>
    <n v="11.434010152284264"/>
    <n v="3.5019632409825281"/>
    <n v="-2.2076789095766132"/>
    <n v="-2.4131464000038845"/>
    <n v="-2.1228121601295111"/>
    <n v="-2.2478791565700029"/>
  </r>
  <r>
    <x v="27"/>
    <s v="IMP"/>
    <n v="4"/>
    <n v="3"/>
    <n v="3"/>
    <n v="3"/>
    <n v="2"/>
    <n v="3"/>
    <n v="3"/>
    <n v="3"/>
    <n v="4"/>
    <n v="3"/>
    <n v="13"/>
    <n v="11"/>
    <n v="7"/>
    <n v="31"/>
    <n v="0.56764621219754663"/>
    <n v="23.196700507614214"/>
    <n v="6.4306002317777482"/>
    <n v="22.771573604060915"/>
    <n v="6.5356886776680962"/>
    <n v="11.434010152284264"/>
    <n v="3.5019632409825281"/>
    <n v="-1.5856529935146229"/>
    <n v="-1.8011221440646954"/>
    <n v="-1.2661498271581617"/>
    <n v="-1.5509749882458266"/>
  </r>
  <r>
    <x v="27"/>
    <s v="IMP"/>
    <n v="4"/>
    <n v="3"/>
    <n v="3"/>
    <n v="3"/>
    <n v="3"/>
    <n v="3"/>
    <n v="3"/>
    <n v="3"/>
    <n v="4"/>
    <n v="5"/>
    <n v="13"/>
    <n v="12"/>
    <n v="9"/>
    <n v="34"/>
    <n v="0.69920589878010087"/>
    <n v="23.196700507614214"/>
    <n v="6.4306002317777482"/>
    <n v="22.771573604060915"/>
    <n v="6.5356886776680962"/>
    <n v="11.434010152284264"/>
    <n v="3.5019632409825281"/>
    <n v="-1.5856529935146229"/>
    <n v="-1.648116080079898"/>
    <n v="-0.69504160517726232"/>
    <n v="-1.3096035595905944"/>
  </r>
  <r>
    <x v="27"/>
    <s v="IMP"/>
    <n v="4"/>
    <n v="5"/>
    <n v="4"/>
    <n v="4"/>
    <n v="6"/>
    <n v="5"/>
    <n v="5"/>
    <n v="5"/>
    <n v="4"/>
    <n v="4"/>
    <n v="17"/>
    <n v="21"/>
    <n v="8"/>
    <n v="46"/>
    <n v="0.69920589878010109"/>
    <n v="23.196700507614214"/>
    <n v="6.4306002317777482"/>
    <n v="22.771573604060915"/>
    <n v="6.5356886776680962"/>
    <n v="11.434010152284264"/>
    <n v="3.5019632409825281"/>
    <n v="-0.96362707745263265"/>
    <n v="-0.27106150421672232"/>
    <n v="-0.98059571616771202"/>
    <n v="-0.73842809927902231"/>
  </r>
  <r>
    <x v="27"/>
    <s v="IMP"/>
    <n v="5"/>
    <n v="4"/>
    <n v="5"/>
    <n v="4"/>
    <n v="5"/>
    <n v="4"/>
    <n v="5"/>
    <n v="5"/>
    <n v="5"/>
    <n v="5"/>
    <n v="18"/>
    <n v="19"/>
    <n v="10"/>
    <n v="47"/>
    <n v="0.48304589153964789"/>
    <n v="23.196700507614214"/>
    <n v="6.4306002317777482"/>
    <n v="22.771573604060915"/>
    <n v="6.5356886776680962"/>
    <n v="11.434010152284264"/>
    <n v="3.5019632409825281"/>
    <n v="-0.80812059843713513"/>
    <n v="-0.57707363218631691"/>
    <n v="-0.40948749418681252"/>
    <n v="-0.59822724160342156"/>
  </r>
  <r>
    <x v="27"/>
    <s v="IMP"/>
    <n v="5"/>
    <n v="5"/>
    <n v="6"/>
    <n v="5"/>
    <n v="6"/>
    <n v="3"/>
    <n v="2"/>
    <n v="5"/>
    <n v="7"/>
    <n v="6"/>
    <n v="21"/>
    <n v="16"/>
    <n v="13"/>
    <n v="50"/>
    <n v="1.4907119849998598"/>
    <n v="23.196700507614214"/>
    <n v="6.4306002317777482"/>
    <n v="22.771573604060915"/>
    <n v="6.5356886776680962"/>
    <n v="11.434010152284264"/>
    <n v="3.5019632409825281"/>
    <n v="-0.3416011613906425"/>
    <n v="-1.0360918241407089"/>
    <n v="0.44717483878453679"/>
    <n v="-0.3101727155822715"/>
  </r>
  <r>
    <x v="27"/>
    <s v="IMP"/>
    <n v="3"/>
    <n v="3"/>
    <n v="2"/>
    <n v="3"/>
    <n v="2"/>
    <n v="2"/>
    <n v="1"/>
    <n v="2"/>
    <n v="2"/>
    <n v="2"/>
    <n v="11"/>
    <n v="7"/>
    <n v="4"/>
    <n v="22"/>
    <n v="0.63245553203367588"/>
    <n v="23.196700507614214"/>
    <n v="6.4306002317777482"/>
    <n v="22.771573604060915"/>
    <n v="6.5356886776680962"/>
    <n v="11.434010152284264"/>
    <n v="3.5019632409825281"/>
    <n v="-1.8966659515456179"/>
    <n v="-2.4131464000038845"/>
    <n v="-2.1228121601295111"/>
    <n v="-2.1442081705596712"/>
  </r>
  <r>
    <x v="27"/>
    <s v="IMP"/>
    <n v="5"/>
    <n v="5"/>
    <n v="4"/>
    <n v="6"/>
    <n v="6"/>
    <n v="5"/>
    <n v="6"/>
    <n v="6"/>
    <n v="7"/>
    <n v="7"/>
    <n v="20"/>
    <n v="23"/>
    <n v="14"/>
    <n v="57"/>
    <n v="0.94868329805051377"/>
    <n v="23.196700507614214"/>
    <n v="6.4306002317777482"/>
    <n v="22.771573604060915"/>
    <n v="6.5356886776680962"/>
    <n v="11.434010152284264"/>
    <n v="3.5019632409825281"/>
    <n v="-0.49710764040614003"/>
    <n v="3.4950623752872265E-2"/>
    <n v="0.73272894977498659"/>
    <n v="9.0190644373906281E-2"/>
  </r>
  <r>
    <x v="27"/>
    <s v="IMP"/>
    <n v="6"/>
    <n v="6"/>
    <n v="5"/>
    <n v="5"/>
    <n v="8"/>
    <n v="6"/>
    <n v="6"/>
    <n v="6"/>
    <n v="7"/>
    <n v="7"/>
    <n v="22"/>
    <n v="26"/>
    <n v="14"/>
    <n v="62"/>
    <n v="0.91893658347268148"/>
    <n v="23.196700507614214"/>
    <n v="6.4306002317777482"/>
    <n v="22.771573604060915"/>
    <n v="6.5356886776680962"/>
    <n v="11.434010152284264"/>
    <n v="3.5019632409825281"/>
    <n v="-0.18609468237514495"/>
    <n v="0.49396881570726414"/>
    <n v="0.73272894977498659"/>
    <n v="0.34686769436903525"/>
  </r>
  <r>
    <x v="27"/>
    <s v="IMP"/>
    <n v="7"/>
    <n v="7"/>
    <n v="7"/>
    <n v="7"/>
    <n v="7"/>
    <n v="6"/>
    <n v="7"/>
    <n v="6"/>
    <n v="7"/>
    <n v="7"/>
    <n v="28"/>
    <n v="26"/>
    <n v="14"/>
    <n v="68"/>
    <n v="0.42163702135578385"/>
    <n v="23.196700507614214"/>
    <n v="6.4306002317777482"/>
    <n v="22.771573604060915"/>
    <n v="6.5356886776680962"/>
    <n v="11.434010152284264"/>
    <n v="3.5019632409825281"/>
    <n v="0.74694419171784021"/>
    <n v="0.49396881570726414"/>
    <n v="0.73272894977498659"/>
    <n v="0.65788065240003035"/>
  </r>
  <r>
    <x v="27"/>
    <s v="IMP"/>
    <n v="5"/>
    <n v="6"/>
    <n v="6"/>
    <n v="6"/>
    <n v="6"/>
    <n v="6"/>
    <n v="4"/>
    <n v="5"/>
    <n v="6"/>
    <n v="6"/>
    <n v="23"/>
    <n v="21"/>
    <n v="12"/>
    <n v="56"/>
    <n v="0.69920589878010098"/>
    <n v="23.196700507614214"/>
    <n v="6.4306002317777482"/>
    <n v="22.771573604060915"/>
    <n v="6.5356886776680962"/>
    <n v="11.434010152284264"/>
    <n v="3.5019632409825281"/>
    <n v="-3.0588203359647428E-2"/>
    <n v="-0.27106150421672232"/>
    <n v="0.16162072779408701"/>
    <n v="-4.6676326594094236E-2"/>
  </r>
  <r>
    <x v="27"/>
    <s v="IMP"/>
    <n v="7"/>
    <n v="6"/>
    <n v="7"/>
    <n v="7"/>
    <n v="5"/>
    <n v="5"/>
    <n v="5"/>
    <n v="6"/>
    <n v="7"/>
    <n v="8"/>
    <n v="27"/>
    <n v="21"/>
    <n v="15"/>
    <n v="63"/>
    <n v="1.0593499054713804"/>
    <n v="23.196700507614214"/>
    <n v="6.4306002317777482"/>
    <n v="22.771573604060915"/>
    <n v="6.5356886776680962"/>
    <n v="11.434010152284264"/>
    <n v="3.5019632409825281"/>
    <n v="0.59143771270234269"/>
    <n v="-0.27106150421672232"/>
    <n v="1.0182830607654363"/>
    <n v="0.44621975641701889"/>
  </r>
  <r>
    <x v="27"/>
    <s v="IMP"/>
    <n v="7"/>
    <n v="8"/>
    <n v="8"/>
    <n v="7"/>
    <n v="6"/>
    <n v="8"/>
    <n v="7"/>
    <n v="7"/>
    <n v="8"/>
    <n v="8"/>
    <n v="30"/>
    <n v="28"/>
    <n v="16"/>
    <n v="74"/>
    <n v="0.69920589878010098"/>
    <n v="23.196700507614214"/>
    <n v="6.4306002317777482"/>
    <n v="22.771573604060915"/>
    <n v="6.5356886776680962"/>
    <n v="11.434010152284264"/>
    <n v="3.5019632409825281"/>
    <n v="1.0579571497488354"/>
    <n v="0.79998094367685879"/>
    <n v="1.3038371717558861"/>
    <n v="1.05392508839386"/>
  </r>
  <r>
    <x v="27"/>
    <s v="IMP"/>
    <n v="7"/>
    <n v="7"/>
    <n v="6"/>
    <n v="7"/>
    <n v="7"/>
    <n v="6"/>
    <n v="7"/>
    <n v="6"/>
    <n v="7"/>
    <n v="6"/>
    <n v="27"/>
    <n v="26"/>
    <n v="13"/>
    <n v="66"/>
    <n v="0.51639777949432208"/>
    <n v="23.196700507614214"/>
    <n v="6.4306002317777482"/>
    <n v="22.771573604060915"/>
    <n v="6.5356886776680962"/>
    <n v="11.434010152284264"/>
    <n v="3.5019632409825281"/>
    <n v="0.59143771270234269"/>
    <n v="0.49396881570726414"/>
    <n v="0.44717483878453679"/>
    <n v="0.51086045573138117"/>
  </r>
  <r>
    <x v="27"/>
    <s v="IMP"/>
    <n v="6"/>
    <n v="5"/>
    <n v="5"/>
    <n v="6"/>
    <n v="5"/>
    <n v="6"/>
    <n v="5"/>
    <n v="5"/>
    <n v="7"/>
    <n v="5"/>
    <n v="22"/>
    <n v="21"/>
    <n v="12"/>
    <n v="55"/>
    <n v="0.70710678118654757"/>
    <n v="23.196700507614214"/>
    <n v="6.4306002317777482"/>
    <n v="22.771573604060915"/>
    <n v="6.5356886776680962"/>
    <n v="11.434010152284264"/>
    <n v="3.5019632409825281"/>
    <n v="-0.18609468237514495"/>
    <n v="-0.27106150421672232"/>
    <n v="0.16162072779408701"/>
    <n v="-9.85118195992601E-2"/>
  </r>
  <r>
    <x v="27"/>
    <s v="IMP"/>
    <n v="6"/>
    <n v="6"/>
    <n v="7"/>
    <n v="6"/>
    <n v="5"/>
    <n v="5"/>
    <n v="6"/>
    <n v="6"/>
    <n v="5"/>
    <n v="5"/>
    <n v="25"/>
    <n v="22"/>
    <n v="10"/>
    <n v="57"/>
    <n v="0.67494855771055284"/>
    <n v="23.196700507614214"/>
    <n v="6.4306002317777482"/>
    <n v="22.771573604060915"/>
    <n v="6.5356886776680962"/>
    <n v="11.434010152284264"/>
    <n v="3.5019632409825281"/>
    <n v="0.28042475467134764"/>
    <n v="-0.11805544023192505"/>
    <n v="-0.40948749418681252"/>
    <n v="-8.2372726582463307E-2"/>
  </r>
  <r>
    <x v="27"/>
    <s v="IMP"/>
    <n v="7"/>
    <n v="6"/>
    <n v="6"/>
    <n v="6"/>
    <n v="7"/>
    <n v="6"/>
    <n v="6"/>
    <n v="6"/>
    <n v="5"/>
    <n v="5"/>
    <n v="25"/>
    <n v="25"/>
    <n v="10"/>
    <n v="60"/>
    <n v="0.66666666666666685"/>
    <n v="23.196700507614214"/>
    <n v="6.4306002317777482"/>
    <n v="22.771573604060915"/>
    <n v="6.5356886776680962"/>
    <n v="11.434010152284264"/>
    <n v="3.5019632409825281"/>
    <n v="0.28042475467134764"/>
    <n v="0.34096275172246687"/>
    <n v="-0.40948749418681252"/>
    <n v="7.0633337402334018E-2"/>
  </r>
  <r>
    <x v="27"/>
    <s v="IMP"/>
    <n v="7"/>
    <n v="7"/>
    <n v="5"/>
    <n v="7"/>
    <n v="6"/>
    <n v="6"/>
    <n v="6"/>
    <n v="5"/>
    <n v="5"/>
    <n v="5"/>
    <n v="26"/>
    <n v="23"/>
    <n v="10"/>
    <n v="59"/>
    <n v="0.87559503577091347"/>
    <n v="23.196700507614214"/>
    <n v="6.4306002317777482"/>
    <n v="22.771573604060915"/>
    <n v="6.5356886776680962"/>
    <n v="11.434010152284264"/>
    <n v="3.5019632409825281"/>
    <n v="0.43593123368684517"/>
    <n v="3.4950623752872265E-2"/>
    <n v="-0.40948749418681252"/>
    <n v="2.046478775096831E-2"/>
  </r>
  <r>
    <x v="27"/>
    <s v="IMP"/>
    <n v="6"/>
    <n v="6"/>
    <n v="5"/>
    <n v="6"/>
    <n v="5"/>
    <n v="5"/>
    <n v="5"/>
    <n v="6"/>
    <n v="5"/>
    <n v="6"/>
    <n v="23"/>
    <n v="21"/>
    <n v="11"/>
    <n v="55"/>
    <n v="0.52704627669472992"/>
    <n v="23.196700507614214"/>
    <n v="6.4306002317777482"/>
    <n v="22.771573604060915"/>
    <n v="6.5356886776680962"/>
    <n v="11.434010152284264"/>
    <n v="3.5019632409825281"/>
    <n v="-3.0588203359647428E-2"/>
    <n v="-0.27106150421672232"/>
    <n v="-0.12393338319636275"/>
    <n v="-0.14186103025757749"/>
  </r>
  <r>
    <x v="27"/>
    <s v="IMP"/>
    <n v="8"/>
    <n v="8"/>
    <n v="7"/>
    <n v="8"/>
    <n v="7"/>
    <n v="7"/>
    <n v="7"/>
    <n v="8"/>
    <n v="7"/>
    <n v="8"/>
    <n v="31"/>
    <n v="29"/>
    <n v="15"/>
    <n v="75"/>
    <n v="0.52704627669472992"/>
    <n v="23.196700507614214"/>
    <n v="6.4306002317777482"/>
    <n v="22.771573604060915"/>
    <n v="6.5356886776680962"/>
    <n v="11.434010152284264"/>
    <n v="3.5019632409825281"/>
    <n v="1.2134636287643328"/>
    <n v="0.95298700766165612"/>
    <n v="1.0182830607654363"/>
    <n v="1.0615778990638083"/>
  </r>
  <r>
    <x v="27"/>
    <s v="IMP"/>
    <n v="7"/>
    <n v="5"/>
    <n v="6"/>
    <n v="7"/>
    <n v="6"/>
    <n v="6"/>
    <n v="5"/>
    <n v="6"/>
    <n v="6"/>
    <n v="5"/>
    <n v="25"/>
    <n v="23"/>
    <n v="11"/>
    <n v="59"/>
    <n v="0.73786478737262184"/>
    <n v="23.196700507614214"/>
    <n v="6.4306002317777482"/>
    <n v="22.771573604060915"/>
    <n v="6.5356886776680962"/>
    <n v="11.434010152284264"/>
    <n v="3.5019632409825281"/>
    <n v="0.28042475467134764"/>
    <n v="3.4950623752872265E-2"/>
    <n v="-0.12393338319636275"/>
    <n v="6.3813998409285713E-2"/>
  </r>
  <r>
    <x v="27"/>
    <s v="IMP"/>
    <n v="6"/>
    <n v="7"/>
    <n v="7"/>
    <n v="6"/>
    <n v="5"/>
    <n v="6"/>
    <n v="6"/>
    <n v="6"/>
    <n v="7"/>
    <n v="7"/>
    <n v="26"/>
    <n v="23"/>
    <n v="14"/>
    <n v="63"/>
    <n v="0.67494855771055284"/>
    <n v="23.196700507614214"/>
    <n v="6.4306002317777482"/>
    <n v="22.771573604060915"/>
    <n v="6.5356886776680962"/>
    <n v="11.434010152284264"/>
    <n v="3.5019632409825281"/>
    <n v="0.43593123368684517"/>
    <n v="3.4950623752872265E-2"/>
    <n v="0.73272894977498659"/>
    <n v="0.40120360240490133"/>
  </r>
  <r>
    <x v="27"/>
    <s v="IMP"/>
    <n v="7"/>
    <n v="6"/>
    <n v="6"/>
    <n v="6"/>
    <n v="7"/>
    <n v="7"/>
    <n v="6"/>
    <n v="6"/>
    <n v="6"/>
    <n v="7"/>
    <n v="25"/>
    <n v="26"/>
    <n v="13"/>
    <n v="64"/>
    <n v="0.5163977794943222"/>
    <n v="23.196700507614214"/>
    <n v="6.4306002317777482"/>
    <n v="22.771573604060915"/>
    <n v="6.5356886776680962"/>
    <n v="11.434010152284264"/>
    <n v="3.5019632409825281"/>
    <n v="0.28042475467134764"/>
    <n v="0.49396881570726414"/>
    <n v="0.44717483878453679"/>
    <n v="0.40718946972104958"/>
  </r>
  <r>
    <x v="28"/>
    <s v="IMP"/>
    <n v="4"/>
    <n v="3"/>
    <n v="5"/>
    <n v="2"/>
    <n v="4"/>
    <n v="5"/>
    <n v="5"/>
    <n v="5"/>
    <n v="3"/>
    <n v="5"/>
    <n v="14"/>
    <n v="19"/>
    <n v="8"/>
    <n v="41"/>
    <n v="1.1005049346146119"/>
    <n v="23.196700507614214"/>
    <n v="6.4306002317777482"/>
    <n v="22.771573604060915"/>
    <n v="6.5356886776680962"/>
    <n v="11.434010152284264"/>
    <n v="3.5019632409825281"/>
    <n v="-1.4301465144991252"/>
    <n v="-0.57707363218631691"/>
    <n v="-0.98059571616771202"/>
    <n v="-0.99593862095105135"/>
  </r>
  <r>
    <x v="28"/>
    <s v="IMP"/>
    <n v="3"/>
    <n v="2"/>
    <n v="3"/>
    <n v="2"/>
    <n v="3"/>
    <n v="2"/>
    <n v="3"/>
    <n v="3"/>
    <n v="2"/>
    <n v="6"/>
    <n v="10"/>
    <n v="11"/>
    <n v="8"/>
    <n v="29"/>
    <n v="1.1972189997378648"/>
    <n v="23.196700507614214"/>
    <n v="6.4306002317777482"/>
    <n v="22.771573604060915"/>
    <n v="6.5356886776680962"/>
    <n v="11.434010152284264"/>
    <n v="3.5019632409825281"/>
    <n v="-2.0521724305611153"/>
    <n v="-1.8011221440646954"/>
    <n v="-0.98059571616771202"/>
    <n v="-1.611296763597841"/>
  </r>
  <r>
    <x v="28"/>
    <s v="IMP"/>
    <n v="2"/>
    <n v="3"/>
    <n v="1"/>
    <n v="2"/>
    <n v="2"/>
    <n v="3"/>
    <n v="2"/>
    <n v="2"/>
    <n v="2"/>
    <n v="5"/>
    <n v="8"/>
    <n v="9"/>
    <n v="7"/>
    <n v="24"/>
    <n v="1.0749676997731401"/>
    <n v="23.196700507614214"/>
    <n v="6.4306002317777482"/>
    <n v="22.771573604060915"/>
    <n v="6.5356886776680962"/>
    <n v="11.434010152284264"/>
    <n v="3.5019632409825281"/>
    <n v="-2.3631853885921106"/>
    <n v="-2.10713427203429"/>
    <n v="-1.2661498271581617"/>
    <n v="-1.9121564959281876"/>
  </r>
  <r>
    <x v="28"/>
    <s v="IMP"/>
    <n v="3"/>
    <n v="3"/>
    <n v="3"/>
    <n v="3"/>
    <n v="5"/>
    <n v="5"/>
    <n v="4"/>
    <n v="7"/>
    <n v="7"/>
    <n v="6"/>
    <n v="12"/>
    <n v="21"/>
    <n v="13"/>
    <n v="46"/>
    <n v="1.6465452046971292"/>
    <n v="23.196700507614214"/>
    <n v="6.4306002317777482"/>
    <n v="22.771573604060915"/>
    <n v="6.5356886776680962"/>
    <n v="11.434010152284264"/>
    <n v="3.5019632409825281"/>
    <n v="-1.7411594725301203"/>
    <n v="-0.27106150421672232"/>
    <n v="0.44717483878453679"/>
    <n v="-0.52168204598743528"/>
  </r>
  <r>
    <x v="28"/>
    <s v="IMP"/>
    <n v="1"/>
    <n v="1"/>
    <n v="2"/>
    <n v="2"/>
    <n v="4"/>
    <n v="2"/>
    <n v="2"/>
    <n v="3"/>
    <n v="3"/>
    <n v="6"/>
    <n v="6"/>
    <n v="11"/>
    <n v="9"/>
    <n v="26"/>
    <n v="1.505545305418162"/>
    <n v="23.196700507614214"/>
    <n v="6.4306002317777482"/>
    <n v="22.771573604060915"/>
    <n v="6.5356886776680962"/>
    <n v="11.434010152284264"/>
    <n v="3.5019632409825281"/>
    <n v="-2.6741983466231054"/>
    <n v="-1.8011221440646954"/>
    <n v="-0.69504160517726232"/>
    <n v="-1.7234540319550209"/>
  </r>
  <r>
    <x v="28"/>
    <s v="IMP"/>
    <n v="5"/>
    <n v="5"/>
    <n v="5"/>
    <n v="6"/>
    <n v="6"/>
    <n v="7"/>
    <n v="6"/>
    <n v="5"/>
    <n v="5"/>
    <n v="5"/>
    <n v="21"/>
    <n v="24"/>
    <n v="10"/>
    <n v="55"/>
    <n v="0.70710678118654735"/>
    <n v="23.196700507614214"/>
    <n v="6.4306002317777482"/>
    <n v="22.771573604060915"/>
    <n v="6.5356886776680962"/>
    <n v="11.434010152284264"/>
    <n v="3.5019632409825281"/>
    <n v="-0.3416011613906425"/>
    <n v="0.18795668773766958"/>
    <n v="-0.40948749418681252"/>
    <n v="-0.18771065594659517"/>
  </r>
  <r>
    <x v="28"/>
    <s v="IMP"/>
    <n v="1"/>
    <n v="2"/>
    <n v="2"/>
    <n v="1"/>
    <n v="5"/>
    <n v="5"/>
    <n v="3"/>
    <n v="3"/>
    <n v="3"/>
    <n v="3"/>
    <n v="6"/>
    <n v="16"/>
    <n v="6"/>
    <n v="28"/>
    <n v="1.3984117975602022"/>
    <n v="23.196700507614214"/>
    <n v="6.4306002317777482"/>
    <n v="22.771573604060915"/>
    <n v="6.5356886776680962"/>
    <n v="11.434010152284264"/>
    <n v="3.5019632409825281"/>
    <n v="-2.6741983466231054"/>
    <n v="-1.0360918241407089"/>
    <n v="-1.5517039381486115"/>
    <n v="-1.7539980363041419"/>
  </r>
  <r>
    <x v="28"/>
    <s v="IMP"/>
    <n v="1"/>
    <n v="2"/>
    <n v="2"/>
    <n v="1"/>
    <n v="5"/>
    <n v="5"/>
    <n v="3"/>
    <n v="3"/>
    <n v="5"/>
    <n v="3"/>
    <n v="6"/>
    <n v="16"/>
    <n v="8"/>
    <n v="30"/>
    <n v="1.5634719199411433"/>
    <n v="23.196700507614214"/>
    <n v="6.4306002317777482"/>
    <n v="22.771573604060915"/>
    <n v="6.5356886776680962"/>
    <n v="11.434010152284264"/>
    <n v="3.5019632409825281"/>
    <n v="-2.6741983466231054"/>
    <n v="-1.0360918241407089"/>
    <n v="-0.98059571616771202"/>
    <n v="-1.5636286289771755"/>
  </r>
  <r>
    <x v="28"/>
    <s v="IMP"/>
    <n v="4"/>
    <n v="5"/>
    <n v="3"/>
    <n v="4"/>
    <n v="5"/>
    <n v="5"/>
    <n v="5"/>
    <n v="4"/>
    <n v="4"/>
    <n v="3"/>
    <n v="16"/>
    <n v="19"/>
    <n v="7"/>
    <n v="42"/>
    <n v="0.78881063774661531"/>
    <n v="23.196700507614214"/>
    <n v="6.4306002317777482"/>
    <n v="22.771573604060915"/>
    <n v="6.5356886776680962"/>
    <n v="11.434010152284264"/>
    <n v="3.5019632409825281"/>
    <n v="-1.1191335564681302"/>
    <n v="-0.57707363218631691"/>
    <n v="-1.2661498271581617"/>
    <n v="-0.98745233860420301"/>
  </r>
  <r>
    <x v="28"/>
    <s v="IMP"/>
    <n v="5"/>
    <n v="5"/>
    <n v="5"/>
    <n v="6"/>
    <n v="6"/>
    <n v="6"/>
    <n v="6"/>
    <n v="6"/>
    <n v="5"/>
    <n v="5"/>
    <n v="21"/>
    <n v="24"/>
    <n v="10"/>
    <n v="55"/>
    <n v="0.52704627669472981"/>
    <n v="23.196700507614214"/>
    <n v="6.4306002317777482"/>
    <n v="22.771573604060915"/>
    <n v="6.5356886776680962"/>
    <n v="11.434010152284264"/>
    <n v="3.5019632409825281"/>
    <n v="-0.3416011613906425"/>
    <n v="0.18795668773766958"/>
    <n v="-0.40948749418681252"/>
    <n v="-0.18771065594659517"/>
  </r>
  <r>
    <x v="28"/>
    <s v="IMP"/>
    <n v="4"/>
    <n v="5"/>
    <n v="5"/>
    <n v="3"/>
    <n v="4"/>
    <n v="4"/>
    <n v="4"/>
    <n v="4"/>
    <n v="4"/>
    <n v="5"/>
    <n v="17"/>
    <n v="16"/>
    <n v="9"/>
    <n v="42"/>
    <n v="0.63245553203367599"/>
    <n v="23.196700507614214"/>
    <n v="6.4306002317777482"/>
    <n v="22.771573604060915"/>
    <n v="6.5356886776680962"/>
    <n v="11.434010152284264"/>
    <n v="3.5019632409825281"/>
    <n v="-0.96362707745263265"/>
    <n v="-1.0360918241407089"/>
    <n v="-0.69504160517726232"/>
    <n v="-0.89825350225686795"/>
  </r>
  <r>
    <x v="28"/>
    <s v="IMP"/>
    <n v="7"/>
    <n v="7"/>
    <n v="7"/>
    <n v="6"/>
    <n v="5"/>
    <n v="5"/>
    <n v="7"/>
    <n v="5"/>
    <n v="6"/>
    <n v="5"/>
    <n v="27"/>
    <n v="22"/>
    <n v="11"/>
    <n v="60"/>
    <n v="0.94280904158206336"/>
    <n v="23.196700507614214"/>
    <n v="6.4306002317777482"/>
    <n v="22.771573604060915"/>
    <n v="6.5356886776680962"/>
    <n v="11.434010152284264"/>
    <n v="3.5019632409825281"/>
    <n v="0.59143771270234269"/>
    <n v="-0.11805544023192505"/>
    <n v="-0.12393338319636275"/>
    <n v="0.11648296309135163"/>
  </r>
  <r>
    <x v="28"/>
    <s v="IMP"/>
    <n v="6"/>
    <n v="6"/>
    <n v="4"/>
    <n v="6"/>
    <n v="6"/>
    <n v="4"/>
    <n v="6"/>
    <n v="6"/>
    <n v="6"/>
    <n v="5"/>
    <n v="22"/>
    <n v="22"/>
    <n v="11"/>
    <n v="55"/>
    <n v="0.84983658559879749"/>
    <n v="23.196700507614214"/>
    <n v="6.4306002317777482"/>
    <n v="22.771573604060915"/>
    <n v="6.5356886776680962"/>
    <n v="11.434010152284264"/>
    <n v="3.5019632409825281"/>
    <n v="-0.18609468237514495"/>
    <n v="-0.11805544023192505"/>
    <n v="-0.12393338319636275"/>
    <n v="-0.14269450193447758"/>
  </r>
  <r>
    <x v="28"/>
    <s v="IMP"/>
    <n v="4"/>
    <n v="2"/>
    <n v="3"/>
    <n v="3"/>
    <n v="6"/>
    <n v="4"/>
    <n v="3"/>
    <n v="5"/>
    <n v="4"/>
    <n v="4"/>
    <n v="12"/>
    <n v="18"/>
    <n v="8"/>
    <n v="38"/>
    <n v="1.1352924243950933"/>
    <n v="23.196700507614214"/>
    <n v="6.4306002317777482"/>
    <n v="22.771573604060915"/>
    <n v="6.5356886776680962"/>
    <n v="11.434010152284264"/>
    <n v="3.5019632409825281"/>
    <n v="-1.7411594725301203"/>
    <n v="-0.73007969617111423"/>
    <n v="-0.98059571616771202"/>
    <n v="-1.1506116282896488"/>
  </r>
  <r>
    <x v="29"/>
    <s v="IMP"/>
    <n v="8"/>
    <n v="5"/>
    <n v="5"/>
    <n v="8"/>
    <n v="6"/>
    <n v="7"/>
    <n v="7"/>
    <n v="8"/>
    <n v="7"/>
    <n v="8"/>
    <n v="26"/>
    <n v="28"/>
    <n v="15"/>
    <n v="69"/>
    <n v="1.1972189997378648"/>
    <n v="23.196700507614214"/>
    <n v="6.4306002317777482"/>
    <n v="22.771573604060915"/>
    <n v="6.5356886776680962"/>
    <n v="11.434010152284264"/>
    <n v="3.5019632409825281"/>
    <n v="0.43593123368684517"/>
    <n v="0.79998094367685879"/>
    <n v="1.0182830607654363"/>
    <n v="0.75139841270971353"/>
  </r>
  <r>
    <x v="29"/>
    <s v="IMP"/>
    <n v="6"/>
    <n v="4"/>
    <n v="5"/>
    <n v="2"/>
    <n v="4"/>
    <n v="2"/>
    <n v="4"/>
    <n v="3"/>
    <n v="4"/>
    <n v="4"/>
    <n v="17"/>
    <n v="13"/>
    <n v="8"/>
    <n v="38"/>
    <n v="1.2292725943057183"/>
    <n v="23.196700507614214"/>
    <n v="6.4306002317777482"/>
    <n v="22.771573604060915"/>
    <n v="6.5356886776680962"/>
    <n v="11.434010152284264"/>
    <n v="3.5019632409825281"/>
    <n v="-0.96362707745263265"/>
    <n v="-1.4951100160951007"/>
    <n v="-0.98059571616771202"/>
    <n v="-1.1464442699051485"/>
  </r>
  <r>
    <x v="29"/>
    <s v="IMP"/>
    <n v="7"/>
    <n v="5"/>
    <n v="5"/>
    <n v="5"/>
    <n v="7"/>
    <n v="7"/>
    <n v="7"/>
    <n v="5"/>
    <n v="6"/>
    <n v="5"/>
    <n v="22"/>
    <n v="26"/>
    <n v="11"/>
    <n v="59"/>
    <n v="0.99442892601175326"/>
    <n v="23.196700507614214"/>
    <n v="6.4306002317777482"/>
    <n v="22.771573604060915"/>
    <n v="6.5356886776680962"/>
    <n v="11.434010152284264"/>
    <n v="3.5019632409825281"/>
    <n v="-0.18609468237514495"/>
    <n v="0.49396881570726414"/>
    <n v="-0.12393338319636275"/>
    <n v="6.131358337858548E-2"/>
  </r>
  <r>
    <x v="29"/>
    <s v="IMP"/>
    <n v="4"/>
    <n v="3"/>
    <n v="4"/>
    <n v="3"/>
    <n v="3"/>
    <n v="4"/>
    <n v="3"/>
    <n v="3"/>
    <n v="3"/>
    <n v="3"/>
    <n v="14"/>
    <n v="13"/>
    <n v="6"/>
    <n v="33"/>
    <n v="0.48304589153964794"/>
    <n v="23.196700507614214"/>
    <n v="6.4306002317777482"/>
    <n v="22.771573604060915"/>
    <n v="6.5356886776680962"/>
    <n v="11.434010152284264"/>
    <n v="3.5019632409825281"/>
    <n v="-1.4301465144991252"/>
    <n v="-1.4951100160951007"/>
    <n v="-1.5517039381486115"/>
    <n v="-1.4923201562476125"/>
  </r>
  <r>
    <x v="29"/>
    <s v="IMP"/>
    <n v="8"/>
    <n v="6"/>
    <n v="6"/>
    <n v="6"/>
    <n v="5"/>
    <n v="5"/>
    <n v="6"/>
    <n v="7"/>
    <n v="6"/>
    <n v="7"/>
    <n v="26"/>
    <n v="23"/>
    <n v="13"/>
    <n v="62"/>
    <n v="0.91893658347268148"/>
    <n v="23.196700507614214"/>
    <n v="6.4306002317777482"/>
    <n v="22.771573604060915"/>
    <n v="6.5356886776680962"/>
    <n v="11.434010152284264"/>
    <n v="3.5019632409825281"/>
    <n v="0.43593123368684517"/>
    <n v="3.4950623752872265E-2"/>
    <n v="0.44717483878453679"/>
    <n v="0.30601889874141808"/>
  </r>
  <r>
    <x v="29"/>
    <s v="IMP"/>
    <n v="7"/>
    <n v="3"/>
    <n v="5"/>
    <n v="5"/>
    <n v="5"/>
    <n v="4"/>
    <n v="5"/>
    <n v="5"/>
    <n v="4"/>
    <n v="4"/>
    <n v="20"/>
    <n v="19"/>
    <n v="8"/>
    <n v="47"/>
    <n v="1.0593499054713802"/>
    <n v="23.196700507614214"/>
    <n v="6.4306002317777482"/>
    <n v="22.771573604060915"/>
    <n v="6.5356886776680962"/>
    <n v="11.434010152284264"/>
    <n v="3.5019632409825281"/>
    <n v="-0.49710764040614003"/>
    <n v="-0.57707363218631691"/>
    <n v="-0.98059571616771202"/>
    <n v="-0.6849256629200563"/>
  </r>
  <r>
    <x v="29"/>
    <s v="IMP"/>
    <n v="5"/>
    <n v="5"/>
    <n v="4"/>
    <n v="5"/>
    <n v="5"/>
    <n v="4"/>
    <n v="6"/>
    <n v="5"/>
    <n v="6"/>
    <n v="4"/>
    <n v="19"/>
    <n v="20"/>
    <n v="10"/>
    <n v="49"/>
    <n v="0.73786478737262196"/>
    <n v="23.196700507614214"/>
    <n v="6.4306002317777482"/>
    <n v="22.771573604060915"/>
    <n v="6.5356886776680962"/>
    <n v="11.434010152284264"/>
    <n v="3.5019632409825281"/>
    <n v="-0.65261411942163761"/>
    <n v="-0.42406756820151964"/>
    <n v="-0.40948749418681252"/>
    <n v="-0.49538972726998992"/>
  </r>
  <r>
    <x v="29"/>
    <s v="IMP"/>
    <n v="6"/>
    <n v="5"/>
    <n v="5"/>
    <n v="5"/>
    <n v="6"/>
    <n v="4"/>
    <n v="6"/>
    <n v="5"/>
    <n v="4"/>
    <n v="5"/>
    <n v="21"/>
    <n v="21"/>
    <n v="9"/>
    <n v="51"/>
    <n v="0.73786478737262184"/>
    <n v="23.196700507614214"/>
    <n v="6.4306002317777482"/>
    <n v="22.771573604060915"/>
    <n v="6.5356886776680962"/>
    <n v="11.434010152284264"/>
    <n v="3.5019632409825281"/>
    <n v="-0.3416011613906425"/>
    <n v="-0.27106150421672232"/>
    <n v="-0.69504160517726232"/>
    <n v="-0.43590142359487571"/>
  </r>
  <r>
    <x v="29"/>
    <s v="IMP"/>
    <n v="6"/>
    <n v="6"/>
    <n v="6"/>
    <n v="5"/>
    <n v="6"/>
    <n v="6"/>
    <n v="7"/>
    <n v="6"/>
    <n v="6"/>
    <n v="6"/>
    <n v="23"/>
    <n v="25"/>
    <n v="12"/>
    <n v="60"/>
    <n v="0.47140452079103173"/>
    <n v="23.196700507614214"/>
    <n v="6.4306002317777482"/>
    <n v="22.771573604060915"/>
    <n v="6.5356886776680962"/>
    <n v="11.434010152284264"/>
    <n v="3.5019632409825281"/>
    <n v="-3.0588203359647428E-2"/>
    <n v="0.34096275172246687"/>
    <n v="0.16162072779408701"/>
    <n v="0.15733175871896884"/>
  </r>
  <r>
    <x v="29"/>
    <s v="IMP"/>
    <n v="4"/>
    <n v="4"/>
    <n v="5"/>
    <n v="3"/>
    <n v="5"/>
    <n v="6"/>
    <n v="4"/>
    <n v="3"/>
    <n v="5"/>
    <n v="4"/>
    <n v="16"/>
    <n v="18"/>
    <n v="9"/>
    <n v="43"/>
    <n v="0.94868329805051377"/>
    <n v="23.196700507614214"/>
    <n v="6.4306002317777482"/>
    <n v="22.771573604060915"/>
    <n v="6.5356886776680962"/>
    <n v="11.434010152284264"/>
    <n v="3.5019632409825281"/>
    <n v="-1.1191335564681302"/>
    <n v="-0.73007969617111423"/>
    <n v="-0.69504160517726232"/>
    <n v="-0.84808495260550221"/>
  </r>
  <r>
    <x v="29"/>
    <s v="IMP"/>
    <n v="7"/>
    <n v="7"/>
    <n v="8"/>
    <n v="8"/>
    <n v="7"/>
    <n v="8"/>
    <n v="7"/>
    <n v="8"/>
    <n v="8"/>
    <n v="7"/>
    <n v="30"/>
    <n v="30"/>
    <n v="15"/>
    <n v="75"/>
    <n v="0.52704627669472992"/>
    <n v="23.196700507614214"/>
    <n v="6.4306002317777482"/>
    <n v="22.771573604060915"/>
    <n v="6.5356886776680962"/>
    <n v="11.434010152284264"/>
    <n v="3.5019632409825281"/>
    <n v="1.0579571497488354"/>
    <n v="1.1059930716464534"/>
    <n v="1.0182830607654363"/>
    <n v="1.0607444273869084"/>
  </r>
  <r>
    <x v="29"/>
    <s v="IMP"/>
    <n v="5"/>
    <n v="6"/>
    <n v="5"/>
    <n v="4"/>
    <n v="5"/>
    <n v="4"/>
    <n v="5"/>
    <n v="5"/>
    <n v="5"/>
    <n v="4"/>
    <n v="20"/>
    <n v="19"/>
    <n v="9"/>
    <n v="48"/>
    <n v="0.63245553203367588"/>
    <n v="23.196700507614214"/>
    <n v="6.4306002317777482"/>
    <n v="22.771573604060915"/>
    <n v="6.5356886776680962"/>
    <n v="11.434010152284264"/>
    <n v="3.5019632409825281"/>
    <n v="-0.49710764040614003"/>
    <n v="-0.57707363218631691"/>
    <n v="-0.69504160517726232"/>
    <n v="-0.58974095925657311"/>
  </r>
  <r>
    <x v="29"/>
    <s v="IMP"/>
    <n v="7"/>
    <n v="8"/>
    <n v="8"/>
    <n v="8"/>
    <n v="7"/>
    <n v="7"/>
    <n v="8"/>
    <n v="7"/>
    <n v="8"/>
    <n v="7"/>
    <n v="31"/>
    <n v="29"/>
    <n v="15"/>
    <n v="75"/>
    <n v="0.52704627669472981"/>
    <n v="23.196700507614214"/>
    <n v="6.4306002317777482"/>
    <n v="22.771573604060915"/>
    <n v="6.5356886776680962"/>
    <n v="11.434010152284264"/>
    <n v="3.5019632409825281"/>
    <n v="1.2134636287643328"/>
    <n v="0.95298700766165612"/>
    <n v="1.0182830607654363"/>
    <n v="1.0615778990638083"/>
  </r>
  <r>
    <x v="29"/>
    <s v="IMP"/>
    <n v="5"/>
    <n v="6"/>
    <n v="5"/>
    <n v="7"/>
    <n v="6"/>
    <n v="6"/>
    <n v="5"/>
    <n v="4"/>
    <n v="7"/>
    <n v="5"/>
    <n v="23"/>
    <n v="21"/>
    <n v="12"/>
    <n v="56"/>
    <n v="0.96609178307929588"/>
    <n v="23.196700507614214"/>
    <n v="6.4306002317777482"/>
    <n v="22.771573604060915"/>
    <n v="6.5356886776680962"/>
    <n v="11.434010152284264"/>
    <n v="3.5019632409825281"/>
    <n v="-3.0588203359647428E-2"/>
    <n v="-0.27106150421672232"/>
    <n v="0.16162072779408701"/>
    <n v="-4.6676326594094236E-2"/>
  </r>
  <r>
    <x v="29"/>
    <s v="IMP"/>
    <n v="4"/>
    <n v="4"/>
    <n v="4"/>
    <n v="4"/>
    <n v="5"/>
    <n v="4"/>
    <n v="3"/>
    <n v="3"/>
    <n v="4"/>
    <n v="4"/>
    <n v="16"/>
    <n v="15"/>
    <n v="8"/>
    <n v="39"/>
    <n v="0.56764621219754663"/>
    <n v="23.196700507614214"/>
    <n v="6.4306002317777482"/>
    <n v="22.771573604060915"/>
    <n v="6.5356886776680962"/>
    <n v="11.434010152284264"/>
    <n v="3.5019632409825281"/>
    <n v="-1.1191335564681302"/>
    <n v="-1.1890978881255061"/>
    <n v="-0.98059571616771202"/>
    <n v="-1.0962757202537827"/>
  </r>
  <r>
    <x v="29"/>
    <s v="IMP"/>
    <n v="7"/>
    <n v="5"/>
    <n v="5"/>
    <n v="4"/>
    <n v="6"/>
    <n v="4"/>
    <n v="5"/>
    <n v="6"/>
    <n v="6"/>
    <n v="5"/>
    <n v="21"/>
    <n v="21"/>
    <n v="11"/>
    <n v="53"/>
    <n v="0.94868329805051388"/>
    <n v="23.196700507614214"/>
    <n v="6.4306002317777482"/>
    <n v="22.771573604060915"/>
    <n v="6.5356886776680962"/>
    <n v="11.434010152284264"/>
    <n v="3.5019632409825281"/>
    <n v="-0.3416011613906425"/>
    <n v="-0.27106150421672232"/>
    <n v="-0.12393338319636275"/>
    <n v="-0.24553201626790919"/>
  </r>
  <r>
    <x v="29"/>
    <s v="IMP"/>
    <n v="7"/>
    <n v="6"/>
    <n v="5"/>
    <n v="6"/>
    <n v="6"/>
    <n v="5"/>
    <n v="7"/>
    <n v="7"/>
    <n v="7"/>
    <n v="5"/>
    <n v="24"/>
    <n v="25"/>
    <n v="12"/>
    <n v="61"/>
    <n v="0.87559503577091313"/>
    <n v="23.196700507614214"/>
    <n v="6.4306002317777482"/>
    <n v="22.771573604060915"/>
    <n v="6.5356886776680962"/>
    <n v="11.434010152284264"/>
    <n v="3.5019632409825281"/>
    <n v="0.12491827565585011"/>
    <n v="0.34096275172246687"/>
    <n v="0.16162072779408701"/>
    <n v="0.20916725172413467"/>
  </r>
  <r>
    <x v="29"/>
    <s v="IMP"/>
    <n v="8"/>
    <n v="8"/>
    <n v="7"/>
    <n v="8"/>
    <n v="8"/>
    <n v="7"/>
    <n v="8"/>
    <n v="7"/>
    <n v="6"/>
    <n v="7"/>
    <n v="31"/>
    <n v="30"/>
    <n v="13"/>
    <n v="74"/>
    <n v="0.69920589878010075"/>
    <n v="23.196700507614214"/>
    <n v="6.4306002317777482"/>
    <n v="22.771573604060915"/>
    <n v="6.5356886776680962"/>
    <n v="11.434010152284264"/>
    <n v="3.5019632409825281"/>
    <n v="1.2134636287643328"/>
    <n v="1.1059930716464534"/>
    <n v="0.44717483878453679"/>
    <n v="0.9222105130651076"/>
  </r>
  <r>
    <x v="29"/>
    <s v="IMP"/>
    <n v="4"/>
    <n v="4"/>
    <n v="5"/>
    <n v="2"/>
    <n v="4"/>
    <n v="3"/>
    <n v="3"/>
    <n v="3"/>
    <n v="2"/>
    <n v="4"/>
    <n v="15"/>
    <n v="13"/>
    <n v="6"/>
    <n v="34"/>
    <n v="0.96609178307929577"/>
    <n v="23.196700507614214"/>
    <n v="6.4306002317777482"/>
    <n v="22.771573604060915"/>
    <n v="6.5356886776680962"/>
    <n v="11.434010152284264"/>
    <n v="3.5019632409825281"/>
    <n v="-1.2746400354836278"/>
    <n v="-1.4951100160951007"/>
    <n v="-1.5517039381486115"/>
    <n v="-1.4404846632424466"/>
  </r>
  <r>
    <x v="29"/>
    <s v="IMP"/>
    <n v="7"/>
    <n v="7"/>
    <n v="6"/>
    <n v="6"/>
    <n v="6"/>
    <n v="7"/>
    <n v="7"/>
    <n v="6"/>
    <n v="7"/>
    <n v="7"/>
    <n v="26"/>
    <n v="26"/>
    <n v="14"/>
    <n v="66"/>
    <n v="0.51639777949432231"/>
    <n v="23.196700507614214"/>
    <n v="6.4306002317777482"/>
    <n v="22.771573604060915"/>
    <n v="6.5356886776680962"/>
    <n v="11.434010152284264"/>
    <n v="3.5019632409825281"/>
    <n v="0.43593123368684517"/>
    <n v="0.49396881570726414"/>
    <n v="0.73272894977498659"/>
    <n v="0.5542096663896986"/>
  </r>
  <r>
    <x v="29"/>
    <s v="IMP"/>
    <n v="7"/>
    <n v="6"/>
    <n v="5"/>
    <n v="5"/>
    <n v="6"/>
    <n v="6"/>
    <n v="5"/>
    <n v="4"/>
    <n v="4"/>
    <n v="5"/>
    <n v="23"/>
    <n v="21"/>
    <n v="9"/>
    <n v="53"/>
    <n v="0.94868329805051377"/>
    <n v="23.196700507614214"/>
    <n v="6.4306002317777482"/>
    <n v="22.771573604060915"/>
    <n v="6.5356886776680962"/>
    <n v="11.434010152284264"/>
    <n v="3.5019632409825281"/>
    <n v="-3.0588203359647428E-2"/>
    <n v="-0.27106150421672232"/>
    <n v="-0.69504160517726232"/>
    <n v="-0.33223043758454401"/>
  </r>
  <r>
    <x v="30"/>
    <s v="IMP"/>
    <n v="6"/>
    <n v="5"/>
    <n v="6"/>
    <n v="6"/>
    <n v="6"/>
    <n v="5"/>
    <n v="6"/>
    <n v="6"/>
    <n v="6"/>
    <n v="7"/>
    <n v="23"/>
    <n v="23"/>
    <n v="13"/>
    <n v="59"/>
    <n v="0.56764621219754696"/>
    <n v="23.196700507614214"/>
    <n v="6.4306002317777482"/>
    <n v="22.771573604060915"/>
    <n v="6.5356886776680962"/>
    <n v="11.434010152284264"/>
    <n v="3.5019632409825281"/>
    <n v="-3.0588203359647428E-2"/>
    <n v="3.4950623752872265E-2"/>
    <n v="0.44717483878453679"/>
    <n v="0.15051241972592053"/>
  </r>
  <r>
    <x v="30"/>
    <s v="IMP"/>
    <n v="7"/>
    <n v="6"/>
    <n v="6"/>
    <n v="6"/>
    <n v="6"/>
    <n v="6"/>
    <n v="6"/>
    <n v="6"/>
    <n v="7"/>
    <n v="7"/>
    <n v="25"/>
    <n v="24"/>
    <n v="14"/>
    <n v="63"/>
    <n v="0.48304589153964794"/>
    <n v="23.196700507614214"/>
    <n v="6.4306002317777482"/>
    <n v="22.771573604060915"/>
    <n v="6.5356886776680962"/>
    <n v="11.434010152284264"/>
    <n v="3.5019632409825281"/>
    <n v="0.28042475467134764"/>
    <n v="0.18795668773766958"/>
    <n v="0.73272894977498659"/>
    <n v="0.40037013072800126"/>
  </r>
  <r>
    <x v="30"/>
    <s v="IMP"/>
    <n v="6"/>
    <n v="6"/>
    <n v="6"/>
    <n v="5"/>
    <n v="4"/>
    <n v="5"/>
    <n v="6"/>
    <n v="5"/>
    <n v="5"/>
    <n v="6"/>
    <n v="23"/>
    <n v="20"/>
    <n v="11"/>
    <n v="54"/>
    <n v="0.69920589878010109"/>
    <n v="23.196700507614214"/>
    <n v="6.4306002317777482"/>
    <n v="22.771573604060915"/>
    <n v="6.5356886776680962"/>
    <n v="11.434010152284264"/>
    <n v="3.5019632409825281"/>
    <n v="-3.0588203359647428E-2"/>
    <n v="-0.42406756820151964"/>
    <n v="-0.12393338319636275"/>
    <n v="-0.19286305158584327"/>
  </r>
  <r>
    <x v="30"/>
    <s v="IMP"/>
    <n v="7"/>
    <n v="7"/>
    <n v="7"/>
    <n v="7"/>
    <n v="6"/>
    <n v="7"/>
    <n v="7"/>
    <n v="6"/>
    <n v="6"/>
    <n v="4"/>
    <n v="28"/>
    <n v="26"/>
    <n v="10"/>
    <n v="64"/>
    <n v="0.966091783079296"/>
    <n v="23.196700507614214"/>
    <n v="6.4306002317777482"/>
    <n v="22.771573604060915"/>
    <n v="6.5356886776680962"/>
    <n v="11.434010152284264"/>
    <n v="3.5019632409825281"/>
    <n v="0.74694419171784021"/>
    <n v="0.49396881570726414"/>
    <n v="-0.40948749418681252"/>
    <n v="0.2771418377460973"/>
  </r>
  <r>
    <x v="30"/>
    <s v="IMP"/>
    <n v="7"/>
    <n v="7"/>
    <n v="7"/>
    <n v="7"/>
    <n v="7"/>
    <n v="6"/>
    <n v="8"/>
    <n v="8"/>
    <n v="7"/>
    <n v="7"/>
    <n v="28"/>
    <n v="29"/>
    <n v="14"/>
    <n v="71"/>
    <n v="0.56764621219754663"/>
    <n v="23.196700507614214"/>
    <n v="6.4306002317777482"/>
    <n v="22.771573604060915"/>
    <n v="6.5356886776680962"/>
    <n v="11.434010152284264"/>
    <n v="3.5019632409825281"/>
    <n v="0.74694419171784021"/>
    <n v="0.95298700766165612"/>
    <n v="0.73272894977498659"/>
    <n v="0.81088671638482757"/>
  </r>
  <r>
    <x v="30"/>
    <s v="IMP"/>
    <n v="5"/>
    <n v="4"/>
    <n v="5"/>
    <n v="5"/>
    <n v="6"/>
    <n v="7"/>
    <n v="7"/>
    <n v="6"/>
    <n v="6"/>
    <n v="6"/>
    <n v="19"/>
    <n v="26"/>
    <n v="12"/>
    <n v="57"/>
    <n v="0.94868329805051377"/>
    <n v="23.196700507614214"/>
    <n v="6.4306002317777482"/>
    <n v="22.771573604060915"/>
    <n v="6.5356886776680962"/>
    <n v="11.434010152284264"/>
    <n v="3.5019632409825281"/>
    <n v="-0.65261411942163761"/>
    <n v="0.49396881570726414"/>
    <n v="0.16162072779408701"/>
    <n v="9.9180802657118194E-4"/>
  </r>
  <r>
    <x v="30"/>
    <s v="IMP"/>
    <n v="6"/>
    <n v="6"/>
    <n v="6"/>
    <n v="5"/>
    <n v="5"/>
    <n v="5"/>
    <n v="6"/>
    <n v="6"/>
    <n v="6"/>
    <n v="6"/>
    <n v="23"/>
    <n v="22"/>
    <n v="12"/>
    <n v="57"/>
    <n v="0.48304589153964789"/>
    <n v="23.196700507614214"/>
    <n v="6.4306002317777482"/>
    <n v="22.771573604060915"/>
    <n v="6.5356886776680962"/>
    <n v="11.434010152284264"/>
    <n v="3.5019632409825281"/>
    <n v="-3.0588203359647428E-2"/>
    <n v="-0.11805544023192505"/>
    <n v="0.16162072779408701"/>
    <n v="4.3256947341715106E-3"/>
  </r>
  <r>
    <x v="30"/>
    <s v="IMP"/>
    <n v="6"/>
    <n v="6"/>
    <n v="5"/>
    <n v="6"/>
    <n v="6"/>
    <n v="7"/>
    <n v="6"/>
    <n v="6"/>
    <n v="6"/>
    <n v="7"/>
    <n v="23"/>
    <n v="25"/>
    <n v="13"/>
    <n v="61"/>
    <n v="0.56764621219754674"/>
    <n v="23.196700507614214"/>
    <n v="6.4306002317777482"/>
    <n v="22.771573604060915"/>
    <n v="6.5356886776680962"/>
    <n v="11.434010152284264"/>
    <n v="3.5019632409825281"/>
    <n v="-3.0588203359647428E-2"/>
    <n v="0.34096275172246687"/>
    <n v="0.44717483878453679"/>
    <n v="0.25251646238245207"/>
  </r>
  <r>
    <x v="30"/>
    <s v="IMP"/>
    <n v="7"/>
    <n v="7"/>
    <n v="6"/>
    <n v="7"/>
    <n v="7"/>
    <n v="6"/>
    <n v="7"/>
    <n v="8"/>
    <n v="7"/>
    <n v="7"/>
    <n v="27"/>
    <n v="28"/>
    <n v="14"/>
    <n v="69"/>
    <n v="0.56764621219754685"/>
    <n v="23.196700507614214"/>
    <n v="6.4306002317777482"/>
    <n v="22.771573604060915"/>
    <n v="6.5356886776680962"/>
    <n v="11.434010152284264"/>
    <n v="3.5019632409825281"/>
    <n v="0.59143771270234269"/>
    <n v="0.79998094367685879"/>
    <n v="0.73272894977498659"/>
    <n v="0.70804920205139599"/>
  </r>
  <r>
    <x v="30"/>
    <s v="IMP"/>
    <n v="6"/>
    <n v="6"/>
    <n v="6"/>
    <n v="7"/>
    <n v="7"/>
    <n v="6"/>
    <n v="6"/>
    <n v="6"/>
    <n v="7"/>
    <n v="6"/>
    <n v="25"/>
    <n v="25"/>
    <n v="13"/>
    <n v="63"/>
    <n v="0.48304589153964794"/>
    <n v="23.196700507614214"/>
    <n v="6.4306002317777482"/>
    <n v="22.771573604060915"/>
    <n v="6.5356886776680962"/>
    <n v="11.434010152284264"/>
    <n v="3.5019632409825281"/>
    <n v="0.28042475467134764"/>
    <n v="0.34096275172246687"/>
    <n v="0.44717483878453679"/>
    <n v="0.35618744839278377"/>
  </r>
  <r>
    <x v="30"/>
    <s v="IMP"/>
    <n v="6"/>
    <n v="5"/>
    <n v="6"/>
    <n v="7"/>
    <n v="7"/>
    <n v="6"/>
    <n v="6"/>
    <n v="6"/>
    <n v="6"/>
    <n v="5"/>
    <n v="24"/>
    <n v="25"/>
    <n v="11"/>
    <n v="60"/>
    <n v="0.66666666666666652"/>
    <n v="23.196700507614214"/>
    <n v="6.4306002317777482"/>
    <n v="22.771573604060915"/>
    <n v="6.5356886776680962"/>
    <n v="11.434010152284264"/>
    <n v="3.5019632409825281"/>
    <n v="0.12491827565585011"/>
    <n v="0.34096275172246687"/>
    <n v="-0.12393338319636275"/>
    <n v="0.1139825480606514"/>
  </r>
  <r>
    <x v="30"/>
    <s v="IMP"/>
    <n v="6"/>
    <n v="5"/>
    <n v="5"/>
    <n v="5"/>
    <n v="5"/>
    <n v="5"/>
    <n v="6"/>
    <n v="6"/>
    <n v="6"/>
    <n v="6"/>
    <n v="21"/>
    <n v="22"/>
    <n v="12"/>
    <n v="55"/>
    <n v="0.52704627669472992"/>
    <n v="23.196700507614214"/>
    <n v="6.4306002317777482"/>
    <n v="22.771573604060915"/>
    <n v="6.5356886776680962"/>
    <n v="11.434010152284264"/>
    <n v="3.5019632409825281"/>
    <n v="-0.3416011613906425"/>
    <n v="-0.11805544023192505"/>
    <n v="0.16162072779408701"/>
    <n v="-9.9345291276160166E-2"/>
  </r>
  <r>
    <x v="30"/>
    <s v="IMP"/>
    <n v="6"/>
    <n v="6"/>
    <n v="6"/>
    <n v="6"/>
    <n v="5"/>
    <n v="6"/>
    <n v="5"/>
    <n v="6"/>
    <n v="5"/>
    <n v="6"/>
    <n v="24"/>
    <n v="22"/>
    <n v="11"/>
    <n v="57"/>
    <n v="0.48304589153964789"/>
    <n v="23.196700507614214"/>
    <n v="6.4306002317777482"/>
    <n v="22.771573604060915"/>
    <n v="6.5356886776680962"/>
    <n v="11.434010152284264"/>
    <n v="3.5019632409825281"/>
    <n v="0.12491827565585011"/>
    <n v="-0.11805544023192505"/>
    <n v="-0.12393338319636275"/>
    <n v="-3.90235159241459E-2"/>
  </r>
  <r>
    <x v="30"/>
    <s v="IMP"/>
    <n v="5"/>
    <n v="6"/>
    <n v="5"/>
    <n v="5"/>
    <n v="5"/>
    <n v="4"/>
    <n v="5"/>
    <n v="5"/>
    <n v="6"/>
    <n v="4"/>
    <n v="21"/>
    <n v="19"/>
    <n v="10"/>
    <n v="50"/>
    <n v="0.66666666666666663"/>
    <n v="23.196700507614214"/>
    <n v="6.4306002317777482"/>
    <n v="22.771573604060915"/>
    <n v="6.5356886776680962"/>
    <n v="11.434010152284264"/>
    <n v="3.5019632409825281"/>
    <n v="-0.3416011613906425"/>
    <n v="-0.57707363218631691"/>
    <n v="-0.40948749418681252"/>
    <n v="-0.44272076258792398"/>
  </r>
  <r>
    <x v="30"/>
    <s v="IMP"/>
    <n v="5"/>
    <n v="3"/>
    <n v="4"/>
    <n v="5"/>
    <n v="5"/>
    <n v="5"/>
    <n v="5"/>
    <n v="4"/>
    <n v="5"/>
    <n v="4"/>
    <n v="17"/>
    <n v="19"/>
    <n v="9"/>
    <n v="45"/>
    <n v="0.70710678118654746"/>
    <n v="23.196700507614214"/>
    <n v="6.4306002317777482"/>
    <n v="22.771573604060915"/>
    <n v="6.5356886776680962"/>
    <n v="11.434010152284264"/>
    <n v="3.5019632409825281"/>
    <n v="-0.96362707745263265"/>
    <n v="-0.57707363218631691"/>
    <n v="-0.69504160517726232"/>
    <n v="-0.74524743827207063"/>
  </r>
  <r>
    <x v="30"/>
    <s v="IMP"/>
    <n v="6"/>
    <n v="6"/>
    <n v="6"/>
    <n v="6"/>
    <n v="7"/>
    <n v="7"/>
    <n v="7"/>
    <n v="7"/>
    <n v="7"/>
    <n v="6"/>
    <n v="24"/>
    <n v="28"/>
    <n v="13"/>
    <n v="65"/>
    <n v="0.5270462766947297"/>
    <n v="23.196700507614214"/>
    <n v="6.4306002317777482"/>
    <n v="22.771573604060915"/>
    <n v="6.5356886776680962"/>
    <n v="11.434010152284264"/>
    <n v="3.5019632409825281"/>
    <n v="0.12491827565585011"/>
    <n v="0.79998094367685879"/>
    <n v="0.44717483878453679"/>
    <n v="0.45735801937241521"/>
  </r>
  <r>
    <x v="30"/>
    <s v="IMP"/>
    <n v="7"/>
    <n v="6"/>
    <n v="7"/>
    <n v="7"/>
    <n v="6"/>
    <n v="6"/>
    <n v="6"/>
    <n v="6"/>
    <n v="6"/>
    <n v="5"/>
    <n v="27"/>
    <n v="24"/>
    <n v="11"/>
    <n v="62"/>
    <n v="0.63245553203367566"/>
    <n v="23.196700507614214"/>
    <n v="6.4306002317777482"/>
    <n v="22.771573604060915"/>
    <n v="6.5356886776680962"/>
    <n v="11.434010152284264"/>
    <n v="3.5019632409825281"/>
    <n v="0.59143771270234269"/>
    <n v="0.18795668773766958"/>
    <n v="-0.12393338319636275"/>
    <n v="0.21848700574788318"/>
  </r>
  <r>
    <x v="30"/>
    <s v="IMP"/>
    <n v="6"/>
    <n v="5"/>
    <n v="5"/>
    <n v="5"/>
    <n v="5"/>
    <n v="5"/>
    <n v="5"/>
    <n v="6"/>
    <n v="5"/>
    <n v="6"/>
    <n v="21"/>
    <n v="21"/>
    <n v="11"/>
    <n v="53"/>
    <n v="0.48304589153964789"/>
    <n v="23.196700507614214"/>
    <n v="6.4306002317777482"/>
    <n v="22.771573604060915"/>
    <n v="6.5356886776680962"/>
    <n v="11.434010152284264"/>
    <n v="3.5019632409825281"/>
    <n v="-0.3416011613906425"/>
    <n v="-0.27106150421672232"/>
    <n v="-0.12393338319636275"/>
    <n v="-0.24553201626790919"/>
  </r>
  <r>
    <x v="30"/>
    <s v="IMP"/>
    <n v="6"/>
    <n v="5"/>
    <n v="5"/>
    <n v="4"/>
    <n v="4"/>
    <n v="4"/>
    <n v="5"/>
    <n v="5"/>
    <n v="5"/>
    <n v="4"/>
    <n v="20"/>
    <n v="18"/>
    <n v="9"/>
    <n v="47"/>
    <n v="0.67494855771055284"/>
    <n v="23.196700507614214"/>
    <n v="6.4306002317777482"/>
    <n v="22.771573604060915"/>
    <n v="6.5356886776680962"/>
    <n v="11.434010152284264"/>
    <n v="3.5019632409825281"/>
    <n v="-0.49710764040614003"/>
    <n v="-0.73007969617111423"/>
    <n v="-0.69504160517726232"/>
    <n v="-0.64074298058483892"/>
  </r>
  <r>
    <x v="30"/>
    <s v="IMP"/>
    <n v="7"/>
    <n v="7"/>
    <n v="7"/>
    <n v="7"/>
    <n v="7"/>
    <n v="6"/>
    <n v="7"/>
    <n v="7"/>
    <n v="7"/>
    <n v="8"/>
    <n v="28"/>
    <n v="27"/>
    <n v="15"/>
    <n v="70"/>
    <n v="0.47140452079103162"/>
    <n v="23.196700507614214"/>
    <n v="6.4306002317777482"/>
    <n v="22.771573604060915"/>
    <n v="6.5356886776680962"/>
    <n v="11.434010152284264"/>
    <n v="3.5019632409825281"/>
    <n v="0.74694419171784021"/>
    <n v="0.64697487969206147"/>
    <n v="1.0182830607654363"/>
    <n v="0.80406737739177936"/>
  </r>
  <r>
    <x v="30"/>
    <s v="IMP"/>
    <n v="7"/>
    <n v="7"/>
    <n v="7"/>
    <n v="7"/>
    <n v="6"/>
    <n v="7"/>
    <n v="7"/>
    <n v="7"/>
    <n v="7"/>
    <n v="8"/>
    <n v="28"/>
    <n v="27"/>
    <n v="15"/>
    <n v="70"/>
    <n v="0.47140452079103162"/>
    <n v="23.196700507614214"/>
    <n v="6.4306002317777482"/>
    <n v="22.771573604060915"/>
    <n v="6.5356886776680962"/>
    <n v="11.434010152284264"/>
    <n v="3.5019632409825281"/>
    <n v="0.74694419171784021"/>
    <n v="0.64697487969206147"/>
    <n v="1.0182830607654363"/>
    <n v="0.80406737739177936"/>
  </r>
  <r>
    <x v="30"/>
    <s v="IMP"/>
    <n v="7"/>
    <n v="5"/>
    <n v="5"/>
    <n v="5"/>
    <n v="5"/>
    <n v="4"/>
    <n v="4"/>
    <n v="5"/>
    <n v="5"/>
    <n v="6"/>
    <n v="22"/>
    <n v="18"/>
    <n v="11"/>
    <n v="51"/>
    <n v="0.87559503577091335"/>
    <n v="23.196700507614214"/>
    <n v="6.4306002317777482"/>
    <n v="22.771573604060915"/>
    <n v="6.5356886776680962"/>
    <n v="11.434010152284264"/>
    <n v="3.5019632409825281"/>
    <n v="-0.18609468237514495"/>
    <n v="-0.73007969617111423"/>
    <n v="-0.12393338319636275"/>
    <n v="-0.34670258724754066"/>
  </r>
  <r>
    <x v="30"/>
    <s v="IMP"/>
    <n v="8"/>
    <n v="8"/>
    <n v="8"/>
    <n v="8"/>
    <n v="7"/>
    <n v="6"/>
    <n v="7"/>
    <n v="7"/>
    <n v="7"/>
    <n v="7"/>
    <n v="32"/>
    <n v="27"/>
    <n v="14"/>
    <n v="73"/>
    <n v="0.67494855771055284"/>
    <n v="23.196700507614214"/>
    <n v="6.4306002317777482"/>
    <n v="22.771573604060915"/>
    <n v="6.5356886776680962"/>
    <n v="11.434010152284264"/>
    <n v="3.5019632409825281"/>
    <n v="1.3689701077798304"/>
    <n v="0.64697487969206147"/>
    <n v="0.73272894977498659"/>
    <n v="0.91622464574895945"/>
  </r>
  <r>
    <x v="30"/>
    <s v="IMP"/>
    <n v="6"/>
    <n v="4"/>
    <n v="6"/>
    <n v="7"/>
    <n v="7"/>
    <n v="6"/>
    <n v="6"/>
    <n v="6"/>
    <n v="6"/>
    <n v="7"/>
    <n v="23"/>
    <n v="25"/>
    <n v="13"/>
    <n v="61"/>
    <n v="0.87559503577091324"/>
    <n v="23.196700507614214"/>
    <n v="6.4306002317777482"/>
    <n v="22.771573604060915"/>
    <n v="6.5356886776680962"/>
    <n v="11.434010152284264"/>
    <n v="3.5019632409825281"/>
    <n v="-3.0588203359647428E-2"/>
    <n v="0.34096275172246687"/>
    <n v="0.44717483878453679"/>
    <n v="0.25251646238245207"/>
  </r>
  <r>
    <x v="30"/>
    <s v="IMP"/>
    <n v="7"/>
    <n v="6"/>
    <n v="6"/>
    <n v="6"/>
    <n v="6"/>
    <n v="5"/>
    <n v="5"/>
    <n v="5"/>
    <n v="6"/>
    <n v="7"/>
    <n v="25"/>
    <n v="21"/>
    <n v="13"/>
    <n v="59"/>
    <n v="0.73786478737262173"/>
    <n v="23.196700507614214"/>
    <n v="6.4306002317777482"/>
    <n v="22.771573604060915"/>
    <n v="6.5356886776680962"/>
    <n v="11.434010152284264"/>
    <n v="3.5019632409825281"/>
    <n v="0.28042475467134764"/>
    <n v="-0.27106150421672232"/>
    <n v="0.44717483878453679"/>
    <n v="0.15217936307972071"/>
  </r>
  <r>
    <x v="30"/>
    <s v="IMP"/>
    <n v="7"/>
    <n v="6"/>
    <n v="6"/>
    <n v="7"/>
    <n v="6"/>
    <n v="7"/>
    <n v="7"/>
    <n v="6"/>
    <n v="6"/>
    <n v="4"/>
    <n v="26"/>
    <n v="26"/>
    <n v="10"/>
    <n v="62"/>
    <n v="0.91893658347268148"/>
    <n v="23.196700507614214"/>
    <n v="6.4306002317777482"/>
    <n v="22.771573604060915"/>
    <n v="6.5356886776680962"/>
    <n v="11.434010152284264"/>
    <n v="3.5019632409825281"/>
    <n v="0.43593123368684517"/>
    <n v="0.49396881570726414"/>
    <n v="-0.40948749418681252"/>
    <n v="0.1734708517357656"/>
  </r>
  <r>
    <x v="30"/>
    <s v="IMP"/>
    <n v="5"/>
    <n v="5"/>
    <n v="4"/>
    <n v="5"/>
    <n v="6"/>
    <n v="6"/>
    <n v="6"/>
    <n v="5"/>
    <n v="5"/>
    <n v="4"/>
    <n v="19"/>
    <n v="23"/>
    <n v="9"/>
    <n v="51"/>
    <n v="0.73786478737262173"/>
    <n v="23.196700507614214"/>
    <n v="6.4306002317777482"/>
    <n v="22.771573604060915"/>
    <n v="6.5356886776680962"/>
    <n v="11.434010152284264"/>
    <n v="3.5019632409825281"/>
    <n v="-0.65261411942163761"/>
    <n v="3.4950623752872265E-2"/>
    <n v="-0.69504160517726232"/>
    <n v="-0.4375683669486759"/>
  </r>
  <r>
    <x v="30"/>
    <s v="IMP"/>
    <n v="8"/>
    <n v="7"/>
    <n v="8"/>
    <n v="8"/>
    <n v="8"/>
    <n v="8"/>
    <n v="8"/>
    <n v="8"/>
    <n v="8"/>
    <n v="9"/>
    <n v="31"/>
    <n v="32"/>
    <n v="17"/>
    <n v="80"/>
    <n v="0.47140452079103162"/>
    <n v="23.196700507614214"/>
    <n v="6.4306002317777482"/>
    <n v="22.771573604060915"/>
    <n v="6.5356886776680962"/>
    <n v="11.434010152284264"/>
    <n v="3.5019632409825281"/>
    <n v="1.2134636287643328"/>
    <n v="1.4120051996160479"/>
    <n v="1.5893912827463359"/>
    <n v="1.4049533703755721"/>
  </r>
  <r>
    <x v="30"/>
    <s v="IMP"/>
    <n v="6"/>
    <n v="5"/>
    <n v="6"/>
    <n v="6"/>
    <n v="6"/>
    <n v="6"/>
    <n v="7"/>
    <n v="6"/>
    <n v="6"/>
    <n v="4"/>
    <n v="23"/>
    <n v="25"/>
    <n v="10"/>
    <n v="58"/>
    <n v="0.78881063774661553"/>
    <n v="23.196700507614214"/>
    <n v="6.4306002317777482"/>
    <n v="22.771573604060915"/>
    <n v="6.5356886776680962"/>
    <n v="11.434010152284264"/>
    <n v="3.5019632409825281"/>
    <n v="-3.0588203359647428E-2"/>
    <n v="0.34096275172246687"/>
    <n v="-0.40948749418681252"/>
    <n v="-3.3037648607997683E-2"/>
  </r>
  <r>
    <x v="30"/>
    <s v="IMP"/>
    <n v="8"/>
    <n v="8"/>
    <n v="8"/>
    <n v="8"/>
    <n v="8"/>
    <n v="8"/>
    <n v="8"/>
    <n v="8"/>
    <n v="8"/>
    <n v="8"/>
    <n v="32"/>
    <n v="32"/>
    <n v="16"/>
    <n v="80"/>
    <n v="0"/>
    <n v="23.196700507614214"/>
    <n v="6.4306002317777482"/>
    <n v="22.771573604060915"/>
    <n v="6.5356886776680962"/>
    <n v="11.434010152284264"/>
    <n v="3.5019632409825281"/>
    <n v="1.3689701077798304"/>
    <n v="1.4120051996160479"/>
    <n v="1.3038371717558861"/>
    <n v="1.361604159717255"/>
  </r>
  <r>
    <x v="30"/>
    <s v="IMP"/>
    <n v="7"/>
    <n v="4"/>
    <n v="6"/>
    <n v="6"/>
    <n v="5"/>
    <n v="5"/>
    <n v="7"/>
    <n v="7"/>
    <n v="5"/>
    <n v="7"/>
    <n v="23"/>
    <n v="24"/>
    <n v="12"/>
    <n v="59"/>
    <n v="1.1005049346146119"/>
    <n v="23.196700507614214"/>
    <n v="6.4306002317777482"/>
    <n v="22.771573604060915"/>
    <n v="6.5356886776680962"/>
    <n v="11.434010152284264"/>
    <n v="3.5019632409825281"/>
    <n v="-3.0588203359647428E-2"/>
    <n v="0.18795668773766958"/>
    <n v="0.16162072779408701"/>
    <n v="0.10632973739070306"/>
  </r>
  <r>
    <x v="30"/>
    <s v="IMP"/>
    <n v="5"/>
    <n v="4"/>
    <n v="4"/>
    <n v="4"/>
    <n v="4"/>
    <n v="4"/>
    <n v="4"/>
    <n v="5"/>
    <n v="5"/>
    <n v="6"/>
    <n v="17"/>
    <n v="17"/>
    <n v="11"/>
    <n v="45"/>
    <n v="0.70710678118654757"/>
    <n v="23.196700507614214"/>
    <n v="6.4306002317777482"/>
    <n v="22.771573604060915"/>
    <n v="6.5356886776680962"/>
    <n v="11.434010152284264"/>
    <n v="3.5019632409825281"/>
    <n v="-0.96362707745263265"/>
    <n v="-0.88308576015591156"/>
    <n v="-0.12393338319636275"/>
    <n v="-0.65688207360163564"/>
  </r>
  <r>
    <x v="30"/>
    <s v="IMP"/>
    <n v="7"/>
    <n v="6"/>
    <n v="7"/>
    <n v="7"/>
    <n v="6"/>
    <n v="7"/>
    <n v="7"/>
    <n v="6"/>
    <n v="6"/>
    <n v="7"/>
    <n v="27"/>
    <n v="26"/>
    <n v="13"/>
    <n v="66"/>
    <n v="0.5163977794943222"/>
    <n v="23.196700507614214"/>
    <n v="6.4306002317777482"/>
    <n v="22.771573604060915"/>
    <n v="6.5356886776680962"/>
    <n v="11.434010152284264"/>
    <n v="3.5019632409825281"/>
    <n v="0.59143771270234269"/>
    <n v="0.49396881570726414"/>
    <n v="0.44717483878453679"/>
    <n v="0.51086045573138117"/>
  </r>
  <r>
    <x v="30"/>
    <s v="IMP"/>
    <n v="6"/>
    <n v="5"/>
    <n v="5"/>
    <n v="5"/>
    <n v="5"/>
    <n v="5"/>
    <n v="5"/>
    <n v="5"/>
    <n v="5"/>
    <n v="6"/>
    <n v="21"/>
    <n v="20"/>
    <n v="11"/>
    <n v="52"/>
    <n v="0.42163702135578407"/>
    <n v="23.196700507614214"/>
    <n v="6.4306002317777482"/>
    <n v="22.771573604060915"/>
    <n v="6.5356886776680962"/>
    <n v="11.434010152284264"/>
    <n v="3.5019632409825281"/>
    <n v="-0.3416011613906425"/>
    <n v="-0.42406756820151964"/>
    <n v="-0.12393338319636275"/>
    <n v="-0.29653403759617497"/>
  </r>
  <r>
    <x v="30"/>
    <s v="IMP"/>
    <n v="7"/>
    <n v="7"/>
    <n v="6"/>
    <n v="7"/>
    <n v="6"/>
    <n v="7"/>
    <n v="8"/>
    <n v="7"/>
    <n v="7"/>
    <n v="7"/>
    <n v="27"/>
    <n v="28"/>
    <n v="14"/>
    <n v="69"/>
    <n v="0.56764621219754685"/>
    <n v="23.196700507614214"/>
    <n v="6.4306002317777482"/>
    <n v="22.771573604060915"/>
    <n v="6.5356886776680962"/>
    <n v="11.434010152284264"/>
    <n v="3.5019632409825281"/>
    <n v="0.59143771270234269"/>
    <n v="0.79998094367685879"/>
    <n v="0.73272894977498659"/>
    <n v="0.70804920205139599"/>
  </r>
  <r>
    <x v="30"/>
    <s v="IMP"/>
    <n v="7"/>
    <n v="7"/>
    <n v="6"/>
    <n v="7"/>
    <n v="5"/>
    <n v="5"/>
    <n v="5"/>
    <n v="6"/>
    <n v="6"/>
    <n v="6"/>
    <n v="27"/>
    <n v="21"/>
    <n v="12"/>
    <n v="60"/>
    <n v="0.81649658092772626"/>
    <n v="23.196700507614214"/>
    <n v="6.4306002317777482"/>
    <n v="22.771573604060915"/>
    <n v="6.5356886776680962"/>
    <n v="11.434010152284264"/>
    <n v="3.5019632409825281"/>
    <n v="0.59143771270234269"/>
    <n v="-0.27106150421672232"/>
    <n v="0.16162072779408701"/>
    <n v="0.16066564542656914"/>
  </r>
  <r>
    <x v="30"/>
    <s v="IMP"/>
    <n v="7"/>
    <n v="8"/>
    <n v="7"/>
    <n v="8"/>
    <n v="7"/>
    <n v="6"/>
    <n v="7"/>
    <n v="7"/>
    <n v="7"/>
    <n v="7"/>
    <n v="30"/>
    <n v="27"/>
    <n v="14"/>
    <n v="71"/>
    <n v="0.56764621219754674"/>
    <n v="23.196700507614214"/>
    <n v="6.4306002317777482"/>
    <n v="22.771573604060915"/>
    <n v="6.5356886776680962"/>
    <n v="11.434010152284264"/>
    <n v="3.5019632409825281"/>
    <n v="1.0579571497488354"/>
    <n v="0.64697487969206147"/>
    <n v="0.73272894977498659"/>
    <n v="0.8125536597386277"/>
  </r>
  <r>
    <x v="30"/>
    <s v="IMP"/>
    <n v="7"/>
    <n v="7"/>
    <n v="7"/>
    <n v="7"/>
    <n v="8"/>
    <n v="8"/>
    <n v="8"/>
    <n v="7"/>
    <n v="8"/>
    <n v="7"/>
    <n v="28"/>
    <n v="31"/>
    <n v="15"/>
    <n v="74"/>
    <n v="0.5163977794943222"/>
    <n v="23.196700507614214"/>
    <n v="6.4306002317777482"/>
    <n v="22.771573604060915"/>
    <n v="6.5356886776680962"/>
    <n v="11.434010152284264"/>
    <n v="3.5019632409825281"/>
    <n v="0.74694419171784021"/>
    <n v="1.2589991356312507"/>
    <n v="1.0182830607654363"/>
    <n v="1.0080754627048423"/>
  </r>
  <r>
    <x v="30"/>
    <s v="IMP"/>
    <n v="8"/>
    <n v="8"/>
    <n v="8"/>
    <n v="8"/>
    <n v="6"/>
    <n v="7"/>
    <n v="7"/>
    <n v="6"/>
    <n v="7"/>
    <n v="7"/>
    <n v="32"/>
    <n v="26"/>
    <n v="14"/>
    <n v="72"/>
    <n v="0.78881063774661553"/>
    <n v="23.196700507614214"/>
    <n v="6.4306002317777482"/>
    <n v="22.771573604060915"/>
    <n v="6.5356886776680962"/>
    <n v="11.434010152284264"/>
    <n v="3.5019632409825281"/>
    <n v="1.3689701077798304"/>
    <n v="0.49396881570726414"/>
    <n v="0.73272894977498659"/>
    <n v="0.86522262442069364"/>
  </r>
  <r>
    <x v="31"/>
    <s v="IMP"/>
    <n v="7"/>
    <n v="6"/>
    <n v="6"/>
    <n v="4"/>
    <n v="8"/>
    <n v="7"/>
    <n v="6"/>
    <n v="2"/>
    <n v="8"/>
    <n v="3"/>
    <n v="23"/>
    <n v="23"/>
    <n v="11"/>
    <n v="57"/>
    <n v="2.0575065816014622"/>
    <n v="23.196700507614214"/>
    <n v="6.4306002317777482"/>
    <n v="22.771573604060915"/>
    <n v="6.5356886776680962"/>
    <n v="11.434010152284264"/>
    <n v="3.5019632409825281"/>
    <n v="-3.0588203359647428E-2"/>
    <n v="3.4950623752872265E-2"/>
    <n v="-0.12393338319636275"/>
    <n v="-3.9856987601045973E-2"/>
  </r>
  <r>
    <x v="31"/>
    <s v="IMP"/>
    <n v="8"/>
    <n v="7"/>
    <n v="9"/>
    <n v="3"/>
    <n v="7"/>
    <n v="8"/>
    <n v="7"/>
    <n v="3"/>
    <n v="8"/>
    <n v="4"/>
    <n v="27"/>
    <n v="25"/>
    <n v="12"/>
    <n v="64"/>
    <n v="2.2211108331943574"/>
    <n v="23.196700507614214"/>
    <n v="6.4306002317777482"/>
    <n v="22.771573604060915"/>
    <n v="6.5356886776680962"/>
    <n v="11.434010152284264"/>
    <n v="3.5019632409825281"/>
    <n v="0.59143771270234269"/>
    <n v="0.34096275172246687"/>
    <n v="0.16162072779408701"/>
    <n v="0.36467373073963222"/>
  </r>
  <r>
    <x v="31"/>
    <s v="IMP"/>
    <n v="6"/>
    <n v="5"/>
    <n v="5"/>
    <n v="3"/>
    <n v="8"/>
    <n v="6"/>
    <n v="5"/>
    <n v="3"/>
    <n v="7"/>
    <n v="3"/>
    <n v="19"/>
    <n v="22"/>
    <n v="10"/>
    <n v="51"/>
    <n v="1.7288403306519919"/>
    <n v="23.196700507614214"/>
    <n v="6.4306002317777482"/>
    <n v="22.771573604060915"/>
    <n v="6.5356886776680962"/>
    <n v="11.434010152284264"/>
    <n v="3.5019632409825281"/>
    <n v="-0.65261411942163761"/>
    <n v="-0.11805544023192505"/>
    <n v="-0.40948749418681252"/>
    <n v="-0.39338568461345841"/>
  </r>
  <r>
    <x v="31"/>
    <s v="IMP"/>
    <n v="8"/>
    <n v="7"/>
    <n v="7"/>
    <n v="3"/>
    <n v="6"/>
    <n v="7"/>
    <n v="6"/>
    <n v="4"/>
    <n v="7"/>
    <n v="3"/>
    <n v="25"/>
    <n v="23"/>
    <n v="10"/>
    <n v="58"/>
    <n v="1.8135294011647258"/>
    <n v="23.196700507614214"/>
    <n v="6.4306002317777482"/>
    <n v="22.771573604060915"/>
    <n v="6.5356886776680962"/>
    <n v="11.434010152284264"/>
    <n v="3.5019632409825281"/>
    <n v="0.28042475467134764"/>
    <n v="3.4950623752872265E-2"/>
    <n v="-0.40948749418681252"/>
    <n v="-3.137070525419753E-2"/>
  </r>
  <r>
    <x v="31"/>
    <s v="IMP"/>
    <n v="9"/>
    <n v="10"/>
    <n v="9"/>
    <n v="5"/>
    <n v="8"/>
    <n v="7"/>
    <n v="8"/>
    <n v="4"/>
    <n v="9"/>
    <n v="4"/>
    <n v="33"/>
    <n v="27"/>
    <n v="13"/>
    <n v="73"/>
    <n v="2.2135943621178655"/>
    <n v="23.196700507614214"/>
    <n v="6.4306002317777482"/>
    <n v="22.771573604060915"/>
    <n v="6.5356886776680962"/>
    <n v="11.434010152284264"/>
    <n v="3.5019632409825281"/>
    <n v="1.524476586795328"/>
    <n v="0.64697487969206147"/>
    <n v="0.44717483878453679"/>
    <n v="0.87287543509064214"/>
  </r>
  <r>
    <x v="31"/>
    <s v="IMP"/>
    <n v="8"/>
    <n v="6"/>
    <n v="9"/>
    <n v="4"/>
    <n v="7"/>
    <n v="6"/>
    <n v="6"/>
    <n v="3"/>
    <n v="8"/>
    <n v="4"/>
    <n v="27"/>
    <n v="22"/>
    <n v="12"/>
    <n v="61"/>
    <n v="1.9692073983655907"/>
    <n v="23.196700507614214"/>
    <n v="6.4306002317777482"/>
    <n v="22.771573604060915"/>
    <n v="6.5356886776680962"/>
    <n v="11.434010152284264"/>
    <n v="3.5019632409825281"/>
    <n v="0.59143771270234269"/>
    <n v="-0.11805544023192505"/>
    <n v="0.16162072779408701"/>
    <n v="0.21166766675483487"/>
  </r>
  <r>
    <x v="31"/>
    <s v="IMP"/>
    <n v="8"/>
    <n v="8"/>
    <n v="7"/>
    <n v="3"/>
    <n v="8"/>
    <n v="6"/>
    <n v="7"/>
    <n v="3"/>
    <n v="7"/>
    <n v="3"/>
    <n v="26"/>
    <n v="24"/>
    <n v="10"/>
    <n v="60"/>
    <n v="2.1602468994692865"/>
    <n v="23.196700507614214"/>
    <n v="6.4306002317777482"/>
    <n v="22.771573604060915"/>
    <n v="6.5356886776680962"/>
    <n v="11.434010152284264"/>
    <n v="3.5019632409825281"/>
    <n v="0.43593123368684517"/>
    <n v="0.18795668773766958"/>
    <n v="-0.40948749418681252"/>
    <n v="7.1466809079234084E-2"/>
  </r>
  <r>
    <x v="31"/>
    <s v="IMP"/>
    <n v="9"/>
    <n v="9"/>
    <n v="9"/>
    <n v="4"/>
    <n v="7"/>
    <n v="7"/>
    <n v="9"/>
    <n v="3"/>
    <n v="6"/>
    <n v="3"/>
    <n v="31"/>
    <n v="26"/>
    <n v="9"/>
    <n v="66"/>
    <n v="2.503331114069145"/>
    <n v="23.196700507614214"/>
    <n v="6.4306002317777482"/>
    <n v="22.771573604060915"/>
    <n v="6.5356886776680962"/>
    <n v="11.434010152284264"/>
    <n v="3.5019632409825281"/>
    <n v="1.2134636287643328"/>
    <n v="0.49396881570726414"/>
    <n v="-0.69504160517726232"/>
    <n v="0.33746361309811151"/>
  </r>
  <r>
    <x v="32"/>
    <s v="IMP"/>
    <n v="8"/>
    <n v="8"/>
    <n v="8"/>
    <n v="8"/>
    <n v="7"/>
    <n v="7"/>
    <n v="8"/>
    <n v="7"/>
    <n v="8"/>
    <n v="8"/>
    <n v="32"/>
    <n v="29"/>
    <n v="16"/>
    <n v="77"/>
    <n v="0.48304589153964789"/>
    <n v="23.196700507614214"/>
    <n v="6.4306002317777482"/>
    <n v="22.771573604060915"/>
    <n v="6.5356886776680962"/>
    <n v="11.434010152284264"/>
    <n v="3.5019632409825281"/>
    <n v="1.3689701077798304"/>
    <n v="0.95298700766165612"/>
    <n v="1.3038371717558861"/>
    <n v="1.2085980957324576"/>
  </r>
  <r>
    <x v="32"/>
    <s v="IMP"/>
    <n v="5"/>
    <n v="2"/>
    <n v="2"/>
    <n v="1"/>
    <n v="1"/>
    <n v="1"/>
    <n v="1"/>
    <n v="1"/>
    <n v="2"/>
    <n v="1"/>
    <n v="10"/>
    <n v="4"/>
    <n v="3"/>
    <n v="17"/>
    <n v="1.2516655570345725"/>
    <n v="23.196700507614214"/>
    <n v="6.4306002317777482"/>
    <n v="22.771573604060915"/>
    <n v="6.5356886776680962"/>
    <n v="11.434010152284264"/>
    <n v="3.5019632409825281"/>
    <n v="-2.0521724305611153"/>
    <n v="-2.8721645919582763"/>
    <n v="-2.4083662711199607"/>
    <n v="-2.4442344312131179"/>
  </r>
  <r>
    <x v="32"/>
    <s v="IMP"/>
    <n v="9"/>
    <n v="8"/>
    <n v="8"/>
    <n v="8"/>
    <n v="9"/>
    <n v="9"/>
    <n v="9"/>
    <n v="9"/>
    <n v="8"/>
    <n v="8"/>
    <n v="33"/>
    <n v="36"/>
    <n v="16"/>
    <n v="85"/>
    <n v="0.52704627669472992"/>
    <n v="23.196700507614214"/>
    <n v="6.4306002317777482"/>
    <n v="22.771573604060915"/>
    <n v="6.5356886776680962"/>
    <n v="11.434010152284264"/>
    <n v="3.5019632409825281"/>
    <n v="1.524476586795328"/>
    <n v="2.0240294555552372"/>
    <n v="1.3038371717558861"/>
    <n v="1.6174477380354837"/>
  </r>
  <r>
    <x v="32"/>
    <s v="IMP"/>
    <n v="7"/>
    <n v="8"/>
    <n v="7"/>
    <n v="7"/>
    <n v="6"/>
    <n v="6"/>
    <n v="6"/>
    <n v="6"/>
    <n v="6"/>
    <n v="6"/>
    <n v="29"/>
    <n v="24"/>
    <n v="12"/>
    <n v="65"/>
    <n v="0.70710678118654746"/>
    <n v="23.196700507614214"/>
    <n v="6.4306002317777482"/>
    <n v="22.771573604060915"/>
    <n v="6.5356886776680962"/>
    <n v="11.434010152284264"/>
    <n v="3.5019632409825281"/>
    <n v="0.90245067073333785"/>
    <n v="0.18795668773766958"/>
    <n v="0.16162072779408701"/>
    <n v="0.41734269542169816"/>
  </r>
  <r>
    <x v="32"/>
    <s v="IMP"/>
    <n v="7"/>
    <n v="7"/>
    <n v="8"/>
    <n v="7"/>
    <n v="7"/>
    <n v="7"/>
    <n v="7"/>
    <n v="7"/>
    <n v="7"/>
    <n v="8"/>
    <n v="29"/>
    <n v="28"/>
    <n v="15"/>
    <n v="72"/>
    <n v="0.42163702135578407"/>
    <n v="23.196700507614214"/>
    <n v="6.4306002317777482"/>
    <n v="22.771573604060915"/>
    <n v="6.5356886776680962"/>
    <n v="11.434010152284264"/>
    <n v="3.5019632409825281"/>
    <n v="0.90245067073333785"/>
    <n v="0.79998094367685879"/>
    <n v="1.0182830607654363"/>
    <n v="0.90690489172521094"/>
  </r>
  <r>
    <x v="32"/>
    <s v="IMP"/>
    <n v="8"/>
    <n v="7"/>
    <n v="8"/>
    <n v="7"/>
    <n v="8"/>
    <n v="8"/>
    <n v="8"/>
    <n v="8"/>
    <n v="9"/>
    <n v="8"/>
    <n v="30"/>
    <n v="32"/>
    <n v="17"/>
    <n v="79"/>
    <n v="0.56764621219754696"/>
    <n v="23.196700507614214"/>
    <n v="6.4306002317777482"/>
    <n v="22.771573604060915"/>
    <n v="6.5356886776680962"/>
    <n v="11.434010152284264"/>
    <n v="3.5019632409825281"/>
    <n v="1.0579571497488354"/>
    <n v="1.4120051996160479"/>
    <n v="1.5893912827463359"/>
    <n v="1.3531178773704065"/>
  </r>
  <r>
    <x v="32"/>
    <s v="IMP"/>
    <n v="8"/>
    <n v="3"/>
    <n v="5"/>
    <n v="5"/>
    <n v="8"/>
    <n v="8"/>
    <n v="8"/>
    <n v="8"/>
    <n v="8"/>
    <n v="8"/>
    <n v="21"/>
    <n v="32"/>
    <n v="16"/>
    <n v="69"/>
    <n v="1.8529256146249731"/>
    <n v="23.196700507614214"/>
    <n v="6.4306002317777482"/>
    <n v="22.771573604060915"/>
    <n v="6.5356886776680962"/>
    <n v="11.434010152284264"/>
    <n v="3.5019632409825281"/>
    <n v="-0.3416011613906425"/>
    <n v="1.4120051996160479"/>
    <n v="1.3038371717558861"/>
    <n v="0.79141373666043047"/>
  </r>
  <r>
    <x v="32"/>
    <s v="IMP"/>
    <n v="5"/>
    <n v="4"/>
    <n v="4"/>
    <n v="4"/>
    <n v="4"/>
    <n v="3"/>
    <n v="2"/>
    <n v="2"/>
    <n v="2"/>
    <n v="2"/>
    <n v="17"/>
    <n v="11"/>
    <n v="4"/>
    <n v="32"/>
    <n v="1.1352924243950933"/>
    <n v="23.196700507614214"/>
    <n v="6.4306002317777482"/>
    <n v="22.771573604060915"/>
    <n v="6.5356886776680962"/>
    <n v="11.434010152284264"/>
    <n v="3.5019632409825281"/>
    <n v="-0.96362707745263265"/>
    <n v="-1.8011221440646954"/>
    <n v="-2.1228121601295111"/>
    <n v="-1.6291871272156131"/>
  </r>
  <r>
    <x v="32"/>
    <s v="IMP"/>
    <n v="7"/>
    <n v="5"/>
    <n v="5"/>
    <n v="5"/>
    <n v="5"/>
    <n v="3"/>
    <n v="4"/>
    <n v="4"/>
    <n v="4"/>
    <n v="5"/>
    <n v="22"/>
    <n v="16"/>
    <n v="9"/>
    <n v="47"/>
    <n v="1.0593499054713802"/>
    <n v="23.196700507614214"/>
    <n v="6.4306002317777482"/>
    <n v="22.771573604060915"/>
    <n v="6.5356886776680962"/>
    <n v="11.434010152284264"/>
    <n v="3.5019632409825281"/>
    <n v="-0.18609468237514495"/>
    <n v="-1.0360918241407089"/>
    <n v="-0.69504160517726232"/>
    <n v="-0.63907603723103878"/>
  </r>
  <r>
    <x v="32"/>
    <s v="IMP"/>
    <n v="2"/>
    <n v="1"/>
    <n v="1"/>
    <n v="1"/>
    <n v="2"/>
    <n v="2"/>
    <n v="2"/>
    <n v="2"/>
    <n v="2"/>
    <n v="2"/>
    <n v="5"/>
    <n v="8"/>
    <n v="4"/>
    <n v="17"/>
    <n v="0.48304589153964794"/>
    <n v="23.196700507614214"/>
    <n v="6.4306002317777482"/>
    <n v="22.771573604060915"/>
    <n v="6.5356886776680962"/>
    <n v="11.434010152284264"/>
    <n v="3.5019632409825281"/>
    <n v="-2.8297048256386033"/>
    <n v="-2.260140336019087"/>
    <n v="-2.1228121601295111"/>
    <n v="-2.4042191072624006"/>
  </r>
  <r>
    <x v="32"/>
    <s v="IMP"/>
    <n v="5"/>
    <n v="6"/>
    <n v="5"/>
    <n v="5"/>
    <n v="5"/>
    <n v="6"/>
    <n v="6"/>
    <n v="6"/>
    <n v="5"/>
    <n v="4"/>
    <n v="21"/>
    <n v="23"/>
    <n v="9"/>
    <n v="53"/>
    <n v="0.67494855771055284"/>
    <n v="23.196700507614214"/>
    <n v="6.4306002317777482"/>
    <n v="22.771573604060915"/>
    <n v="6.5356886776680962"/>
    <n v="11.434010152284264"/>
    <n v="3.5019632409825281"/>
    <n v="-0.3416011613906425"/>
    <n v="3.4950623752872265E-2"/>
    <n v="-0.69504160517726232"/>
    <n v="-0.33389738093834415"/>
  </r>
  <r>
    <x v="32"/>
    <s v="IMP"/>
    <n v="8"/>
    <n v="5"/>
    <n v="5"/>
    <n v="5"/>
    <n v="4"/>
    <n v="4"/>
    <n v="4"/>
    <n v="3"/>
    <n v="3"/>
    <n v="4"/>
    <n v="23"/>
    <n v="15"/>
    <n v="7"/>
    <n v="45"/>
    <n v="1.4337208778404378"/>
    <n v="23.196700507614214"/>
    <n v="6.4306002317777482"/>
    <n v="22.771573604060915"/>
    <n v="6.5356886776680962"/>
    <n v="11.434010152284264"/>
    <n v="3.5019632409825281"/>
    <n v="-3.0588203359647428E-2"/>
    <n v="-1.1890978881255061"/>
    <n v="-1.2661498271581617"/>
    <n v="-0.828611972881105"/>
  </r>
  <r>
    <x v="32"/>
    <s v="IMP"/>
    <n v="2"/>
    <n v="1"/>
    <n v="1"/>
    <n v="1"/>
    <n v="2"/>
    <n v="1"/>
    <n v="1"/>
    <n v="1"/>
    <n v="1"/>
    <n v="1"/>
    <n v="5"/>
    <n v="5"/>
    <n v="2"/>
    <n v="12"/>
    <n v="0.4216370213557839"/>
    <n v="23.196700507614214"/>
    <n v="6.4306002317777482"/>
    <n v="22.771573604060915"/>
    <n v="6.5356886776680962"/>
    <n v="11.434010152284264"/>
    <n v="3.5019632409825281"/>
    <n v="-2.8297048256386033"/>
    <n v="-2.7191585279734793"/>
    <n v="-2.6939203821104107"/>
    <n v="-2.7475945785741644"/>
  </r>
  <r>
    <x v="32"/>
    <s v="IMP"/>
    <n v="2"/>
    <n v="1"/>
    <n v="1"/>
    <n v="1"/>
    <n v="2"/>
    <n v="1"/>
    <n v="1"/>
    <n v="1"/>
    <n v="1"/>
    <n v="1"/>
    <n v="5"/>
    <n v="5"/>
    <n v="2"/>
    <n v="12"/>
    <n v="0.4216370213557839"/>
    <n v="23.196700507614214"/>
    <n v="6.4306002317777482"/>
    <n v="22.771573604060915"/>
    <n v="6.5356886776680962"/>
    <n v="11.434010152284264"/>
    <n v="3.5019632409825281"/>
    <n v="-2.8297048256386033"/>
    <n v="-2.7191585279734793"/>
    <n v="-2.6939203821104107"/>
    <n v="-2.7475945785741644"/>
  </r>
  <r>
    <x v="32"/>
    <s v="IMP"/>
    <n v="3"/>
    <n v="3"/>
    <n v="3"/>
    <n v="3"/>
    <n v="3"/>
    <n v="3"/>
    <n v="3"/>
    <n v="3"/>
    <n v="3"/>
    <n v="1"/>
    <n v="12"/>
    <n v="12"/>
    <n v="4"/>
    <n v="28"/>
    <n v="0.63245553203367588"/>
    <n v="23.196700507614214"/>
    <n v="6.4306002317777482"/>
    <n v="22.771573604060915"/>
    <n v="6.5356886776680962"/>
    <n v="11.434010152284264"/>
    <n v="3.5019632409825281"/>
    <n v="-1.7411594725301203"/>
    <n v="-1.648116080079898"/>
    <n v="-2.1228121601295111"/>
    <n v="-1.8373625709131762"/>
  </r>
  <r>
    <x v="32"/>
    <s v="IMP"/>
    <n v="7"/>
    <n v="6"/>
    <n v="5"/>
    <n v="5"/>
    <n v="6"/>
    <n v="6"/>
    <n v="6"/>
    <n v="5"/>
    <n v="5"/>
    <n v="5"/>
    <n v="23"/>
    <n v="23"/>
    <n v="10"/>
    <n v="56"/>
    <n v="0.69920589878010098"/>
    <n v="23.196700507614214"/>
    <n v="6.4306002317777482"/>
    <n v="22.771573604060915"/>
    <n v="6.5356886776680962"/>
    <n v="11.434010152284264"/>
    <n v="3.5019632409825281"/>
    <n v="-3.0588203359647428E-2"/>
    <n v="3.4950623752872265E-2"/>
    <n v="-0.40948749418681252"/>
    <n v="-0.13504169126452922"/>
  </r>
  <r>
    <x v="32"/>
    <s v="IMP"/>
    <n v="6"/>
    <n v="5"/>
    <n v="5"/>
    <n v="4"/>
    <n v="6"/>
    <n v="6"/>
    <n v="6"/>
    <n v="5"/>
    <n v="5"/>
    <n v="6"/>
    <n v="20"/>
    <n v="23"/>
    <n v="11"/>
    <n v="54"/>
    <n v="0.69920589878010087"/>
    <n v="23.196700507614214"/>
    <n v="6.4306002317777482"/>
    <n v="22.771573604060915"/>
    <n v="6.5356886776680962"/>
    <n v="11.434010152284264"/>
    <n v="3.5019632409825281"/>
    <n v="-0.49710764040614003"/>
    <n v="3.4950623752872265E-2"/>
    <n v="-0.12393338319636275"/>
    <n v="-0.1953634666165435"/>
  </r>
  <r>
    <x v="32"/>
    <s v="IMP"/>
    <n v="7"/>
    <n v="5"/>
    <n v="4"/>
    <n v="4"/>
    <n v="4"/>
    <n v="4"/>
    <n v="4"/>
    <n v="4"/>
    <n v="3"/>
    <n v="4"/>
    <n v="20"/>
    <n v="16"/>
    <n v="7"/>
    <n v="43"/>
    <n v="1.0593499054713802"/>
    <n v="23.196700507614214"/>
    <n v="6.4306002317777482"/>
    <n v="22.771573604060915"/>
    <n v="6.5356886776680962"/>
    <n v="11.434010152284264"/>
    <n v="3.5019632409825281"/>
    <n v="-0.49710764040614003"/>
    <n v="-1.0360918241407089"/>
    <n v="-1.2661498271581617"/>
    <n v="-0.93311643056833693"/>
  </r>
  <r>
    <x v="32"/>
    <s v="IMP"/>
    <n v="7"/>
    <n v="5"/>
    <n v="5"/>
    <n v="5"/>
    <n v="5"/>
    <n v="5"/>
    <n v="5"/>
    <n v="4"/>
    <n v="5"/>
    <n v="6"/>
    <n v="22"/>
    <n v="19"/>
    <n v="11"/>
    <n v="52"/>
    <n v="0.78881063774661564"/>
    <n v="23.196700507614214"/>
    <n v="6.4306002317777482"/>
    <n v="22.771573604060915"/>
    <n v="6.5356886776680962"/>
    <n v="11.434010152284264"/>
    <n v="3.5019632409825281"/>
    <n v="-0.18609468237514495"/>
    <n v="-0.57707363218631691"/>
    <n v="-0.12393338319636275"/>
    <n v="-0.29570056591927485"/>
  </r>
  <r>
    <x v="32"/>
    <s v="IMP"/>
    <n v="9"/>
    <n v="8"/>
    <n v="8"/>
    <n v="9"/>
    <n v="8"/>
    <n v="8"/>
    <n v="7"/>
    <n v="8"/>
    <n v="8"/>
    <n v="8"/>
    <n v="34"/>
    <n v="31"/>
    <n v="16"/>
    <n v="81"/>
    <n v="0.56764621219754707"/>
    <n v="23.196700507614214"/>
    <n v="6.4306002317777482"/>
    <n v="22.771573604060915"/>
    <n v="6.5356886776680962"/>
    <n v="11.434010152284264"/>
    <n v="3.5019632409825281"/>
    <n v="1.6799830658108255"/>
    <n v="1.2589991356312507"/>
    <n v="1.3038371717558861"/>
    <n v="1.4142731243993207"/>
  </r>
  <r>
    <x v="32"/>
    <s v="IMP"/>
    <n v="8"/>
    <n v="8"/>
    <n v="8"/>
    <n v="8"/>
    <n v="8"/>
    <n v="7"/>
    <n v="7"/>
    <n v="7"/>
    <n v="7"/>
    <n v="8"/>
    <n v="32"/>
    <n v="29"/>
    <n v="15"/>
    <n v="76"/>
    <n v="0.5163977794943222"/>
    <n v="23.196700507614214"/>
    <n v="6.4306002317777482"/>
    <n v="22.771573604060915"/>
    <n v="6.5356886776680962"/>
    <n v="11.434010152284264"/>
    <n v="3.5019632409825281"/>
    <n v="1.3689701077798304"/>
    <n v="0.95298700766165612"/>
    <n v="1.0182830607654363"/>
    <n v="1.1134133920689742"/>
  </r>
  <r>
    <x v="32"/>
    <s v="IMP"/>
    <n v="7"/>
    <n v="4"/>
    <n v="4"/>
    <n v="5"/>
    <n v="5"/>
    <n v="5"/>
    <n v="5"/>
    <n v="6"/>
    <n v="6"/>
    <n v="5"/>
    <n v="20"/>
    <n v="21"/>
    <n v="11"/>
    <n v="52"/>
    <n v="0.91893658347268148"/>
    <n v="23.196700507614214"/>
    <n v="6.4306002317777482"/>
    <n v="22.771573604060915"/>
    <n v="6.5356886776680962"/>
    <n v="11.434010152284264"/>
    <n v="3.5019632409825281"/>
    <n v="-0.49710764040614003"/>
    <n v="-0.27106150421672232"/>
    <n v="-0.12393338319636275"/>
    <n v="-0.29736750927307504"/>
  </r>
  <r>
    <x v="32"/>
    <s v="IMP"/>
    <n v="7"/>
    <n v="6"/>
    <n v="6"/>
    <n v="6"/>
    <n v="7"/>
    <n v="7"/>
    <n v="7"/>
    <n v="8"/>
    <n v="7"/>
    <n v="7"/>
    <n v="25"/>
    <n v="29"/>
    <n v="14"/>
    <n v="68"/>
    <n v="0.63245553203367588"/>
    <n v="23.196700507614214"/>
    <n v="6.4306002317777482"/>
    <n v="22.771573604060915"/>
    <n v="6.5356886776680962"/>
    <n v="11.434010152284264"/>
    <n v="3.5019632409825281"/>
    <n v="0.28042475467134764"/>
    <n v="0.95298700766165612"/>
    <n v="0.73272894977498659"/>
    <n v="0.65538023736933004"/>
  </r>
  <r>
    <x v="32"/>
    <s v="IMP"/>
    <n v="7"/>
    <n v="6"/>
    <n v="5"/>
    <n v="5"/>
    <n v="4"/>
    <n v="4"/>
    <n v="4"/>
    <n v="2"/>
    <n v="3"/>
    <n v="3"/>
    <n v="23"/>
    <n v="14"/>
    <n v="6"/>
    <n v="43"/>
    <n v="1.4944341180973264"/>
    <n v="23.196700507614214"/>
    <n v="6.4306002317777482"/>
    <n v="22.771573604060915"/>
    <n v="6.5356886776680962"/>
    <n v="11.434010152284264"/>
    <n v="3.5019632409825281"/>
    <n v="-3.0588203359647428E-2"/>
    <n v="-1.3421039521103035"/>
    <n v="-1.5517039381486115"/>
    <n v="-0.97479869787285411"/>
  </r>
  <r>
    <x v="32"/>
    <s v="IMP"/>
    <n v="7"/>
    <n v="5"/>
    <n v="5"/>
    <n v="5"/>
    <n v="5"/>
    <n v="6"/>
    <n v="5"/>
    <n v="6"/>
    <n v="6"/>
    <n v="7"/>
    <n v="22"/>
    <n v="22"/>
    <n v="13"/>
    <n v="57"/>
    <n v="0.82327260234856459"/>
    <n v="23.196700507614214"/>
    <n v="6.4306002317777482"/>
    <n v="22.771573604060915"/>
    <n v="6.5356886776680962"/>
    <n v="11.434010152284264"/>
    <n v="3.5019632409825281"/>
    <n v="-0.18609468237514495"/>
    <n v="-0.11805544023192505"/>
    <n v="0.44717483878453679"/>
    <n v="4.7674905392488941E-2"/>
  </r>
  <r>
    <x v="32"/>
    <s v="IMP"/>
    <n v="8"/>
    <n v="8"/>
    <n v="8"/>
    <n v="8"/>
    <n v="8"/>
    <n v="8"/>
    <n v="8"/>
    <n v="8"/>
    <n v="8"/>
    <n v="9"/>
    <n v="32"/>
    <n v="32"/>
    <n v="17"/>
    <n v="81"/>
    <n v="0.316227766016838"/>
    <n v="23.196700507614214"/>
    <n v="6.4306002317777482"/>
    <n v="22.771573604060915"/>
    <n v="6.5356886776680962"/>
    <n v="11.434010152284264"/>
    <n v="3.5019632409825281"/>
    <n v="1.3689701077798304"/>
    <n v="1.4120051996160479"/>
    <n v="1.5893912827463359"/>
    <n v="1.456788863380738"/>
  </r>
  <r>
    <x v="32"/>
    <s v="IMP"/>
    <n v="8"/>
    <n v="7"/>
    <n v="7"/>
    <n v="7"/>
    <n v="8"/>
    <n v="8"/>
    <n v="8"/>
    <n v="7"/>
    <n v="7"/>
    <n v="8"/>
    <n v="29"/>
    <n v="31"/>
    <n v="15"/>
    <n v="75"/>
    <n v="0.52704627669472981"/>
    <n v="23.196700507614214"/>
    <n v="6.4306002317777482"/>
    <n v="22.771573604060915"/>
    <n v="6.5356886776680962"/>
    <n v="11.434010152284264"/>
    <n v="3.5019632409825281"/>
    <n v="0.90245067073333785"/>
    <n v="1.2589991356312507"/>
    <n v="1.0182830607654363"/>
    <n v="1.0599109557100084"/>
  </r>
  <r>
    <x v="32"/>
    <s v="IMP"/>
    <n v="3"/>
    <n v="3"/>
    <n v="2"/>
    <n v="2"/>
    <n v="3"/>
    <n v="4"/>
    <n v="3"/>
    <n v="4"/>
    <n v="3"/>
    <n v="3"/>
    <n v="10"/>
    <n v="14"/>
    <n v="6"/>
    <n v="30"/>
    <n v="0.66666666666666663"/>
    <n v="23.196700507614214"/>
    <n v="6.4306002317777482"/>
    <n v="22.771573604060915"/>
    <n v="6.5356886776680962"/>
    <n v="11.434010152284264"/>
    <n v="3.5019632409825281"/>
    <n v="-2.0521724305611153"/>
    <n v="-1.3421039521103035"/>
    <n v="-1.5517039381486115"/>
    <n v="-1.6486601069400102"/>
  </r>
  <r>
    <x v="32"/>
    <s v="IMP"/>
    <n v="5"/>
    <n v="4"/>
    <n v="5"/>
    <n v="5"/>
    <n v="5"/>
    <n v="5"/>
    <n v="5"/>
    <n v="5"/>
    <n v="5"/>
    <n v="6"/>
    <n v="19"/>
    <n v="20"/>
    <n v="11"/>
    <n v="50"/>
    <n v="0.47140452079103162"/>
    <n v="23.196700507614214"/>
    <n v="6.4306002317777482"/>
    <n v="22.771573604060915"/>
    <n v="6.5356886776680962"/>
    <n v="11.434010152284264"/>
    <n v="3.5019632409825281"/>
    <n v="-0.65261411942163761"/>
    <n v="-0.42406756820151964"/>
    <n v="-0.12393338319636275"/>
    <n v="-0.40020502360650667"/>
  </r>
  <r>
    <x v="32"/>
    <s v="IMP"/>
    <n v="8"/>
    <n v="7"/>
    <n v="7"/>
    <n v="7"/>
    <n v="8"/>
    <n v="8"/>
    <n v="7"/>
    <n v="8"/>
    <n v="7"/>
    <n v="7"/>
    <n v="29"/>
    <n v="31"/>
    <n v="14"/>
    <n v="74"/>
    <n v="0.5163977794943222"/>
    <n v="23.196700507614214"/>
    <n v="6.4306002317777482"/>
    <n v="22.771573604060915"/>
    <n v="6.5356886776680962"/>
    <n v="11.434010152284264"/>
    <n v="3.5019632409825281"/>
    <n v="0.90245067073333785"/>
    <n v="1.2589991356312507"/>
    <n v="0.73272894977498659"/>
    <n v="0.96472625204652507"/>
  </r>
  <r>
    <x v="32"/>
    <s v="IMP"/>
    <n v="6"/>
    <n v="4"/>
    <n v="5"/>
    <n v="4"/>
    <n v="3"/>
    <n v="4"/>
    <n v="3"/>
    <n v="3"/>
    <n v="3"/>
    <n v="4"/>
    <n v="19"/>
    <n v="13"/>
    <n v="7"/>
    <n v="39"/>
    <n v="0.99442892601175348"/>
    <n v="23.196700507614214"/>
    <n v="6.4306002317777482"/>
    <n v="22.771573604060915"/>
    <n v="6.5356886776680962"/>
    <n v="11.434010152284264"/>
    <n v="3.5019632409825281"/>
    <n v="-0.65261411942163761"/>
    <n v="-1.4951100160951007"/>
    <n v="-1.2661498271581617"/>
    <n v="-1.1379579875583001"/>
  </r>
  <r>
    <x v="32"/>
    <s v="IMP"/>
    <n v="1"/>
    <n v="2"/>
    <n v="2"/>
    <n v="2"/>
    <n v="2"/>
    <n v="2"/>
    <n v="2"/>
    <n v="2"/>
    <n v="2"/>
    <n v="2"/>
    <n v="7"/>
    <n v="8"/>
    <n v="4"/>
    <n v="19"/>
    <n v="0.31622776601683794"/>
    <n v="23.196700507614214"/>
    <n v="6.4306002317777482"/>
    <n v="22.771573604060915"/>
    <n v="6.5356886776680962"/>
    <n v="11.434010152284264"/>
    <n v="3.5019632409825281"/>
    <n v="-2.518691867607608"/>
    <n v="-2.260140336019087"/>
    <n v="-2.1228121601295111"/>
    <n v="-2.3005481212520689"/>
  </r>
  <r>
    <x v="32"/>
    <s v="IMP"/>
    <n v="6"/>
    <n v="6"/>
    <n v="6"/>
    <n v="6"/>
    <n v="5"/>
    <n v="6"/>
    <n v="5"/>
    <n v="4"/>
    <n v="5"/>
    <n v="6"/>
    <n v="24"/>
    <n v="20"/>
    <n v="11"/>
    <n v="55"/>
    <n v="0.70710678118654757"/>
    <n v="23.196700507614214"/>
    <n v="6.4306002317777482"/>
    <n v="22.771573604060915"/>
    <n v="6.5356886776680962"/>
    <n v="11.434010152284264"/>
    <n v="3.5019632409825281"/>
    <n v="0.12491827565585011"/>
    <n v="-0.42406756820151964"/>
    <n v="-0.12393338319636275"/>
    <n v="-0.14102755858067742"/>
  </r>
  <r>
    <x v="32"/>
    <s v="IMP"/>
    <n v="3"/>
    <n v="3"/>
    <n v="4"/>
    <n v="4"/>
    <n v="4"/>
    <n v="4"/>
    <n v="3"/>
    <n v="4"/>
    <n v="3"/>
    <n v="3"/>
    <n v="14"/>
    <n v="15"/>
    <n v="6"/>
    <n v="35"/>
    <n v="0.52704627669472992"/>
    <n v="23.196700507614214"/>
    <n v="6.4306002317777482"/>
    <n v="22.771573604060915"/>
    <n v="6.5356886776680962"/>
    <n v="11.434010152284264"/>
    <n v="3.5019632409825281"/>
    <n v="-1.4301465144991252"/>
    <n v="-1.1890978881255061"/>
    <n v="-1.5517039381486115"/>
    <n v="-1.3903161135910811"/>
  </r>
  <r>
    <x v="32"/>
    <s v="IMP"/>
    <n v="6"/>
    <n v="5"/>
    <n v="5"/>
    <n v="5"/>
    <n v="4"/>
    <n v="5"/>
    <n v="4"/>
    <n v="4"/>
    <n v="5"/>
    <n v="4"/>
    <n v="21"/>
    <n v="17"/>
    <n v="9"/>
    <n v="47"/>
    <n v="0.67494855771055284"/>
    <n v="23.196700507614214"/>
    <n v="6.4306002317777482"/>
    <n v="22.771573604060915"/>
    <n v="6.5356886776680962"/>
    <n v="11.434010152284264"/>
    <n v="3.5019632409825281"/>
    <n v="-0.3416011613906425"/>
    <n v="-0.88308576015591156"/>
    <n v="-0.69504160517726232"/>
    <n v="-0.63990950890793885"/>
  </r>
  <r>
    <x v="32"/>
    <s v="IMP"/>
    <n v="6"/>
    <n v="7"/>
    <n v="7"/>
    <n v="7"/>
    <n v="7"/>
    <n v="6"/>
    <n v="5"/>
    <n v="5"/>
    <n v="5"/>
    <n v="5"/>
    <n v="27"/>
    <n v="23"/>
    <n v="10"/>
    <n v="60"/>
    <n v="0.94280904158206302"/>
    <n v="23.196700507614214"/>
    <n v="6.4306002317777482"/>
    <n v="22.771573604060915"/>
    <n v="6.5356886776680962"/>
    <n v="11.434010152284264"/>
    <n v="3.5019632409825281"/>
    <n v="0.59143771270234269"/>
    <n v="3.4950623752872265E-2"/>
    <n v="-0.40948749418681252"/>
    <n v="7.230028075613415E-2"/>
  </r>
  <r>
    <x v="32"/>
    <s v="IMP"/>
    <n v="5"/>
    <n v="4"/>
    <n v="3"/>
    <n v="4"/>
    <n v="4"/>
    <n v="3"/>
    <n v="3"/>
    <n v="3"/>
    <n v="3"/>
    <n v="3"/>
    <n v="16"/>
    <n v="13"/>
    <n v="6"/>
    <n v="35"/>
    <n v="0.70710678118654757"/>
    <n v="23.196700507614214"/>
    <n v="6.4306002317777482"/>
    <n v="22.771573604060915"/>
    <n v="6.5356886776680962"/>
    <n v="11.434010152284264"/>
    <n v="3.5019632409825281"/>
    <n v="-1.1191335564681302"/>
    <n v="-1.4951100160951007"/>
    <n v="-1.5517039381486115"/>
    <n v="-1.3886491702372805"/>
  </r>
  <r>
    <x v="32"/>
    <s v="IMP"/>
    <n v="6"/>
    <n v="5"/>
    <n v="5"/>
    <n v="7"/>
    <n v="7"/>
    <n v="8"/>
    <n v="7"/>
    <n v="7"/>
    <n v="7"/>
    <n v="7"/>
    <n v="23"/>
    <n v="29"/>
    <n v="14"/>
    <n v="66"/>
    <n v="0.96609178307929611"/>
    <n v="23.196700507614214"/>
    <n v="6.4306002317777482"/>
    <n v="22.771573604060915"/>
    <n v="6.5356886776680962"/>
    <n v="11.434010152284264"/>
    <n v="3.5019632409825281"/>
    <n v="-3.0588203359647428E-2"/>
    <n v="0.95298700766165612"/>
    <n v="0.73272894977498659"/>
    <n v="0.5517092513589984"/>
  </r>
  <r>
    <x v="32"/>
    <s v="IMP"/>
    <n v="8"/>
    <n v="8"/>
    <n v="7"/>
    <n v="8"/>
    <n v="5"/>
    <n v="5"/>
    <n v="5"/>
    <n v="5"/>
    <n v="5"/>
    <n v="6"/>
    <n v="31"/>
    <n v="20"/>
    <n v="11"/>
    <n v="62"/>
    <n v="1.3984117975602024"/>
    <n v="23.196700507614214"/>
    <n v="6.4306002317777482"/>
    <n v="22.771573604060915"/>
    <n v="6.5356886776680962"/>
    <n v="11.434010152284264"/>
    <n v="3.5019632409825281"/>
    <n v="1.2134636287643328"/>
    <n v="-0.42406756820151964"/>
    <n v="-0.12393338319636275"/>
    <n v="0.2218208924554835"/>
  </r>
  <r>
    <x v="32"/>
    <s v="IMP"/>
    <n v="6"/>
    <n v="5"/>
    <n v="5"/>
    <n v="5"/>
    <n v="5"/>
    <n v="5"/>
    <n v="5"/>
    <n v="5"/>
    <n v="5"/>
    <n v="5"/>
    <n v="21"/>
    <n v="20"/>
    <n v="10"/>
    <n v="51"/>
    <n v="0.31622776601683794"/>
    <n v="23.196700507614214"/>
    <n v="6.4306002317777482"/>
    <n v="22.771573604060915"/>
    <n v="6.5356886776680962"/>
    <n v="11.434010152284264"/>
    <n v="3.5019632409825281"/>
    <n v="-0.3416011613906425"/>
    <n v="-0.42406756820151964"/>
    <n v="-0.40948749418681252"/>
    <n v="-0.39171874125965828"/>
  </r>
  <r>
    <x v="32"/>
    <s v="IMP"/>
    <n v="5"/>
    <n v="4"/>
    <n v="5"/>
    <n v="4"/>
    <n v="4"/>
    <n v="5"/>
    <n v="5"/>
    <n v="4"/>
    <n v="4"/>
    <n v="4"/>
    <n v="18"/>
    <n v="18"/>
    <n v="8"/>
    <n v="44"/>
    <n v="0.51639777949432231"/>
    <n v="23.196700507614214"/>
    <n v="6.4306002317777482"/>
    <n v="22.771573604060915"/>
    <n v="6.5356886776680962"/>
    <n v="11.434010152284264"/>
    <n v="3.5019632409825281"/>
    <n v="-0.80812059843713513"/>
    <n v="-0.73007969617111423"/>
    <n v="-0.98059571616771202"/>
    <n v="-0.83959867025865387"/>
  </r>
  <r>
    <x v="32"/>
    <s v="IMP"/>
    <n v="5"/>
    <n v="3"/>
    <n v="3"/>
    <n v="3"/>
    <n v="3"/>
    <n v="3"/>
    <n v="4"/>
    <n v="3"/>
    <n v="3"/>
    <n v="3"/>
    <n v="14"/>
    <n v="13"/>
    <n v="6"/>
    <n v="33"/>
    <n v="0.67494855771055307"/>
    <n v="23.196700507614214"/>
    <n v="6.4306002317777482"/>
    <n v="22.771573604060915"/>
    <n v="6.5356886776680962"/>
    <n v="11.434010152284264"/>
    <n v="3.5019632409825281"/>
    <n v="-1.4301465144991252"/>
    <n v="-1.4951100160951007"/>
    <n v="-1.5517039381486115"/>
    <n v="-1.4923201562476125"/>
  </r>
  <r>
    <x v="32"/>
    <s v="IMP"/>
    <n v="5"/>
    <n v="5"/>
    <n v="5"/>
    <n v="5"/>
    <n v="4"/>
    <n v="5"/>
    <n v="4"/>
    <n v="4"/>
    <n v="4"/>
    <n v="4"/>
    <n v="20"/>
    <n v="17"/>
    <n v="8"/>
    <n v="45"/>
    <n v="0.52704627669472992"/>
    <n v="23.196700507614214"/>
    <n v="6.4306002317777482"/>
    <n v="22.771573604060915"/>
    <n v="6.5356886776680962"/>
    <n v="11.434010152284264"/>
    <n v="3.5019632409825281"/>
    <n v="-0.49710764040614003"/>
    <n v="-0.88308576015591156"/>
    <n v="-0.98059571616771202"/>
    <n v="-0.78692970557658792"/>
  </r>
  <r>
    <x v="32"/>
    <s v="IMP"/>
    <n v="8"/>
    <n v="8"/>
    <n v="6"/>
    <n v="5"/>
    <n v="9"/>
    <n v="9"/>
    <n v="8"/>
    <n v="8"/>
    <n v="8"/>
    <n v="8"/>
    <n v="27"/>
    <n v="34"/>
    <n v="16"/>
    <n v="77"/>
    <n v="1.2516655570345725"/>
    <n v="23.196700507614214"/>
    <n v="6.4306002317777482"/>
    <n v="22.771573604060915"/>
    <n v="6.5356886776680962"/>
    <n v="11.434010152284264"/>
    <n v="3.5019632409825281"/>
    <n v="0.59143771270234269"/>
    <n v="1.7180173275856425"/>
    <n v="1.3038371717558861"/>
    <n v="1.20443073734795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E5BC8B5-DEB2-49C1-B377-208D4234B00B}" name="TablaDinámica7" cacheId="57" applyNumberFormats="0" applyBorderFormats="0" applyFontFormats="0" applyPatternFormats="0" applyAlignmentFormats="0" applyWidthHeightFormats="1" dataCaption="Valores" updatedVersion="8" minRefreshableVersion="3" useAutoFormatting="1" rowGrandTotals="0" colGrandTotals="0" itemPrintTitles="1" createdVersion="8" indent="0" outline="1" outlineData="1" multipleFieldFilters="0" rowHeaderCaption="SCORES IMPR">
  <location ref="A41:J74" firstHeaderRow="0" firstDataRow="1" firstDataCol="1"/>
  <pivotFields count="27">
    <pivotField axis="axisRow" showAll="0">
      <items count="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numFmtId="2" showAll="0"/>
    <pivotField numFmtId="2" showAll="0"/>
    <pivotField numFmtId="2" showAll="0"/>
    <pivotField numFmtId="2" showAll="0"/>
    <pivotField numFmtId="2" showAll="0"/>
    <pivotField numFmtId="2" showAll="0"/>
    <pivotField numFmtId="2" showAll="0"/>
    <pivotField dataField="1" numFmtId="2" showAll="0"/>
    <pivotField dataField="1" numFmtId="2" showAll="0"/>
    <pivotField dataField="1" numFmtId="2" showAll="0"/>
    <pivotField dataField="1" numFmtId="2" showAll="0"/>
  </pivotFields>
  <rowFields count="1">
    <field x="0"/>
  </rowFields>
  <rowItems count="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rowItems>
  <colFields count="1">
    <field x="-2"/>
  </colFields>
  <colItems count="9">
    <i>
      <x/>
    </i>
    <i i="1">
      <x v="1"/>
    </i>
    <i i="2">
      <x v="2"/>
    </i>
    <i i="3">
      <x v="3"/>
    </i>
    <i i="4">
      <x v="4"/>
    </i>
    <i i="5">
      <x v="5"/>
    </i>
    <i i="6">
      <x v="6"/>
    </i>
    <i i="7">
      <x v="7"/>
    </i>
    <i i="8">
      <x v="8"/>
    </i>
  </colItems>
  <dataFields count="9">
    <dataField name="Promedio de SUB_A" fld="12" subtotal="average" baseField="0" baseItem="0"/>
    <dataField name="Promedio de ZSCORE_A" fld="23" subtotal="average" baseField="0" baseItem="0"/>
    <dataField name="Promedio de SUB_B" fld="13" subtotal="average" baseField="0" baseItem="0"/>
    <dataField name="Promedio de ZSCORE_B" fld="24" subtotal="average" baseField="0" baseItem="0"/>
    <dataField name="Promedio de SUB_C" fld="14" subtotal="average" baseField="0" baseItem="0"/>
    <dataField name="Promedio de ZSCORE_C" fld="25" subtotal="average" baseField="0" baseItem="0"/>
    <dataField name="Promedio de TOTAL" fld="15" subtotal="average" baseField="0" baseItem="0"/>
    <dataField name="Promedio de STD_TOTAL" fld="16" subtotal="average" baseField="0" baseItem="0"/>
    <dataField name="Promedio de AVG_ZSCORE" fld="26" subtotal="average" baseField="0" baseItem="0"/>
  </dataFields>
  <formats count="1">
    <format dxfId="2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599E620-0B82-4580-9912-2F00F6515B3B}" name="TablaDinámica6" cacheId="53" applyNumberFormats="0" applyBorderFormats="0" applyFontFormats="0" applyPatternFormats="0" applyAlignmentFormats="0" applyWidthHeightFormats="1" dataCaption="Valores" updatedVersion="8" minRefreshableVersion="3" useAutoFormatting="1" rowGrandTotals="0" colGrandTotals="0" itemPrintTitles="1" createdVersion="8" indent="0" outline="1" outlineData="1" multipleFieldFilters="0" rowHeaderCaption="SCORES PREP">
  <location ref="A3:L37" firstHeaderRow="0" firstDataRow="1" firstDataCol="1"/>
  <pivotFields count="21">
    <pivotField axis="axisRow" showAll="0">
      <items count="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showAll="0"/>
    <pivotField dataField="1" showAll="0"/>
    <pivotField dataField="1" showAll="0"/>
    <pivotField dataField="1" showAll="0"/>
    <pivotField dataField="1" showAll="0"/>
    <pivotField dataField="1" showAll="0"/>
    <pivotField dataField="1" numFmtId="2" showAll="0"/>
    <pivotField numFmtId="2" showAll="0"/>
    <pivotField numFmtId="2" showAll="0"/>
    <pivotField numFmtId="2" showAll="0"/>
    <pivotField numFmtId="2" showAll="0"/>
    <pivotField numFmtId="2" showAll="0"/>
    <pivotField numFmtId="2" showAll="0"/>
    <pivotField numFmtId="2" showAll="0"/>
    <pivotField numFmtId="2" showAll="0"/>
    <pivotField dataField="1" numFmtId="2" showAll="0"/>
    <pivotField dataField="1" numFmtId="2" showAll="0"/>
    <pivotField dataField="1" numFmtId="2" showAll="0"/>
    <pivotField dataField="1" numFmtId="2" showAll="0"/>
    <pivotField dataField="1" numFmtId="2" showAll="0"/>
  </pivotFields>
  <rowFields count="1">
    <field x="0"/>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rowItems>
  <colFields count="1">
    <field x="-2"/>
  </colFields>
  <colItems count="11">
    <i>
      <x/>
    </i>
    <i i="1">
      <x v="1"/>
    </i>
    <i i="2">
      <x v="2"/>
    </i>
    <i i="3">
      <x v="3"/>
    </i>
    <i i="4">
      <x v="4"/>
    </i>
    <i i="5">
      <x v="5"/>
    </i>
    <i i="6">
      <x v="6"/>
    </i>
    <i i="7">
      <x v="7"/>
    </i>
    <i i="8">
      <x v="8"/>
    </i>
    <i i="9">
      <x v="9"/>
    </i>
    <i i="10">
      <x v="10"/>
    </i>
  </colItems>
  <dataFields count="11">
    <dataField name="Promedio de SUB_A" fld="2" subtotal="average" baseField="0" baseItem="11"/>
    <dataField name="Promedio de ZSCORE_A" fld="16" subtotal="average" baseField="0" baseItem="0"/>
    <dataField name="Promedio de SUB_B" fld="3" subtotal="average" baseField="0" baseItem="25"/>
    <dataField name="Promedio de ZSCORE_B" fld="17" subtotal="average" baseField="0" baseItem="0"/>
    <dataField name="Promedio de SUB_C" fld="4" subtotal="average" baseField="0" baseItem="25"/>
    <dataField name="Promedio de ZSCORE_C" fld="18" subtotal="average" baseField="0" baseItem="0"/>
    <dataField name="Promedio de SUB_D" fld="5" subtotal="average" baseField="0" baseItem="25"/>
    <dataField name="Promedio de ZSCORE_D" fld="19" subtotal="average" baseField="0" baseItem="0"/>
    <dataField name="Promedio de TOTAL" fld="6" subtotal="average" baseField="0" baseItem="0"/>
    <dataField name="Promedio de STD_TOTAL" fld="7" subtotal="average" baseField="0" baseItem="0"/>
    <dataField name="Promedio de AVG_ZSCORE" fld="20" subtotal="average" baseField="0" baseItem="0"/>
  </dataFields>
  <formats count="3">
    <format dxfId="23">
      <pivotArea outline="0" collapsedLevelsAreSubtotals="1" fieldPosition="0"/>
    </format>
    <format dxfId="22">
      <pivotArea dataOnly="0" labelOnly="1" outline="0" fieldPosition="0">
        <references count="1">
          <reference field="4294967294" count="5">
            <x v="1"/>
            <x v="3"/>
            <x v="5"/>
            <x v="7"/>
            <x v="10"/>
          </reference>
        </references>
      </pivotArea>
    </format>
    <format dxfId="2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211B0FA-23A3-49C3-B22E-2EB3F61C7843}" name="Tabla6" displayName="Tabla6" ref="A2:S39" totalsRowShown="0" headerRowDxfId="14">
  <sortState xmlns:xlrd2="http://schemas.microsoft.com/office/spreadsheetml/2017/richdata2" ref="A3:S39">
    <sortCondition ref="A2:A39"/>
  </sortState>
  <tableColumns count="19">
    <tableColumn id="1" xr3:uid="{6590A9C8-AD4B-46A5-9414-1615EDC688D8}" name="ADJ" dataDxfId="19"/>
    <tableColumn id="2" xr3:uid="{F39CEB8D-3F5E-4C85-A04A-370844800011}" name="A" dataDxfId="18"/>
    <tableColumn id="18" xr3:uid="{F7EAF144-45C0-4141-B749-996407922784}" name="B" dataDxfId="13"/>
    <tableColumn id="17" xr3:uid="{D4233CD3-3EB5-4DE3-A636-BBC2DEBA16B9}" name="C" dataDxfId="12"/>
    <tableColumn id="16" xr3:uid="{16ABB300-1826-45BB-8A4B-D8D8608B7E73}" name="D" dataDxfId="11"/>
    <tableColumn id="23" xr3:uid="{65499C1F-1BCC-4152-AE21-88707324D5D8}" name="TOTAL" dataDxfId="10">
      <calculatedColumnFormula>SUM(Tabla6[[#This Row],[A]:[D]])</calculatedColumnFormula>
    </tableColumn>
    <tableColumn id="22" xr3:uid="{BEE92D45-13D1-4C93-AE5F-CA45CD19EEDE}" name="STD" dataDxfId="9"/>
    <tableColumn id="3" xr3:uid="{4B52C41F-F905-495B-9DF3-9639781506B4}" name="HEAD_A" dataDxfId="8" dataCellStyle="Porcentaje"/>
    <tableColumn id="21" xr3:uid="{2612E30A-902F-4596-8B56-3535B10BA53F}" name="HEAD_B" dataDxfId="7" dataCellStyle="Porcentaje"/>
    <tableColumn id="20" xr3:uid="{23F5C348-E8F3-406C-BF23-7FD13896C88F}" name="HEAD_C" dataDxfId="6" dataCellStyle="Porcentaje"/>
    <tableColumn id="19" xr3:uid="{98F9969A-36D9-45FC-9B17-F01682F6E30A}" name="HEAD_D" dataDxfId="5" dataCellStyle="Porcentaje"/>
    <tableColumn id="29" xr3:uid="{77DBF6B9-E68D-4BB7-9490-E4B4311BE615}" name="AVG_HEAD" dataDxfId="0" dataCellStyle="Porcentaje">
      <calculatedColumnFormula>AVERAGE(H2:K3)</calculatedColumnFormula>
    </tableColumn>
    <tableColumn id="28" xr3:uid="{FADDD8E9-5015-4D70-9DF9-9B55674684F8}" name="STD_HEAD" dataDxfId="1" dataCellStyle="Porcentaje">
      <calculatedColumnFormula>_xlfn.STDEV.S(Tabla6[[#This Row],[HEAD_A]:[HEAD_D]])</calculatedColumnFormula>
    </tableColumn>
    <tableColumn id="4" xr3:uid="{1AD2FAE1-F4F3-4AC3-A512-1C673A1E9286}" name="Z_A" dataDxfId="4"/>
    <tableColumn id="7" xr3:uid="{DA421850-0180-43D8-B042-7BD7BCEFD007}" name="Z_B" dataDxfId="17"/>
    <tableColumn id="10" xr3:uid="{8AE7B4D4-7BB7-41AA-834C-E973EF0C7530}" name="Z_C" dataDxfId="16"/>
    <tableColumn id="13" xr3:uid="{A2A8138B-8A1D-40FB-BD4D-C8CF75F18A66}" name="Z_D" dataDxfId="15"/>
    <tableColumn id="25" xr3:uid="{47859867-1725-4AAD-B728-308D80DFB22B}" name="Z_TOTAL" dataDxfId="3">
      <calculatedColumnFormula>AVERAGE(Tabla6[[#This Row],[Z_A]:[Z_D]])</calculatedColumnFormula>
    </tableColumn>
    <tableColumn id="27" xr3:uid="{DF788C4E-2F4B-4048-A4FD-70C47C7E0B99}" name="STD_Z" dataDxfId="2">
      <calculatedColumnFormula>_xlfn.STDEV.S(Tabla6[[#This Row],[Z_A]:[Z_D]])</calculatedColumnFormula>
    </tableColumn>
  </tableColumns>
  <tableStyleInfo name="TableStyleLight14"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357B4A0-BFBE-447B-8E82-E1FB067AA4B7}">
  <we:reference id="wa200007700" version="1.0.0.1" store="es-ES" storeType="OMEX"/>
  <we:alternateReferences>
    <we:reference id="WA200007700" version="1.0.0.1" store="WA200007700" storeType="OMEX"/>
  </we:alternateReferences>
  <we:properties/>
  <we:bindings/>
  <we:snapshot xmlns:r="http://schemas.openxmlformats.org/officeDocument/2006/relationships"/>
</we:webextension>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192B8-520A-4B61-80FB-2B04D2301BBF}">
  <dimension ref="A2:C38"/>
  <sheetViews>
    <sheetView topLeftCell="A22" workbookViewId="0">
      <selection activeCell="B32" sqref="B32:C32"/>
    </sheetView>
  </sheetViews>
  <sheetFormatPr baseColWidth="10" defaultRowHeight="15" x14ac:dyDescent="0.25"/>
  <cols>
    <col min="1" max="1" width="8" customWidth="1"/>
    <col min="2" max="2" width="28.5703125" bestFit="1" customWidth="1"/>
  </cols>
  <sheetData>
    <row r="2" spans="1:3" x14ac:dyDescent="0.25">
      <c r="A2" t="s">
        <v>1652</v>
      </c>
      <c r="B2" t="s">
        <v>34</v>
      </c>
      <c r="C2" t="s">
        <v>1707</v>
      </c>
    </row>
    <row r="3" spans="1:3" x14ac:dyDescent="0.25">
      <c r="A3" t="s">
        <v>1653</v>
      </c>
      <c r="B3" t="s">
        <v>120</v>
      </c>
      <c r="C3" t="s">
        <v>1708</v>
      </c>
    </row>
    <row r="4" spans="1:3" x14ac:dyDescent="0.25">
      <c r="A4" t="s">
        <v>1655</v>
      </c>
      <c r="B4" t="s">
        <v>93</v>
      </c>
      <c r="C4" t="s">
        <v>1709</v>
      </c>
    </row>
    <row r="5" spans="1:3" x14ac:dyDescent="0.25">
      <c r="A5" t="s">
        <v>1656</v>
      </c>
      <c r="B5" t="s">
        <v>860</v>
      </c>
      <c r="C5" t="s">
        <v>1710</v>
      </c>
    </row>
    <row r="6" spans="1:3" x14ac:dyDescent="0.25">
      <c r="A6" t="s">
        <v>1657</v>
      </c>
      <c r="B6" t="s">
        <v>270</v>
      </c>
      <c r="C6" t="s">
        <v>1711</v>
      </c>
    </row>
    <row r="7" spans="1:3" x14ac:dyDescent="0.25">
      <c r="A7" t="s">
        <v>1658</v>
      </c>
      <c r="B7" t="s">
        <v>147</v>
      </c>
      <c r="C7" t="s">
        <v>1712</v>
      </c>
    </row>
    <row r="8" spans="1:3" x14ac:dyDescent="0.25">
      <c r="A8" t="s">
        <v>1659</v>
      </c>
      <c r="B8" t="s">
        <v>280</v>
      </c>
      <c r="C8" t="s">
        <v>1713</v>
      </c>
    </row>
    <row r="9" spans="1:3" x14ac:dyDescent="0.25">
      <c r="A9" t="s">
        <v>1660</v>
      </c>
      <c r="B9" t="s">
        <v>156</v>
      </c>
      <c r="C9" t="s">
        <v>1714</v>
      </c>
    </row>
    <row r="10" spans="1:3" x14ac:dyDescent="0.25">
      <c r="A10" t="s">
        <v>1661</v>
      </c>
      <c r="B10" t="s">
        <v>526</v>
      </c>
      <c r="C10" t="s">
        <v>1715</v>
      </c>
    </row>
    <row r="11" spans="1:3" x14ac:dyDescent="0.25">
      <c r="A11" t="s">
        <v>1664</v>
      </c>
      <c r="B11" t="s">
        <v>129</v>
      </c>
      <c r="C11" t="s">
        <v>1716</v>
      </c>
    </row>
    <row r="12" spans="1:3" x14ac:dyDescent="0.25">
      <c r="A12" t="s">
        <v>1665</v>
      </c>
      <c r="B12" t="s">
        <v>583</v>
      </c>
      <c r="C12" t="s">
        <v>1717</v>
      </c>
    </row>
    <row r="13" spans="1:3" x14ac:dyDescent="0.25">
      <c r="A13" t="s">
        <v>1666</v>
      </c>
      <c r="B13" t="s">
        <v>316</v>
      </c>
      <c r="C13" t="s">
        <v>1718</v>
      </c>
    </row>
    <row r="14" spans="1:3" x14ac:dyDescent="0.25">
      <c r="A14" t="s">
        <v>1667</v>
      </c>
      <c r="B14" t="s">
        <v>66</v>
      </c>
      <c r="C14" t="s">
        <v>1719</v>
      </c>
    </row>
    <row r="15" spans="1:3" x14ac:dyDescent="0.25">
      <c r="A15" t="s">
        <v>1668</v>
      </c>
      <c r="B15" t="s">
        <v>46</v>
      </c>
      <c r="C15" t="s">
        <v>1720</v>
      </c>
    </row>
    <row r="16" spans="1:3" x14ac:dyDescent="0.25">
      <c r="A16" t="s">
        <v>1663</v>
      </c>
      <c r="B16" t="s">
        <v>102</v>
      </c>
      <c r="C16" t="s">
        <v>1721</v>
      </c>
    </row>
    <row r="17" spans="1:3" x14ac:dyDescent="0.25">
      <c r="A17" t="s">
        <v>1662</v>
      </c>
      <c r="B17" t="s">
        <v>535</v>
      </c>
      <c r="C17" t="s">
        <v>1722</v>
      </c>
    </row>
    <row r="18" spans="1:3" x14ac:dyDescent="0.25">
      <c r="A18" t="s">
        <v>1654</v>
      </c>
      <c r="B18" t="s">
        <v>405</v>
      </c>
      <c r="C18" t="s">
        <v>1723</v>
      </c>
    </row>
    <row r="19" spans="1:3" x14ac:dyDescent="0.25">
      <c r="A19" t="s">
        <v>1670</v>
      </c>
      <c r="B19" t="s">
        <v>75</v>
      </c>
      <c r="C19" t="s">
        <v>1724</v>
      </c>
    </row>
    <row r="20" spans="1:3" x14ac:dyDescent="0.25">
      <c r="A20" t="s">
        <v>1671</v>
      </c>
      <c r="B20" t="s">
        <v>299</v>
      </c>
      <c r="C20" t="s">
        <v>1725</v>
      </c>
    </row>
    <row r="21" spans="1:3" x14ac:dyDescent="0.25">
      <c r="A21" t="s">
        <v>1672</v>
      </c>
      <c r="B21" t="s">
        <v>138</v>
      </c>
      <c r="C21" t="s">
        <v>1726</v>
      </c>
    </row>
    <row r="22" spans="1:3" x14ac:dyDescent="0.25">
      <c r="A22" t="s">
        <v>1673</v>
      </c>
      <c r="B22" t="s">
        <v>174</v>
      </c>
      <c r="C22" t="s">
        <v>1727</v>
      </c>
    </row>
    <row r="23" spans="1:3" x14ac:dyDescent="0.25">
      <c r="A23" t="s">
        <v>1669</v>
      </c>
      <c r="B23" t="s">
        <v>227</v>
      </c>
      <c r="C23" t="s">
        <v>1728</v>
      </c>
    </row>
    <row r="24" spans="1:3" x14ac:dyDescent="0.25">
      <c r="A24" t="s">
        <v>1674</v>
      </c>
      <c r="B24" t="s">
        <v>236</v>
      </c>
      <c r="C24" t="s">
        <v>1729</v>
      </c>
    </row>
    <row r="25" spans="1:3" x14ac:dyDescent="0.25">
      <c r="A25" t="s">
        <v>1675</v>
      </c>
      <c r="B25" t="s">
        <v>509</v>
      </c>
      <c r="C25" t="s">
        <v>1730</v>
      </c>
    </row>
    <row r="26" spans="1:3" x14ac:dyDescent="0.25">
      <c r="A26" t="s">
        <v>1676</v>
      </c>
      <c r="B26" t="s">
        <v>183</v>
      </c>
      <c r="C26" t="s">
        <v>1731</v>
      </c>
    </row>
    <row r="27" spans="1:3" x14ac:dyDescent="0.25">
      <c r="A27" t="s">
        <v>1677</v>
      </c>
      <c r="B27" t="s">
        <v>1420</v>
      </c>
      <c r="C27" t="s">
        <v>1732</v>
      </c>
    </row>
    <row r="28" spans="1:3" x14ac:dyDescent="0.25">
      <c r="A28" t="s">
        <v>1678</v>
      </c>
      <c r="B28" t="s">
        <v>440</v>
      </c>
      <c r="C28" t="s">
        <v>1733</v>
      </c>
    </row>
    <row r="29" spans="1:3" x14ac:dyDescent="0.25">
      <c r="A29" t="s">
        <v>1679</v>
      </c>
      <c r="B29" t="s">
        <v>201</v>
      </c>
      <c r="C29" t="s">
        <v>1734</v>
      </c>
    </row>
    <row r="30" spans="1:3" x14ac:dyDescent="0.25">
      <c r="A30" t="s">
        <v>1680</v>
      </c>
      <c r="B30" t="s">
        <v>165</v>
      </c>
      <c r="C30" t="s">
        <v>1735</v>
      </c>
    </row>
    <row r="31" spans="1:3" x14ac:dyDescent="0.25">
      <c r="A31" t="s">
        <v>1681</v>
      </c>
      <c r="B31" t="s">
        <v>111</v>
      </c>
      <c r="C31" t="s">
        <v>1736</v>
      </c>
    </row>
    <row r="32" spans="1:3" x14ac:dyDescent="0.25">
      <c r="A32" t="s">
        <v>1682</v>
      </c>
      <c r="B32" t="s">
        <v>84</v>
      </c>
      <c r="C32" t="s">
        <v>1737</v>
      </c>
    </row>
    <row r="33" spans="1:3" x14ac:dyDescent="0.25">
      <c r="A33" t="s">
        <v>1683</v>
      </c>
      <c r="B33" t="s">
        <v>210</v>
      </c>
      <c r="C33" t="s">
        <v>1738</v>
      </c>
    </row>
    <row r="34" spans="1:3" x14ac:dyDescent="0.25">
      <c r="A34" t="s">
        <v>1684</v>
      </c>
      <c r="B34" t="s">
        <v>192</v>
      </c>
      <c r="C34" t="s">
        <v>1739</v>
      </c>
    </row>
    <row r="35" spans="1:3" x14ac:dyDescent="0.25">
      <c r="A35" t="s">
        <v>1685</v>
      </c>
      <c r="B35" t="s">
        <v>253</v>
      </c>
      <c r="C35" t="s">
        <v>1740</v>
      </c>
    </row>
    <row r="36" spans="1:3" x14ac:dyDescent="0.25">
      <c r="A36" t="s">
        <v>1686</v>
      </c>
      <c r="B36" t="s">
        <v>56</v>
      </c>
      <c r="C36" t="s">
        <v>1741</v>
      </c>
    </row>
    <row r="37" spans="1:3" x14ac:dyDescent="0.25">
      <c r="A37" t="s">
        <v>1687</v>
      </c>
      <c r="B37" t="s">
        <v>929</v>
      </c>
      <c r="C37" t="s">
        <v>1742</v>
      </c>
    </row>
    <row r="38" spans="1:3" x14ac:dyDescent="0.25">
      <c r="A38" t="s">
        <v>1688</v>
      </c>
      <c r="B38" t="s">
        <v>219</v>
      </c>
      <c r="C38" t="s">
        <v>1743</v>
      </c>
    </row>
  </sheetData>
  <phoneticPr fontId="18"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4578B-5A2D-4D9B-AC5E-A40537320FB1}">
  <dimension ref="A1:AH1579"/>
  <sheetViews>
    <sheetView tabSelected="1" zoomScale="40" zoomScaleNormal="40" workbookViewId="0">
      <selection activeCell="Z13" sqref="Z13"/>
    </sheetView>
  </sheetViews>
  <sheetFormatPr baseColWidth="10" defaultRowHeight="15" x14ac:dyDescent="0.25"/>
  <cols>
    <col min="1" max="1" width="10.140625" style="1" customWidth="1"/>
    <col min="2" max="2" width="7.28515625" style="1" customWidth="1"/>
    <col min="3" max="3" width="9.42578125" style="1" customWidth="1"/>
    <col min="4" max="4" width="9.140625" style="1" customWidth="1"/>
    <col min="5" max="11" width="11.42578125" style="1"/>
    <col min="12" max="12" width="11.42578125" style="12"/>
    <col min="13" max="17" width="11.42578125" style="1"/>
    <col min="18" max="18" width="11.42578125" style="12"/>
    <col min="19" max="21" width="11.42578125" style="1"/>
    <col min="22" max="22" width="11.42578125" style="12"/>
    <col min="23" max="26" width="11.42578125" style="1"/>
    <col min="27" max="27" width="11.42578125" style="12"/>
    <col min="28" max="28" width="11.42578125" style="2"/>
    <col min="29" max="16384" width="11.42578125" style="1"/>
  </cols>
  <sheetData>
    <row r="1" spans="1:34" x14ac:dyDescent="0.25">
      <c r="A1" s="1" t="s">
        <v>0</v>
      </c>
      <c r="B1" s="1" t="s">
        <v>1</v>
      </c>
      <c r="C1" s="1" t="s">
        <v>2</v>
      </c>
      <c r="D1" s="1" t="s">
        <v>3</v>
      </c>
      <c r="E1" s="1" t="s">
        <v>4</v>
      </c>
      <c r="F1" s="1" t="s">
        <v>5</v>
      </c>
      <c r="G1" s="3" t="s">
        <v>6</v>
      </c>
      <c r="H1" s="3" t="s">
        <v>7</v>
      </c>
      <c r="I1" s="3" t="s">
        <v>8</v>
      </c>
      <c r="J1" s="3" t="s">
        <v>9</v>
      </c>
      <c r="K1" s="3" t="s">
        <v>19</v>
      </c>
      <c r="L1" s="21" t="s">
        <v>1756</v>
      </c>
      <c r="M1" s="4" t="s">
        <v>10</v>
      </c>
      <c r="N1" s="4" t="s">
        <v>11</v>
      </c>
      <c r="O1" s="4" t="s">
        <v>12</v>
      </c>
      <c r="P1" s="4" t="s">
        <v>13</v>
      </c>
      <c r="Q1" s="4" t="s">
        <v>21</v>
      </c>
      <c r="R1" s="22" t="s">
        <v>1757</v>
      </c>
      <c r="S1" s="5" t="s">
        <v>14</v>
      </c>
      <c r="T1" s="5" t="s">
        <v>15</v>
      </c>
      <c r="U1" s="5" t="s">
        <v>23</v>
      </c>
      <c r="V1" s="23" t="s">
        <v>1758</v>
      </c>
      <c r="W1" s="6" t="s">
        <v>16</v>
      </c>
      <c r="X1" s="6" t="s">
        <v>17</v>
      </c>
      <c r="Y1" s="6" t="s">
        <v>18</v>
      </c>
      <c r="Z1" s="6" t="s">
        <v>25</v>
      </c>
      <c r="AA1" s="24" t="s">
        <v>1759</v>
      </c>
      <c r="AB1" s="1" t="s">
        <v>27</v>
      </c>
      <c r="AC1" s="1" t="s">
        <v>28</v>
      </c>
      <c r="AD1" s="1" t="s">
        <v>29</v>
      </c>
      <c r="AE1" s="1" t="s">
        <v>30</v>
      </c>
      <c r="AF1" s="1" t="s">
        <v>31</v>
      </c>
      <c r="AG1" s="1" t="s">
        <v>32</v>
      </c>
      <c r="AH1" s="1" t="s">
        <v>33</v>
      </c>
    </row>
    <row r="2" spans="1:34" x14ac:dyDescent="0.25">
      <c r="A2" s="1" t="s">
        <v>1652</v>
      </c>
      <c r="B2" s="1" t="s">
        <v>35</v>
      </c>
      <c r="C2" s="1" t="s">
        <v>36</v>
      </c>
      <c r="D2" s="1">
        <v>19</v>
      </c>
      <c r="E2" s="1">
        <v>1</v>
      </c>
      <c r="F2" s="1">
        <v>1</v>
      </c>
      <c r="G2" s="1">
        <v>3</v>
      </c>
      <c r="H2" s="1">
        <v>3</v>
      </c>
      <c r="I2" s="1">
        <v>3</v>
      </c>
      <c r="J2" s="1">
        <v>2</v>
      </c>
      <c r="K2" s="1">
        <f>SUM(G2:J2)</f>
        <v>11</v>
      </c>
      <c r="L2" s="12">
        <f>K2/35</f>
        <v>0.31428571428571428</v>
      </c>
      <c r="M2" s="1">
        <v>5</v>
      </c>
      <c r="N2" s="1">
        <v>4</v>
      </c>
      <c r="O2" s="1">
        <v>4</v>
      </c>
      <c r="P2" s="1">
        <v>2</v>
      </c>
      <c r="Q2" s="1">
        <f>SUM(M2:P2)</f>
        <v>15</v>
      </c>
      <c r="R2" s="12">
        <f>Q2/35</f>
        <v>0.42857142857142855</v>
      </c>
      <c r="S2" s="1">
        <v>4</v>
      </c>
      <c r="T2" s="1">
        <v>4</v>
      </c>
      <c r="U2" s="1">
        <f>SUM(S2:T2)</f>
        <v>8</v>
      </c>
      <c r="V2" s="12">
        <f>U2/15</f>
        <v>0.53333333333333333</v>
      </c>
      <c r="W2" s="1">
        <v>3</v>
      </c>
      <c r="X2" s="1">
        <v>4</v>
      </c>
      <c r="Y2" s="1">
        <v>3</v>
      </c>
      <c r="Z2" s="1">
        <f>SUM(W2:Y2)</f>
        <v>10</v>
      </c>
      <c r="AA2" s="12">
        <f>Z2/15</f>
        <v>0.66666666666666663</v>
      </c>
      <c r="AB2" s="2" t="s">
        <v>37</v>
      </c>
    </row>
    <row r="3" spans="1:34" x14ac:dyDescent="0.25">
      <c r="A3" s="1" t="s">
        <v>1652</v>
      </c>
      <c r="B3" s="1" t="s">
        <v>35</v>
      </c>
      <c r="C3" s="1" t="s">
        <v>36</v>
      </c>
      <c r="D3" s="1">
        <v>19</v>
      </c>
      <c r="E3" s="1">
        <v>1</v>
      </c>
      <c r="F3" s="1">
        <v>1</v>
      </c>
      <c r="G3" s="1">
        <v>4</v>
      </c>
      <c r="H3" s="1">
        <v>4</v>
      </c>
      <c r="I3" s="1">
        <v>4</v>
      </c>
      <c r="J3" s="1">
        <v>3</v>
      </c>
      <c r="K3" s="1">
        <f t="shared" ref="K3:K66" si="0">SUM(G3:J3)</f>
        <v>15</v>
      </c>
      <c r="L3" s="12">
        <f t="shared" ref="L3:L33" si="1">K3/35</f>
        <v>0.42857142857142855</v>
      </c>
      <c r="M3" s="1">
        <v>5</v>
      </c>
      <c r="N3" s="1">
        <v>4</v>
      </c>
      <c r="O3" s="1">
        <v>5</v>
      </c>
      <c r="P3" s="1">
        <v>3</v>
      </c>
      <c r="Q3" s="1">
        <f t="shared" ref="Q3:Q66" si="2">SUM(M3:P3)</f>
        <v>17</v>
      </c>
      <c r="R3" s="12">
        <f t="shared" ref="R3:R33" si="3">Q3/35</f>
        <v>0.48571428571428571</v>
      </c>
      <c r="S3" s="1">
        <v>5</v>
      </c>
      <c r="T3" s="1">
        <v>3</v>
      </c>
      <c r="U3" s="1">
        <f t="shared" ref="U3:U66" si="4">SUM(S3:T3)</f>
        <v>8</v>
      </c>
      <c r="V3" s="12">
        <f t="shared" ref="V3:V33" si="5">U3/15</f>
        <v>0.53333333333333333</v>
      </c>
      <c r="W3" s="1">
        <v>3</v>
      </c>
      <c r="X3" s="1">
        <v>4</v>
      </c>
      <c r="Y3" s="1">
        <v>3</v>
      </c>
      <c r="Z3" s="1">
        <f t="shared" ref="Z3:Z66" si="6">SUM(W3:Y3)</f>
        <v>10</v>
      </c>
      <c r="AA3" s="12">
        <f t="shared" ref="AA3:AA33" si="7">Z3/15</f>
        <v>0.66666666666666663</v>
      </c>
      <c r="AB3" s="2" t="s">
        <v>38</v>
      </c>
    </row>
    <row r="4" spans="1:34" x14ac:dyDescent="0.25">
      <c r="A4" s="1" t="s">
        <v>1652</v>
      </c>
      <c r="B4" s="1" t="s">
        <v>35</v>
      </c>
      <c r="C4" s="1" t="s">
        <v>36</v>
      </c>
      <c r="D4" s="1">
        <v>19</v>
      </c>
      <c r="E4" s="1">
        <v>1</v>
      </c>
      <c r="F4" s="1">
        <v>1</v>
      </c>
      <c r="G4" s="1">
        <v>4</v>
      </c>
      <c r="H4" s="1">
        <v>4</v>
      </c>
      <c r="I4" s="1">
        <v>3</v>
      </c>
      <c r="J4" s="1">
        <v>3</v>
      </c>
      <c r="K4" s="1">
        <f t="shared" si="0"/>
        <v>14</v>
      </c>
      <c r="L4" s="12">
        <f t="shared" si="1"/>
        <v>0.4</v>
      </c>
      <c r="M4" s="1">
        <v>4</v>
      </c>
      <c r="N4" s="1">
        <v>4</v>
      </c>
      <c r="O4" s="1">
        <v>4</v>
      </c>
      <c r="P4" s="1">
        <v>3</v>
      </c>
      <c r="Q4" s="1">
        <f t="shared" si="2"/>
        <v>15</v>
      </c>
      <c r="R4" s="12">
        <f t="shared" si="3"/>
        <v>0.42857142857142855</v>
      </c>
      <c r="S4" s="1">
        <v>4</v>
      </c>
      <c r="T4" s="1">
        <v>4</v>
      </c>
      <c r="U4" s="1">
        <f t="shared" si="4"/>
        <v>8</v>
      </c>
      <c r="V4" s="12">
        <f t="shared" si="5"/>
        <v>0.53333333333333333</v>
      </c>
      <c r="W4" s="1">
        <v>3</v>
      </c>
      <c r="X4" s="1">
        <v>3</v>
      </c>
      <c r="Y4" s="1">
        <v>3</v>
      </c>
      <c r="Z4" s="1">
        <f t="shared" si="6"/>
        <v>9</v>
      </c>
      <c r="AA4" s="12">
        <f t="shared" si="7"/>
        <v>0.6</v>
      </c>
      <c r="AB4" s="2" t="s">
        <v>39</v>
      </c>
    </row>
    <row r="5" spans="1:34" x14ac:dyDescent="0.25">
      <c r="A5" s="1" t="s">
        <v>1652</v>
      </c>
      <c r="B5" s="1" t="s">
        <v>35</v>
      </c>
      <c r="C5" s="1" t="s">
        <v>36</v>
      </c>
      <c r="D5" s="1">
        <v>19</v>
      </c>
      <c r="E5" s="1">
        <v>1</v>
      </c>
      <c r="F5" s="1">
        <v>1</v>
      </c>
      <c r="G5" s="1">
        <v>5</v>
      </c>
      <c r="H5" s="1">
        <v>5</v>
      </c>
      <c r="I5" s="1">
        <v>5</v>
      </c>
      <c r="J5" s="1">
        <v>3</v>
      </c>
      <c r="K5" s="1">
        <f t="shared" si="0"/>
        <v>18</v>
      </c>
      <c r="L5" s="12">
        <f t="shared" si="1"/>
        <v>0.51428571428571423</v>
      </c>
      <c r="M5" s="1">
        <v>4</v>
      </c>
      <c r="N5" s="1">
        <v>4</v>
      </c>
      <c r="O5" s="1">
        <v>5</v>
      </c>
      <c r="P5" s="1">
        <v>3</v>
      </c>
      <c r="Q5" s="1">
        <f t="shared" si="2"/>
        <v>16</v>
      </c>
      <c r="R5" s="12">
        <f t="shared" si="3"/>
        <v>0.45714285714285713</v>
      </c>
      <c r="S5" s="1">
        <v>5</v>
      </c>
      <c r="T5" s="1">
        <v>4</v>
      </c>
      <c r="U5" s="1">
        <f t="shared" si="4"/>
        <v>9</v>
      </c>
      <c r="V5" s="12">
        <f t="shared" si="5"/>
        <v>0.6</v>
      </c>
      <c r="W5" s="1">
        <v>3</v>
      </c>
      <c r="X5" s="1">
        <v>2</v>
      </c>
      <c r="Y5" s="1">
        <v>3</v>
      </c>
      <c r="Z5" s="1">
        <f t="shared" si="6"/>
        <v>8</v>
      </c>
      <c r="AA5" s="12">
        <f t="shared" si="7"/>
        <v>0.53333333333333333</v>
      </c>
      <c r="AB5" s="2" t="s">
        <v>40</v>
      </c>
    </row>
    <row r="6" spans="1:34" x14ac:dyDescent="0.25">
      <c r="A6" s="1" t="s">
        <v>1652</v>
      </c>
      <c r="B6" s="1" t="s">
        <v>35</v>
      </c>
      <c r="C6" s="1" t="s">
        <v>36</v>
      </c>
      <c r="D6" s="1">
        <v>19</v>
      </c>
      <c r="E6" s="1">
        <v>1</v>
      </c>
      <c r="F6" s="1">
        <v>1</v>
      </c>
      <c r="G6" s="1">
        <v>5</v>
      </c>
      <c r="H6" s="1">
        <v>5</v>
      </c>
      <c r="I6" s="1">
        <v>5</v>
      </c>
      <c r="J6" s="1">
        <v>4</v>
      </c>
      <c r="K6" s="1">
        <f t="shared" si="0"/>
        <v>19</v>
      </c>
      <c r="L6" s="12">
        <f t="shared" si="1"/>
        <v>0.54285714285714282</v>
      </c>
      <c r="M6" s="1">
        <v>4</v>
      </c>
      <c r="N6" s="1">
        <v>4</v>
      </c>
      <c r="O6" s="1">
        <v>5</v>
      </c>
      <c r="P6" s="1">
        <v>3</v>
      </c>
      <c r="Q6" s="1">
        <f t="shared" si="2"/>
        <v>16</v>
      </c>
      <c r="R6" s="12">
        <f t="shared" si="3"/>
        <v>0.45714285714285713</v>
      </c>
      <c r="S6" s="1">
        <v>5</v>
      </c>
      <c r="T6" s="1">
        <v>4</v>
      </c>
      <c r="U6" s="1">
        <f t="shared" si="4"/>
        <v>9</v>
      </c>
      <c r="V6" s="12">
        <f t="shared" si="5"/>
        <v>0.6</v>
      </c>
      <c r="W6" s="1">
        <v>3</v>
      </c>
      <c r="X6" s="1">
        <v>2</v>
      </c>
      <c r="Y6" s="1">
        <v>3</v>
      </c>
      <c r="Z6" s="1">
        <f t="shared" si="6"/>
        <v>8</v>
      </c>
      <c r="AA6" s="12">
        <f t="shared" si="7"/>
        <v>0.53333333333333333</v>
      </c>
      <c r="AB6" s="2" t="s">
        <v>41</v>
      </c>
    </row>
    <row r="7" spans="1:34" x14ac:dyDescent="0.25">
      <c r="A7" s="1" t="s">
        <v>1652</v>
      </c>
      <c r="B7" s="1" t="s">
        <v>35</v>
      </c>
      <c r="C7" s="1" t="s">
        <v>36</v>
      </c>
      <c r="D7" s="1">
        <v>19</v>
      </c>
      <c r="E7" s="1">
        <v>1</v>
      </c>
      <c r="F7" s="1">
        <v>1</v>
      </c>
      <c r="G7" s="1">
        <v>6</v>
      </c>
      <c r="H7" s="1">
        <v>5</v>
      </c>
      <c r="I7" s="1">
        <v>5</v>
      </c>
      <c r="J7" s="1">
        <v>4</v>
      </c>
      <c r="K7" s="1">
        <f t="shared" si="0"/>
        <v>20</v>
      </c>
      <c r="L7" s="12">
        <f t="shared" si="1"/>
        <v>0.5714285714285714</v>
      </c>
      <c r="M7" s="1">
        <v>4</v>
      </c>
      <c r="N7" s="1">
        <v>4</v>
      </c>
      <c r="O7" s="1">
        <v>6</v>
      </c>
      <c r="P7" s="1">
        <v>3</v>
      </c>
      <c r="Q7" s="1">
        <f t="shared" si="2"/>
        <v>17</v>
      </c>
      <c r="R7" s="12">
        <f t="shared" si="3"/>
        <v>0.48571428571428571</v>
      </c>
      <c r="S7" s="1">
        <v>5</v>
      </c>
      <c r="T7" s="1">
        <v>4</v>
      </c>
      <c r="U7" s="1">
        <f t="shared" si="4"/>
        <v>9</v>
      </c>
      <c r="V7" s="12">
        <f t="shared" si="5"/>
        <v>0.6</v>
      </c>
      <c r="W7" s="1">
        <v>3</v>
      </c>
      <c r="X7" s="1">
        <v>3</v>
      </c>
      <c r="Y7" s="1">
        <v>3</v>
      </c>
      <c r="Z7" s="1">
        <f t="shared" si="6"/>
        <v>9</v>
      </c>
      <c r="AA7" s="12">
        <f t="shared" si="7"/>
        <v>0.6</v>
      </c>
      <c r="AB7" s="2" t="s">
        <v>42</v>
      </c>
    </row>
    <row r="8" spans="1:34" x14ac:dyDescent="0.25">
      <c r="A8" s="1" t="s">
        <v>1652</v>
      </c>
      <c r="B8" s="1" t="s">
        <v>35</v>
      </c>
      <c r="C8" s="1" t="s">
        <v>36</v>
      </c>
      <c r="D8" s="1">
        <v>19</v>
      </c>
      <c r="E8" s="1">
        <v>1</v>
      </c>
      <c r="F8" s="1">
        <v>1</v>
      </c>
      <c r="G8" s="1">
        <v>4</v>
      </c>
      <c r="H8" s="1">
        <v>4</v>
      </c>
      <c r="I8" s="1">
        <v>4</v>
      </c>
      <c r="J8" s="1">
        <v>4</v>
      </c>
      <c r="K8" s="1">
        <f t="shared" si="0"/>
        <v>16</v>
      </c>
      <c r="L8" s="12">
        <f t="shared" si="1"/>
        <v>0.45714285714285713</v>
      </c>
      <c r="M8" s="1">
        <v>4</v>
      </c>
      <c r="N8" s="1">
        <v>4</v>
      </c>
      <c r="O8" s="1">
        <v>5</v>
      </c>
      <c r="P8" s="1">
        <v>3</v>
      </c>
      <c r="Q8" s="1">
        <f t="shared" si="2"/>
        <v>16</v>
      </c>
      <c r="R8" s="12">
        <f t="shared" si="3"/>
        <v>0.45714285714285713</v>
      </c>
      <c r="S8" s="1">
        <v>5</v>
      </c>
      <c r="T8" s="1">
        <v>4</v>
      </c>
      <c r="U8" s="1">
        <f t="shared" si="4"/>
        <v>9</v>
      </c>
      <c r="V8" s="12">
        <f t="shared" si="5"/>
        <v>0.6</v>
      </c>
      <c r="W8" s="1">
        <v>3</v>
      </c>
      <c r="X8" s="1">
        <v>3</v>
      </c>
      <c r="Y8" s="1">
        <v>3</v>
      </c>
      <c r="Z8" s="1">
        <f t="shared" si="6"/>
        <v>9</v>
      </c>
      <c r="AA8" s="12">
        <f t="shared" si="7"/>
        <v>0.6</v>
      </c>
      <c r="AB8" s="2" t="s">
        <v>43</v>
      </c>
    </row>
    <row r="9" spans="1:34" x14ac:dyDescent="0.25">
      <c r="A9" s="1" t="s">
        <v>1652</v>
      </c>
      <c r="B9" s="1" t="s">
        <v>35</v>
      </c>
      <c r="C9" s="1" t="s">
        <v>36</v>
      </c>
      <c r="D9" s="1">
        <v>19</v>
      </c>
      <c r="E9" s="1">
        <v>1</v>
      </c>
      <c r="F9" s="1">
        <v>1</v>
      </c>
      <c r="G9" s="1">
        <v>5</v>
      </c>
      <c r="H9" s="1">
        <v>4</v>
      </c>
      <c r="I9" s="1">
        <v>4</v>
      </c>
      <c r="J9" s="1">
        <v>3</v>
      </c>
      <c r="K9" s="1">
        <f t="shared" si="0"/>
        <v>16</v>
      </c>
      <c r="L9" s="12">
        <f t="shared" si="1"/>
        <v>0.45714285714285713</v>
      </c>
      <c r="M9" s="1">
        <v>3</v>
      </c>
      <c r="N9" s="1">
        <v>3</v>
      </c>
      <c r="O9" s="1">
        <v>3</v>
      </c>
      <c r="P9" s="1">
        <v>3</v>
      </c>
      <c r="Q9" s="1">
        <f t="shared" si="2"/>
        <v>12</v>
      </c>
      <c r="R9" s="12">
        <f t="shared" si="3"/>
        <v>0.34285714285714286</v>
      </c>
      <c r="S9" s="1">
        <v>4</v>
      </c>
      <c r="T9" s="1">
        <v>4</v>
      </c>
      <c r="U9" s="1">
        <f t="shared" si="4"/>
        <v>8</v>
      </c>
      <c r="V9" s="12">
        <f t="shared" si="5"/>
        <v>0.53333333333333333</v>
      </c>
      <c r="W9" s="1">
        <v>3</v>
      </c>
      <c r="X9" s="1">
        <v>3</v>
      </c>
      <c r="Y9" s="1">
        <v>3</v>
      </c>
      <c r="Z9" s="1">
        <f t="shared" si="6"/>
        <v>9</v>
      </c>
      <c r="AA9" s="12">
        <f t="shared" si="7"/>
        <v>0.6</v>
      </c>
      <c r="AB9" s="2" t="s">
        <v>44</v>
      </c>
    </row>
    <row r="10" spans="1:34" x14ac:dyDescent="0.25">
      <c r="A10" s="1" t="s">
        <v>1652</v>
      </c>
      <c r="B10" s="1" t="s">
        <v>35</v>
      </c>
      <c r="C10" s="1" t="s">
        <v>36</v>
      </c>
      <c r="D10" s="1">
        <v>19</v>
      </c>
      <c r="E10" s="1">
        <v>1</v>
      </c>
      <c r="F10" s="1">
        <v>1</v>
      </c>
      <c r="G10" s="1">
        <v>3</v>
      </c>
      <c r="H10" s="1">
        <v>3</v>
      </c>
      <c r="I10" s="1">
        <v>3</v>
      </c>
      <c r="J10" s="1">
        <v>2</v>
      </c>
      <c r="K10" s="1">
        <f t="shared" si="0"/>
        <v>11</v>
      </c>
      <c r="L10" s="12">
        <f t="shared" si="1"/>
        <v>0.31428571428571428</v>
      </c>
      <c r="M10" s="1">
        <v>3</v>
      </c>
      <c r="N10" s="1">
        <v>3</v>
      </c>
      <c r="O10" s="1">
        <v>3</v>
      </c>
      <c r="P10" s="1">
        <v>3</v>
      </c>
      <c r="Q10" s="1">
        <f t="shared" si="2"/>
        <v>12</v>
      </c>
      <c r="R10" s="12">
        <f t="shared" si="3"/>
        <v>0.34285714285714286</v>
      </c>
      <c r="S10" s="1">
        <v>4</v>
      </c>
      <c r="T10" s="1">
        <v>3</v>
      </c>
      <c r="U10" s="1">
        <f t="shared" si="4"/>
        <v>7</v>
      </c>
      <c r="V10" s="12">
        <f t="shared" si="5"/>
        <v>0.46666666666666667</v>
      </c>
      <c r="W10" s="1">
        <v>3</v>
      </c>
      <c r="X10" s="1">
        <v>2</v>
      </c>
      <c r="Y10" s="1">
        <v>3</v>
      </c>
      <c r="Z10" s="1">
        <f t="shared" si="6"/>
        <v>8</v>
      </c>
      <c r="AA10" s="12">
        <f t="shared" si="7"/>
        <v>0.53333333333333333</v>
      </c>
      <c r="AB10" s="2" t="s">
        <v>45</v>
      </c>
    </row>
    <row r="11" spans="1:34" x14ac:dyDescent="0.25">
      <c r="A11" s="1" t="s">
        <v>1652</v>
      </c>
      <c r="B11" s="1" t="s">
        <v>35</v>
      </c>
      <c r="C11" s="1" t="s">
        <v>36</v>
      </c>
      <c r="D11" s="1">
        <v>20</v>
      </c>
      <c r="E11" s="1">
        <v>2</v>
      </c>
      <c r="F11" s="1">
        <v>5</v>
      </c>
      <c r="G11" s="1">
        <v>4</v>
      </c>
      <c r="H11" s="1">
        <v>3</v>
      </c>
      <c r="I11" s="1">
        <v>3</v>
      </c>
      <c r="J11" s="1">
        <v>3</v>
      </c>
      <c r="K11" s="1">
        <f t="shared" si="0"/>
        <v>13</v>
      </c>
      <c r="L11" s="12">
        <f t="shared" si="1"/>
        <v>0.37142857142857144</v>
      </c>
      <c r="M11" s="1">
        <v>3</v>
      </c>
      <c r="N11" s="1">
        <v>3</v>
      </c>
      <c r="O11" s="1">
        <v>4</v>
      </c>
      <c r="P11" s="1">
        <v>3</v>
      </c>
      <c r="Q11" s="1">
        <f t="shared" si="2"/>
        <v>13</v>
      </c>
      <c r="R11" s="12">
        <f t="shared" si="3"/>
        <v>0.37142857142857144</v>
      </c>
      <c r="S11" s="1">
        <v>5</v>
      </c>
      <c r="T11" s="1">
        <v>4</v>
      </c>
      <c r="U11" s="1">
        <f t="shared" si="4"/>
        <v>9</v>
      </c>
      <c r="V11" s="12">
        <f t="shared" si="5"/>
        <v>0.6</v>
      </c>
      <c r="W11" s="1">
        <v>3</v>
      </c>
      <c r="X11" s="1">
        <v>3</v>
      </c>
      <c r="Y11" s="1">
        <v>3</v>
      </c>
      <c r="Z11" s="1">
        <f t="shared" si="6"/>
        <v>9</v>
      </c>
      <c r="AA11" s="12">
        <f t="shared" si="7"/>
        <v>0.6</v>
      </c>
      <c r="AB11" s="2" t="s">
        <v>349</v>
      </c>
    </row>
    <row r="12" spans="1:34" x14ac:dyDescent="0.25">
      <c r="A12" s="1" t="s">
        <v>1652</v>
      </c>
      <c r="B12" s="1" t="s">
        <v>35</v>
      </c>
      <c r="C12" s="1" t="s">
        <v>36</v>
      </c>
      <c r="D12" s="1">
        <v>20</v>
      </c>
      <c r="E12" s="1">
        <v>2</v>
      </c>
      <c r="F12" s="1">
        <v>5</v>
      </c>
      <c r="G12" s="1">
        <v>4</v>
      </c>
      <c r="H12" s="1">
        <v>4</v>
      </c>
      <c r="I12" s="1">
        <v>3</v>
      </c>
      <c r="J12" s="1">
        <v>4</v>
      </c>
      <c r="K12" s="1">
        <f t="shared" si="0"/>
        <v>15</v>
      </c>
      <c r="L12" s="12">
        <f t="shared" si="1"/>
        <v>0.42857142857142855</v>
      </c>
      <c r="M12" s="1">
        <v>4</v>
      </c>
      <c r="N12" s="1">
        <v>4</v>
      </c>
      <c r="O12" s="1">
        <v>5</v>
      </c>
      <c r="P12" s="1">
        <v>3</v>
      </c>
      <c r="Q12" s="1">
        <f t="shared" si="2"/>
        <v>16</v>
      </c>
      <c r="R12" s="12">
        <f t="shared" si="3"/>
        <v>0.45714285714285713</v>
      </c>
      <c r="S12" s="1">
        <v>5</v>
      </c>
      <c r="T12" s="1">
        <v>4</v>
      </c>
      <c r="U12" s="1">
        <f t="shared" si="4"/>
        <v>9</v>
      </c>
      <c r="V12" s="12">
        <f t="shared" si="5"/>
        <v>0.6</v>
      </c>
      <c r="W12" s="1">
        <v>3</v>
      </c>
      <c r="X12" s="1">
        <v>3</v>
      </c>
      <c r="Y12" s="1">
        <v>3</v>
      </c>
      <c r="Z12" s="1">
        <f t="shared" si="6"/>
        <v>9</v>
      </c>
      <c r="AA12" s="12">
        <f t="shared" si="7"/>
        <v>0.6</v>
      </c>
      <c r="AB12" s="2" t="s">
        <v>350</v>
      </c>
    </row>
    <row r="13" spans="1:34" x14ac:dyDescent="0.25">
      <c r="A13" s="1" t="s">
        <v>1652</v>
      </c>
      <c r="B13" s="1" t="s">
        <v>35</v>
      </c>
      <c r="C13" s="1" t="s">
        <v>36</v>
      </c>
      <c r="D13" s="1">
        <v>20</v>
      </c>
      <c r="E13" s="1">
        <v>2</v>
      </c>
      <c r="F13" s="1">
        <v>5</v>
      </c>
      <c r="G13" s="1">
        <v>4</v>
      </c>
      <c r="H13" s="1">
        <v>4</v>
      </c>
      <c r="I13" s="1">
        <v>3</v>
      </c>
      <c r="J13" s="1">
        <v>4</v>
      </c>
      <c r="K13" s="1">
        <f t="shared" si="0"/>
        <v>15</v>
      </c>
      <c r="L13" s="12">
        <f t="shared" si="1"/>
        <v>0.42857142857142855</v>
      </c>
      <c r="M13" s="1">
        <v>5</v>
      </c>
      <c r="N13" s="1">
        <v>5</v>
      </c>
      <c r="O13" s="1">
        <v>5</v>
      </c>
      <c r="P13" s="1">
        <v>3</v>
      </c>
      <c r="Q13" s="1">
        <f t="shared" si="2"/>
        <v>18</v>
      </c>
      <c r="R13" s="12">
        <f t="shared" si="3"/>
        <v>0.51428571428571423</v>
      </c>
      <c r="S13" s="1">
        <v>5</v>
      </c>
      <c r="T13" s="1">
        <v>4</v>
      </c>
      <c r="U13" s="1">
        <f t="shared" si="4"/>
        <v>9</v>
      </c>
      <c r="V13" s="12">
        <f t="shared" si="5"/>
        <v>0.6</v>
      </c>
      <c r="W13" s="1">
        <v>3</v>
      </c>
      <c r="X13" s="1">
        <v>3</v>
      </c>
      <c r="Y13" s="1">
        <v>3</v>
      </c>
      <c r="Z13" s="1">
        <f t="shared" si="6"/>
        <v>9</v>
      </c>
      <c r="AA13" s="12">
        <f t="shared" si="7"/>
        <v>0.6</v>
      </c>
      <c r="AB13" s="2" t="s">
        <v>351</v>
      </c>
    </row>
    <row r="14" spans="1:34" x14ac:dyDescent="0.25">
      <c r="A14" s="1" t="s">
        <v>1652</v>
      </c>
      <c r="B14" s="1" t="s">
        <v>35</v>
      </c>
      <c r="C14" s="1" t="s">
        <v>36</v>
      </c>
      <c r="D14" s="1">
        <v>20</v>
      </c>
      <c r="E14" s="1">
        <v>2</v>
      </c>
      <c r="F14" s="1">
        <v>5</v>
      </c>
      <c r="G14" s="1">
        <v>4</v>
      </c>
      <c r="H14" s="1">
        <v>3</v>
      </c>
      <c r="I14" s="1">
        <v>4</v>
      </c>
      <c r="J14" s="1">
        <v>3</v>
      </c>
      <c r="K14" s="1">
        <f t="shared" si="0"/>
        <v>14</v>
      </c>
      <c r="L14" s="12">
        <f t="shared" si="1"/>
        <v>0.4</v>
      </c>
      <c r="M14" s="1">
        <v>4</v>
      </c>
      <c r="N14" s="1">
        <v>4</v>
      </c>
      <c r="O14" s="1">
        <v>4</v>
      </c>
      <c r="P14" s="1">
        <v>4</v>
      </c>
      <c r="Q14" s="1">
        <f t="shared" si="2"/>
        <v>16</v>
      </c>
      <c r="R14" s="12">
        <f t="shared" si="3"/>
        <v>0.45714285714285713</v>
      </c>
      <c r="S14" s="1">
        <v>4</v>
      </c>
      <c r="T14" s="1">
        <v>3</v>
      </c>
      <c r="U14" s="1">
        <f t="shared" si="4"/>
        <v>7</v>
      </c>
      <c r="V14" s="12">
        <f t="shared" si="5"/>
        <v>0.46666666666666667</v>
      </c>
      <c r="W14" s="1">
        <v>4</v>
      </c>
      <c r="X14" s="1">
        <v>4</v>
      </c>
      <c r="Y14" s="1">
        <v>3</v>
      </c>
      <c r="Z14" s="1">
        <f t="shared" si="6"/>
        <v>11</v>
      </c>
      <c r="AA14" s="12">
        <f t="shared" si="7"/>
        <v>0.73333333333333328</v>
      </c>
      <c r="AB14" s="2" t="s">
        <v>352</v>
      </c>
    </row>
    <row r="15" spans="1:34" x14ac:dyDescent="0.25">
      <c r="A15" s="1" t="s">
        <v>1652</v>
      </c>
      <c r="B15" s="1" t="s">
        <v>35</v>
      </c>
      <c r="C15" s="1" t="s">
        <v>36</v>
      </c>
      <c r="D15" s="1">
        <v>20</v>
      </c>
      <c r="E15" s="1">
        <v>2</v>
      </c>
      <c r="F15" s="1">
        <v>5</v>
      </c>
      <c r="G15" s="1">
        <v>5</v>
      </c>
      <c r="H15" s="1">
        <v>4</v>
      </c>
      <c r="I15" s="1">
        <v>4</v>
      </c>
      <c r="J15" s="1">
        <v>4</v>
      </c>
      <c r="K15" s="1">
        <f t="shared" si="0"/>
        <v>17</v>
      </c>
      <c r="L15" s="12">
        <f t="shared" si="1"/>
        <v>0.48571428571428571</v>
      </c>
      <c r="M15" s="1">
        <v>4</v>
      </c>
      <c r="N15" s="1">
        <v>5</v>
      </c>
      <c r="O15" s="1">
        <v>5</v>
      </c>
      <c r="P15" s="1">
        <v>4</v>
      </c>
      <c r="Q15" s="1">
        <f t="shared" si="2"/>
        <v>18</v>
      </c>
      <c r="R15" s="12">
        <f t="shared" si="3"/>
        <v>0.51428571428571423</v>
      </c>
      <c r="S15" s="1">
        <v>5</v>
      </c>
      <c r="T15" s="1">
        <v>4</v>
      </c>
      <c r="U15" s="1">
        <f t="shared" si="4"/>
        <v>9</v>
      </c>
      <c r="V15" s="12">
        <f t="shared" si="5"/>
        <v>0.6</v>
      </c>
      <c r="W15" s="1">
        <v>4</v>
      </c>
      <c r="X15" s="1">
        <v>4</v>
      </c>
      <c r="Y15" s="1">
        <v>4</v>
      </c>
      <c r="Z15" s="1">
        <f t="shared" si="6"/>
        <v>12</v>
      </c>
      <c r="AA15" s="12">
        <f t="shared" si="7"/>
        <v>0.8</v>
      </c>
      <c r="AB15" s="2" t="s">
        <v>353</v>
      </c>
    </row>
    <row r="16" spans="1:34" x14ac:dyDescent="0.25">
      <c r="A16" s="1" t="s">
        <v>1652</v>
      </c>
      <c r="B16" s="1" t="s">
        <v>35</v>
      </c>
      <c r="C16" s="1" t="s">
        <v>36</v>
      </c>
      <c r="D16" s="1">
        <v>20</v>
      </c>
      <c r="E16" s="1">
        <v>2</v>
      </c>
      <c r="F16" s="1">
        <v>5</v>
      </c>
      <c r="G16" s="1">
        <v>4</v>
      </c>
      <c r="H16" s="1">
        <v>4</v>
      </c>
      <c r="I16" s="1">
        <v>3</v>
      </c>
      <c r="J16" s="1">
        <v>4</v>
      </c>
      <c r="K16" s="1">
        <f t="shared" si="0"/>
        <v>15</v>
      </c>
      <c r="L16" s="12">
        <f t="shared" si="1"/>
        <v>0.42857142857142855</v>
      </c>
      <c r="M16" s="1">
        <v>3</v>
      </c>
      <c r="N16" s="1">
        <v>4</v>
      </c>
      <c r="O16" s="1">
        <v>4</v>
      </c>
      <c r="P16" s="1">
        <v>4</v>
      </c>
      <c r="Q16" s="1">
        <f t="shared" si="2"/>
        <v>15</v>
      </c>
      <c r="R16" s="12">
        <f t="shared" si="3"/>
        <v>0.42857142857142855</v>
      </c>
      <c r="S16" s="1">
        <v>5</v>
      </c>
      <c r="T16" s="1">
        <v>4</v>
      </c>
      <c r="U16" s="1">
        <f t="shared" si="4"/>
        <v>9</v>
      </c>
      <c r="V16" s="12">
        <f t="shared" si="5"/>
        <v>0.6</v>
      </c>
      <c r="W16" s="1">
        <v>4</v>
      </c>
      <c r="X16" s="1">
        <v>3</v>
      </c>
      <c r="Y16" s="1">
        <v>3</v>
      </c>
      <c r="Z16" s="1">
        <f t="shared" si="6"/>
        <v>10</v>
      </c>
      <c r="AA16" s="12">
        <f t="shared" si="7"/>
        <v>0.66666666666666663</v>
      </c>
      <c r="AB16" s="2" t="s">
        <v>354</v>
      </c>
    </row>
    <row r="17" spans="1:28" x14ac:dyDescent="0.25">
      <c r="A17" s="1" t="s">
        <v>1652</v>
      </c>
      <c r="B17" s="1" t="s">
        <v>35</v>
      </c>
      <c r="C17" s="1" t="s">
        <v>36</v>
      </c>
      <c r="D17" s="1">
        <v>20</v>
      </c>
      <c r="E17" s="1">
        <v>2</v>
      </c>
      <c r="F17" s="1">
        <v>5</v>
      </c>
      <c r="G17" s="1">
        <v>5</v>
      </c>
      <c r="H17" s="1">
        <v>5</v>
      </c>
      <c r="I17" s="1">
        <v>5</v>
      </c>
      <c r="J17" s="1">
        <v>5</v>
      </c>
      <c r="K17" s="1">
        <f t="shared" si="0"/>
        <v>20</v>
      </c>
      <c r="L17" s="12">
        <f t="shared" si="1"/>
        <v>0.5714285714285714</v>
      </c>
      <c r="M17" s="1">
        <v>5</v>
      </c>
      <c r="N17" s="1">
        <v>5</v>
      </c>
      <c r="O17" s="1">
        <v>5</v>
      </c>
      <c r="P17" s="1">
        <v>4</v>
      </c>
      <c r="Q17" s="1">
        <f t="shared" si="2"/>
        <v>19</v>
      </c>
      <c r="R17" s="12">
        <f t="shared" si="3"/>
        <v>0.54285714285714282</v>
      </c>
      <c r="S17" s="1">
        <v>6</v>
      </c>
      <c r="T17" s="1">
        <v>4</v>
      </c>
      <c r="U17" s="1">
        <f t="shared" si="4"/>
        <v>10</v>
      </c>
      <c r="V17" s="12">
        <f t="shared" si="5"/>
        <v>0.66666666666666663</v>
      </c>
      <c r="W17" s="1">
        <v>4</v>
      </c>
      <c r="X17" s="1">
        <v>3</v>
      </c>
      <c r="Y17" s="1">
        <v>4</v>
      </c>
      <c r="Z17" s="1">
        <f t="shared" si="6"/>
        <v>11</v>
      </c>
      <c r="AA17" s="12">
        <f t="shared" si="7"/>
        <v>0.73333333333333328</v>
      </c>
      <c r="AB17" s="2" t="s">
        <v>355</v>
      </c>
    </row>
    <row r="18" spans="1:28" x14ac:dyDescent="0.25">
      <c r="A18" s="1" t="s">
        <v>1652</v>
      </c>
      <c r="B18" s="1" t="s">
        <v>35</v>
      </c>
      <c r="C18" s="1" t="s">
        <v>36</v>
      </c>
      <c r="D18" s="1">
        <v>20</v>
      </c>
      <c r="E18" s="1">
        <v>2</v>
      </c>
      <c r="F18" s="1">
        <v>5</v>
      </c>
      <c r="G18" s="1">
        <v>5</v>
      </c>
      <c r="H18" s="1">
        <v>4</v>
      </c>
      <c r="I18" s="1">
        <v>5</v>
      </c>
      <c r="J18" s="1">
        <v>4</v>
      </c>
      <c r="K18" s="1">
        <f t="shared" si="0"/>
        <v>18</v>
      </c>
      <c r="L18" s="12">
        <f t="shared" si="1"/>
        <v>0.51428571428571423</v>
      </c>
      <c r="M18" s="1">
        <v>4</v>
      </c>
      <c r="N18" s="1">
        <v>5</v>
      </c>
      <c r="O18" s="1">
        <v>4</v>
      </c>
      <c r="P18" s="1">
        <v>4</v>
      </c>
      <c r="Q18" s="1">
        <f t="shared" si="2"/>
        <v>17</v>
      </c>
      <c r="R18" s="12">
        <f t="shared" si="3"/>
        <v>0.48571428571428571</v>
      </c>
      <c r="S18" s="1">
        <v>3</v>
      </c>
      <c r="T18" s="1">
        <v>4</v>
      </c>
      <c r="U18" s="1">
        <f t="shared" si="4"/>
        <v>7</v>
      </c>
      <c r="V18" s="12">
        <f t="shared" si="5"/>
        <v>0.46666666666666667</v>
      </c>
      <c r="W18" s="1">
        <v>3</v>
      </c>
      <c r="X18" s="1">
        <v>3</v>
      </c>
      <c r="Y18" s="1">
        <v>4</v>
      </c>
      <c r="Z18" s="1">
        <f t="shared" si="6"/>
        <v>10</v>
      </c>
      <c r="AA18" s="12">
        <f t="shared" si="7"/>
        <v>0.66666666666666663</v>
      </c>
      <c r="AB18" s="2" t="s">
        <v>356</v>
      </c>
    </row>
    <row r="19" spans="1:28" x14ac:dyDescent="0.25">
      <c r="A19" s="1" t="s">
        <v>1652</v>
      </c>
      <c r="B19" s="1" t="s">
        <v>35</v>
      </c>
      <c r="C19" s="1" t="s">
        <v>36</v>
      </c>
      <c r="D19" s="1">
        <v>5</v>
      </c>
      <c r="E19" s="1">
        <v>3</v>
      </c>
      <c r="F19" s="1">
        <v>1</v>
      </c>
      <c r="G19" s="1">
        <v>5</v>
      </c>
      <c r="H19" s="1">
        <v>5</v>
      </c>
      <c r="I19" s="1">
        <v>4</v>
      </c>
      <c r="J19" s="1">
        <v>3</v>
      </c>
      <c r="K19" s="1">
        <f t="shared" si="0"/>
        <v>17</v>
      </c>
      <c r="L19" s="12">
        <f t="shared" si="1"/>
        <v>0.48571428571428571</v>
      </c>
      <c r="M19" s="1">
        <v>4</v>
      </c>
      <c r="N19" s="1">
        <v>3</v>
      </c>
      <c r="O19" s="1">
        <v>4</v>
      </c>
      <c r="P19" s="1">
        <v>3</v>
      </c>
      <c r="Q19" s="1">
        <f t="shared" si="2"/>
        <v>14</v>
      </c>
      <c r="R19" s="12">
        <f t="shared" si="3"/>
        <v>0.4</v>
      </c>
      <c r="S19" s="1">
        <v>4</v>
      </c>
      <c r="T19" s="1">
        <v>3</v>
      </c>
      <c r="U19" s="1">
        <f t="shared" si="4"/>
        <v>7</v>
      </c>
      <c r="V19" s="12">
        <f t="shared" si="5"/>
        <v>0.46666666666666667</v>
      </c>
      <c r="W19" s="1">
        <v>3</v>
      </c>
      <c r="X19" s="1">
        <v>3</v>
      </c>
      <c r="Y19" s="1">
        <v>3</v>
      </c>
      <c r="Z19" s="1">
        <f t="shared" si="6"/>
        <v>9</v>
      </c>
      <c r="AA19" s="12">
        <f t="shared" si="7"/>
        <v>0.6</v>
      </c>
      <c r="AB19" s="2" t="s">
        <v>422</v>
      </c>
    </row>
    <row r="20" spans="1:28" x14ac:dyDescent="0.25">
      <c r="A20" s="1" t="s">
        <v>1652</v>
      </c>
      <c r="B20" s="1" t="s">
        <v>35</v>
      </c>
      <c r="C20" s="1" t="s">
        <v>36</v>
      </c>
      <c r="D20" s="1">
        <v>5</v>
      </c>
      <c r="E20" s="1">
        <v>3</v>
      </c>
      <c r="F20" s="1">
        <v>1</v>
      </c>
      <c r="G20" s="1">
        <v>5</v>
      </c>
      <c r="H20" s="1">
        <v>5</v>
      </c>
      <c r="I20" s="1">
        <v>4</v>
      </c>
      <c r="J20" s="1">
        <v>3</v>
      </c>
      <c r="K20" s="1">
        <f t="shared" si="0"/>
        <v>17</v>
      </c>
      <c r="L20" s="12">
        <f t="shared" si="1"/>
        <v>0.48571428571428571</v>
      </c>
      <c r="M20" s="1">
        <v>3</v>
      </c>
      <c r="N20" s="1">
        <v>3</v>
      </c>
      <c r="O20" s="1">
        <v>3</v>
      </c>
      <c r="P20" s="1">
        <v>3</v>
      </c>
      <c r="Q20" s="1">
        <f t="shared" si="2"/>
        <v>12</v>
      </c>
      <c r="R20" s="12">
        <f t="shared" si="3"/>
        <v>0.34285714285714286</v>
      </c>
      <c r="S20" s="1">
        <v>3</v>
      </c>
      <c r="T20" s="1">
        <v>3</v>
      </c>
      <c r="U20" s="1">
        <f t="shared" si="4"/>
        <v>6</v>
      </c>
      <c r="V20" s="12">
        <f t="shared" si="5"/>
        <v>0.4</v>
      </c>
      <c r="W20" s="1">
        <v>2</v>
      </c>
      <c r="X20" s="1">
        <v>3</v>
      </c>
      <c r="Y20" s="1">
        <v>3</v>
      </c>
      <c r="Z20" s="1">
        <f t="shared" si="6"/>
        <v>8</v>
      </c>
      <c r="AA20" s="12">
        <f t="shared" si="7"/>
        <v>0.53333333333333333</v>
      </c>
      <c r="AB20" s="2" t="s">
        <v>423</v>
      </c>
    </row>
    <row r="21" spans="1:28" x14ac:dyDescent="0.25">
      <c r="A21" s="1" t="s">
        <v>1652</v>
      </c>
      <c r="B21" s="1" t="s">
        <v>35</v>
      </c>
      <c r="C21" s="1" t="s">
        <v>36</v>
      </c>
      <c r="D21" s="1">
        <v>5</v>
      </c>
      <c r="E21" s="1">
        <v>3</v>
      </c>
      <c r="F21" s="1">
        <v>1</v>
      </c>
      <c r="G21" s="1">
        <v>5</v>
      </c>
      <c r="H21" s="1">
        <v>4</v>
      </c>
      <c r="I21" s="1">
        <v>4</v>
      </c>
      <c r="J21" s="1">
        <v>3</v>
      </c>
      <c r="K21" s="1">
        <f t="shared" si="0"/>
        <v>16</v>
      </c>
      <c r="L21" s="12">
        <f t="shared" si="1"/>
        <v>0.45714285714285713</v>
      </c>
      <c r="M21" s="1">
        <v>4</v>
      </c>
      <c r="N21" s="1">
        <v>3</v>
      </c>
      <c r="O21" s="1">
        <v>3</v>
      </c>
      <c r="P21" s="1">
        <v>3</v>
      </c>
      <c r="Q21" s="1">
        <f t="shared" si="2"/>
        <v>13</v>
      </c>
      <c r="R21" s="12">
        <f t="shared" si="3"/>
        <v>0.37142857142857144</v>
      </c>
      <c r="S21" s="1">
        <v>3</v>
      </c>
      <c r="T21" s="1">
        <v>2</v>
      </c>
      <c r="U21" s="1">
        <f t="shared" si="4"/>
        <v>5</v>
      </c>
      <c r="V21" s="12">
        <f t="shared" si="5"/>
        <v>0.33333333333333331</v>
      </c>
      <c r="W21" s="1">
        <v>2</v>
      </c>
      <c r="X21" s="1">
        <v>3</v>
      </c>
      <c r="Y21" s="1">
        <v>3</v>
      </c>
      <c r="Z21" s="1">
        <f t="shared" si="6"/>
        <v>8</v>
      </c>
      <c r="AA21" s="12">
        <f t="shared" si="7"/>
        <v>0.53333333333333333</v>
      </c>
      <c r="AB21" s="2" t="s">
        <v>424</v>
      </c>
    </row>
    <row r="22" spans="1:28" x14ac:dyDescent="0.25">
      <c r="A22" s="1" t="s">
        <v>1652</v>
      </c>
      <c r="B22" s="1" t="s">
        <v>35</v>
      </c>
      <c r="C22" s="1" t="s">
        <v>36</v>
      </c>
      <c r="D22" s="1">
        <v>5</v>
      </c>
      <c r="E22" s="1">
        <v>3</v>
      </c>
      <c r="F22" s="1">
        <v>1</v>
      </c>
      <c r="G22" s="1">
        <v>4</v>
      </c>
      <c r="H22" s="1">
        <v>4</v>
      </c>
      <c r="I22" s="1">
        <v>4</v>
      </c>
      <c r="J22" s="1">
        <v>3</v>
      </c>
      <c r="K22" s="1">
        <f t="shared" si="0"/>
        <v>15</v>
      </c>
      <c r="L22" s="12">
        <f t="shared" si="1"/>
        <v>0.42857142857142855</v>
      </c>
      <c r="M22" s="1">
        <v>4</v>
      </c>
      <c r="N22" s="1">
        <v>3</v>
      </c>
      <c r="O22" s="1">
        <v>3</v>
      </c>
      <c r="P22" s="1">
        <v>3</v>
      </c>
      <c r="Q22" s="1">
        <f t="shared" si="2"/>
        <v>13</v>
      </c>
      <c r="R22" s="12">
        <f t="shared" si="3"/>
        <v>0.37142857142857144</v>
      </c>
      <c r="S22" s="1">
        <v>3</v>
      </c>
      <c r="T22" s="1">
        <v>3</v>
      </c>
      <c r="U22" s="1">
        <f t="shared" si="4"/>
        <v>6</v>
      </c>
      <c r="V22" s="12">
        <f t="shared" si="5"/>
        <v>0.4</v>
      </c>
      <c r="W22" s="1">
        <v>3</v>
      </c>
      <c r="X22" s="1">
        <v>4</v>
      </c>
      <c r="Y22" s="1">
        <v>3</v>
      </c>
      <c r="Z22" s="1">
        <f t="shared" si="6"/>
        <v>10</v>
      </c>
      <c r="AA22" s="12">
        <f t="shared" si="7"/>
        <v>0.66666666666666663</v>
      </c>
      <c r="AB22" s="2" t="s">
        <v>425</v>
      </c>
    </row>
    <row r="23" spans="1:28" x14ac:dyDescent="0.25">
      <c r="A23" s="1" t="s">
        <v>1652</v>
      </c>
      <c r="B23" s="1" t="s">
        <v>35</v>
      </c>
      <c r="C23" s="1" t="s">
        <v>36</v>
      </c>
      <c r="D23" s="1">
        <v>5</v>
      </c>
      <c r="E23" s="1">
        <v>3</v>
      </c>
      <c r="F23" s="1">
        <v>1</v>
      </c>
      <c r="G23" s="1">
        <v>4</v>
      </c>
      <c r="H23" s="1">
        <v>4</v>
      </c>
      <c r="I23" s="1">
        <v>4</v>
      </c>
      <c r="J23" s="1">
        <v>3</v>
      </c>
      <c r="K23" s="1">
        <f t="shared" si="0"/>
        <v>15</v>
      </c>
      <c r="L23" s="12">
        <f t="shared" si="1"/>
        <v>0.42857142857142855</v>
      </c>
      <c r="M23" s="1">
        <v>3</v>
      </c>
      <c r="N23" s="1">
        <v>3</v>
      </c>
      <c r="O23" s="1">
        <v>3</v>
      </c>
      <c r="P23" s="1">
        <v>3</v>
      </c>
      <c r="Q23" s="1">
        <f t="shared" si="2"/>
        <v>12</v>
      </c>
      <c r="R23" s="12">
        <f t="shared" si="3"/>
        <v>0.34285714285714286</v>
      </c>
      <c r="S23" s="1">
        <v>3</v>
      </c>
      <c r="T23" s="1">
        <v>3</v>
      </c>
      <c r="U23" s="1">
        <f t="shared" si="4"/>
        <v>6</v>
      </c>
      <c r="V23" s="12">
        <f t="shared" si="5"/>
        <v>0.4</v>
      </c>
      <c r="W23" s="1">
        <v>3</v>
      </c>
      <c r="X23" s="1">
        <v>4</v>
      </c>
      <c r="Y23" s="1">
        <v>3</v>
      </c>
      <c r="Z23" s="1">
        <f t="shared" si="6"/>
        <v>10</v>
      </c>
      <c r="AA23" s="12">
        <f t="shared" si="7"/>
        <v>0.66666666666666663</v>
      </c>
      <c r="AB23" s="2" t="s">
        <v>426</v>
      </c>
    </row>
    <row r="24" spans="1:28" x14ac:dyDescent="0.25">
      <c r="A24" s="1" t="s">
        <v>1652</v>
      </c>
      <c r="B24" s="1" t="s">
        <v>35</v>
      </c>
      <c r="C24" s="1" t="s">
        <v>36</v>
      </c>
      <c r="D24" s="1">
        <v>5</v>
      </c>
      <c r="E24" s="1">
        <v>3</v>
      </c>
      <c r="F24" s="1">
        <v>1</v>
      </c>
      <c r="G24" s="1">
        <v>3</v>
      </c>
      <c r="H24" s="1">
        <v>4</v>
      </c>
      <c r="I24" s="1">
        <v>3</v>
      </c>
      <c r="J24" s="1">
        <v>3</v>
      </c>
      <c r="K24" s="1">
        <f t="shared" si="0"/>
        <v>13</v>
      </c>
      <c r="L24" s="12">
        <f t="shared" si="1"/>
        <v>0.37142857142857144</v>
      </c>
      <c r="M24" s="1">
        <v>3</v>
      </c>
      <c r="N24" s="1">
        <v>3</v>
      </c>
      <c r="O24" s="1">
        <v>3</v>
      </c>
      <c r="P24" s="1">
        <v>3</v>
      </c>
      <c r="Q24" s="1">
        <f t="shared" si="2"/>
        <v>12</v>
      </c>
      <c r="R24" s="12">
        <f t="shared" si="3"/>
        <v>0.34285714285714286</v>
      </c>
      <c r="S24" s="1">
        <v>3</v>
      </c>
      <c r="T24" s="1">
        <v>3</v>
      </c>
      <c r="U24" s="1">
        <f t="shared" si="4"/>
        <v>6</v>
      </c>
      <c r="V24" s="12">
        <f t="shared" si="5"/>
        <v>0.4</v>
      </c>
      <c r="W24" s="1">
        <v>2</v>
      </c>
      <c r="X24" s="1">
        <v>3</v>
      </c>
      <c r="Y24" s="1">
        <v>3</v>
      </c>
      <c r="Z24" s="1">
        <f t="shared" si="6"/>
        <v>8</v>
      </c>
      <c r="AA24" s="12">
        <f t="shared" si="7"/>
        <v>0.53333333333333333</v>
      </c>
      <c r="AB24" s="2" t="s">
        <v>427</v>
      </c>
    </row>
    <row r="25" spans="1:28" x14ac:dyDescent="0.25">
      <c r="A25" s="1" t="s">
        <v>1652</v>
      </c>
      <c r="B25" s="1" t="s">
        <v>35</v>
      </c>
      <c r="C25" s="1" t="s">
        <v>36</v>
      </c>
      <c r="D25" s="1">
        <v>5</v>
      </c>
      <c r="E25" s="1">
        <v>3</v>
      </c>
      <c r="F25" s="1">
        <v>1</v>
      </c>
      <c r="G25" s="1">
        <v>3</v>
      </c>
      <c r="H25" s="1">
        <v>4</v>
      </c>
      <c r="I25" s="1">
        <v>3</v>
      </c>
      <c r="J25" s="1">
        <v>3</v>
      </c>
      <c r="K25" s="1">
        <f t="shared" si="0"/>
        <v>13</v>
      </c>
      <c r="L25" s="12">
        <f t="shared" si="1"/>
        <v>0.37142857142857144</v>
      </c>
      <c r="M25" s="1">
        <v>3</v>
      </c>
      <c r="N25" s="1">
        <v>3</v>
      </c>
      <c r="O25" s="1">
        <v>2</v>
      </c>
      <c r="P25" s="1">
        <v>3</v>
      </c>
      <c r="Q25" s="1">
        <f t="shared" si="2"/>
        <v>11</v>
      </c>
      <c r="R25" s="12">
        <f t="shared" si="3"/>
        <v>0.31428571428571428</v>
      </c>
      <c r="S25" s="1">
        <v>3</v>
      </c>
      <c r="T25" s="1">
        <v>3</v>
      </c>
      <c r="U25" s="1">
        <f t="shared" si="4"/>
        <v>6</v>
      </c>
      <c r="V25" s="12">
        <f t="shared" si="5"/>
        <v>0.4</v>
      </c>
      <c r="W25" s="1">
        <v>3</v>
      </c>
      <c r="X25" s="1">
        <v>2</v>
      </c>
      <c r="Y25" s="1">
        <v>2</v>
      </c>
      <c r="Z25" s="1">
        <f t="shared" si="6"/>
        <v>7</v>
      </c>
      <c r="AA25" s="12">
        <f t="shared" si="7"/>
        <v>0.46666666666666667</v>
      </c>
      <c r="AB25" s="2" t="s">
        <v>428</v>
      </c>
    </row>
    <row r="26" spans="1:28" x14ac:dyDescent="0.25">
      <c r="A26" s="1" t="s">
        <v>1652</v>
      </c>
      <c r="B26" s="1" t="s">
        <v>35</v>
      </c>
      <c r="C26" s="1" t="s">
        <v>36</v>
      </c>
      <c r="D26" s="1">
        <v>5</v>
      </c>
      <c r="E26" s="1">
        <v>3</v>
      </c>
      <c r="F26" s="1">
        <v>1</v>
      </c>
      <c r="G26" s="1">
        <v>4</v>
      </c>
      <c r="H26" s="1">
        <v>4</v>
      </c>
      <c r="I26" s="1">
        <v>4</v>
      </c>
      <c r="J26" s="1">
        <v>3</v>
      </c>
      <c r="K26" s="1">
        <f t="shared" si="0"/>
        <v>15</v>
      </c>
      <c r="L26" s="12">
        <f t="shared" si="1"/>
        <v>0.42857142857142855</v>
      </c>
      <c r="M26" s="1">
        <v>4</v>
      </c>
      <c r="N26" s="1">
        <v>4</v>
      </c>
      <c r="O26" s="1">
        <v>4</v>
      </c>
      <c r="P26" s="1">
        <v>3</v>
      </c>
      <c r="Q26" s="1">
        <f t="shared" si="2"/>
        <v>15</v>
      </c>
      <c r="R26" s="12">
        <f t="shared" si="3"/>
        <v>0.42857142857142855</v>
      </c>
      <c r="S26" s="1">
        <v>5</v>
      </c>
      <c r="T26" s="1">
        <v>3</v>
      </c>
      <c r="U26" s="1">
        <f t="shared" si="4"/>
        <v>8</v>
      </c>
      <c r="V26" s="12">
        <f t="shared" si="5"/>
        <v>0.53333333333333333</v>
      </c>
      <c r="W26" s="1">
        <v>3</v>
      </c>
      <c r="X26" s="1">
        <v>3</v>
      </c>
      <c r="Y26" s="1">
        <v>3</v>
      </c>
      <c r="Z26" s="1">
        <f t="shared" si="6"/>
        <v>9</v>
      </c>
      <c r="AA26" s="12">
        <f t="shared" si="7"/>
        <v>0.6</v>
      </c>
      <c r="AB26" s="2" t="s">
        <v>429</v>
      </c>
    </row>
    <row r="27" spans="1:28" x14ac:dyDescent="0.25">
      <c r="A27" s="1" t="s">
        <v>1652</v>
      </c>
      <c r="B27" s="1" t="s">
        <v>35</v>
      </c>
      <c r="C27" s="1" t="s">
        <v>36</v>
      </c>
      <c r="D27" s="1">
        <v>5</v>
      </c>
      <c r="E27" s="1">
        <v>3</v>
      </c>
      <c r="F27" s="1">
        <v>1</v>
      </c>
      <c r="G27" s="1">
        <v>3</v>
      </c>
      <c r="H27" s="1">
        <v>4</v>
      </c>
      <c r="I27" s="1">
        <v>3</v>
      </c>
      <c r="J27" s="1">
        <v>3</v>
      </c>
      <c r="K27" s="1">
        <f t="shared" si="0"/>
        <v>13</v>
      </c>
      <c r="L27" s="12">
        <f t="shared" si="1"/>
        <v>0.37142857142857144</v>
      </c>
      <c r="M27" s="1">
        <v>4</v>
      </c>
      <c r="N27" s="1">
        <v>4</v>
      </c>
      <c r="O27" s="1">
        <v>3</v>
      </c>
      <c r="P27" s="1">
        <v>3</v>
      </c>
      <c r="Q27" s="1">
        <f t="shared" si="2"/>
        <v>14</v>
      </c>
      <c r="R27" s="12">
        <f t="shared" si="3"/>
        <v>0.4</v>
      </c>
      <c r="S27" s="1">
        <v>4</v>
      </c>
      <c r="T27" s="1">
        <v>3</v>
      </c>
      <c r="U27" s="1">
        <f t="shared" si="4"/>
        <v>7</v>
      </c>
      <c r="V27" s="12">
        <f t="shared" si="5"/>
        <v>0.46666666666666667</v>
      </c>
      <c r="W27" s="1">
        <v>3</v>
      </c>
      <c r="X27" s="1">
        <v>2</v>
      </c>
      <c r="Y27" s="1">
        <v>3</v>
      </c>
      <c r="Z27" s="1">
        <f t="shared" si="6"/>
        <v>8</v>
      </c>
      <c r="AA27" s="12">
        <f t="shared" si="7"/>
        <v>0.53333333333333333</v>
      </c>
      <c r="AB27" s="2" t="s">
        <v>430</v>
      </c>
    </row>
    <row r="28" spans="1:28" x14ac:dyDescent="0.25">
      <c r="A28" s="1" t="s">
        <v>1652</v>
      </c>
      <c r="B28" s="1" t="s">
        <v>576</v>
      </c>
      <c r="C28" s="1" t="s">
        <v>36</v>
      </c>
      <c r="D28" s="1">
        <v>26</v>
      </c>
      <c r="E28" s="1">
        <v>1</v>
      </c>
      <c r="F28" s="1">
        <v>5</v>
      </c>
      <c r="G28" s="1">
        <v>4</v>
      </c>
      <c r="H28" s="1">
        <v>4</v>
      </c>
      <c r="I28" s="1">
        <v>4</v>
      </c>
      <c r="J28" s="1">
        <v>3</v>
      </c>
      <c r="K28" s="1">
        <f t="shared" si="0"/>
        <v>15</v>
      </c>
      <c r="L28" s="12">
        <f t="shared" si="1"/>
        <v>0.42857142857142855</v>
      </c>
      <c r="M28" s="1">
        <v>3</v>
      </c>
      <c r="N28" s="1">
        <v>4</v>
      </c>
      <c r="O28" s="1">
        <v>4</v>
      </c>
      <c r="P28" s="1">
        <v>2</v>
      </c>
      <c r="Q28" s="1">
        <f t="shared" si="2"/>
        <v>13</v>
      </c>
      <c r="R28" s="12">
        <f t="shared" si="3"/>
        <v>0.37142857142857144</v>
      </c>
      <c r="S28" s="1">
        <v>4</v>
      </c>
      <c r="T28" s="1">
        <v>3</v>
      </c>
      <c r="U28" s="1">
        <f t="shared" si="4"/>
        <v>7</v>
      </c>
      <c r="V28" s="12">
        <f t="shared" si="5"/>
        <v>0.46666666666666667</v>
      </c>
      <c r="W28" s="1">
        <v>3</v>
      </c>
      <c r="X28" s="1">
        <v>3</v>
      </c>
      <c r="Y28" s="1">
        <v>3</v>
      </c>
      <c r="Z28" s="1">
        <f t="shared" si="6"/>
        <v>9</v>
      </c>
      <c r="AA28" s="12">
        <f t="shared" si="7"/>
        <v>0.6</v>
      </c>
      <c r="AB28" s="2" t="s">
        <v>653</v>
      </c>
    </row>
    <row r="29" spans="1:28" x14ac:dyDescent="0.25">
      <c r="A29" s="1" t="s">
        <v>1652</v>
      </c>
      <c r="B29" s="1" t="s">
        <v>576</v>
      </c>
      <c r="C29" s="1" t="s">
        <v>36</v>
      </c>
      <c r="D29" s="1">
        <v>26</v>
      </c>
      <c r="E29" s="1">
        <v>1</v>
      </c>
      <c r="F29" s="1">
        <v>5</v>
      </c>
      <c r="G29" s="1">
        <v>5</v>
      </c>
      <c r="H29" s="1">
        <v>5</v>
      </c>
      <c r="I29" s="1">
        <v>5</v>
      </c>
      <c r="J29" s="1">
        <v>4</v>
      </c>
      <c r="K29" s="1">
        <f t="shared" si="0"/>
        <v>19</v>
      </c>
      <c r="L29" s="12">
        <f t="shared" si="1"/>
        <v>0.54285714285714282</v>
      </c>
      <c r="M29" s="1">
        <v>4</v>
      </c>
      <c r="N29" s="1">
        <v>4</v>
      </c>
      <c r="O29" s="1">
        <v>4</v>
      </c>
      <c r="P29" s="1">
        <v>3</v>
      </c>
      <c r="Q29" s="1">
        <f t="shared" si="2"/>
        <v>15</v>
      </c>
      <c r="R29" s="12">
        <f t="shared" si="3"/>
        <v>0.42857142857142855</v>
      </c>
      <c r="S29" s="1">
        <v>4</v>
      </c>
      <c r="T29" s="1">
        <v>4</v>
      </c>
      <c r="U29" s="1">
        <f t="shared" si="4"/>
        <v>8</v>
      </c>
      <c r="V29" s="12">
        <f t="shared" si="5"/>
        <v>0.53333333333333333</v>
      </c>
      <c r="W29" s="1">
        <v>3</v>
      </c>
      <c r="X29" s="1">
        <v>3</v>
      </c>
      <c r="Y29" s="1">
        <v>4</v>
      </c>
      <c r="Z29" s="1">
        <f t="shared" si="6"/>
        <v>10</v>
      </c>
      <c r="AA29" s="12">
        <f t="shared" si="7"/>
        <v>0.66666666666666663</v>
      </c>
      <c r="AB29" s="2" t="s">
        <v>654</v>
      </c>
    </row>
    <row r="30" spans="1:28" x14ac:dyDescent="0.25">
      <c r="A30" s="1" t="s">
        <v>1652</v>
      </c>
      <c r="B30" s="1" t="s">
        <v>576</v>
      </c>
      <c r="C30" s="1" t="s">
        <v>36</v>
      </c>
      <c r="D30" s="1">
        <v>26</v>
      </c>
      <c r="E30" s="1">
        <v>1</v>
      </c>
      <c r="F30" s="1">
        <v>5</v>
      </c>
      <c r="G30" s="1">
        <v>5</v>
      </c>
      <c r="H30" s="1">
        <v>6</v>
      </c>
      <c r="I30" s="1">
        <v>5</v>
      </c>
      <c r="J30" s="1">
        <v>4</v>
      </c>
      <c r="K30" s="1">
        <f t="shared" si="0"/>
        <v>20</v>
      </c>
      <c r="L30" s="12">
        <f t="shared" si="1"/>
        <v>0.5714285714285714</v>
      </c>
      <c r="M30" s="1">
        <v>3</v>
      </c>
      <c r="N30" s="1">
        <v>4</v>
      </c>
      <c r="O30" s="1">
        <v>4</v>
      </c>
      <c r="P30" s="1">
        <v>3</v>
      </c>
      <c r="Q30" s="1">
        <f t="shared" si="2"/>
        <v>14</v>
      </c>
      <c r="R30" s="12">
        <f t="shared" si="3"/>
        <v>0.4</v>
      </c>
      <c r="S30" s="1">
        <v>4</v>
      </c>
      <c r="T30" s="1">
        <v>4</v>
      </c>
      <c r="U30" s="1">
        <f t="shared" si="4"/>
        <v>8</v>
      </c>
      <c r="V30" s="12">
        <f t="shared" si="5"/>
        <v>0.53333333333333333</v>
      </c>
      <c r="W30" s="1">
        <v>4</v>
      </c>
      <c r="X30" s="1">
        <v>3</v>
      </c>
      <c r="Y30" s="1">
        <v>4</v>
      </c>
      <c r="Z30" s="1">
        <f t="shared" si="6"/>
        <v>11</v>
      </c>
      <c r="AA30" s="12">
        <f t="shared" si="7"/>
        <v>0.73333333333333328</v>
      </c>
      <c r="AB30" s="2" t="s">
        <v>655</v>
      </c>
    </row>
    <row r="31" spans="1:28" x14ac:dyDescent="0.25">
      <c r="A31" s="1" t="s">
        <v>1652</v>
      </c>
      <c r="B31" s="1" t="s">
        <v>576</v>
      </c>
      <c r="C31" s="1" t="s">
        <v>36</v>
      </c>
      <c r="D31" s="1">
        <v>26</v>
      </c>
      <c r="E31" s="1">
        <v>1</v>
      </c>
      <c r="F31" s="1">
        <v>5</v>
      </c>
      <c r="G31" s="1">
        <v>5</v>
      </c>
      <c r="H31" s="1">
        <v>5</v>
      </c>
      <c r="I31" s="1">
        <v>5</v>
      </c>
      <c r="J31" s="1">
        <v>4</v>
      </c>
      <c r="K31" s="1">
        <f t="shared" si="0"/>
        <v>19</v>
      </c>
      <c r="L31" s="12">
        <f t="shared" si="1"/>
        <v>0.54285714285714282</v>
      </c>
      <c r="M31" s="1">
        <v>3</v>
      </c>
      <c r="N31" s="1">
        <v>4</v>
      </c>
      <c r="O31" s="1">
        <v>3</v>
      </c>
      <c r="P31" s="1">
        <v>3</v>
      </c>
      <c r="Q31" s="1">
        <f t="shared" si="2"/>
        <v>13</v>
      </c>
      <c r="R31" s="12">
        <f t="shared" si="3"/>
        <v>0.37142857142857144</v>
      </c>
      <c r="S31" s="1">
        <v>4</v>
      </c>
      <c r="T31" s="1">
        <v>4</v>
      </c>
      <c r="U31" s="1">
        <f t="shared" si="4"/>
        <v>8</v>
      </c>
      <c r="V31" s="12">
        <f t="shared" si="5"/>
        <v>0.53333333333333333</v>
      </c>
      <c r="W31" s="1">
        <v>3</v>
      </c>
      <c r="X31" s="1">
        <v>3</v>
      </c>
      <c r="Y31" s="1">
        <v>4</v>
      </c>
      <c r="Z31" s="1">
        <f t="shared" si="6"/>
        <v>10</v>
      </c>
      <c r="AA31" s="12">
        <f t="shared" si="7"/>
        <v>0.66666666666666663</v>
      </c>
      <c r="AB31" s="2" t="s">
        <v>656</v>
      </c>
    </row>
    <row r="32" spans="1:28" x14ac:dyDescent="0.25">
      <c r="A32" s="1" t="s">
        <v>1652</v>
      </c>
      <c r="B32" s="1" t="s">
        <v>576</v>
      </c>
      <c r="C32" s="1" t="s">
        <v>36</v>
      </c>
      <c r="D32" s="1">
        <v>26</v>
      </c>
      <c r="E32" s="1">
        <v>1</v>
      </c>
      <c r="F32" s="1">
        <v>5</v>
      </c>
      <c r="G32" s="1">
        <v>5</v>
      </c>
      <c r="H32" s="1">
        <v>5</v>
      </c>
      <c r="I32" s="1">
        <v>5</v>
      </c>
      <c r="J32" s="1">
        <v>4</v>
      </c>
      <c r="K32" s="1">
        <f t="shared" si="0"/>
        <v>19</v>
      </c>
      <c r="L32" s="12">
        <f t="shared" si="1"/>
        <v>0.54285714285714282</v>
      </c>
      <c r="M32" s="1">
        <v>3</v>
      </c>
      <c r="N32" s="1">
        <v>4</v>
      </c>
      <c r="O32" s="1">
        <v>3</v>
      </c>
      <c r="P32" s="1">
        <v>3</v>
      </c>
      <c r="Q32" s="1">
        <f t="shared" si="2"/>
        <v>13</v>
      </c>
      <c r="R32" s="12">
        <f t="shared" si="3"/>
        <v>0.37142857142857144</v>
      </c>
      <c r="S32" s="1">
        <v>4</v>
      </c>
      <c r="T32" s="1">
        <v>4</v>
      </c>
      <c r="U32" s="1">
        <f t="shared" si="4"/>
        <v>8</v>
      </c>
      <c r="V32" s="12">
        <f t="shared" si="5"/>
        <v>0.53333333333333333</v>
      </c>
      <c r="W32" s="1">
        <v>3</v>
      </c>
      <c r="X32" s="1">
        <v>3</v>
      </c>
      <c r="Y32" s="1">
        <v>3</v>
      </c>
      <c r="Z32" s="1">
        <f t="shared" si="6"/>
        <v>9</v>
      </c>
      <c r="AA32" s="12">
        <f t="shared" si="7"/>
        <v>0.6</v>
      </c>
      <c r="AB32" s="2" t="s">
        <v>657</v>
      </c>
    </row>
    <row r="33" spans="1:28" x14ac:dyDescent="0.25">
      <c r="A33" s="1" t="s">
        <v>1652</v>
      </c>
      <c r="B33" s="1" t="s">
        <v>576</v>
      </c>
      <c r="C33" s="1" t="s">
        <v>36</v>
      </c>
      <c r="D33" s="1">
        <v>26</v>
      </c>
      <c r="E33" s="1">
        <v>1</v>
      </c>
      <c r="F33" s="1">
        <v>5</v>
      </c>
      <c r="G33" s="1">
        <v>6</v>
      </c>
      <c r="H33" s="1">
        <v>5</v>
      </c>
      <c r="I33" s="1">
        <v>6</v>
      </c>
      <c r="J33" s="1">
        <v>4</v>
      </c>
      <c r="K33" s="1">
        <f t="shared" si="0"/>
        <v>21</v>
      </c>
      <c r="L33" s="12">
        <f t="shared" si="1"/>
        <v>0.6</v>
      </c>
      <c r="M33" s="1">
        <v>5</v>
      </c>
      <c r="N33" s="1">
        <v>5</v>
      </c>
      <c r="O33" s="1">
        <v>4</v>
      </c>
      <c r="P33" s="1">
        <v>3</v>
      </c>
      <c r="Q33" s="1">
        <f t="shared" si="2"/>
        <v>17</v>
      </c>
      <c r="R33" s="12">
        <f t="shared" si="3"/>
        <v>0.48571428571428571</v>
      </c>
      <c r="S33" s="1">
        <v>4</v>
      </c>
      <c r="T33" s="1">
        <v>4</v>
      </c>
      <c r="U33" s="1">
        <f t="shared" si="4"/>
        <v>8</v>
      </c>
      <c r="V33" s="12">
        <f t="shared" si="5"/>
        <v>0.53333333333333333</v>
      </c>
      <c r="W33" s="1">
        <v>3</v>
      </c>
      <c r="X33" s="1">
        <v>4</v>
      </c>
      <c r="Y33" s="1">
        <v>4</v>
      </c>
      <c r="Z33" s="1">
        <f t="shared" si="6"/>
        <v>11</v>
      </c>
      <c r="AA33" s="12">
        <f t="shared" si="7"/>
        <v>0.73333333333333328</v>
      </c>
      <c r="AB33" s="2" t="s">
        <v>658</v>
      </c>
    </row>
    <row r="34" spans="1:28" x14ac:dyDescent="0.25">
      <c r="A34" s="1" t="s">
        <v>1652</v>
      </c>
      <c r="B34" s="1" t="s">
        <v>35</v>
      </c>
      <c r="C34" s="1" t="s">
        <v>861</v>
      </c>
      <c r="D34" s="1">
        <v>17</v>
      </c>
      <c r="E34" s="1">
        <v>1</v>
      </c>
      <c r="F34" s="1">
        <v>7</v>
      </c>
      <c r="G34" s="1">
        <v>4</v>
      </c>
      <c r="H34" s="1">
        <v>2</v>
      </c>
      <c r="I34" s="1">
        <v>3</v>
      </c>
      <c r="J34" s="1">
        <v>2</v>
      </c>
      <c r="K34" s="1">
        <f t="shared" si="0"/>
        <v>11</v>
      </c>
      <c r="L34" s="12">
        <f>K34/40</f>
        <v>0.27500000000000002</v>
      </c>
      <c r="M34" s="1">
        <v>1</v>
      </c>
      <c r="N34" s="1">
        <v>1</v>
      </c>
      <c r="O34" s="1">
        <v>2</v>
      </c>
      <c r="P34" s="1">
        <v>2</v>
      </c>
      <c r="Q34" s="1">
        <f t="shared" si="2"/>
        <v>6</v>
      </c>
      <c r="R34" s="12">
        <f>Q34/40</f>
        <v>0.15</v>
      </c>
      <c r="S34" s="1">
        <v>3</v>
      </c>
      <c r="T34" s="1">
        <v>1</v>
      </c>
      <c r="U34" s="1">
        <f t="shared" si="4"/>
        <v>4</v>
      </c>
      <c r="V34" s="12">
        <f>U34/20</f>
        <v>0.2</v>
      </c>
      <c r="Z34" s="1">
        <f t="shared" si="6"/>
        <v>0</v>
      </c>
      <c r="AB34" s="2" t="s">
        <v>1007</v>
      </c>
    </row>
    <row r="35" spans="1:28" x14ac:dyDescent="0.25">
      <c r="A35" s="1" t="s">
        <v>1652</v>
      </c>
      <c r="B35" s="1" t="s">
        <v>35</v>
      </c>
      <c r="C35" s="1" t="s">
        <v>861</v>
      </c>
      <c r="D35" s="1">
        <v>17</v>
      </c>
      <c r="E35" s="1">
        <v>1</v>
      </c>
      <c r="F35" s="1">
        <v>7</v>
      </c>
      <c r="G35" s="1">
        <v>4</v>
      </c>
      <c r="H35" s="1">
        <v>3</v>
      </c>
      <c r="I35" s="1">
        <v>3</v>
      </c>
      <c r="J35" s="1">
        <v>3</v>
      </c>
      <c r="K35" s="1">
        <f t="shared" si="0"/>
        <v>13</v>
      </c>
      <c r="L35" s="12">
        <f t="shared" ref="L35:L62" si="8">K35/40</f>
        <v>0.32500000000000001</v>
      </c>
      <c r="M35" s="1">
        <v>3</v>
      </c>
      <c r="N35" s="1">
        <v>3</v>
      </c>
      <c r="O35" s="1">
        <v>4</v>
      </c>
      <c r="P35" s="1">
        <v>4</v>
      </c>
      <c r="Q35" s="1">
        <f t="shared" si="2"/>
        <v>14</v>
      </c>
      <c r="R35" s="12">
        <f t="shared" ref="R35:R62" si="9">Q35/40</f>
        <v>0.35</v>
      </c>
      <c r="S35" s="1">
        <v>4</v>
      </c>
      <c r="T35" s="1">
        <v>2</v>
      </c>
      <c r="U35" s="1">
        <f t="shared" si="4"/>
        <v>6</v>
      </c>
      <c r="V35" s="12">
        <f t="shared" ref="V35:V62" si="10">U35/20</f>
        <v>0.3</v>
      </c>
      <c r="Z35" s="1">
        <f t="shared" si="6"/>
        <v>0</v>
      </c>
      <c r="AB35" s="2" t="s">
        <v>1008</v>
      </c>
    </row>
    <row r="36" spans="1:28" x14ac:dyDescent="0.25">
      <c r="A36" s="1" t="s">
        <v>1652</v>
      </c>
      <c r="B36" s="1" t="s">
        <v>35</v>
      </c>
      <c r="C36" s="1" t="s">
        <v>861</v>
      </c>
      <c r="D36" s="1">
        <v>17</v>
      </c>
      <c r="E36" s="1">
        <v>1</v>
      </c>
      <c r="F36" s="1">
        <v>7</v>
      </c>
      <c r="G36" s="1">
        <v>3</v>
      </c>
      <c r="H36" s="1">
        <v>3</v>
      </c>
      <c r="I36" s="1">
        <v>5</v>
      </c>
      <c r="J36" s="1">
        <v>3</v>
      </c>
      <c r="K36" s="1">
        <f t="shared" si="0"/>
        <v>14</v>
      </c>
      <c r="L36" s="12">
        <f t="shared" si="8"/>
        <v>0.35</v>
      </c>
      <c r="M36" s="1">
        <v>3</v>
      </c>
      <c r="N36" s="1">
        <v>3</v>
      </c>
      <c r="O36" s="1">
        <v>3</v>
      </c>
      <c r="P36" s="1">
        <v>3</v>
      </c>
      <c r="Q36" s="1">
        <f t="shared" si="2"/>
        <v>12</v>
      </c>
      <c r="R36" s="12">
        <f t="shared" si="9"/>
        <v>0.3</v>
      </c>
      <c r="S36" s="1">
        <v>2</v>
      </c>
      <c r="T36" s="1">
        <v>2</v>
      </c>
      <c r="U36" s="1">
        <f t="shared" si="4"/>
        <v>4</v>
      </c>
      <c r="V36" s="12">
        <f t="shared" si="10"/>
        <v>0.2</v>
      </c>
      <c r="Z36" s="1">
        <f t="shared" si="6"/>
        <v>0</v>
      </c>
      <c r="AB36" s="2" t="s">
        <v>1009</v>
      </c>
    </row>
    <row r="37" spans="1:28" x14ac:dyDescent="0.25">
      <c r="A37" s="1" t="s">
        <v>1652</v>
      </c>
      <c r="B37" s="1" t="s">
        <v>35</v>
      </c>
      <c r="C37" s="1" t="s">
        <v>861</v>
      </c>
      <c r="D37" s="1">
        <v>17</v>
      </c>
      <c r="E37" s="1">
        <v>1</v>
      </c>
      <c r="F37" s="1">
        <v>7</v>
      </c>
      <c r="G37" s="1">
        <v>5</v>
      </c>
      <c r="H37" s="1">
        <v>5</v>
      </c>
      <c r="I37" s="1">
        <v>5</v>
      </c>
      <c r="J37" s="1">
        <v>5</v>
      </c>
      <c r="K37" s="1">
        <f t="shared" si="0"/>
        <v>20</v>
      </c>
      <c r="L37" s="12">
        <f t="shared" si="8"/>
        <v>0.5</v>
      </c>
      <c r="M37" s="1">
        <v>5</v>
      </c>
      <c r="N37" s="1">
        <v>5</v>
      </c>
      <c r="O37" s="1">
        <v>5</v>
      </c>
      <c r="P37" s="1">
        <v>4</v>
      </c>
      <c r="Q37" s="1">
        <f t="shared" si="2"/>
        <v>19</v>
      </c>
      <c r="R37" s="12">
        <f t="shared" si="9"/>
        <v>0.47499999999999998</v>
      </c>
      <c r="S37" s="1">
        <v>5</v>
      </c>
      <c r="T37" s="1">
        <v>5</v>
      </c>
      <c r="U37" s="1">
        <f t="shared" si="4"/>
        <v>10</v>
      </c>
      <c r="V37" s="12">
        <f t="shared" si="10"/>
        <v>0.5</v>
      </c>
      <c r="Z37" s="1">
        <f t="shared" si="6"/>
        <v>0</v>
      </c>
      <c r="AB37" s="2" t="s">
        <v>1010</v>
      </c>
    </row>
    <row r="38" spans="1:28" x14ac:dyDescent="0.25">
      <c r="A38" s="1" t="s">
        <v>1652</v>
      </c>
      <c r="B38" s="1" t="s">
        <v>35</v>
      </c>
      <c r="C38" s="1" t="s">
        <v>861</v>
      </c>
      <c r="D38" s="1">
        <v>17</v>
      </c>
      <c r="E38" s="1">
        <v>1</v>
      </c>
      <c r="F38" s="1">
        <v>7</v>
      </c>
      <c r="G38" s="1">
        <v>4</v>
      </c>
      <c r="H38" s="1">
        <v>4</v>
      </c>
      <c r="I38" s="1">
        <v>4</v>
      </c>
      <c r="J38" s="1">
        <v>5</v>
      </c>
      <c r="K38" s="1">
        <f t="shared" si="0"/>
        <v>17</v>
      </c>
      <c r="L38" s="12">
        <f t="shared" si="8"/>
        <v>0.42499999999999999</v>
      </c>
      <c r="M38" s="1">
        <v>3</v>
      </c>
      <c r="N38" s="1">
        <v>3</v>
      </c>
      <c r="O38" s="1">
        <v>4</v>
      </c>
      <c r="P38" s="1">
        <v>3</v>
      </c>
      <c r="Q38" s="1">
        <f t="shared" si="2"/>
        <v>13</v>
      </c>
      <c r="R38" s="12">
        <f t="shared" si="9"/>
        <v>0.32500000000000001</v>
      </c>
      <c r="S38" s="1">
        <v>3</v>
      </c>
      <c r="T38" s="1">
        <v>3</v>
      </c>
      <c r="U38" s="1">
        <f t="shared" si="4"/>
        <v>6</v>
      </c>
      <c r="V38" s="12">
        <f t="shared" si="10"/>
        <v>0.3</v>
      </c>
      <c r="Z38" s="1">
        <f t="shared" si="6"/>
        <v>0</v>
      </c>
      <c r="AB38" s="2" t="s">
        <v>1011</v>
      </c>
    </row>
    <row r="39" spans="1:28" x14ac:dyDescent="0.25">
      <c r="A39" s="1" t="s">
        <v>1652</v>
      </c>
      <c r="B39" s="1" t="s">
        <v>35</v>
      </c>
      <c r="C39" s="1" t="s">
        <v>861</v>
      </c>
      <c r="D39" s="1">
        <v>17</v>
      </c>
      <c r="E39" s="1">
        <v>1</v>
      </c>
      <c r="F39" s="1">
        <v>7</v>
      </c>
      <c r="G39" s="1">
        <v>5</v>
      </c>
      <c r="H39" s="1">
        <v>4</v>
      </c>
      <c r="I39" s="1">
        <v>4</v>
      </c>
      <c r="J39" s="1">
        <v>5</v>
      </c>
      <c r="K39" s="1">
        <f t="shared" si="0"/>
        <v>18</v>
      </c>
      <c r="L39" s="12">
        <f t="shared" si="8"/>
        <v>0.45</v>
      </c>
      <c r="M39" s="1">
        <v>6</v>
      </c>
      <c r="N39" s="1">
        <v>5</v>
      </c>
      <c r="O39" s="1">
        <v>5</v>
      </c>
      <c r="P39" s="1">
        <v>4</v>
      </c>
      <c r="Q39" s="1">
        <f t="shared" si="2"/>
        <v>20</v>
      </c>
      <c r="R39" s="12">
        <f t="shared" si="9"/>
        <v>0.5</v>
      </c>
      <c r="S39" s="1">
        <v>4</v>
      </c>
      <c r="T39" s="1">
        <v>5</v>
      </c>
      <c r="U39" s="1">
        <f t="shared" si="4"/>
        <v>9</v>
      </c>
      <c r="V39" s="12">
        <f t="shared" si="10"/>
        <v>0.45</v>
      </c>
      <c r="Z39" s="1">
        <f t="shared" si="6"/>
        <v>0</v>
      </c>
      <c r="AB39" s="2" t="s">
        <v>1012</v>
      </c>
    </row>
    <row r="40" spans="1:28" x14ac:dyDescent="0.25">
      <c r="A40" s="1" t="s">
        <v>1652</v>
      </c>
      <c r="B40" s="1" t="s">
        <v>35</v>
      </c>
      <c r="C40" s="1" t="s">
        <v>861</v>
      </c>
      <c r="D40" s="1">
        <v>17</v>
      </c>
      <c r="E40" s="1">
        <v>1</v>
      </c>
      <c r="F40" s="1">
        <v>7</v>
      </c>
      <c r="G40" s="1">
        <v>5</v>
      </c>
      <c r="H40" s="1">
        <v>5</v>
      </c>
      <c r="I40" s="1">
        <v>4</v>
      </c>
      <c r="J40" s="1">
        <v>5</v>
      </c>
      <c r="K40" s="1">
        <f t="shared" si="0"/>
        <v>19</v>
      </c>
      <c r="L40" s="12">
        <f t="shared" si="8"/>
        <v>0.47499999999999998</v>
      </c>
      <c r="M40" s="1">
        <v>5</v>
      </c>
      <c r="N40" s="1">
        <v>5</v>
      </c>
      <c r="O40" s="1">
        <v>6</v>
      </c>
      <c r="P40" s="1">
        <v>5</v>
      </c>
      <c r="Q40" s="1">
        <f t="shared" si="2"/>
        <v>21</v>
      </c>
      <c r="R40" s="12">
        <f t="shared" si="9"/>
        <v>0.52500000000000002</v>
      </c>
      <c r="S40" s="1">
        <v>5</v>
      </c>
      <c r="T40" s="1">
        <v>5</v>
      </c>
      <c r="U40" s="1">
        <f t="shared" si="4"/>
        <v>10</v>
      </c>
      <c r="V40" s="12">
        <f t="shared" si="10"/>
        <v>0.5</v>
      </c>
      <c r="Z40" s="1">
        <f t="shared" si="6"/>
        <v>0</v>
      </c>
      <c r="AB40" s="2" t="s">
        <v>1013</v>
      </c>
    </row>
    <row r="41" spans="1:28" x14ac:dyDescent="0.25">
      <c r="A41" s="1" t="s">
        <v>1652</v>
      </c>
      <c r="B41" s="1" t="s">
        <v>35</v>
      </c>
      <c r="C41" s="1" t="s">
        <v>861</v>
      </c>
      <c r="D41" s="1">
        <v>18</v>
      </c>
      <c r="E41" s="1">
        <v>2</v>
      </c>
      <c r="F41" s="1">
        <v>2</v>
      </c>
      <c r="G41" s="1">
        <v>3</v>
      </c>
      <c r="H41" s="1">
        <v>3</v>
      </c>
      <c r="I41" s="1">
        <v>2</v>
      </c>
      <c r="J41" s="1">
        <v>2</v>
      </c>
      <c r="K41" s="1">
        <f t="shared" si="0"/>
        <v>10</v>
      </c>
      <c r="L41" s="12">
        <f t="shared" si="8"/>
        <v>0.25</v>
      </c>
      <c r="M41" s="1">
        <v>3</v>
      </c>
      <c r="N41" s="1">
        <v>2</v>
      </c>
      <c r="O41" s="1">
        <v>2</v>
      </c>
      <c r="P41" s="1">
        <v>2</v>
      </c>
      <c r="Q41" s="1">
        <f t="shared" si="2"/>
        <v>9</v>
      </c>
      <c r="R41" s="12">
        <f t="shared" si="9"/>
        <v>0.22500000000000001</v>
      </c>
      <c r="S41" s="1">
        <v>2</v>
      </c>
      <c r="T41" s="1">
        <v>2</v>
      </c>
      <c r="U41" s="1">
        <f t="shared" si="4"/>
        <v>4</v>
      </c>
      <c r="V41" s="12">
        <f t="shared" si="10"/>
        <v>0.2</v>
      </c>
      <c r="Z41" s="1">
        <f t="shared" si="6"/>
        <v>0</v>
      </c>
      <c r="AB41" s="2" t="s">
        <v>1052</v>
      </c>
    </row>
    <row r="42" spans="1:28" x14ac:dyDescent="0.25">
      <c r="A42" s="1" t="s">
        <v>1652</v>
      </c>
      <c r="B42" s="1" t="s">
        <v>35</v>
      </c>
      <c r="C42" s="1" t="s">
        <v>861</v>
      </c>
      <c r="D42" s="1">
        <v>18</v>
      </c>
      <c r="E42" s="1">
        <v>2</v>
      </c>
      <c r="F42" s="1">
        <v>2</v>
      </c>
      <c r="G42" s="1">
        <v>2</v>
      </c>
      <c r="H42" s="1">
        <v>3</v>
      </c>
      <c r="I42" s="1">
        <v>2</v>
      </c>
      <c r="J42" s="1">
        <v>2</v>
      </c>
      <c r="K42" s="1">
        <f t="shared" si="0"/>
        <v>9</v>
      </c>
      <c r="L42" s="12">
        <f t="shared" si="8"/>
        <v>0.22500000000000001</v>
      </c>
      <c r="M42" s="1">
        <v>2</v>
      </c>
      <c r="N42" s="1">
        <v>2</v>
      </c>
      <c r="O42" s="1">
        <v>2</v>
      </c>
      <c r="P42" s="1">
        <v>2</v>
      </c>
      <c r="Q42" s="1">
        <f t="shared" si="2"/>
        <v>8</v>
      </c>
      <c r="R42" s="12">
        <f t="shared" si="9"/>
        <v>0.2</v>
      </c>
      <c r="S42" s="1">
        <v>2</v>
      </c>
      <c r="T42" s="1">
        <v>2</v>
      </c>
      <c r="U42" s="1">
        <f t="shared" si="4"/>
        <v>4</v>
      </c>
      <c r="V42" s="12">
        <f t="shared" si="10"/>
        <v>0.2</v>
      </c>
      <c r="Z42" s="1">
        <f t="shared" si="6"/>
        <v>0</v>
      </c>
      <c r="AB42" s="2" t="s">
        <v>1053</v>
      </c>
    </row>
    <row r="43" spans="1:28" x14ac:dyDescent="0.25">
      <c r="A43" s="1" t="s">
        <v>1652</v>
      </c>
      <c r="B43" s="1" t="s">
        <v>35</v>
      </c>
      <c r="C43" s="1" t="s">
        <v>861</v>
      </c>
      <c r="D43" s="1">
        <v>18</v>
      </c>
      <c r="E43" s="1">
        <v>2</v>
      </c>
      <c r="F43" s="1">
        <v>2</v>
      </c>
      <c r="G43" s="1">
        <v>3</v>
      </c>
      <c r="H43" s="1">
        <v>3</v>
      </c>
      <c r="I43" s="1">
        <v>4</v>
      </c>
      <c r="J43" s="1">
        <v>3</v>
      </c>
      <c r="K43" s="1">
        <f t="shared" si="0"/>
        <v>13</v>
      </c>
      <c r="L43" s="12">
        <f t="shared" si="8"/>
        <v>0.32500000000000001</v>
      </c>
      <c r="M43" s="1">
        <v>3</v>
      </c>
      <c r="N43" s="1">
        <v>4</v>
      </c>
      <c r="O43" s="1">
        <v>4</v>
      </c>
      <c r="P43" s="1">
        <v>4</v>
      </c>
      <c r="Q43" s="1">
        <f t="shared" si="2"/>
        <v>15</v>
      </c>
      <c r="R43" s="12">
        <f t="shared" si="9"/>
        <v>0.375</v>
      </c>
      <c r="S43" s="1">
        <v>4</v>
      </c>
      <c r="T43" s="1">
        <v>4</v>
      </c>
      <c r="U43" s="1">
        <f t="shared" si="4"/>
        <v>8</v>
      </c>
      <c r="V43" s="12">
        <f t="shared" si="10"/>
        <v>0.4</v>
      </c>
      <c r="Z43" s="1">
        <f t="shared" si="6"/>
        <v>0</v>
      </c>
      <c r="AB43" s="2" t="s">
        <v>1054</v>
      </c>
    </row>
    <row r="44" spans="1:28" x14ac:dyDescent="0.25">
      <c r="A44" s="1" t="s">
        <v>1652</v>
      </c>
      <c r="B44" s="1" t="s">
        <v>35</v>
      </c>
      <c r="C44" s="1" t="s">
        <v>861</v>
      </c>
      <c r="D44" s="1">
        <v>18</v>
      </c>
      <c r="E44" s="1">
        <v>2</v>
      </c>
      <c r="F44" s="1">
        <v>2</v>
      </c>
      <c r="G44" s="1">
        <v>3</v>
      </c>
      <c r="H44" s="1">
        <v>4</v>
      </c>
      <c r="I44" s="1">
        <v>4</v>
      </c>
      <c r="J44" s="1">
        <v>4</v>
      </c>
      <c r="K44" s="1">
        <f t="shared" si="0"/>
        <v>15</v>
      </c>
      <c r="L44" s="12">
        <f t="shared" si="8"/>
        <v>0.375</v>
      </c>
      <c r="M44" s="1">
        <v>4</v>
      </c>
      <c r="N44" s="1">
        <v>3</v>
      </c>
      <c r="O44" s="1">
        <v>3</v>
      </c>
      <c r="P44" s="1">
        <v>3</v>
      </c>
      <c r="Q44" s="1">
        <f t="shared" si="2"/>
        <v>13</v>
      </c>
      <c r="R44" s="12">
        <f t="shared" si="9"/>
        <v>0.32500000000000001</v>
      </c>
      <c r="S44" s="1">
        <v>4</v>
      </c>
      <c r="T44" s="1">
        <v>4</v>
      </c>
      <c r="U44" s="1">
        <f t="shared" si="4"/>
        <v>8</v>
      </c>
      <c r="V44" s="12">
        <f t="shared" si="10"/>
        <v>0.4</v>
      </c>
      <c r="Z44" s="1">
        <f t="shared" si="6"/>
        <v>0</v>
      </c>
      <c r="AB44" s="2" t="s">
        <v>1055</v>
      </c>
    </row>
    <row r="45" spans="1:28" x14ac:dyDescent="0.25">
      <c r="A45" s="1" t="s">
        <v>1652</v>
      </c>
      <c r="B45" s="1" t="s">
        <v>35</v>
      </c>
      <c r="C45" s="1" t="s">
        <v>861</v>
      </c>
      <c r="D45" s="1">
        <v>18</v>
      </c>
      <c r="E45" s="1">
        <v>2</v>
      </c>
      <c r="F45" s="1">
        <v>2</v>
      </c>
      <c r="G45" s="1">
        <v>3</v>
      </c>
      <c r="H45" s="1">
        <v>2</v>
      </c>
      <c r="I45" s="1">
        <v>3</v>
      </c>
      <c r="J45" s="1">
        <v>3</v>
      </c>
      <c r="K45" s="1">
        <f t="shared" si="0"/>
        <v>11</v>
      </c>
      <c r="L45" s="12">
        <f t="shared" si="8"/>
        <v>0.27500000000000002</v>
      </c>
      <c r="M45" s="1">
        <v>3</v>
      </c>
      <c r="N45" s="1">
        <v>4</v>
      </c>
      <c r="O45" s="1">
        <v>3</v>
      </c>
      <c r="P45" s="1">
        <v>4</v>
      </c>
      <c r="Q45" s="1">
        <f t="shared" si="2"/>
        <v>14</v>
      </c>
      <c r="R45" s="12">
        <f t="shared" si="9"/>
        <v>0.35</v>
      </c>
      <c r="S45" s="1">
        <v>4</v>
      </c>
      <c r="T45" s="1">
        <v>4</v>
      </c>
      <c r="U45" s="1">
        <f t="shared" si="4"/>
        <v>8</v>
      </c>
      <c r="V45" s="12">
        <f t="shared" si="10"/>
        <v>0.4</v>
      </c>
      <c r="Z45" s="1">
        <f t="shared" si="6"/>
        <v>0</v>
      </c>
      <c r="AB45" s="2" t="s">
        <v>1056</v>
      </c>
    </row>
    <row r="46" spans="1:28" x14ac:dyDescent="0.25">
      <c r="A46" s="1" t="s">
        <v>1652</v>
      </c>
      <c r="B46" s="1" t="s">
        <v>35</v>
      </c>
      <c r="C46" s="1" t="s">
        <v>861</v>
      </c>
      <c r="D46" s="1">
        <v>18</v>
      </c>
      <c r="E46" s="1">
        <v>2</v>
      </c>
      <c r="F46" s="1">
        <v>2</v>
      </c>
      <c r="G46" s="1">
        <v>4</v>
      </c>
      <c r="H46" s="1">
        <v>4</v>
      </c>
      <c r="I46" s="1">
        <v>4</v>
      </c>
      <c r="J46" s="1">
        <v>4</v>
      </c>
      <c r="K46" s="1">
        <f t="shared" si="0"/>
        <v>16</v>
      </c>
      <c r="L46" s="12">
        <f t="shared" si="8"/>
        <v>0.4</v>
      </c>
      <c r="M46" s="1">
        <v>4</v>
      </c>
      <c r="N46" s="1">
        <v>3</v>
      </c>
      <c r="O46" s="1">
        <v>4</v>
      </c>
      <c r="P46" s="1">
        <v>4</v>
      </c>
      <c r="Q46" s="1">
        <f t="shared" si="2"/>
        <v>15</v>
      </c>
      <c r="R46" s="12">
        <f t="shared" si="9"/>
        <v>0.375</v>
      </c>
      <c r="S46" s="1">
        <v>4</v>
      </c>
      <c r="T46" s="1">
        <v>4</v>
      </c>
      <c r="U46" s="1">
        <f t="shared" si="4"/>
        <v>8</v>
      </c>
      <c r="V46" s="12">
        <f t="shared" si="10"/>
        <v>0.4</v>
      </c>
      <c r="Z46" s="1">
        <f t="shared" si="6"/>
        <v>0</v>
      </c>
      <c r="AB46" s="2" t="s">
        <v>1057</v>
      </c>
    </row>
    <row r="47" spans="1:28" x14ac:dyDescent="0.25">
      <c r="A47" s="1" t="s">
        <v>1652</v>
      </c>
      <c r="B47" s="1" t="s">
        <v>35</v>
      </c>
      <c r="C47" s="1" t="s">
        <v>861</v>
      </c>
      <c r="D47" s="1">
        <v>18</v>
      </c>
      <c r="E47" s="1">
        <v>2</v>
      </c>
      <c r="F47" s="1">
        <v>2</v>
      </c>
      <c r="G47" s="1">
        <v>3</v>
      </c>
      <c r="H47" s="1">
        <v>2</v>
      </c>
      <c r="I47" s="1">
        <v>2</v>
      </c>
      <c r="J47" s="1">
        <v>2</v>
      </c>
      <c r="K47" s="1">
        <f t="shared" si="0"/>
        <v>9</v>
      </c>
      <c r="L47" s="12">
        <f t="shared" si="8"/>
        <v>0.22500000000000001</v>
      </c>
      <c r="M47" s="1">
        <v>2</v>
      </c>
      <c r="N47" s="1">
        <v>2</v>
      </c>
      <c r="O47" s="1">
        <v>2</v>
      </c>
      <c r="P47" s="1">
        <v>2</v>
      </c>
      <c r="Q47" s="1">
        <f t="shared" si="2"/>
        <v>8</v>
      </c>
      <c r="R47" s="12">
        <f t="shared" si="9"/>
        <v>0.2</v>
      </c>
      <c r="S47" s="1">
        <v>2</v>
      </c>
      <c r="T47" s="1">
        <v>2</v>
      </c>
      <c r="U47" s="1">
        <f t="shared" si="4"/>
        <v>4</v>
      </c>
      <c r="V47" s="12">
        <f t="shared" si="10"/>
        <v>0.2</v>
      </c>
      <c r="Z47" s="1">
        <f t="shared" si="6"/>
        <v>0</v>
      </c>
      <c r="AB47" s="2" t="s">
        <v>1058</v>
      </c>
    </row>
    <row r="48" spans="1:28" x14ac:dyDescent="0.25">
      <c r="A48" s="1" t="s">
        <v>1652</v>
      </c>
      <c r="B48" s="1" t="s">
        <v>35</v>
      </c>
      <c r="C48" s="1" t="s">
        <v>861</v>
      </c>
      <c r="D48" s="1">
        <v>18</v>
      </c>
      <c r="E48" s="1">
        <v>2</v>
      </c>
      <c r="F48" s="1">
        <v>2</v>
      </c>
      <c r="G48" s="1">
        <v>4</v>
      </c>
      <c r="H48" s="1">
        <v>4</v>
      </c>
      <c r="I48" s="1">
        <v>4</v>
      </c>
      <c r="J48" s="1">
        <v>4</v>
      </c>
      <c r="K48" s="1">
        <f t="shared" si="0"/>
        <v>16</v>
      </c>
      <c r="L48" s="12">
        <f t="shared" si="8"/>
        <v>0.4</v>
      </c>
      <c r="M48" s="1">
        <v>4</v>
      </c>
      <c r="N48" s="1">
        <v>5</v>
      </c>
      <c r="O48" s="1">
        <v>4</v>
      </c>
      <c r="P48" s="1">
        <v>4</v>
      </c>
      <c r="Q48" s="1">
        <f t="shared" si="2"/>
        <v>17</v>
      </c>
      <c r="R48" s="12">
        <f t="shared" si="9"/>
        <v>0.42499999999999999</v>
      </c>
      <c r="S48" s="1">
        <v>4</v>
      </c>
      <c r="T48" s="1">
        <v>4</v>
      </c>
      <c r="U48" s="1">
        <f t="shared" si="4"/>
        <v>8</v>
      </c>
      <c r="V48" s="12">
        <f t="shared" si="10"/>
        <v>0.4</v>
      </c>
      <c r="Z48" s="1">
        <f t="shared" si="6"/>
        <v>0</v>
      </c>
      <c r="AB48" s="2" t="s">
        <v>1059</v>
      </c>
    </row>
    <row r="49" spans="1:28" x14ac:dyDescent="0.25">
      <c r="A49" s="1" t="s">
        <v>1652</v>
      </c>
      <c r="B49" s="1" t="s">
        <v>35</v>
      </c>
      <c r="C49" s="1" t="s">
        <v>861</v>
      </c>
      <c r="D49" s="1">
        <v>4</v>
      </c>
      <c r="E49" s="1">
        <v>3</v>
      </c>
      <c r="F49" s="1">
        <v>3</v>
      </c>
      <c r="G49" s="1">
        <v>4</v>
      </c>
      <c r="H49" s="1">
        <v>3</v>
      </c>
      <c r="I49" s="1">
        <v>3</v>
      </c>
      <c r="J49" s="1">
        <v>3</v>
      </c>
      <c r="K49" s="1">
        <f t="shared" si="0"/>
        <v>13</v>
      </c>
      <c r="L49" s="12">
        <f t="shared" si="8"/>
        <v>0.32500000000000001</v>
      </c>
      <c r="M49" s="1">
        <v>3</v>
      </c>
      <c r="N49" s="1">
        <v>3</v>
      </c>
      <c r="O49" s="1">
        <v>3</v>
      </c>
      <c r="P49" s="1">
        <v>3</v>
      </c>
      <c r="Q49" s="1">
        <f t="shared" si="2"/>
        <v>12</v>
      </c>
      <c r="R49" s="12">
        <f t="shared" si="9"/>
        <v>0.3</v>
      </c>
      <c r="S49" s="1">
        <v>4</v>
      </c>
      <c r="T49" s="1">
        <v>4</v>
      </c>
      <c r="U49" s="1">
        <f t="shared" si="4"/>
        <v>8</v>
      </c>
      <c r="V49" s="12">
        <f t="shared" si="10"/>
        <v>0.4</v>
      </c>
      <c r="Z49" s="1">
        <f t="shared" si="6"/>
        <v>0</v>
      </c>
      <c r="AB49" s="2" t="s">
        <v>1255</v>
      </c>
    </row>
    <row r="50" spans="1:28" x14ac:dyDescent="0.25">
      <c r="A50" s="1" t="s">
        <v>1652</v>
      </c>
      <c r="B50" s="1" t="s">
        <v>35</v>
      </c>
      <c r="C50" s="1" t="s">
        <v>861</v>
      </c>
      <c r="D50" s="1">
        <v>4</v>
      </c>
      <c r="E50" s="1">
        <v>3</v>
      </c>
      <c r="F50" s="1">
        <v>3</v>
      </c>
      <c r="G50" s="1">
        <v>4</v>
      </c>
      <c r="H50" s="1">
        <v>4</v>
      </c>
      <c r="I50" s="1">
        <v>4</v>
      </c>
      <c r="J50" s="1">
        <v>3</v>
      </c>
      <c r="K50" s="1">
        <f t="shared" si="0"/>
        <v>15</v>
      </c>
      <c r="L50" s="12">
        <f t="shared" si="8"/>
        <v>0.375</v>
      </c>
      <c r="M50" s="1">
        <v>4</v>
      </c>
      <c r="N50" s="1">
        <v>3</v>
      </c>
      <c r="O50" s="1">
        <v>3</v>
      </c>
      <c r="P50" s="1">
        <v>3</v>
      </c>
      <c r="Q50" s="1">
        <f t="shared" si="2"/>
        <v>13</v>
      </c>
      <c r="R50" s="12">
        <f t="shared" si="9"/>
        <v>0.32500000000000001</v>
      </c>
      <c r="S50" s="1">
        <v>4</v>
      </c>
      <c r="T50" s="1">
        <v>4</v>
      </c>
      <c r="U50" s="1">
        <f t="shared" si="4"/>
        <v>8</v>
      </c>
      <c r="V50" s="12">
        <f t="shared" si="10"/>
        <v>0.4</v>
      </c>
      <c r="Z50" s="1">
        <f t="shared" si="6"/>
        <v>0</v>
      </c>
      <c r="AB50" s="2" t="s">
        <v>1256</v>
      </c>
    </row>
    <row r="51" spans="1:28" x14ac:dyDescent="0.25">
      <c r="A51" s="1" t="s">
        <v>1652</v>
      </c>
      <c r="B51" s="1" t="s">
        <v>35</v>
      </c>
      <c r="C51" s="1" t="s">
        <v>861</v>
      </c>
      <c r="D51" s="1">
        <v>4</v>
      </c>
      <c r="E51" s="1">
        <v>3</v>
      </c>
      <c r="F51" s="1">
        <v>3</v>
      </c>
      <c r="G51" s="1">
        <v>5</v>
      </c>
      <c r="H51" s="1">
        <v>5</v>
      </c>
      <c r="I51" s="1">
        <v>4</v>
      </c>
      <c r="J51" s="1">
        <v>4</v>
      </c>
      <c r="K51" s="1">
        <f t="shared" si="0"/>
        <v>18</v>
      </c>
      <c r="L51" s="12">
        <f t="shared" si="8"/>
        <v>0.45</v>
      </c>
      <c r="M51" s="1">
        <v>3</v>
      </c>
      <c r="N51" s="1">
        <v>3</v>
      </c>
      <c r="O51" s="1">
        <v>3</v>
      </c>
      <c r="P51" s="1">
        <v>3</v>
      </c>
      <c r="Q51" s="1">
        <f t="shared" si="2"/>
        <v>12</v>
      </c>
      <c r="R51" s="12">
        <f t="shared" si="9"/>
        <v>0.3</v>
      </c>
      <c r="S51" s="1">
        <v>4</v>
      </c>
      <c r="T51" s="1">
        <v>4</v>
      </c>
      <c r="U51" s="1">
        <f t="shared" si="4"/>
        <v>8</v>
      </c>
      <c r="V51" s="12">
        <f t="shared" si="10"/>
        <v>0.4</v>
      </c>
      <c r="Z51" s="1">
        <f t="shared" si="6"/>
        <v>0</v>
      </c>
      <c r="AB51" s="2" t="s">
        <v>1257</v>
      </c>
    </row>
    <row r="52" spans="1:28" x14ac:dyDescent="0.25">
      <c r="A52" s="1" t="s">
        <v>1652</v>
      </c>
      <c r="B52" s="1" t="s">
        <v>35</v>
      </c>
      <c r="C52" s="1" t="s">
        <v>861</v>
      </c>
      <c r="D52" s="1">
        <v>4</v>
      </c>
      <c r="E52" s="1">
        <v>3</v>
      </c>
      <c r="F52" s="1">
        <v>3</v>
      </c>
      <c r="G52" s="1">
        <v>5</v>
      </c>
      <c r="H52" s="1">
        <v>5</v>
      </c>
      <c r="I52" s="1">
        <v>5</v>
      </c>
      <c r="J52" s="1">
        <v>5</v>
      </c>
      <c r="K52" s="1">
        <f t="shared" si="0"/>
        <v>20</v>
      </c>
      <c r="L52" s="12">
        <f t="shared" si="8"/>
        <v>0.5</v>
      </c>
      <c r="M52" s="1">
        <v>4</v>
      </c>
      <c r="N52" s="1">
        <v>4</v>
      </c>
      <c r="O52" s="1">
        <v>3</v>
      </c>
      <c r="P52" s="1">
        <v>3</v>
      </c>
      <c r="Q52" s="1">
        <f t="shared" si="2"/>
        <v>14</v>
      </c>
      <c r="R52" s="12">
        <f t="shared" si="9"/>
        <v>0.35</v>
      </c>
      <c r="S52" s="1">
        <v>4</v>
      </c>
      <c r="T52" s="1">
        <v>3</v>
      </c>
      <c r="U52" s="1">
        <f t="shared" si="4"/>
        <v>7</v>
      </c>
      <c r="V52" s="12">
        <f t="shared" si="10"/>
        <v>0.35</v>
      </c>
      <c r="Z52" s="1">
        <f t="shared" si="6"/>
        <v>0</v>
      </c>
      <c r="AB52" s="2" t="s">
        <v>1258</v>
      </c>
    </row>
    <row r="53" spans="1:28" x14ac:dyDescent="0.25">
      <c r="A53" s="1" t="s">
        <v>1652</v>
      </c>
      <c r="B53" s="1" t="s">
        <v>35</v>
      </c>
      <c r="C53" s="1" t="s">
        <v>861</v>
      </c>
      <c r="D53" s="1">
        <v>4</v>
      </c>
      <c r="E53" s="1">
        <v>3</v>
      </c>
      <c r="F53" s="1">
        <v>3</v>
      </c>
      <c r="G53" s="1">
        <v>4</v>
      </c>
      <c r="H53" s="1">
        <v>5</v>
      </c>
      <c r="I53" s="1">
        <v>5</v>
      </c>
      <c r="J53" s="1">
        <v>5</v>
      </c>
      <c r="K53" s="1">
        <f t="shared" si="0"/>
        <v>19</v>
      </c>
      <c r="L53" s="12">
        <f t="shared" si="8"/>
        <v>0.47499999999999998</v>
      </c>
      <c r="M53" s="1">
        <v>3</v>
      </c>
      <c r="N53" s="1">
        <v>3</v>
      </c>
      <c r="O53" s="1">
        <v>3</v>
      </c>
      <c r="P53" s="1">
        <v>4</v>
      </c>
      <c r="Q53" s="1">
        <f t="shared" si="2"/>
        <v>13</v>
      </c>
      <c r="R53" s="12">
        <f t="shared" si="9"/>
        <v>0.32500000000000001</v>
      </c>
      <c r="S53" s="1">
        <v>4</v>
      </c>
      <c r="T53" s="1">
        <v>4</v>
      </c>
      <c r="U53" s="1">
        <f t="shared" si="4"/>
        <v>8</v>
      </c>
      <c r="V53" s="12">
        <f t="shared" si="10"/>
        <v>0.4</v>
      </c>
      <c r="Z53" s="1">
        <f t="shared" si="6"/>
        <v>0</v>
      </c>
      <c r="AB53" s="2" t="s">
        <v>1259</v>
      </c>
    </row>
    <row r="54" spans="1:28" x14ac:dyDescent="0.25">
      <c r="A54" s="1" t="s">
        <v>1652</v>
      </c>
      <c r="B54" s="1" t="s">
        <v>35</v>
      </c>
      <c r="C54" s="1" t="s">
        <v>861</v>
      </c>
      <c r="D54" s="1">
        <v>4</v>
      </c>
      <c r="E54" s="1">
        <v>3</v>
      </c>
      <c r="F54" s="1">
        <v>3</v>
      </c>
      <c r="G54" s="1">
        <v>4</v>
      </c>
      <c r="H54" s="1">
        <v>4</v>
      </c>
      <c r="I54" s="1">
        <v>5</v>
      </c>
      <c r="J54" s="1">
        <v>4</v>
      </c>
      <c r="K54" s="1">
        <f t="shared" si="0"/>
        <v>17</v>
      </c>
      <c r="L54" s="12">
        <f t="shared" si="8"/>
        <v>0.42499999999999999</v>
      </c>
      <c r="M54" s="1">
        <v>3</v>
      </c>
      <c r="N54" s="1">
        <v>3</v>
      </c>
      <c r="O54" s="1">
        <v>3</v>
      </c>
      <c r="P54" s="1">
        <v>4</v>
      </c>
      <c r="Q54" s="1">
        <f t="shared" si="2"/>
        <v>13</v>
      </c>
      <c r="R54" s="12">
        <f t="shared" si="9"/>
        <v>0.32500000000000001</v>
      </c>
      <c r="S54" s="1">
        <v>4</v>
      </c>
      <c r="T54" s="1">
        <v>3</v>
      </c>
      <c r="U54" s="1">
        <f t="shared" si="4"/>
        <v>7</v>
      </c>
      <c r="V54" s="12">
        <f t="shared" si="10"/>
        <v>0.35</v>
      </c>
      <c r="Z54" s="1">
        <f t="shared" si="6"/>
        <v>0</v>
      </c>
      <c r="AB54" s="2" t="s">
        <v>1260</v>
      </c>
    </row>
    <row r="55" spans="1:28" x14ac:dyDescent="0.25">
      <c r="A55" s="1" t="s">
        <v>1652</v>
      </c>
      <c r="B55" s="1" t="s">
        <v>35</v>
      </c>
      <c r="C55" s="1" t="s">
        <v>861</v>
      </c>
      <c r="D55" s="1">
        <v>4</v>
      </c>
      <c r="E55" s="1">
        <v>3</v>
      </c>
      <c r="F55" s="1">
        <v>3</v>
      </c>
      <c r="G55" s="1">
        <v>3</v>
      </c>
      <c r="H55" s="1">
        <v>3</v>
      </c>
      <c r="I55" s="1">
        <v>3</v>
      </c>
      <c r="J55" s="1">
        <v>3</v>
      </c>
      <c r="K55" s="1">
        <f t="shared" si="0"/>
        <v>12</v>
      </c>
      <c r="L55" s="12">
        <f t="shared" si="8"/>
        <v>0.3</v>
      </c>
      <c r="M55" s="1">
        <v>4</v>
      </c>
      <c r="N55" s="1">
        <v>3</v>
      </c>
      <c r="O55" s="1">
        <v>3</v>
      </c>
      <c r="P55" s="1">
        <v>4</v>
      </c>
      <c r="Q55" s="1">
        <f t="shared" si="2"/>
        <v>14</v>
      </c>
      <c r="R55" s="12">
        <f t="shared" si="9"/>
        <v>0.35</v>
      </c>
      <c r="S55" s="1">
        <v>3</v>
      </c>
      <c r="T55" s="1">
        <v>3</v>
      </c>
      <c r="U55" s="1">
        <f t="shared" si="4"/>
        <v>6</v>
      </c>
      <c r="V55" s="12">
        <f t="shared" si="10"/>
        <v>0.3</v>
      </c>
      <c r="Z55" s="1">
        <f t="shared" si="6"/>
        <v>0</v>
      </c>
      <c r="AB55" s="2" t="s">
        <v>1261</v>
      </c>
    </row>
    <row r="56" spans="1:28" x14ac:dyDescent="0.25">
      <c r="A56" s="1" t="s">
        <v>1652</v>
      </c>
      <c r="B56" s="1" t="s">
        <v>35</v>
      </c>
      <c r="C56" s="1" t="s">
        <v>861</v>
      </c>
      <c r="D56" s="1">
        <v>4</v>
      </c>
      <c r="E56" s="1">
        <v>3</v>
      </c>
      <c r="F56" s="1">
        <v>3</v>
      </c>
      <c r="G56" s="1">
        <v>4</v>
      </c>
      <c r="H56" s="1">
        <v>4</v>
      </c>
      <c r="I56" s="1">
        <v>4</v>
      </c>
      <c r="J56" s="1">
        <v>3</v>
      </c>
      <c r="K56" s="1">
        <f t="shared" si="0"/>
        <v>15</v>
      </c>
      <c r="L56" s="12">
        <f t="shared" si="8"/>
        <v>0.375</v>
      </c>
      <c r="M56" s="1">
        <v>3</v>
      </c>
      <c r="N56" s="1">
        <v>3</v>
      </c>
      <c r="O56" s="1">
        <v>3</v>
      </c>
      <c r="P56" s="1">
        <v>3</v>
      </c>
      <c r="Q56" s="1">
        <f t="shared" si="2"/>
        <v>12</v>
      </c>
      <c r="R56" s="12">
        <f t="shared" si="9"/>
        <v>0.3</v>
      </c>
      <c r="S56" s="1">
        <v>3</v>
      </c>
      <c r="T56" s="1">
        <v>3</v>
      </c>
      <c r="U56" s="1">
        <f t="shared" si="4"/>
        <v>6</v>
      </c>
      <c r="V56" s="12">
        <f t="shared" si="10"/>
        <v>0.3</v>
      </c>
      <c r="Z56" s="1">
        <f t="shared" si="6"/>
        <v>0</v>
      </c>
      <c r="AB56" s="2" t="s">
        <v>1262</v>
      </c>
    </row>
    <row r="57" spans="1:28" x14ac:dyDescent="0.25">
      <c r="A57" s="1" t="s">
        <v>1652</v>
      </c>
      <c r="B57" s="1" t="s">
        <v>576</v>
      </c>
      <c r="C57" s="1" t="s">
        <v>861</v>
      </c>
      <c r="D57" s="1">
        <v>24</v>
      </c>
      <c r="E57" s="1">
        <v>1</v>
      </c>
      <c r="F57" s="1">
        <v>3</v>
      </c>
      <c r="G57" s="1">
        <v>4</v>
      </c>
      <c r="H57" s="1">
        <v>4</v>
      </c>
      <c r="I57" s="1">
        <v>4</v>
      </c>
      <c r="J57" s="1">
        <v>4</v>
      </c>
      <c r="K57" s="1">
        <f t="shared" si="0"/>
        <v>16</v>
      </c>
      <c r="L57" s="12">
        <f t="shared" si="8"/>
        <v>0.4</v>
      </c>
      <c r="M57" s="1">
        <v>4</v>
      </c>
      <c r="N57" s="1">
        <v>4</v>
      </c>
      <c r="O57" s="1">
        <v>4</v>
      </c>
      <c r="P57" s="1">
        <v>4</v>
      </c>
      <c r="Q57" s="1">
        <f t="shared" si="2"/>
        <v>16</v>
      </c>
      <c r="R57" s="12">
        <f t="shared" si="9"/>
        <v>0.4</v>
      </c>
      <c r="S57" s="1">
        <v>4</v>
      </c>
      <c r="T57" s="1">
        <v>5</v>
      </c>
      <c r="U57" s="1">
        <f t="shared" si="4"/>
        <v>9</v>
      </c>
      <c r="V57" s="12">
        <f t="shared" si="10"/>
        <v>0.45</v>
      </c>
      <c r="Z57" s="1">
        <f t="shared" si="6"/>
        <v>0</v>
      </c>
      <c r="AB57" s="2" t="s">
        <v>1396</v>
      </c>
    </row>
    <row r="58" spans="1:28" x14ac:dyDescent="0.25">
      <c r="A58" s="1" t="s">
        <v>1652</v>
      </c>
      <c r="B58" s="1" t="s">
        <v>576</v>
      </c>
      <c r="C58" s="1" t="s">
        <v>861</v>
      </c>
      <c r="D58" s="1">
        <v>24</v>
      </c>
      <c r="E58" s="1">
        <v>1</v>
      </c>
      <c r="F58" s="1">
        <v>3</v>
      </c>
      <c r="G58" s="1">
        <v>5</v>
      </c>
      <c r="H58" s="1">
        <v>5</v>
      </c>
      <c r="I58" s="1">
        <v>4</v>
      </c>
      <c r="J58" s="1">
        <v>5</v>
      </c>
      <c r="K58" s="1">
        <f t="shared" si="0"/>
        <v>19</v>
      </c>
      <c r="L58" s="12">
        <f t="shared" si="8"/>
        <v>0.47499999999999998</v>
      </c>
      <c r="M58" s="1">
        <v>3</v>
      </c>
      <c r="N58" s="1">
        <v>4</v>
      </c>
      <c r="O58" s="1">
        <v>4</v>
      </c>
      <c r="P58" s="1">
        <v>4</v>
      </c>
      <c r="Q58" s="1">
        <f t="shared" si="2"/>
        <v>15</v>
      </c>
      <c r="R58" s="12">
        <f t="shared" si="9"/>
        <v>0.375</v>
      </c>
      <c r="S58" s="1">
        <v>4</v>
      </c>
      <c r="T58" s="1">
        <v>5</v>
      </c>
      <c r="U58" s="1">
        <f t="shared" si="4"/>
        <v>9</v>
      </c>
      <c r="V58" s="12">
        <f t="shared" si="10"/>
        <v>0.45</v>
      </c>
      <c r="Z58" s="1">
        <f t="shared" si="6"/>
        <v>0</v>
      </c>
      <c r="AB58" s="2" t="s">
        <v>1397</v>
      </c>
    </row>
    <row r="59" spans="1:28" x14ac:dyDescent="0.25">
      <c r="A59" s="1" t="s">
        <v>1652</v>
      </c>
      <c r="B59" s="1" t="s">
        <v>576</v>
      </c>
      <c r="C59" s="1" t="s">
        <v>861</v>
      </c>
      <c r="D59" s="1">
        <v>24</v>
      </c>
      <c r="E59" s="1">
        <v>1</v>
      </c>
      <c r="F59" s="1">
        <v>3</v>
      </c>
      <c r="G59" s="1">
        <v>5</v>
      </c>
      <c r="H59" s="1">
        <v>5</v>
      </c>
      <c r="I59" s="1">
        <v>5</v>
      </c>
      <c r="J59" s="1">
        <v>5</v>
      </c>
      <c r="K59" s="1">
        <f t="shared" si="0"/>
        <v>20</v>
      </c>
      <c r="L59" s="12">
        <f t="shared" si="8"/>
        <v>0.5</v>
      </c>
      <c r="M59" s="1">
        <v>4</v>
      </c>
      <c r="N59" s="1">
        <v>4</v>
      </c>
      <c r="O59" s="1">
        <v>5</v>
      </c>
      <c r="P59" s="1">
        <v>4</v>
      </c>
      <c r="Q59" s="1">
        <f t="shared" si="2"/>
        <v>17</v>
      </c>
      <c r="R59" s="12">
        <f t="shared" si="9"/>
        <v>0.42499999999999999</v>
      </c>
      <c r="S59" s="1">
        <v>4</v>
      </c>
      <c r="T59" s="1">
        <v>6</v>
      </c>
      <c r="U59" s="1">
        <f t="shared" si="4"/>
        <v>10</v>
      </c>
      <c r="V59" s="12">
        <f t="shared" si="10"/>
        <v>0.5</v>
      </c>
      <c r="Z59" s="1">
        <f t="shared" si="6"/>
        <v>0</v>
      </c>
      <c r="AB59" s="2" t="s">
        <v>1398</v>
      </c>
    </row>
    <row r="60" spans="1:28" x14ac:dyDescent="0.25">
      <c r="A60" s="1" t="s">
        <v>1652</v>
      </c>
      <c r="B60" s="1" t="s">
        <v>576</v>
      </c>
      <c r="C60" s="1" t="s">
        <v>861</v>
      </c>
      <c r="D60" s="1">
        <v>24</v>
      </c>
      <c r="E60" s="1">
        <v>1</v>
      </c>
      <c r="F60" s="1">
        <v>3</v>
      </c>
      <c r="G60" s="1">
        <v>4</v>
      </c>
      <c r="H60" s="1">
        <v>5</v>
      </c>
      <c r="I60" s="1">
        <v>6</v>
      </c>
      <c r="J60" s="1">
        <v>5</v>
      </c>
      <c r="K60" s="1">
        <f t="shared" si="0"/>
        <v>20</v>
      </c>
      <c r="L60" s="12">
        <f t="shared" si="8"/>
        <v>0.5</v>
      </c>
      <c r="M60" s="1">
        <v>4</v>
      </c>
      <c r="N60" s="1">
        <v>4</v>
      </c>
      <c r="O60" s="1">
        <v>5</v>
      </c>
      <c r="P60" s="1">
        <v>4</v>
      </c>
      <c r="Q60" s="1">
        <f t="shared" si="2"/>
        <v>17</v>
      </c>
      <c r="R60" s="12">
        <f t="shared" si="9"/>
        <v>0.42499999999999999</v>
      </c>
      <c r="S60" s="1">
        <v>4</v>
      </c>
      <c r="T60" s="1">
        <v>6</v>
      </c>
      <c r="U60" s="1">
        <f t="shared" si="4"/>
        <v>10</v>
      </c>
      <c r="V60" s="12">
        <f t="shared" si="10"/>
        <v>0.5</v>
      </c>
      <c r="Z60" s="1">
        <f t="shared" si="6"/>
        <v>0</v>
      </c>
      <c r="AB60" s="2" t="s">
        <v>1399</v>
      </c>
    </row>
    <row r="61" spans="1:28" x14ac:dyDescent="0.25">
      <c r="A61" s="1" t="s">
        <v>1652</v>
      </c>
      <c r="B61" s="1" t="s">
        <v>576</v>
      </c>
      <c r="C61" s="1" t="s">
        <v>861</v>
      </c>
      <c r="D61" s="1">
        <v>24</v>
      </c>
      <c r="E61" s="1">
        <v>1</v>
      </c>
      <c r="F61" s="1">
        <v>3</v>
      </c>
      <c r="G61" s="1">
        <v>5</v>
      </c>
      <c r="H61" s="1">
        <v>5</v>
      </c>
      <c r="I61" s="1">
        <v>5</v>
      </c>
      <c r="J61" s="1">
        <v>5</v>
      </c>
      <c r="K61" s="1">
        <f t="shared" si="0"/>
        <v>20</v>
      </c>
      <c r="L61" s="12">
        <f t="shared" si="8"/>
        <v>0.5</v>
      </c>
      <c r="M61" s="1">
        <v>4</v>
      </c>
      <c r="N61" s="1">
        <v>4</v>
      </c>
      <c r="O61" s="1">
        <v>5</v>
      </c>
      <c r="P61" s="1">
        <v>4</v>
      </c>
      <c r="Q61" s="1">
        <f t="shared" si="2"/>
        <v>17</v>
      </c>
      <c r="R61" s="12">
        <f t="shared" si="9"/>
        <v>0.42499999999999999</v>
      </c>
      <c r="S61" s="1">
        <v>6</v>
      </c>
      <c r="T61" s="1">
        <v>5</v>
      </c>
      <c r="U61" s="1">
        <f t="shared" si="4"/>
        <v>11</v>
      </c>
      <c r="V61" s="12">
        <f t="shared" si="10"/>
        <v>0.55000000000000004</v>
      </c>
      <c r="Z61" s="1">
        <f t="shared" si="6"/>
        <v>0</v>
      </c>
      <c r="AB61" s="2" t="s">
        <v>1400</v>
      </c>
    </row>
    <row r="62" spans="1:28" x14ac:dyDescent="0.25">
      <c r="A62" s="1" t="s">
        <v>1652</v>
      </c>
      <c r="B62" s="1" t="s">
        <v>576</v>
      </c>
      <c r="C62" s="1" t="s">
        <v>861</v>
      </c>
      <c r="D62" s="1">
        <v>24</v>
      </c>
      <c r="E62" s="1">
        <v>1</v>
      </c>
      <c r="F62" s="1">
        <v>3</v>
      </c>
      <c r="G62" s="1">
        <v>4</v>
      </c>
      <c r="H62" s="1">
        <v>3</v>
      </c>
      <c r="I62" s="1">
        <v>4</v>
      </c>
      <c r="J62" s="1">
        <v>3</v>
      </c>
      <c r="K62" s="1">
        <f t="shared" si="0"/>
        <v>14</v>
      </c>
      <c r="L62" s="12">
        <f t="shared" si="8"/>
        <v>0.35</v>
      </c>
      <c r="M62" s="1">
        <v>4</v>
      </c>
      <c r="N62" s="1">
        <v>4</v>
      </c>
      <c r="O62" s="1">
        <v>3</v>
      </c>
      <c r="P62" s="1">
        <v>3</v>
      </c>
      <c r="Q62" s="1">
        <f t="shared" si="2"/>
        <v>14</v>
      </c>
      <c r="R62" s="12">
        <f t="shared" si="9"/>
        <v>0.35</v>
      </c>
      <c r="S62" s="1">
        <v>3</v>
      </c>
      <c r="T62" s="1">
        <v>2</v>
      </c>
      <c r="U62" s="1">
        <f t="shared" si="4"/>
        <v>5</v>
      </c>
      <c r="V62" s="12">
        <f t="shared" si="10"/>
        <v>0.25</v>
      </c>
      <c r="Z62" s="1">
        <f t="shared" si="6"/>
        <v>0</v>
      </c>
      <c r="AB62" s="2" t="s">
        <v>1401</v>
      </c>
    </row>
    <row r="63" spans="1:28" x14ac:dyDescent="0.25">
      <c r="A63" s="1" t="s">
        <v>1653</v>
      </c>
      <c r="B63" s="1" t="s">
        <v>35</v>
      </c>
      <c r="C63" s="1" t="s">
        <v>36</v>
      </c>
      <c r="D63" s="1">
        <v>19</v>
      </c>
      <c r="E63" s="1">
        <v>1</v>
      </c>
      <c r="F63" s="1">
        <v>4</v>
      </c>
      <c r="G63" s="1">
        <v>6</v>
      </c>
      <c r="H63" s="1">
        <v>6</v>
      </c>
      <c r="I63" s="1">
        <v>5</v>
      </c>
      <c r="J63" s="1">
        <v>5</v>
      </c>
      <c r="K63" s="1">
        <f t="shared" si="0"/>
        <v>22</v>
      </c>
      <c r="L63" s="12">
        <f t="shared" ref="L63:L105" si="11">K63/35</f>
        <v>0.62857142857142856</v>
      </c>
      <c r="M63" s="1">
        <v>7</v>
      </c>
      <c r="N63" s="1">
        <v>6</v>
      </c>
      <c r="O63" s="1">
        <v>5</v>
      </c>
      <c r="P63" s="1">
        <v>3</v>
      </c>
      <c r="Q63" s="1">
        <f t="shared" si="2"/>
        <v>21</v>
      </c>
      <c r="R63" s="12">
        <f t="shared" ref="R63:R105" si="12">Q63/35</f>
        <v>0.6</v>
      </c>
      <c r="S63" s="1">
        <v>6</v>
      </c>
      <c r="T63" s="1">
        <v>3</v>
      </c>
      <c r="U63" s="1">
        <f t="shared" si="4"/>
        <v>9</v>
      </c>
      <c r="V63" s="12">
        <f t="shared" ref="V63:V105" si="13">U63/15</f>
        <v>0.6</v>
      </c>
      <c r="W63" s="1">
        <v>4</v>
      </c>
      <c r="X63" s="1">
        <v>3</v>
      </c>
      <c r="Y63" s="1">
        <v>3</v>
      </c>
      <c r="Z63" s="1">
        <f t="shared" si="6"/>
        <v>10</v>
      </c>
      <c r="AA63" s="12">
        <f t="shared" ref="AA63:AA105" si="14">Z63/15</f>
        <v>0.66666666666666663</v>
      </c>
      <c r="AB63" s="2" t="s">
        <v>121</v>
      </c>
    </row>
    <row r="64" spans="1:28" x14ac:dyDescent="0.25">
      <c r="A64" s="1" t="s">
        <v>1653</v>
      </c>
      <c r="B64" s="1" t="s">
        <v>35</v>
      </c>
      <c r="C64" s="1" t="s">
        <v>36</v>
      </c>
      <c r="D64" s="1">
        <v>19</v>
      </c>
      <c r="E64" s="1">
        <v>1</v>
      </c>
      <c r="F64" s="1">
        <v>4</v>
      </c>
      <c r="G64" s="1">
        <v>5</v>
      </c>
      <c r="H64" s="1">
        <v>5</v>
      </c>
      <c r="I64" s="1">
        <v>4</v>
      </c>
      <c r="J64" s="1">
        <v>3</v>
      </c>
      <c r="K64" s="1">
        <f t="shared" si="0"/>
        <v>17</v>
      </c>
      <c r="L64" s="12">
        <f t="shared" si="11"/>
        <v>0.48571428571428571</v>
      </c>
      <c r="M64" s="1">
        <v>7</v>
      </c>
      <c r="N64" s="1">
        <v>6</v>
      </c>
      <c r="O64" s="1">
        <v>6</v>
      </c>
      <c r="P64" s="1">
        <v>3</v>
      </c>
      <c r="Q64" s="1">
        <f t="shared" si="2"/>
        <v>22</v>
      </c>
      <c r="R64" s="12">
        <f t="shared" si="12"/>
        <v>0.62857142857142856</v>
      </c>
      <c r="S64" s="1">
        <v>5</v>
      </c>
      <c r="T64" s="1">
        <v>3</v>
      </c>
      <c r="U64" s="1">
        <f t="shared" si="4"/>
        <v>8</v>
      </c>
      <c r="V64" s="12">
        <f t="shared" si="13"/>
        <v>0.53333333333333333</v>
      </c>
      <c r="W64" s="1">
        <v>4</v>
      </c>
      <c r="X64" s="1">
        <v>2</v>
      </c>
      <c r="Y64" s="1">
        <v>2</v>
      </c>
      <c r="Z64" s="1">
        <f t="shared" si="6"/>
        <v>8</v>
      </c>
      <c r="AA64" s="12">
        <f t="shared" si="14"/>
        <v>0.53333333333333333</v>
      </c>
      <c r="AB64" s="2" t="s">
        <v>122</v>
      </c>
    </row>
    <row r="65" spans="1:28" x14ac:dyDescent="0.25">
      <c r="A65" s="1" t="s">
        <v>1653</v>
      </c>
      <c r="B65" s="1" t="s">
        <v>35</v>
      </c>
      <c r="C65" s="1" t="s">
        <v>36</v>
      </c>
      <c r="D65" s="1">
        <v>19</v>
      </c>
      <c r="E65" s="1">
        <v>1</v>
      </c>
      <c r="F65" s="1">
        <v>4</v>
      </c>
      <c r="G65" s="1">
        <v>3</v>
      </c>
      <c r="H65" s="1">
        <v>4</v>
      </c>
      <c r="I65" s="1">
        <v>3</v>
      </c>
      <c r="J65" s="1">
        <v>2</v>
      </c>
      <c r="K65" s="1">
        <f t="shared" si="0"/>
        <v>12</v>
      </c>
      <c r="L65" s="12">
        <f t="shared" si="11"/>
        <v>0.34285714285714286</v>
      </c>
      <c r="M65" s="1">
        <v>5</v>
      </c>
      <c r="N65" s="1">
        <v>3</v>
      </c>
      <c r="O65" s="1">
        <v>4</v>
      </c>
      <c r="P65" s="1">
        <v>3</v>
      </c>
      <c r="Q65" s="1">
        <f t="shared" si="2"/>
        <v>15</v>
      </c>
      <c r="R65" s="12">
        <f t="shared" si="12"/>
        <v>0.42857142857142855</v>
      </c>
      <c r="S65" s="1">
        <v>4</v>
      </c>
      <c r="T65" s="1">
        <v>2</v>
      </c>
      <c r="U65" s="1">
        <f t="shared" si="4"/>
        <v>6</v>
      </c>
      <c r="V65" s="12">
        <f t="shared" si="13"/>
        <v>0.4</v>
      </c>
      <c r="W65" s="1">
        <v>4</v>
      </c>
      <c r="X65" s="1">
        <v>2</v>
      </c>
      <c r="Y65" s="1">
        <v>3</v>
      </c>
      <c r="Z65" s="1">
        <f t="shared" si="6"/>
        <v>9</v>
      </c>
      <c r="AA65" s="12">
        <f t="shared" si="14"/>
        <v>0.6</v>
      </c>
      <c r="AB65" s="2" t="s">
        <v>123</v>
      </c>
    </row>
    <row r="66" spans="1:28" x14ac:dyDescent="0.25">
      <c r="A66" s="1" t="s">
        <v>1653</v>
      </c>
      <c r="B66" s="1" t="s">
        <v>35</v>
      </c>
      <c r="C66" s="1" t="s">
        <v>36</v>
      </c>
      <c r="D66" s="1">
        <v>19</v>
      </c>
      <c r="E66" s="1">
        <v>1</v>
      </c>
      <c r="F66" s="1">
        <v>4</v>
      </c>
      <c r="G66" s="1">
        <v>7</v>
      </c>
      <c r="H66" s="1">
        <v>6</v>
      </c>
      <c r="I66" s="1">
        <v>7</v>
      </c>
      <c r="J66" s="1">
        <v>4</v>
      </c>
      <c r="K66" s="1">
        <f t="shared" si="0"/>
        <v>24</v>
      </c>
      <c r="L66" s="12">
        <f t="shared" si="11"/>
        <v>0.68571428571428572</v>
      </c>
      <c r="M66" s="1">
        <v>7</v>
      </c>
      <c r="N66" s="1">
        <v>7</v>
      </c>
      <c r="O66" s="1">
        <v>7</v>
      </c>
      <c r="P66" s="1">
        <v>4</v>
      </c>
      <c r="Q66" s="1">
        <f t="shared" si="2"/>
        <v>25</v>
      </c>
      <c r="R66" s="12">
        <f t="shared" si="12"/>
        <v>0.7142857142857143</v>
      </c>
      <c r="S66" s="1">
        <v>7</v>
      </c>
      <c r="T66" s="1">
        <v>4</v>
      </c>
      <c r="U66" s="1">
        <f t="shared" si="4"/>
        <v>11</v>
      </c>
      <c r="V66" s="12">
        <f t="shared" si="13"/>
        <v>0.73333333333333328</v>
      </c>
      <c r="W66" s="1">
        <v>5</v>
      </c>
      <c r="X66" s="1">
        <v>4</v>
      </c>
      <c r="Y66" s="1">
        <v>4</v>
      </c>
      <c r="Z66" s="1">
        <f t="shared" si="6"/>
        <v>13</v>
      </c>
      <c r="AA66" s="12">
        <f t="shared" si="14"/>
        <v>0.8666666666666667</v>
      </c>
      <c r="AB66" s="2" t="s">
        <v>124</v>
      </c>
    </row>
    <row r="67" spans="1:28" x14ac:dyDescent="0.25">
      <c r="A67" s="1" t="s">
        <v>1653</v>
      </c>
      <c r="B67" s="1" t="s">
        <v>35</v>
      </c>
      <c r="C67" s="1" t="s">
        <v>36</v>
      </c>
      <c r="D67" s="1">
        <v>19</v>
      </c>
      <c r="E67" s="1">
        <v>1</v>
      </c>
      <c r="F67" s="1">
        <v>4</v>
      </c>
      <c r="G67" s="1">
        <v>5</v>
      </c>
      <c r="H67" s="1">
        <v>5</v>
      </c>
      <c r="I67" s="1">
        <v>5</v>
      </c>
      <c r="J67" s="1">
        <v>3</v>
      </c>
      <c r="K67" s="1">
        <f t="shared" ref="K67:K130" si="15">SUM(G67:J67)</f>
        <v>18</v>
      </c>
      <c r="L67" s="12">
        <f t="shared" si="11"/>
        <v>0.51428571428571423</v>
      </c>
      <c r="M67" s="1">
        <v>6</v>
      </c>
      <c r="N67" s="1">
        <v>6</v>
      </c>
      <c r="O67" s="1">
        <v>4</v>
      </c>
      <c r="P67" s="1">
        <v>3</v>
      </c>
      <c r="Q67" s="1">
        <f t="shared" ref="Q67:Q130" si="16">SUM(M67:P67)</f>
        <v>19</v>
      </c>
      <c r="R67" s="12">
        <f t="shared" si="12"/>
        <v>0.54285714285714282</v>
      </c>
      <c r="S67" s="1">
        <v>5</v>
      </c>
      <c r="T67" s="1">
        <v>2</v>
      </c>
      <c r="U67" s="1">
        <f t="shared" ref="U67:U130" si="17">SUM(S67:T67)</f>
        <v>7</v>
      </c>
      <c r="V67" s="12">
        <f t="shared" si="13"/>
        <v>0.46666666666666667</v>
      </c>
      <c r="W67" s="1">
        <v>3</v>
      </c>
      <c r="X67" s="1">
        <v>3</v>
      </c>
      <c r="Y67" s="1">
        <v>3</v>
      </c>
      <c r="Z67" s="1">
        <f t="shared" ref="Z67:Z130" si="18">SUM(W67:Y67)</f>
        <v>9</v>
      </c>
      <c r="AA67" s="12">
        <f t="shared" si="14"/>
        <v>0.6</v>
      </c>
      <c r="AB67" s="2" t="s">
        <v>125</v>
      </c>
    </row>
    <row r="68" spans="1:28" x14ac:dyDescent="0.25">
      <c r="A68" s="1" t="s">
        <v>1653</v>
      </c>
      <c r="B68" s="1" t="s">
        <v>35</v>
      </c>
      <c r="C68" s="1" t="s">
        <v>36</v>
      </c>
      <c r="D68" s="1">
        <v>19</v>
      </c>
      <c r="E68" s="1">
        <v>1</v>
      </c>
      <c r="F68" s="1">
        <v>4</v>
      </c>
      <c r="G68" s="1">
        <v>7</v>
      </c>
      <c r="H68" s="1">
        <v>7</v>
      </c>
      <c r="I68" s="1">
        <v>7</v>
      </c>
      <c r="J68" s="1">
        <v>4</v>
      </c>
      <c r="K68" s="1">
        <f t="shared" si="15"/>
        <v>25</v>
      </c>
      <c r="L68" s="12">
        <f t="shared" si="11"/>
        <v>0.7142857142857143</v>
      </c>
      <c r="M68" s="1">
        <v>7</v>
      </c>
      <c r="N68" s="1">
        <v>6</v>
      </c>
      <c r="O68" s="1">
        <v>6</v>
      </c>
      <c r="P68" s="1">
        <v>4</v>
      </c>
      <c r="Q68" s="1">
        <f t="shared" si="16"/>
        <v>23</v>
      </c>
      <c r="R68" s="12">
        <f t="shared" si="12"/>
        <v>0.65714285714285714</v>
      </c>
      <c r="S68" s="1">
        <v>7</v>
      </c>
      <c r="T68" s="1">
        <v>4</v>
      </c>
      <c r="U68" s="1">
        <f t="shared" si="17"/>
        <v>11</v>
      </c>
      <c r="V68" s="12">
        <f t="shared" si="13"/>
        <v>0.73333333333333328</v>
      </c>
      <c r="W68" s="1">
        <v>4</v>
      </c>
      <c r="X68" s="1">
        <v>4</v>
      </c>
      <c r="Y68" s="1">
        <v>5</v>
      </c>
      <c r="Z68" s="1">
        <f t="shared" si="18"/>
        <v>13</v>
      </c>
      <c r="AA68" s="12">
        <f t="shared" si="14"/>
        <v>0.8666666666666667</v>
      </c>
      <c r="AB68" s="2" t="s">
        <v>126</v>
      </c>
    </row>
    <row r="69" spans="1:28" x14ac:dyDescent="0.25">
      <c r="A69" s="1" t="s">
        <v>1653</v>
      </c>
      <c r="B69" s="1" t="s">
        <v>35</v>
      </c>
      <c r="C69" s="1" t="s">
        <v>36</v>
      </c>
      <c r="D69" s="1">
        <v>19</v>
      </c>
      <c r="E69" s="1">
        <v>1</v>
      </c>
      <c r="F69" s="1">
        <v>4</v>
      </c>
      <c r="G69" s="1">
        <v>7</v>
      </c>
      <c r="H69" s="1">
        <v>7</v>
      </c>
      <c r="I69" s="1">
        <v>7</v>
      </c>
      <c r="J69" s="1">
        <v>5</v>
      </c>
      <c r="K69" s="1">
        <f t="shared" si="15"/>
        <v>26</v>
      </c>
      <c r="L69" s="12">
        <f t="shared" si="11"/>
        <v>0.74285714285714288</v>
      </c>
      <c r="M69" s="1">
        <v>7</v>
      </c>
      <c r="N69" s="1">
        <v>7</v>
      </c>
      <c r="O69" s="1">
        <v>6</v>
      </c>
      <c r="P69" s="1">
        <v>4</v>
      </c>
      <c r="Q69" s="1">
        <f t="shared" si="16"/>
        <v>24</v>
      </c>
      <c r="R69" s="12">
        <f t="shared" si="12"/>
        <v>0.68571428571428572</v>
      </c>
      <c r="S69" s="1">
        <v>7</v>
      </c>
      <c r="T69" s="1">
        <v>4</v>
      </c>
      <c r="U69" s="1">
        <f t="shared" si="17"/>
        <v>11</v>
      </c>
      <c r="V69" s="12">
        <f t="shared" si="13"/>
        <v>0.73333333333333328</v>
      </c>
      <c r="W69" s="1">
        <v>4</v>
      </c>
      <c r="X69" s="1">
        <v>3</v>
      </c>
      <c r="Y69" s="1">
        <v>4</v>
      </c>
      <c r="Z69" s="1">
        <f t="shared" si="18"/>
        <v>11</v>
      </c>
      <c r="AA69" s="12">
        <f t="shared" si="14"/>
        <v>0.73333333333333328</v>
      </c>
      <c r="AB69" s="2" t="s">
        <v>127</v>
      </c>
    </row>
    <row r="70" spans="1:28" x14ac:dyDescent="0.25">
      <c r="A70" s="1" t="s">
        <v>1653</v>
      </c>
      <c r="B70" s="1" t="s">
        <v>35</v>
      </c>
      <c r="C70" s="1" t="s">
        <v>36</v>
      </c>
      <c r="D70" s="1">
        <v>19</v>
      </c>
      <c r="E70" s="1">
        <v>1</v>
      </c>
      <c r="F70" s="1">
        <v>4</v>
      </c>
      <c r="G70" s="1">
        <v>7</v>
      </c>
      <c r="H70" s="1">
        <v>5</v>
      </c>
      <c r="I70" s="1">
        <v>6</v>
      </c>
      <c r="J70" s="1">
        <v>3</v>
      </c>
      <c r="K70" s="1">
        <f t="shared" si="15"/>
        <v>21</v>
      </c>
      <c r="L70" s="12">
        <f t="shared" si="11"/>
        <v>0.6</v>
      </c>
      <c r="M70" s="1">
        <v>6</v>
      </c>
      <c r="N70" s="1">
        <v>6</v>
      </c>
      <c r="O70" s="1">
        <v>6</v>
      </c>
      <c r="P70" s="1">
        <v>4</v>
      </c>
      <c r="Q70" s="1">
        <f t="shared" si="16"/>
        <v>22</v>
      </c>
      <c r="R70" s="12">
        <f t="shared" si="12"/>
        <v>0.62857142857142856</v>
      </c>
      <c r="S70" s="1">
        <v>7</v>
      </c>
      <c r="T70" s="1">
        <v>4</v>
      </c>
      <c r="U70" s="1">
        <f t="shared" si="17"/>
        <v>11</v>
      </c>
      <c r="V70" s="12">
        <f t="shared" si="13"/>
        <v>0.73333333333333328</v>
      </c>
      <c r="W70" s="1">
        <v>4</v>
      </c>
      <c r="X70" s="1">
        <v>4</v>
      </c>
      <c r="Y70" s="1">
        <v>4</v>
      </c>
      <c r="Z70" s="1">
        <f t="shared" si="18"/>
        <v>12</v>
      </c>
      <c r="AA70" s="12">
        <f t="shared" si="14"/>
        <v>0.8</v>
      </c>
      <c r="AB70" s="2" t="s">
        <v>128</v>
      </c>
    </row>
    <row r="71" spans="1:28" x14ac:dyDescent="0.25">
      <c r="A71" s="1" t="s">
        <v>1653</v>
      </c>
      <c r="B71" s="1" t="s">
        <v>35</v>
      </c>
      <c r="C71" s="1" t="s">
        <v>36</v>
      </c>
      <c r="D71" s="1">
        <v>20</v>
      </c>
      <c r="E71" s="1">
        <v>2</v>
      </c>
      <c r="F71" s="1">
        <v>5</v>
      </c>
      <c r="G71" s="1">
        <v>5</v>
      </c>
      <c r="H71" s="1">
        <v>5</v>
      </c>
      <c r="I71" s="1">
        <v>6</v>
      </c>
      <c r="J71" s="1">
        <v>4</v>
      </c>
      <c r="K71" s="1">
        <f t="shared" si="15"/>
        <v>20</v>
      </c>
      <c r="L71" s="12">
        <f t="shared" si="11"/>
        <v>0.5714285714285714</v>
      </c>
      <c r="M71" s="1">
        <v>5</v>
      </c>
      <c r="N71" s="1">
        <v>5</v>
      </c>
      <c r="O71" s="1">
        <v>5</v>
      </c>
      <c r="P71" s="1">
        <v>3</v>
      </c>
      <c r="Q71" s="1">
        <f t="shared" si="16"/>
        <v>18</v>
      </c>
      <c r="R71" s="12">
        <f t="shared" si="12"/>
        <v>0.51428571428571423</v>
      </c>
      <c r="S71" s="1">
        <v>6</v>
      </c>
      <c r="T71" s="1">
        <v>3</v>
      </c>
      <c r="U71" s="1">
        <f t="shared" si="17"/>
        <v>9</v>
      </c>
      <c r="V71" s="12">
        <f t="shared" si="13"/>
        <v>0.6</v>
      </c>
      <c r="W71" s="1">
        <v>4</v>
      </c>
      <c r="X71" s="1">
        <v>3</v>
      </c>
      <c r="Y71" s="1">
        <v>3</v>
      </c>
      <c r="Z71" s="1">
        <f t="shared" si="18"/>
        <v>10</v>
      </c>
      <c r="AA71" s="12">
        <f t="shared" si="14"/>
        <v>0.66666666666666663</v>
      </c>
      <c r="AB71" s="2" t="s">
        <v>357</v>
      </c>
    </row>
    <row r="72" spans="1:28" x14ac:dyDescent="0.25">
      <c r="A72" s="1" t="s">
        <v>1653</v>
      </c>
      <c r="B72" s="1" t="s">
        <v>35</v>
      </c>
      <c r="C72" s="1" t="s">
        <v>36</v>
      </c>
      <c r="D72" s="1">
        <v>20</v>
      </c>
      <c r="E72" s="1">
        <v>2</v>
      </c>
      <c r="F72" s="1">
        <v>5</v>
      </c>
      <c r="G72" s="1">
        <v>7</v>
      </c>
      <c r="H72" s="1">
        <v>7</v>
      </c>
      <c r="I72" s="1">
        <v>6</v>
      </c>
      <c r="J72" s="1">
        <v>4</v>
      </c>
      <c r="K72" s="1">
        <f t="shared" si="15"/>
        <v>24</v>
      </c>
      <c r="L72" s="12">
        <f t="shared" si="11"/>
        <v>0.68571428571428572</v>
      </c>
      <c r="M72" s="1">
        <v>7</v>
      </c>
      <c r="N72" s="1">
        <v>5</v>
      </c>
      <c r="O72" s="1">
        <v>5</v>
      </c>
      <c r="P72" s="1">
        <v>4</v>
      </c>
      <c r="Q72" s="1">
        <f t="shared" si="16"/>
        <v>21</v>
      </c>
      <c r="R72" s="12">
        <f t="shared" si="12"/>
        <v>0.6</v>
      </c>
      <c r="S72" s="1">
        <v>7</v>
      </c>
      <c r="T72" s="1">
        <v>4</v>
      </c>
      <c r="U72" s="1">
        <f t="shared" si="17"/>
        <v>11</v>
      </c>
      <c r="V72" s="12">
        <f t="shared" si="13"/>
        <v>0.73333333333333328</v>
      </c>
      <c r="W72" s="1">
        <v>4</v>
      </c>
      <c r="X72" s="1">
        <v>3</v>
      </c>
      <c r="Y72" s="1">
        <v>3</v>
      </c>
      <c r="Z72" s="1">
        <f t="shared" si="18"/>
        <v>10</v>
      </c>
      <c r="AA72" s="12">
        <f t="shared" si="14"/>
        <v>0.66666666666666663</v>
      </c>
      <c r="AB72" s="2" t="s">
        <v>358</v>
      </c>
    </row>
    <row r="73" spans="1:28" x14ac:dyDescent="0.25">
      <c r="A73" s="1" t="s">
        <v>1653</v>
      </c>
      <c r="B73" s="1" t="s">
        <v>35</v>
      </c>
      <c r="C73" s="1" t="s">
        <v>36</v>
      </c>
      <c r="D73" s="1">
        <v>20</v>
      </c>
      <c r="E73" s="1">
        <v>2</v>
      </c>
      <c r="F73" s="1">
        <v>5</v>
      </c>
      <c r="G73" s="1">
        <v>7</v>
      </c>
      <c r="H73" s="1">
        <v>7</v>
      </c>
      <c r="I73" s="1">
        <v>7</v>
      </c>
      <c r="J73" s="1">
        <v>4</v>
      </c>
      <c r="K73" s="1">
        <f t="shared" si="15"/>
        <v>25</v>
      </c>
      <c r="L73" s="12">
        <f t="shared" si="11"/>
        <v>0.7142857142857143</v>
      </c>
      <c r="M73" s="1">
        <v>5</v>
      </c>
      <c r="N73" s="1">
        <v>6</v>
      </c>
      <c r="O73" s="1">
        <v>6</v>
      </c>
      <c r="P73" s="1">
        <v>4</v>
      </c>
      <c r="Q73" s="1">
        <f t="shared" si="16"/>
        <v>21</v>
      </c>
      <c r="R73" s="12">
        <f t="shared" si="12"/>
        <v>0.6</v>
      </c>
      <c r="S73" s="1">
        <v>7</v>
      </c>
      <c r="T73" s="1">
        <v>4</v>
      </c>
      <c r="U73" s="1">
        <f t="shared" si="17"/>
        <v>11</v>
      </c>
      <c r="V73" s="12">
        <f t="shared" si="13"/>
        <v>0.73333333333333328</v>
      </c>
      <c r="W73" s="1">
        <v>4</v>
      </c>
      <c r="X73" s="1">
        <v>3</v>
      </c>
      <c r="Y73" s="1">
        <v>3</v>
      </c>
      <c r="Z73" s="1">
        <f t="shared" si="18"/>
        <v>10</v>
      </c>
      <c r="AA73" s="12">
        <f t="shared" si="14"/>
        <v>0.66666666666666663</v>
      </c>
      <c r="AB73" s="2" t="s">
        <v>359</v>
      </c>
    </row>
    <row r="74" spans="1:28" x14ac:dyDescent="0.25">
      <c r="A74" s="1" t="s">
        <v>1653</v>
      </c>
      <c r="B74" s="1" t="s">
        <v>35</v>
      </c>
      <c r="C74" s="1" t="s">
        <v>36</v>
      </c>
      <c r="D74" s="1">
        <v>20</v>
      </c>
      <c r="E74" s="1">
        <v>2</v>
      </c>
      <c r="F74" s="1">
        <v>5</v>
      </c>
      <c r="G74" s="1">
        <v>5</v>
      </c>
      <c r="H74" s="1">
        <v>4</v>
      </c>
      <c r="I74" s="1">
        <v>4</v>
      </c>
      <c r="J74" s="1">
        <v>3</v>
      </c>
      <c r="K74" s="1">
        <f t="shared" si="15"/>
        <v>16</v>
      </c>
      <c r="L74" s="12">
        <f t="shared" si="11"/>
        <v>0.45714285714285713</v>
      </c>
      <c r="M74" s="1">
        <v>6</v>
      </c>
      <c r="N74" s="1">
        <v>6</v>
      </c>
      <c r="O74" s="1">
        <v>4</v>
      </c>
      <c r="P74" s="1">
        <v>3</v>
      </c>
      <c r="Q74" s="1">
        <f t="shared" si="16"/>
        <v>19</v>
      </c>
      <c r="R74" s="12">
        <f t="shared" si="12"/>
        <v>0.54285714285714282</v>
      </c>
      <c r="S74" s="1">
        <v>5</v>
      </c>
      <c r="T74" s="1">
        <v>2</v>
      </c>
      <c r="U74" s="1">
        <f t="shared" si="17"/>
        <v>7</v>
      </c>
      <c r="V74" s="12">
        <f t="shared" si="13"/>
        <v>0.46666666666666667</v>
      </c>
      <c r="W74" s="1">
        <v>3</v>
      </c>
      <c r="X74" s="1">
        <v>4</v>
      </c>
      <c r="Y74" s="1">
        <v>4</v>
      </c>
      <c r="Z74" s="1">
        <f t="shared" si="18"/>
        <v>11</v>
      </c>
      <c r="AA74" s="12">
        <f t="shared" si="14"/>
        <v>0.73333333333333328</v>
      </c>
      <c r="AB74" s="2" t="s">
        <v>360</v>
      </c>
    </row>
    <row r="75" spans="1:28" x14ac:dyDescent="0.25">
      <c r="A75" s="1" t="s">
        <v>1653</v>
      </c>
      <c r="B75" s="1" t="s">
        <v>35</v>
      </c>
      <c r="C75" s="1" t="s">
        <v>36</v>
      </c>
      <c r="D75" s="1">
        <v>20</v>
      </c>
      <c r="E75" s="1">
        <v>2</v>
      </c>
      <c r="F75" s="1">
        <v>5</v>
      </c>
      <c r="G75" s="1">
        <v>5</v>
      </c>
      <c r="H75" s="1">
        <v>5</v>
      </c>
      <c r="I75" s="1">
        <v>5</v>
      </c>
      <c r="J75" s="1">
        <v>4</v>
      </c>
      <c r="K75" s="1">
        <f t="shared" si="15"/>
        <v>19</v>
      </c>
      <c r="L75" s="12">
        <f t="shared" si="11"/>
        <v>0.54285714285714282</v>
      </c>
      <c r="M75" s="1">
        <v>5</v>
      </c>
      <c r="N75" s="1">
        <v>4</v>
      </c>
      <c r="O75" s="1">
        <v>5</v>
      </c>
      <c r="P75" s="1">
        <v>3</v>
      </c>
      <c r="Q75" s="1">
        <f t="shared" si="16"/>
        <v>17</v>
      </c>
      <c r="R75" s="12">
        <f t="shared" si="12"/>
        <v>0.48571428571428571</v>
      </c>
      <c r="S75" s="1">
        <v>4</v>
      </c>
      <c r="T75" s="1">
        <v>1</v>
      </c>
      <c r="U75" s="1">
        <f t="shared" si="17"/>
        <v>5</v>
      </c>
      <c r="V75" s="12">
        <f t="shared" si="13"/>
        <v>0.33333333333333331</v>
      </c>
      <c r="W75" s="1">
        <v>3</v>
      </c>
      <c r="X75" s="1">
        <v>3</v>
      </c>
      <c r="Y75" s="1">
        <v>3</v>
      </c>
      <c r="Z75" s="1">
        <f t="shared" si="18"/>
        <v>9</v>
      </c>
      <c r="AA75" s="12">
        <f t="shared" si="14"/>
        <v>0.6</v>
      </c>
      <c r="AB75" s="2" t="s">
        <v>361</v>
      </c>
    </row>
    <row r="76" spans="1:28" x14ac:dyDescent="0.25">
      <c r="A76" s="1" t="s">
        <v>1653</v>
      </c>
      <c r="B76" s="1" t="s">
        <v>35</v>
      </c>
      <c r="C76" s="1" t="s">
        <v>36</v>
      </c>
      <c r="D76" s="1">
        <v>20</v>
      </c>
      <c r="E76" s="1">
        <v>2</v>
      </c>
      <c r="F76" s="1">
        <v>5</v>
      </c>
      <c r="G76" s="1">
        <v>4</v>
      </c>
      <c r="H76" s="1">
        <v>4</v>
      </c>
      <c r="I76" s="1">
        <v>4</v>
      </c>
      <c r="J76" s="1">
        <v>4</v>
      </c>
      <c r="K76" s="1">
        <f t="shared" si="15"/>
        <v>16</v>
      </c>
      <c r="L76" s="12">
        <f t="shared" si="11"/>
        <v>0.45714285714285713</v>
      </c>
      <c r="M76" s="1">
        <v>5</v>
      </c>
      <c r="N76" s="1">
        <v>5</v>
      </c>
      <c r="O76" s="1">
        <v>4</v>
      </c>
      <c r="P76" s="1">
        <v>2</v>
      </c>
      <c r="Q76" s="1">
        <f t="shared" si="16"/>
        <v>16</v>
      </c>
      <c r="R76" s="12">
        <f t="shared" si="12"/>
        <v>0.45714285714285713</v>
      </c>
      <c r="S76" s="1">
        <v>4</v>
      </c>
      <c r="T76" s="1">
        <v>3</v>
      </c>
      <c r="U76" s="1">
        <f t="shared" si="17"/>
        <v>7</v>
      </c>
      <c r="V76" s="12">
        <f t="shared" si="13"/>
        <v>0.46666666666666667</v>
      </c>
      <c r="W76" s="1">
        <v>2</v>
      </c>
      <c r="X76" s="1">
        <v>2</v>
      </c>
      <c r="Y76" s="1">
        <v>2</v>
      </c>
      <c r="Z76" s="1">
        <f t="shared" si="18"/>
        <v>6</v>
      </c>
      <c r="AA76" s="12">
        <f t="shared" si="14"/>
        <v>0.4</v>
      </c>
      <c r="AB76" s="2" t="s">
        <v>362</v>
      </c>
    </row>
    <row r="77" spans="1:28" x14ac:dyDescent="0.25">
      <c r="A77" s="1" t="s">
        <v>1653</v>
      </c>
      <c r="B77" s="1" t="s">
        <v>35</v>
      </c>
      <c r="C77" s="1" t="s">
        <v>36</v>
      </c>
      <c r="D77" s="1">
        <v>20</v>
      </c>
      <c r="E77" s="1">
        <v>2</v>
      </c>
      <c r="F77" s="1">
        <v>5</v>
      </c>
      <c r="G77" s="1">
        <v>7</v>
      </c>
      <c r="H77" s="1">
        <v>7</v>
      </c>
      <c r="I77" s="1">
        <v>6</v>
      </c>
      <c r="J77" s="1">
        <v>4</v>
      </c>
      <c r="K77" s="1">
        <f t="shared" si="15"/>
        <v>24</v>
      </c>
      <c r="L77" s="12">
        <f t="shared" si="11"/>
        <v>0.68571428571428572</v>
      </c>
      <c r="M77" s="1">
        <v>7</v>
      </c>
      <c r="N77" s="1">
        <v>7</v>
      </c>
      <c r="O77" s="1">
        <v>6</v>
      </c>
      <c r="P77" s="1">
        <v>4</v>
      </c>
      <c r="Q77" s="1">
        <f t="shared" si="16"/>
        <v>24</v>
      </c>
      <c r="R77" s="12">
        <f t="shared" si="12"/>
        <v>0.68571428571428572</v>
      </c>
      <c r="S77" s="1">
        <v>7</v>
      </c>
      <c r="T77" s="1">
        <v>4</v>
      </c>
      <c r="U77" s="1">
        <f t="shared" si="17"/>
        <v>11</v>
      </c>
      <c r="V77" s="12">
        <f t="shared" si="13"/>
        <v>0.73333333333333328</v>
      </c>
      <c r="W77" s="1">
        <v>4</v>
      </c>
      <c r="X77" s="1">
        <v>3</v>
      </c>
      <c r="Y77" s="1">
        <v>4</v>
      </c>
      <c r="Z77" s="1">
        <f t="shared" si="18"/>
        <v>11</v>
      </c>
      <c r="AA77" s="12">
        <f t="shared" si="14"/>
        <v>0.73333333333333328</v>
      </c>
      <c r="AB77" s="2" t="s">
        <v>363</v>
      </c>
    </row>
    <row r="78" spans="1:28" x14ac:dyDescent="0.25">
      <c r="A78" s="1" t="s">
        <v>1653</v>
      </c>
      <c r="B78" s="1" t="s">
        <v>35</v>
      </c>
      <c r="C78" s="1" t="s">
        <v>36</v>
      </c>
      <c r="D78" s="1">
        <v>20</v>
      </c>
      <c r="E78" s="1">
        <v>2</v>
      </c>
      <c r="F78" s="1">
        <v>5</v>
      </c>
      <c r="G78" s="1">
        <v>5</v>
      </c>
      <c r="H78" s="1">
        <v>5</v>
      </c>
      <c r="I78" s="1">
        <v>4</v>
      </c>
      <c r="J78" s="1">
        <v>3</v>
      </c>
      <c r="K78" s="1">
        <f t="shared" si="15"/>
        <v>17</v>
      </c>
      <c r="L78" s="12">
        <f t="shared" si="11"/>
        <v>0.48571428571428571</v>
      </c>
      <c r="M78" s="1">
        <v>5</v>
      </c>
      <c r="N78" s="1">
        <v>4</v>
      </c>
      <c r="O78" s="1">
        <v>4</v>
      </c>
      <c r="P78" s="1">
        <v>4</v>
      </c>
      <c r="Q78" s="1">
        <f t="shared" si="16"/>
        <v>17</v>
      </c>
      <c r="R78" s="12">
        <f t="shared" si="12"/>
        <v>0.48571428571428571</v>
      </c>
      <c r="S78" s="1">
        <v>5</v>
      </c>
      <c r="T78" s="1">
        <v>3</v>
      </c>
      <c r="U78" s="1">
        <f t="shared" si="17"/>
        <v>8</v>
      </c>
      <c r="V78" s="12">
        <f t="shared" si="13"/>
        <v>0.53333333333333333</v>
      </c>
      <c r="W78" s="1">
        <v>3</v>
      </c>
      <c r="X78" s="1">
        <v>3</v>
      </c>
      <c r="Y78" s="1">
        <v>3</v>
      </c>
      <c r="Z78" s="1">
        <f t="shared" si="18"/>
        <v>9</v>
      </c>
      <c r="AA78" s="12">
        <f t="shared" si="14"/>
        <v>0.6</v>
      </c>
      <c r="AB78" s="2" t="s">
        <v>364</v>
      </c>
    </row>
    <row r="79" spans="1:28" x14ac:dyDescent="0.25">
      <c r="A79" s="1" t="s">
        <v>1653</v>
      </c>
      <c r="B79" s="1" t="s">
        <v>35</v>
      </c>
      <c r="C79" s="1" t="s">
        <v>36</v>
      </c>
      <c r="D79" s="1">
        <v>5</v>
      </c>
      <c r="E79" s="1">
        <v>3</v>
      </c>
      <c r="F79" s="1">
        <v>6</v>
      </c>
      <c r="G79" s="1">
        <v>6</v>
      </c>
      <c r="H79" s="1">
        <v>4</v>
      </c>
      <c r="I79" s="1">
        <v>5</v>
      </c>
      <c r="J79" s="1">
        <v>2</v>
      </c>
      <c r="K79" s="1">
        <f t="shared" si="15"/>
        <v>17</v>
      </c>
      <c r="L79" s="12">
        <f t="shared" si="11"/>
        <v>0.48571428571428571</v>
      </c>
      <c r="M79" s="1">
        <v>5</v>
      </c>
      <c r="N79" s="1">
        <v>5</v>
      </c>
      <c r="O79" s="1">
        <v>4</v>
      </c>
      <c r="P79" s="1">
        <v>3</v>
      </c>
      <c r="Q79" s="1">
        <f t="shared" si="16"/>
        <v>17</v>
      </c>
      <c r="R79" s="12">
        <f t="shared" si="12"/>
        <v>0.48571428571428571</v>
      </c>
      <c r="S79" s="1">
        <v>5</v>
      </c>
      <c r="T79" s="1">
        <v>4</v>
      </c>
      <c r="U79" s="1">
        <f t="shared" si="17"/>
        <v>9</v>
      </c>
      <c r="V79" s="12">
        <f t="shared" si="13"/>
        <v>0.6</v>
      </c>
      <c r="W79" s="1">
        <v>3</v>
      </c>
      <c r="X79" s="1">
        <v>3</v>
      </c>
      <c r="Y79" s="1">
        <v>3</v>
      </c>
      <c r="Z79" s="1">
        <f t="shared" si="18"/>
        <v>9</v>
      </c>
      <c r="AA79" s="12">
        <f t="shared" si="14"/>
        <v>0.6</v>
      </c>
      <c r="AB79" s="2" t="s">
        <v>552</v>
      </c>
    </row>
    <row r="80" spans="1:28" x14ac:dyDescent="0.25">
      <c r="A80" s="1" t="s">
        <v>1653</v>
      </c>
      <c r="B80" s="1" t="s">
        <v>35</v>
      </c>
      <c r="C80" s="1" t="s">
        <v>36</v>
      </c>
      <c r="D80" s="1">
        <v>5</v>
      </c>
      <c r="E80" s="1">
        <v>3</v>
      </c>
      <c r="F80" s="1">
        <v>6</v>
      </c>
      <c r="G80" s="1">
        <v>6</v>
      </c>
      <c r="H80" s="1">
        <v>5</v>
      </c>
      <c r="I80" s="1">
        <v>5</v>
      </c>
      <c r="J80" s="1">
        <v>3</v>
      </c>
      <c r="K80" s="1">
        <f t="shared" si="15"/>
        <v>19</v>
      </c>
      <c r="L80" s="12">
        <f t="shared" si="11"/>
        <v>0.54285714285714282</v>
      </c>
      <c r="M80" s="1">
        <v>5</v>
      </c>
      <c r="N80" s="1">
        <v>6</v>
      </c>
      <c r="O80" s="1">
        <v>4</v>
      </c>
      <c r="P80" s="1">
        <v>4</v>
      </c>
      <c r="Q80" s="1">
        <f t="shared" si="16"/>
        <v>19</v>
      </c>
      <c r="R80" s="12">
        <f t="shared" si="12"/>
        <v>0.54285714285714282</v>
      </c>
      <c r="S80" s="1">
        <v>5</v>
      </c>
      <c r="T80" s="1">
        <v>4</v>
      </c>
      <c r="U80" s="1">
        <f t="shared" si="17"/>
        <v>9</v>
      </c>
      <c r="V80" s="12">
        <f t="shared" si="13"/>
        <v>0.6</v>
      </c>
      <c r="W80" s="1">
        <v>4</v>
      </c>
      <c r="X80" s="1">
        <v>3</v>
      </c>
      <c r="Y80" s="1">
        <v>3</v>
      </c>
      <c r="Z80" s="1">
        <f t="shared" si="18"/>
        <v>10</v>
      </c>
      <c r="AA80" s="12">
        <f t="shared" si="14"/>
        <v>0.66666666666666663</v>
      </c>
      <c r="AB80" s="2" t="s">
        <v>553</v>
      </c>
    </row>
    <row r="81" spans="1:28" x14ac:dyDescent="0.25">
      <c r="A81" s="1" t="s">
        <v>1653</v>
      </c>
      <c r="B81" s="1" t="s">
        <v>35</v>
      </c>
      <c r="C81" s="1" t="s">
        <v>36</v>
      </c>
      <c r="D81" s="1">
        <v>5</v>
      </c>
      <c r="E81" s="1">
        <v>3</v>
      </c>
      <c r="F81" s="1">
        <v>6</v>
      </c>
      <c r="G81" s="1">
        <v>7</v>
      </c>
      <c r="H81" s="1">
        <v>6</v>
      </c>
      <c r="I81" s="1">
        <v>6</v>
      </c>
      <c r="J81" s="1">
        <v>3</v>
      </c>
      <c r="K81" s="1">
        <f t="shared" si="15"/>
        <v>22</v>
      </c>
      <c r="L81" s="12">
        <f t="shared" si="11"/>
        <v>0.62857142857142856</v>
      </c>
      <c r="M81" s="1">
        <v>6</v>
      </c>
      <c r="N81" s="1">
        <v>6</v>
      </c>
      <c r="O81" s="1">
        <v>6</v>
      </c>
      <c r="P81" s="1">
        <v>3</v>
      </c>
      <c r="Q81" s="1">
        <f t="shared" si="16"/>
        <v>21</v>
      </c>
      <c r="R81" s="12">
        <f t="shared" si="12"/>
        <v>0.6</v>
      </c>
      <c r="S81" s="1">
        <v>7</v>
      </c>
      <c r="T81" s="1">
        <v>4</v>
      </c>
      <c r="U81" s="1">
        <f t="shared" si="17"/>
        <v>11</v>
      </c>
      <c r="V81" s="12">
        <f t="shared" si="13"/>
        <v>0.73333333333333328</v>
      </c>
      <c r="W81" s="1">
        <v>4</v>
      </c>
      <c r="X81" s="1">
        <v>3</v>
      </c>
      <c r="Y81" s="1">
        <v>3</v>
      </c>
      <c r="Z81" s="1">
        <f t="shared" si="18"/>
        <v>10</v>
      </c>
      <c r="AA81" s="12">
        <f t="shared" si="14"/>
        <v>0.66666666666666663</v>
      </c>
      <c r="AB81" s="2" t="s">
        <v>554</v>
      </c>
    </row>
    <row r="82" spans="1:28" x14ac:dyDescent="0.25">
      <c r="A82" s="1" t="s">
        <v>1653</v>
      </c>
      <c r="B82" s="1" t="s">
        <v>35</v>
      </c>
      <c r="C82" s="1" t="s">
        <v>36</v>
      </c>
      <c r="D82" s="1">
        <v>5</v>
      </c>
      <c r="E82" s="1">
        <v>3</v>
      </c>
      <c r="F82" s="1">
        <v>6</v>
      </c>
      <c r="G82" s="1">
        <v>7</v>
      </c>
      <c r="H82" s="1">
        <v>6</v>
      </c>
      <c r="I82" s="1">
        <v>6</v>
      </c>
      <c r="J82" s="1">
        <v>3</v>
      </c>
      <c r="K82" s="1">
        <f t="shared" si="15"/>
        <v>22</v>
      </c>
      <c r="L82" s="12">
        <f t="shared" si="11"/>
        <v>0.62857142857142856</v>
      </c>
      <c r="M82" s="1">
        <v>4</v>
      </c>
      <c r="N82" s="1">
        <v>4</v>
      </c>
      <c r="O82" s="1">
        <v>5</v>
      </c>
      <c r="P82" s="1">
        <v>3</v>
      </c>
      <c r="Q82" s="1">
        <f t="shared" si="16"/>
        <v>16</v>
      </c>
      <c r="R82" s="12">
        <f t="shared" si="12"/>
        <v>0.45714285714285713</v>
      </c>
      <c r="S82" s="1">
        <v>5</v>
      </c>
      <c r="T82" s="1">
        <v>4</v>
      </c>
      <c r="U82" s="1">
        <f t="shared" si="17"/>
        <v>9</v>
      </c>
      <c r="V82" s="12">
        <f t="shared" si="13"/>
        <v>0.6</v>
      </c>
      <c r="W82" s="1">
        <v>3</v>
      </c>
      <c r="X82" s="1">
        <v>3</v>
      </c>
      <c r="Y82" s="1">
        <v>3</v>
      </c>
      <c r="Z82" s="1">
        <f t="shared" si="18"/>
        <v>9</v>
      </c>
      <c r="AA82" s="12">
        <f t="shared" si="14"/>
        <v>0.6</v>
      </c>
      <c r="AB82" s="2" t="s">
        <v>555</v>
      </c>
    </row>
    <row r="83" spans="1:28" x14ac:dyDescent="0.25">
      <c r="A83" s="1" t="s">
        <v>1653</v>
      </c>
      <c r="B83" s="1" t="s">
        <v>35</v>
      </c>
      <c r="C83" s="1" t="s">
        <v>36</v>
      </c>
      <c r="D83" s="1">
        <v>5</v>
      </c>
      <c r="E83" s="1">
        <v>3</v>
      </c>
      <c r="F83" s="1">
        <v>6</v>
      </c>
      <c r="G83" s="1">
        <v>6</v>
      </c>
      <c r="H83" s="1">
        <v>6</v>
      </c>
      <c r="I83" s="1">
        <v>5</v>
      </c>
      <c r="J83" s="1">
        <v>3</v>
      </c>
      <c r="K83" s="1">
        <f t="shared" si="15"/>
        <v>20</v>
      </c>
      <c r="L83" s="12">
        <f t="shared" si="11"/>
        <v>0.5714285714285714</v>
      </c>
      <c r="M83" s="1">
        <v>4</v>
      </c>
      <c r="N83" s="1">
        <v>4</v>
      </c>
      <c r="O83" s="1">
        <v>4</v>
      </c>
      <c r="P83" s="1">
        <v>3</v>
      </c>
      <c r="Q83" s="1">
        <f t="shared" si="16"/>
        <v>15</v>
      </c>
      <c r="R83" s="12">
        <f t="shared" si="12"/>
        <v>0.42857142857142855</v>
      </c>
      <c r="S83" s="1">
        <v>4</v>
      </c>
      <c r="T83" s="1">
        <v>4</v>
      </c>
      <c r="U83" s="1">
        <f t="shared" si="17"/>
        <v>8</v>
      </c>
      <c r="V83" s="12">
        <f t="shared" si="13"/>
        <v>0.53333333333333333</v>
      </c>
      <c r="W83" s="1">
        <v>5</v>
      </c>
      <c r="X83" s="1">
        <v>4</v>
      </c>
      <c r="Y83" s="1">
        <v>4</v>
      </c>
      <c r="Z83" s="1">
        <f t="shared" si="18"/>
        <v>13</v>
      </c>
      <c r="AA83" s="12">
        <f t="shared" si="14"/>
        <v>0.8666666666666667</v>
      </c>
      <c r="AB83" s="2" t="s">
        <v>556</v>
      </c>
    </row>
    <row r="84" spans="1:28" x14ac:dyDescent="0.25">
      <c r="A84" s="1" t="s">
        <v>1653</v>
      </c>
      <c r="B84" s="1" t="s">
        <v>35</v>
      </c>
      <c r="C84" s="1" t="s">
        <v>36</v>
      </c>
      <c r="D84" s="1">
        <v>5</v>
      </c>
      <c r="E84" s="1">
        <v>3</v>
      </c>
      <c r="F84" s="1">
        <v>6</v>
      </c>
      <c r="G84" s="1">
        <v>6</v>
      </c>
      <c r="H84" s="1">
        <v>5</v>
      </c>
      <c r="I84" s="1">
        <v>6</v>
      </c>
      <c r="J84" s="1">
        <v>4</v>
      </c>
      <c r="K84" s="1">
        <f t="shared" si="15"/>
        <v>21</v>
      </c>
      <c r="L84" s="12">
        <f t="shared" si="11"/>
        <v>0.6</v>
      </c>
      <c r="M84" s="1">
        <v>5</v>
      </c>
      <c r="N84" s="1">
        <v>6</v>
      </c>
      <c r="O84" s="1">
        <v>5</v>
      </c>
      <c r="P84" s="1">
        <v>4</v>
      </c>
      <c r="Q84" s="1">
        <f t="shared" si="16"/>
        <v>20</v>
      </c>
      <c r="R84" s="12">
        <f t="shared" si="12"/>
        <v>0.5714285714285714</v>
      </c>
      <c r="S84" s="1">
        <v>5</v>
      </c>
      <c r="T84" s="1">
        <v>4</v>
      </c>
      <c r="U84" s="1">
        <f t="shared" si="17"/>
        <v>9</v>
      </c>
      <c r="V84" s="12">
        <f t="shared" si="13"/>
        <v>0.6</v>
      </c>
      <c r="W84" s="1">
        <v>4</v>
      </c>
      <c r="X84" s="1">
        <v>4</v>
      </c>
      <c r="Y84" s="1">
        <v>5</v>
      </c>
      <c r="Z84" s="1">
        <f t="shared" si="18"/>
        <v>13</v>
      </c>
      <c r="AA84" s="12">
        <f t="shared" si="14"/>
        <v>0.8666666666666667</v>
      </c>
      <c r="AB84" s="2" t="s">
        <v>557</v>
      </c>
    </row>
    <row r="85" spans="1:28" x14ac:dyDescent="0.25">
      <c r="A85" s="1" t="s">
        <v>1653</v>
      </c>
      <c r="B85" s="1" t="s">
        <v>35</v>
      </c>
      <c r="C85" s="1" t="s">
        <v>36</v>
      </c>
      <c r="D85" s="1">
        <v>5</v>
      </c>
      <c r="E85" s="1">
        <v>3</v>
      </c>
      <c r="F85" s="1">
        <v>6</v>
      </c>
      <c r="G85" s="1">
        <v>7</v>
      </c>
      <c r="H85" s="1">
        <v>7</v>
      </c>
      <c r="I85" s="1">
        <v>7</v>
      </c>
      <c r="J85" s="1">
        <v>5</v>
      </c>
      <c r="K85" s="1">
        <f t="shared" si="15"/>
        <v>26</v>
      </c>
      <c r="L85" s="12">
        <f t="shared" si="11"/>
        <v>0.74285714285714288</v>
      </c>
      <c r="M85" s="1">
        <v>7</v>
      </c>
      <c r="N85" s="1">
        <v>8</v>
      </c>
      <c r="O85" s="1">
        <v>8</v>
      </c>
      <c r="P85" s="1">
        <v>5</v>
      </c>
      <c r="Q85" s="1">
        <f t="shared" si="16"/>
        <v>28</v>
      </c>
      <c r="R85" s="12">
        <f t="shared" si="12"/>
        <v>0.8</v>
      </c>
      <c r="S85" s="1">
        <v>7</v>
      </c>
      <c r="T85" s="1">
        <v>4</v>
      </c>
      <c r="U85" s="1">
        <f t="shared" si="17"/>
        <v>11</v>
      </c>
      <c r="V85" s="12">
        <f t="shared" si="13"/>
        <v>0.73333333333333328</v>
      </c>
      <c r="W85" s="1">
        <v>5</v>
      </c>
      <c r="X85" s="1">
        <v>5</v>
      </c>
      <c r="Y85" s="1">
        <v>5</v>
      </c>
      <c r="Z85" s="1">
        <f t="shared" si="18"/>
        <v>15</v>
      </c>
      <c r="AA85" s="12">
        <f t="shared" si="14"/>
        <v>1</v>
      </c>
      <c r="AB85" s="2" t="s">
        <v>558</v>
      </c>
    </row>
    <row r="86" spans="1:28" x14ac:dyDescent="0.25">
      <c r="A86" s="1" t="s">
        <v>1653</v>
      </c>
      <c r="B86" s="1" t="s">
        <v>35</v>
      </c>
      <c r="C86" s="1" t="s">
        <v>36</v>
      </c>
      <c r="D86" s="1">
        <v>5</v>
      </c>
      <c r="E86" s="1">
        <v>3</v>
      </c>
      <c r="F86" s="1">
        <v>6</v>
      </c>
      <c r="G86" s="1">
        <v>6</v>
      </c>
      <c r="H86" s="1">
        <v>5</v>
      </c>
      <c r="I86" s="1">
        <v>4</v>
      </c>
      <c r="J86" s="1">
        <v>4</v>
      </c>
      <c r="K86" s="1">
        <f t="shared" si="15"/>
        <v>19</v>
      </c>
      <c r="L86" s="12">
        <f t="shared" si="11"/>
        <v>0.54285714285714282</v>
      </c>
      <c r="M86" s="1">
        <v>5</v>
      </c>
      <c r="N86" s="1">
        <v>4</v>
      </c>
      <c r="O86" s="1">
        <v>4</v>
      </c>
      <c r="P86" s="1">
        <v>3</v>
      </c>
      <c r="Q86" s="1">
        <f t="shared" si="16"/>
        <v>16</v>
      </c>
      <c r="R86" s="12">
        <f t="shared" si="12"/>
        <v>0.45714285714285713</v>
      </c>
      <c r="S86" s="1">
        <v>5</v>
      </c>
      <c r="T86" s="1">
        <v>3</v>
      </c>
      <c r="U86" s="1">
        <f t="shared" si="17"/>
        <v>8</v>
      </c>
      <c r="V86" s="12">
        <f t="shared" si="13"/>
        <v>0.53333333333333333</v>
      </c>
      <c r="W86" s="1">
        <v>3</v>
      </c>
      <c r="X86" s="1">
        <v>3</v>
      </c>
      <c r="Y86" s="1">
        <v>3</v>
      </c>
      <c r="Z86" s="1">
        <f t="shared" si="18"/>
        <v>9</v>
      </c>
      <c r="AA86" s="12">
        <f t="shared" si="14"/>
        <v>0.6</v>
      </c>
      <c r="AB86" s="2" t="s">
        <v>559</v>
      </c>
    </row>
    <row r="87" spans="1:28" x14ac:dyDescent="0.25">
      <c r="A87" s="1" t="s">
        <v>1653</v>
      </c>
      <c r="B87" s="1" t="s">
        <v>576</v>
      </c>
      <c r="C87" s="1" t="s">
        <v>36</v>
      </c>
      <c r="D87" s="1">
        <v>26</v>
      </c>
      <c r="E87" s="1">
        <v>1</v>
      </c>
      <c r="F87" s="1">
        <v>3</v>
      </c>
      <c r="G87" s="1">
        <v>7</v>
      </c>
      <c r="H87" s="1">
        <v>5</v>
      </c>
      <c r="I87" s="1">
        <v>6</v>
      </c>
      <c r="J87" s="1">
        <v>4</v>
      </c>
      <c r="K87" s="1">
        <f t="shared" si="15"/>
        <v>22</v>
      </c>
      <c r="L87" s="12">
        <f t="shared" si="11"/>
        <v>0.62857142857142856</v>
      </c>
      <c r="M87" s="1">
        <v>6</v>
      </c>
      <c r="N87" s="1">
        <v>6</v>
      </c>
      <c r="O87" s="1">
        <v>6</v>
      </c>
      <c r="P87" s="1">
        <v>4</v>
      </c>
      <c r="Q87" s="1">
        <f t="shared" si="16"/>
        <v>22</v>
      </c>
      <c r="R87" s="12">
        <f t="shared" si="12"/>
        <v>0.62857142857142856</v>
      </c>
      <c r="S87" s="1">
        <v>7</v>
      </c>
      <c r="T87" s="1">
        <v>4</v>
      </c>
      <c r="U87" s="1">
        <f t="shared" si="17"/>
        <v>11</v>
      </c>
      <c r="V87" s="12">
        <f t="shared" si="13"/>
        <v>0.73333333333333328</v>
      </c>
      <c r="W87" s="1">
        <v>4</v>
      </c>
      <c r="X87" s="1">
        <v>5</v>
      </c>
      <c r="Y87" s="1">
        <v>5</v>
      </c>
      <c r="Z87" s="1">
        <f t="shared" si="18"/>
        <v>14</v>
      </c>
      <c r="AA87" s="12">
        <f t="shared" si="14"/>
        <v>0.93333333333333335</v>
      </c>
      <c r="AB87" s="2" t="s">
        <v>623</v>
      </c>
    </row>
    <row r="88" spans="1:28" x14ac:dyDescent="0.25">
      <c r="A88" s="1" t="s">
        <v>1653</v>
      </c>
      <c r="B88" s="1" t="s">
        <v>576</v>
      </c>
      <c r="C88" s="1" t="s">
        <v>36</v>
      </c>
      <c r="D88" s="1">
        <v>26</v>
      </c>
      <c r="E88" s="1">
        <v>1</v>
      </c>
      <c r="F88" s="1">
        <v>3</v>
      </c>
      <c r="G88" s="1">
        <v>7</v>
      </c>
      <c r="H88" s="1">
        <v>6</v>
      </c>
      <c r="I88" s="1">
        <v>5</v>
      </c>
      <c r="J88" s="1">
        <v>4</v>
      </c>
      <c r="K88" s="1">
        <f t="shared" si="15"/>
        <v>22</v>
      </c>
      <c r="L88" s="12">
        <f t="shared" si="11"/>
        <v>0.62857142857142856</v>
      </c>
      <c r="M88" s="1">
        <v>7</v>
      </c>
      <c r="N88" s="1">
        <v>6</v>
      </c>
      <c r="O88" s="1">
        <v>5</v>
      </c>
      <c r="P88" s="1">
        <v>4</v>
      </c>
      <c r="Q88" s="1">
        <f t="shared" si="16"/>
        <v>22</v>
      </c>
      <c r="R88" s="12">
        <f t="shared" si="12"/>
        <v>0.62857142857142856</v>
      </c>
      <c r="S88" s="1">
        <v>6</v>
      </c>
      <c r="T88" s="1">
        <v>3</v>
      </c>
      <c r="U88" s="1">
        <f t="shared" si="17"/>
        <v>9</v>
      </c>
      <c r="V88" s="12">
        <f t="shared" si="13"/>
        <v>0.6</v>
      </c>
      <c r="W88" s="1">
        <v>4</v>
      </c>
      <c r="X88" s="1">
        <v>3</v>
      </c>
      <c r="Y88" s="1">
        <v>3</v>
      </c>
      <c r="Z88" s="1">
        <f t="shared" si="18"/>
        <v>10</v>
      </c>
      <c r="AA88" s="12">
        <f t="shared" si="14"/>
        <v>0.66666666666666663</v>
      </c>
      <c r="AB88" s="2" t="s">
        <v>624</v>
      </c>
    </row>
    <row r="89" spans="1:28" x14ac:dyDescent="0.25">
      <c r="A89" s="1" t="s">
        <v>1653</v>
      </c>
      <c r="B89" s="1" t="s">
        <v>576</v>
      </c>
      <c r="C89" s="1" t="s">
        <v>36</v>
      </c>
      <c r="D89" s="1">
        <v>26</v>
      </c>
      <c r="E89" s="1">
        <v>1</v>
      </c>
      <c r="F89" s="1">
        <v>3</v>
      </c>
      <c r="G89" s="1">
        <v>6</v>
      </c>
      <c r="H89" s="1">
        <v>7</v>
      </c>
      <c r="I89" s="1">
        <v>5</v>
      </c>
      <c r="J89" s="1">
        <v>4</v>
      </c>
      <c r="K89" s="1">
        <f t="shared" si="15"/>
        <v>22</v>
      </c>
      <c r="L89" s="12">
        <f t="shared" si="11"/>
        <v>0.62857142857142856</v>
      </c>
      <c r="M89" s="1">
        <v>6</v>
      </c>
      <c r="N89" s="1">
        <v>5</v>
      </c>
      <c r="O89" s="1">
        <v>5</v>
      </c>
      <c r="P89" s="1">
        <v>3</v>
      </c>
      <c r="Q89" s="1">
        <f t="shared" si="16"/>
        <v>19</v>
      </c>
      <c r="R89" s="12">
        <f t="shared" si="12"/>
        <v>0.54285714285714282</v>
      </c>
      <c r="S89" s="1">
        <v>5</v>
      </c>
      <c r="T89" s="1">
        <v>4</v>
      </c>
      <c r="U89" s="1">
        <f t="shared" si="17"/>
        <v>9</v>
      </c>
      <c r="V89" s="12">
        <f t="shared" si="13"/>
        <v>0.6</v>
      </c>
      <c r="W89" s="1">
        <v>4</v>
      </c>
      <c r="X89" s="1">
        <v>2</v>
      </c>
      <c r="Y89" s="1">
        <v>3</v>
      </c>
      <c r="Z89" s="1">
        <f t="shared" si="18"/>
        <v>9</v>
      </c>
      <c r="AA89" s="12">
        <f t="shared" si="14"/>
        <v>0.6</v>
      </c>
      <c r="AB89" s="2" t="s">
        <v>625</v>
      </c>
    </row>
    <row r="90" spans="1:28" x14ac:dyDescent="0.25">
      <c r="A90" s="1" t="s">
        <v>1653</v>
      </c>
      <c r="B90" s="1" t="s">
        <v>576</v>
      </c>
      <c r="C90" s="1" t="s">
        <v>36</v>
      </c>
      <c r="D90" s="1">
        <v>26</v>
      </c>
      <c r="E90" s="1">
        <v>1</v>
      </c>
      <c r="F90" s="1">
        <v>3</v>
      </c>
      <c r="G90" s="1">
        <v>4</v>
      </c>
      <c r="H90" s="1">
        <v>5</v>
      </c>
      <c r="I90" s="1">
        <v>3</v>
      </c>
      <c r="J90" s="1">
        <v>3</v>
      </c>
      <c r="K90" s="1">
        <f t="shared" si="15"/>
        <v>15</v>
      </c>
      <c r="L90" s="12">
        <f t="shared" si="11"/>
        <v>0.42857142857142855</v>
      </c>
      <c r="M90" s="1">
        <v>4</v>
      </c>
      <c r="N90" s="1">
        <v>4</v>
      </c>
      <c r="O90" s="1">
        <v>4</v>
      </c>
      <c r="P90" s="1">
        <v>3</v>
      </c>
      <c r="Q90" s="1">
        <f t="shared" si="16"/>
        <v>15</v>
      </c>
      <c r="R90" s="12">
        <f t="shared" si="12"/>
        <v>0.42857142857142855</v>
      </c>
      <c r="S90" s="1">
        <v>3</v>
      </c>
      <c r="T90" s="1">
        <v>3</v>
      </c>
      <c r="U90" s="1">
        <f t="shared" si="17"/>
        <v>6</v>
      </c>
      <c r="V90" s="12">
        <f t="shared" si="13"/>
        <v>0.4</v>
      </c>
      <c r="W90" s="1">
        <v>3</v>
      </c>
      <c r="X90" s="1">
        <v>2</v>
      </c>
      <c r="Y90" s="1">
        <v>3</v>
      </c>
      <c r="Z90" s="1">
        <f t="shared" si="18"/>
        <v>8</v>
      </c>
      <c r="AA90" s="12">
        <f t="shared" si="14"/>
        <v>0.53333333333333333</v>
      </c>
      <c r="AB90" s="2" t="s">
        <v>626</v>
      </c>
    </row>
    <row r="91" spans="1:28" x14ac:dyDescent="0.25">
      <c r="A91" s="1" t="s">
        <v>1653</v>
      </c>
      <c r="B91" s="1" t="s">
        <v>576</v>
      </c>
      <c r="C91" s="1" t="s">
        <v>36</v>
      </c>
      <c r="D91" s="1">
        <v>26</v>
      </c>
      <c r="E91" s="1">
        <v>1</v>
      </c>
      <c r="F91" s="1">
        <v>3</v>
      </c>
      <c r="G91" s="1">
        <v>7</v>
      </c>
      <c r="H91" s="1">
        <v>6</v>
      </c>
      <c r="I91" s="1">
        <v>6</v>
      </c>
      <c r="J91" s="1">
        <v>4</v>
      </c>
      <c r="K91" s="1">
        <f t="shared" si="15"/>
        <v>23</v>
      </c>
      <c r="L91" s="12">
        <f t="shared" si="11"/>
        <v>0.65714285714285714</v>
      </c>
      <c r="M91" s="1">
        <v>6</v>
      </c>
      <c r="N91" s="1">
        <v>6</v>
      </c>
      <c r="O91" s="1">
        <v>5</v>
      </c>
      <c r="P91" s="1">
        <v>4</v>
      </c>
      <c r="Q91" s="1">
        <f t="shared" si="16"/>
        <v>21</v>
      </c>
      <c r="R91" s="12">
        <f t="shared" si="12"/>
        <v>0.6</v>
      </c>
      <c r="S91" s="1">
        <v>6</v>
      </c>
      <c r="T91" s="1">
        <v>4</v>
      </c>
      <c r="U91" s="1">
        <f t="shared" si="17"/>
        <v>10</v>
      </c>
      <c r="V91" s="12">
        <f t="shared" si="13"/>
        <v>0.66666666666666663</v>
      </c>
      <c r="W91" s="1">
        <v>4</v>
      </c>
      <c r="X91" s="1">
        <v>4</v>
      </c>
      <c r="Y91" s="1">
        <v>4</v>
      </c>
      <c r="Z91" s="1">
        <f t="shared" si="18"/>
        <v>12</v>
      </c>
      <c r="AA91" s="12">
        <f t="shared" si="14"/>
        <v>0.8</v>
      </c>
      <c r="AB91" s="2" t="s">
        <v>627</v>
      </c>
    </row>
    <row r="92" spans="1:28" x14ac:dyDescent="0.25">
      <c r="A92" s="1" t="s">
        <v>1653</v>
      </c>
      <c r="B92" s="1" t="s">
        <v>576</v>
      </c>
      <c r="C92" s="1" t="s">
        <v>36</v>
      </c>
      <c r="D92" s="1">
        <v>26</v>
      </c>
      <c r="E92" s="1">
        <v>1</v>
      </c>
      <c r="F92" s="1">
        <v>3</v>
      </c>
      <c r="G92" s="1">
        <v>7</v>
      </c>
      <c r="H92" s="1">
        <v>6</v>
      </c>
      <c r="I92" s="1">
        <v>5</v>
      </c>
      <c r="J92" s="1">
        <v>4</v>
      </c>
      <c r="K92" s="1">
        <f t="shared" si="15"/>
        <v>22</v>
      </c>
      <c r="L92" s="12">
        <f t="shared" si="11"/>
        <v>0.62857142857142856</v>
      </c>
      <c r="M92" s="1">
        <v>6</v>
      </c>
      <c r="N92" s="1">
        <v>6</v>
      </c>
      <c r="O92" s="1">
        <v>5</v>
      </c>
      <c r="P92" s="1">
        <v>4</v>
      </c>
      <c r="Q92" s="1">
        <f t="shared" si="16"/>
        <v>21</v>
      </c>
      <c r="R92" s="12">
        <f t="shared" si="12"/>
        <v>0.6</v>
      </c>
      <c r="S92" s="1">
        <v>6</v>
      </c>
      <c r="T92" s="1">
        <v>4</v>
      </c>
      <c r="U92" s="1">
        <f t="shared" si="17"/>
        <v>10</v>
      </c>
      <c r="V92" s="12">
        <f t="shared" si="13"/>
        <v>0.66666666666666663</v>
      </c>
      <c r="W92" s="1">
        <v>4</v>
      </c>
      <c r="X92" s="1">
        <v>3</v>
      </c>
      <c r="Y92" s="1">
        <v>4</v>
      </c>
      <c r="Z92" s="1">
        <f t="shared" si="18"/>
        <v>11</v>
      </c>
      <c r="AA92" s="12">
        <f t="shared" si="14"/>
        <v>0.73333333333333328</v>
      </c>
      <c r="AB92" s="2" t="s">
        <v>628</v>
      </c>
    </row>
    <row r="93" spans="1:28" x14ac:dyDescent="0.25">
      <c r="A93" s="1" t="s">
        <v>1653</v>
      </c>
      <c r="B93" s="1" t="s">
        <v>576</v>
      </c>
      <c r="C93" s="1" t="s">
        <v>36</v>
      </c>
      <c r="D93" s="1">
        <v>27</v>
      </c>
      <c r="E93" s="1">
        <v>2</v>
      </c>
      <c r="F93" s="1">
        <v>2</v>
      </c>
      <c r="G93" s="1">
        <v>4</v>
      </c>
      <c r="H93" s="1">
        <v>4</v>
      </c>
      <c r="I93" s="1">
        <v>3</v>
      </c>
      <c r="J93" s="1">
        <v>2</v>
      </c>
      <c r="K93" s="1">
        <f t="shared" si="15"/>
        <v>13</v>
      </c>
      <c r="L93" s="12">
        <f t="shared" si="11"/>
        <v>0.37142857142857144</v>
      </c>
      <c r="M93" s="1">
        <v>5</v>
      </c>
      <c r="N93" s="1">
        <v>4</v>
      </c>
      <c r="O93" s="1">
        <v>3</v>
      </c>
      <c r="P93" s="1">
        <v>2</v>
      </c>
      <c r="Q93" s="1">
        <f t="shared" si="16"/>
        <v>14</v>
      </c>
      <c r="R93" s="12">
        <f t="shared" si="12"/>
        <v>0.4</v>
      </c>
      <c r="S93" s="1">
        <v>4</v>
      </c>
      <c r="T93" s="1">
        <v>2</v>
      </c>
      <c r="U93" s="1">
        <f t="shared" si="17"/>
        <v>6</v>
      </c>
      <c r="V93" s="12">
        <f t="shared" si="13"/>
        <v>0.4</v>
      </c>
      <c r="W93" s="1">
        <v>3</v>
      </c>
      <c r="X93" s="1">
        <v>2</v>
      </c>
      <c r="Y93" s="1">
        <v>2</v>
      </c>
      <c r="Z93" s="1">
        <f t="shared" si="18"/>
        <v>7</v>
      </c>
      <c r="AA93" s="12">
        <f t="shared" si="14"/>
        <v>0.46666666666666667</v>
      </c>
      <c r="AB93" s="2" t="s">
        <v>689</v>
      </c>
    </row>
    <row r="94" spans="1:28" x14ac:dyDescent="0.25">
      <c r="A94" s="1" t="s">
        <v>1653</v>
      </c>
      <c r="B94" s="1" t="s">
        <v>576</v>
      </c>
      <c r="C94" s="1" t="s">
        <v>36</v>
      </c>
      <c r="D94" s="1">
        <v>27</v>
      </c>
      <c r="E94" s="1">
        <v>2</v>
      </c>
      <c r="F94" s="1">
        <v>2</v>
      </c>
      <c r="G94" s="1">
        <v>5</v>
      </c>
      <c r="H94" s="1">
        <v>5</v>
      </c>
      <c r="I94" s="1">
        <v>4</v>
      </c>
      <c r="J94" s="1">
        <v>4</v>
      </c>
      <c r="K94" s="1">
        <f t="shared" si="15"/>
        <v>18</v>
      </c>
      <c r="L94" s="12">
        <f t="shared" si="11"/>
        <v>0.51428571428571423</v>
      </c>
      <c r="M94" s="1">
        <v>6</v>
      </c>
      <c r="N94" s="1">
        <v>6</v>
      </c>
      <c r="O94" s="1">
        <v>5</v>
      </c>
      <c r="P94" s="1">
        <v>5</v>
      </c>
      <c r="Q94" s="1">
        <f t="shared" si="16"/>
        <v>22</v>
      </c>
      <c r="R94" s="12">
        <f t="shared" si="12"/>
        <v>0.62857142857142856</v>
      </c>
      <c r="S94" s="1">
        <v>6</v>
      </c>
      <c r="T94" s="1">
        <v>4</v>
      </c>
      <c r="U94" s="1">
        <f t="shared" si="17"/>
        <v>10</v>
      </c>
      <c r="V94" s="12">
        <f t="shared" si="13"/>
        <v>0.66666666666666663</v>
      </c>
      <c r="W94" s="1">
        <v>4</v>
      </c>
      <c r="X94" s="1">
        <v>4</v>
      </c>
      <c r="Y94" s="1">
        <v>4</v>
      </c>
      <c r="Z94" s="1">
        <f t="shared" si="18"/>
        <v>12</v>
      </c>
      <c r="AA94" s="12">
        <f t="shared" si="14"/>
        <v>0.8</v>
      </c>
      <c r="AB94" s="2" t="s">
        <v>690</v>
      </c>
    </row>
    <row r="95" spans="1:28" x14ac:dyDescent="0.25">
      <c r="A95" s="1" t="s">
        <v>1653</v>
      </c>
      <c r="B95" s="1" t="s">
        <v>576</v>
      </c>
      <c r="C95" s="1" t="s">
        <v>36</v>
      </c>
      <c r="D95" s="1">
        <v>27</v>
      </c>
      <c r="E95" s="1">
        <v>2</v>
      </c>
      <c r="F95" s="1">
        <v>2</v>
      </c>
      <c r="G95" s="1">
        <v>3</v>
      </c>
      <c r="H95" s="1">
        <v>3</v>
      </c>
      <c r="I95" s="1">
        <v>3</v>
      </c>
      <c r="J95" s="1">
        <v>3</v>
      </c>
      <c r="K95" s="1">
        <f t="shared" si="15"/>
        <v>12</v>
      </c>
      <c r="L95" s="12">
        <f t="shared" si="11"/>
        <v>0.34285714285714286</v>
      </c>
      <c r="M95" s="1">
        <v>4</v>
      </c>
      <c r="N95" s="1">
        <v>4</v>
      </c>
      <c r="O95" s="1">
        <v>3</v>
      </c>
      <c r="P95" s="1">
        <v>2</v>
      </c>
      <c r="Q95" s="1">
        <f t="shared" si="16"/>
        <v>13</v>
      </c>
      <c r="R95" s="12">
        <f t="shared" si="12"/>
        <v>0.37142857142857144</v>
      </c>
      <c r="S95" s="1">
        <v>3</v>
      </c>
      <c r="T95" s="1">
        <v>2</v>
      </c>
      <c r="U95" s="1">
        <f t="shared" si="17"/>
        <v>5</v>
      </c>
      <c r="V95" s="12">
        <f t="shared" si="13"/>
        <v>0.33333333333333331</v>
      </c>
      <c r="W95" s="1">
        <v>2</v>
      </c>
      <c r="X95" s="1">
        <v>2</v>
      </c>
      <c r="Y95" s="1">
        <v>3</v>
      </c>
      <c r="Z95" s="1">
        <f t="shared" si="18"/>
        <v>7</v>
      </c>
      <c r="AA95" s="12">
        <f t="shared" si="14"/>
        <v>0.46666666666666667</v>
      </c>
      <c r="AB95" s="2" t="s">
        <v>691</v>
      </c>
    </row>
    <row r="96" spans="1:28" x14ac:dyDescent="0.25">
      <c r="A96" s="1" t="s">
        <v>1653</v>
      </c>
      <c r="B96" s="1" t="s">
        <v>576</v>
      </c>
      <c r="C96" s="1" t="s">
        <v>36</v>
      </c>
      <c r="D96" s="1">
        <v>27</v>
      </c>
      <c r="E96" s="1">
        <v>2</v>
      </c>
      <c r="F96" s="1">
        <v>2</v>
      </c>
      <c r="G96" s="1">
        <v>7</v>
      </c>
      <c r="H96" s="1">
        <v>7</v>
      </c>
      <c r="I96" s="1">
        <v>6</v>
      </c>
      <c r="J96" s="1">
        <v>4</v>
      </c>
      <c r="K96" s="1">
        <f t="shared" si="15"/>
        <v>24</v>
      </c>
      <c r="L96" s="12">
        <f t="shared" si="11"/>
        <v>0.68571428571428572</v>
      </c>
      <c r="M96" s="1">
        <v>7</v>
      </c>
      <c r="N96" s="1">
        <v>7</v>
      </c>
      <c r="O96" s="1">
        <v>6</v>
      </c>
      <c r="P96" s="1">
        <v>4</v>
      </c>
      <c r="Q96" s="1">
        <f t="shared" si="16"/>
        <v>24</v>
      </c>
      <c r="R96" s="12">
        <f t="shared" si="12"/>
        <v>0.68571428571428572</v>
      </c>
      <c r="S96" s="1">
        <v>6</v>
      </c>
      <c r="T96" s="1">
        <v>4</v>
      </c>
      <c r="U96" s="1">
        <f t="shared" si="17"/>
        <v>10</v>
      </c>
      <c r="V96" s="12">
        <f t="shared" si="13"/>
        <v>0.66666666666666663</v>
      </c>
      <c r="W96" s="1">
        <v>5</v>
      </c>
      <c r="X96" s="1">
        <v>4</v>
      </c>
      <c r="Y96" s="1">
        <v>4</v>
      </c>
      <c r="Z96" s="1">
        <f t="shared" si="18"/>
        <v>13</v>
      </c>
      <c r="AA96" s="12">
        <f t="shared" si="14"/>
        <v>0.8666666666666667</v>
      </c>
      <c r="AB96" s="2" t="s">
        <v>692</v>
      </c>
    </row>
    <row r="97" spans="1:28" x14ac:dyDescent="0.25">
      <c r="A97" s="1" t="s">
        <v>1653</v>
      </c>
      <c r="B97" s="1" t="s">
        <v>576</v>
      </c>
      <c r="C97" s="1" t="s">
        <v>36</v>
      </c>
      <c r="D97" s="1">
        <v>27</v>
      </c>
      <c r="E97" s="1">
        <v>2</v>
      </c>
      <c r="F97" s="1">
        <v>2</v>
      </c>
      <c r="G97" s="1">
        <v>6</v>
      </c>
      <c r="H97" s="1">
        <v>6</v>
      </c>
      <c r="I97" s="1">
        <v>5</v>
      </c>
      <c r="J97" s="1">
        <v>4</v>
      </c>
      <c r="K97" s="1">
        <f t="shared" si="15"/>
        <v>21</v>
      </c>
      <c r="L97" s="12">
        <f t="shared" si="11"/>
        <v>0.6</v>
      </c>
      <c r="M97" s="1">
        <v>7</v>
      </c>
      <c r="N97" s="1">
        <v>5</v>
      </c>
      <c r="O97" s="1">
        <v>5</v>
      </c>
      <c r="P97" s="1">
        <v>3</v>
      </c>
      <c r="Q97" s="1">
        <f t="shared" si="16"/>
        <v>20</v>
      </c>
      <c r="R97" s="12">
        <f t="shared" si="12"/>
        <v>0.5714285714285714</v>
      </c>
      <c r="S97" s="1">
        <v>5</v>
      </c>
      <c r="T97" s="1">
        <v>3</v>
      </c>
      <c r="U97" s="1">
        <f t="shared" si="17"/>
        <v>8</v>
      </c>
      <c r="V97" s="12">
        <f t="shared" si="13"/>
        <v>0.53333333333333333</v>
      </c>
      <c r="W97" s="1">
        <v>4</v>
      </c>
      <c r="X97" s="1">
        <v>4</v>
      </c>
      <c r="Y97" s="1">
        <v>4</v>
      </c>
      <c r="Z97" s="1">
        <f t="shared" si="18"/>
        <v>12</v>
      </c>
      <c r="AA97" s="12">
        <f t="shared" si="14"/>
        <v>0.8</v>
      </c>
      <c r="AB97" s="2" t="s">
        <v>693</v>
      </c>
    </row>
    <row r="98" spans="1:28" x14ac:dyDescent="0.25">
      <c r="A98" s="1" t="s">
        <v>1653</v>
      </c>
      <c r="B98" s="1" t="s">
        <v>576</v>
      </c>
      <c r="C98" s="1" t="s">
        <v>36</v>
      </c>
      <c r="D98" s="1">
        <v>27</v>
      </c>
      <c r="E98" s="1">
        <v>2</v>
      </c>
      <c r="F98" s="1">
        <v>2</v>
      </c>
      <c r="G98" s="1">
        <v>5</v>
      </c>
      <c r="H98" s="1">
        <v>6</v>
      </c>
      <c r="I98" s="1">
        <v>6</v>
      </c>
      <c r="J98" s="1">
        <v>4</v>
      </c>
      <c r="K98" s="1">
        <f t="shared" si="15"/>
        <v>21</v>
      </c>
      <c r="L98" s="12">
        <f t="shared" si="11"/>
        <v>0.6</v>
      </c>
      <c r="M98" s="1">
        <v>5</v>
      </c>
      <c r="N98" s="1">
        <v>4</v>
      </c>
      <c r="O98" s="1">
        <v>6</v>
      </c>
      <c r="P98" s="1">
        <v>4</v>
      </c>
      <c r="Q98" s="1">
        <f t="shared" si="16"/>
        <v>19</v>
      </c>
      <c r="R98" s="12">
        <f t="shared" si="12"/>
        <v>0.54285714285714282</v>
      </c>
      <c r="S98" s="1">
        <v>5</v>
      </c>
      <c r="T98" s="1">
        <v>3</v>
      </c>
      <c r="U98" s="1">
        <f t="shared" si="17"/>
        <v>8</v>
      </c>
      <c r="V98" s="12">
        <f t="shared" si="13"/>
        <v>0.53333333333333333</v>
      </c>
      <c r="W98" s="1">
        <v>4</v>
      </c>
      <c r="X98" s="1">
        <v>3</v>
      </c>
      <c r="Y98" s="1">
        <v>4</v>
      </c>
      <c r="Z98" s="1">
        <f t="shared" si="18"/>
        <v>11</v>
      </c>
      <c r="AA98" s="12">
        <f t="shared" si="14"/>
        <v>0.73333333333333328</v>
      </c>
      <c r="AB98" s="2" t="s">
        <v>694</v>
      </c>
    </row>
    <row r="99" spans="1:28" x14ac:dyDescent="0.25">
      <c r="A99" s="1" t="s">
        <v>1653</v>
      </c>
      <c r="B99" s="1" t="s">
        <v>576</v>
      </c>
      <c r="C99" s="1" t="s">
        <v>36</v>
      </c>
      <c r="D99" s="1">
        <v>12</v>
      </c>
      <c r="E99" s="1">
        <v>3</v>
      </c>
      <c r="F99" s="1">
        <v>5</v>
      </c>
      <c r="G99" s="1">
        <v>6</v>
      </c>
      <c r="H99" s="1">
        <v>7</v>
      </c>
      <c r="I99" s="1">
        <v>7</v>
      </c>
      <c r="J99" s="1">
        <v>3</v>
      </c>
      <c r="K99" s="1">
        <f t="shared" si="15"/>
        <v>23</v>
      </c>
      <c r="L99" s="12">
        <f t="shared" si="11"/>
        <v>0.65714285714285714</v>
      </c>
      <c r="M99" s="1">
        <v>6</v>
      </c>
      <c r="N99" s="1">
        <v>6</v>
      </c>
      <c r="O99" s="1">
        <v>7</v>
      </c>
      <c r="P99" s="1">
        <v>4</v>
      </c>
      <c r="Q99" s="1">
        <f t="shared" si="16"/>
        <v>23</v>
      </c>
      <c r="R99" s="12">
        <f t="shared" si="12"/>
        <v>0.65714285714285714</v>
      </c>
      <c r="S99" s="1">
        <v>7</v>
      </c>
      <c r="T99" s="1">
        <v>3</v>
      </c>
      <c r="U99" s="1">
        <f t="shared" si="17"/>
        <v>10</v>
      </c>
      <c r="V99" s="12">
        <f t="shared" si="13"/>
        <v>0.66666666666666663</v>
      </c>
      <c r="W99" s="1">
        <v>4</v>
      </c>
      <c r="X99" s="1">
        <v>4</v>
      </c>
      <c r="Y99" s="1">
        <v>3</v>
      </c>
      <c r="Z99" s="1">
        <f t="shared" si="18"/>
        <v>11</v>
      </c>
      <c r="AA99" s="12">
        <f t="shared" si="14"/>
        <v>0.73333333333333328</v>
      </c>
      <c r="AB99" s="2" t="s">
        <v>839</v>
      </c>
    </row>
    <row r="100" spans="1:28" x14ac:dyDescent="0.25">
      <c r="A100" s="1" t="s">
        <v>1653</v>
      </c>
      <c r="B100" s="1" t="s">
        <v>576</v>
      </c>
      <c r="C100" s="1" t="s">
        <v>36</v>
      </c>
      <c r="D100" s="1">
        <v>12</v>
      </c>
      <c r="E100" s="1">
        <v>3</v>
      </c>
      <c r="F100" s="1">
        <v>5</v>
      </c>
      <c r="G100" s="1">
        <v>7</v>
      </c>
      <c r="H100" s="1">
        <v>6</v>
      </c>
      <c r="I100" s="1">
        <v>6</v>
      </c>
      <c r="J100" s="1">
        <v>3</v>
      </c>
      <c r="K100" s="1">
        <f t="shared" si="15"/>
        <v>22</v>
      </c>
      <c r="L100" s="12">
        <f t="shared" si="11"/>
        <v>0.62857142857142856</v>
      </c>
      <c r="M100" s="1">
        <v>5</v>
      </c>
      <c r="N100" s="1">
        <v>5</v>
      </c>
      <c r="O100" s="1">
        <v>6</v>
      </c>
      <c r="P100" s="1">
        <v>4</v>
      </c>
      <c r="Q100" s="1">
        <f t="shared" si="16"/>
        <v>20</v>
      </c>
      <c r="R100" s="12">
        <f t="shared" si="12"/>
        <v>0.5714285714285714</v>
      </c>
      <c r="S100" s="1">
        <v>7</v>
      </c>
      <c r="T100" s="1">
        <v>4</v>
      </c>
      <c r="U100" s="1">
        <f t="shared" si="17"/>
        <v>11</v>
      </c>
      <c r="V100" s="12">
        <f t="shared" si="13"/>
        <v>0.73333333333333328</v>
      </c>
      <c r="W100" s="1">
        <v>4</v>
      </c>
      <c r="X100" s="1">
        <v>4</v>
      </c>
      <c r="Y100" s="1">
        <v>4</v>
      </c>
      <c r="Z100" s="1">
        <f t="shared" si="18"/>
        <v>12</v>
      </c>
      <c r="AA100" s="12">
        <f t="shared" si="14"/>
        <v>0.8</v>
      </c>
      <c r="AB100" s="2" t="s">
        <v>840</v>
      </c>
    </row>
    <row r="101" spans="1:28" x14ac:dyDescent="0.25">
      <c r="A101" s="1" t="s">
        <v>1653</v>
      </c>
      <c r="B101" s="1" t="s">
        <v>576</v>
      </c>
      <c r="C101" s="1" t="s">
        <v>36</v>
      </c>
      <c r="D101" s="1">
        <v>12</v>
      </c>
      <c r="E101" s="1">
        <v>3</v>
      </c>
      <c r="F101" s="1">
        <v>5</v>
      </c>
      <c r="G101" s="1">
        <v>7</v>
      </c>
      <c r="H101" s="1">
        <v>7</v>
      </c>
      <c r="I101" s="1">
        <v>5</v>
      </c>
      <c r="J101" s="1">
        <v>4</v>
      </c>
      <c r="K101" s="1">
        <f t="shared" si="15"/>
        <v>23</v>
      </c>
      <c r="L101" s="12">
        <f t="shared" si="11"/>
        <v>0.65714285714285714</v>
      </c>
      <c r="M101" s="1">
        <v>7</v>
      </c>
      <c r="N101" s="1">
        <v>6</v>
      </c>
      <c r="O101" s="1">
        <v>6</v>
      </c>
      <c r="P101" s="1">
        <v>5</v>
      </c>
      <c r="Q101" s="1">
        <f t="shared" si="16"/>
        <v>24</v>
      </c>
      <c r="R101" s="12">
        <f t="shared" si="12"/>
        <v>0.68571428571428572</v>
      </c>
      <c r="S101" s="1">
        <v>6</v>
      </c>
      <c r="T101" s="1">
        <v>3</v>
      </c>
      <c r="U101" s="1">
        <f t="shared" si="17"/>
        <v>9</v>
      </c>
      <c r="V101" s="12">
        <f t="shared" si="13"/>
        <v>0.6</v>
      </c>
      <c r="W101" s="1">
        <v>4</v>
      </c>
      <c r="X101" s="1">
        <v>4</v>
      </c>
      <c r="Y101" s="1">
        <v>4</v>
      </c>
      <c r="Z101" s="1">
        <f t="shared" si="18"/>
        <v>12</v>
      </c>
      <c r="AA101" s="12">
        <f t="shared" si="14"/>
        <v>0.8</v>
      </c>
      <c r="AB101" s="2" t="s">
        <v>841</v>
      </c>
    </row>
    <row r="102" spans="1:28" x14ac:dyDescent="0.25">
      <c r="A102" s="1" t="s">
        <v>1653</v>
      </c>
      <c r="B102" s="1" t="s">
        <v>576</v>
      </c>
      <c r="C102" s="1" t="s">
        <v>36</v>
      </c>
      <c r="D102" s="1">
        <v>12</v>
      </c>
      <c r="E102" s="1">
        <v>3</v>
      </c>
      <c r="F102" s="1">
        <v>5</v>
      </c>
      <c r="G102" s="1">
        <v>7</v>
      </c>
      <c r="H102" s="1">
        <v>6</v>
      </c>
      <c r="I102" s="1">
        <v>7</v>
      </c>
      <c r="J102" s="1">
        <v>4</v>
      </c>
      <c r="K102" s="1">
        <f t="shared" si="15"/>
        <v>24</v>
      </c>
      <c r="L102" s="12">
        <f t="shared" si="11"/>
        <v>0.68571428571428572</v>
      </c>
      <c r="M102" s="1">
        <v>5</v>
      </c>
      <c r="N102" s="1">
        <v>5</v>
      </c>
      <c r="O102" s="1">
        <v>6</v>
      </c>
      <c r="P102" s="1">
        <v>4</v>
      </c>
      <c r="Q102" s="1">
        <f t="shared" si="16"/>
        <v>20</v>
      </c>
      <c r="R102" s="12">
        <f t="shared" si="12"/>
        <v>0.5714285714285714</v>
      </c>
      <c r="S102" s="1">
        <v>6</v>
      </c>
      <c r="T102" s="1">
        <v>3</v>
      </c>
      <c r="U102" s="1">
        <f t="shared" si="17"/>
        <v>9</v>
      </c>
      <c r="V102" s="12">
        <f t="shared" si="13"/>
        <v>0.6</v>
      </c>
      <c r="W102" s="1">
        <v>3</v>
      </c>
      <c r="X102" s="1">
        <v>3</v>
      </c>
      <c r="Y102" s="1">
        <v>3</v>
      </c>
      <c r="Z102" s="1">
        <f t="shared" si="18"/>
        <v>9</v>
      </c>
      <c r="AA102" s="12">
        <f t="shared" si="14"/>
        <v>0.6</v>
      </c>
      <c r="AB102" s="2" t="s">
        <v>842</v>
      </c>
    </row>
    <row r="103" spans="1:28" x14ac:dyDescent="0.25">
      <c r="A103" s="1" t="s">
        <v>1653</v>
      </c>
      <c r="B103" s="1" t="s">
        <v>576</v>
      </c>
      <c r="C103" s="1" t="s">
        <v>36</v>
      </c>
      <c r="D103" s="1">
        <v>12</v>
      </c>
      <c r="E103" s="1">
        <v>3</v>
      </c>
      <c r="F103" s="1">
        <v>5</v>
      </c>
      <c r="G103" s="1">
        <v>7</v>
      </c>
      <c r="H103" s="1">
        <v>7</v>
      </c>
      <c r="I103" s="1">
        <v>6</v>
      </c>
      <c r="J103" s="1">
        <v>4</v>
      </c>
      <c r="K103" s="1">
        <f t="shared" si="15"/>
        <v>24</v>
      </c>
      <c r="L103" s="12">
        <f t="shared" si="11"/>
        <v>0.68571428571428572</v>
      </c>
      <c r="M103" s="1">
        <v>7</v>
      </c>
      <c r="N103" s="1">
        <v>6</v>
      </c>
      <c r="O103" s="1">
        <v>7</v>
      </c>
      <c r="P103" s="1">
        <v>4</v>
      </c>
      <c r="Q103" s="1">
        <f t="shared" si="16"/>
        <v>24</v>
      </c>
      <c r="R103" s="12">
        <f t="shared" si="12"/>
        <v>0.68571428571428572</v>
      </c>
      <c r="S103" s="1">
        <v>7</v>
      </c>
      <c r="T103" s="1">
        <v>4</v>
      </c>
      <c r="U103" s="1">
        <f t="shared" si="17"/>
        <v>11</v>
      </c>
      <c r="V103" s="12">
        <f t="shared" si="13"/>
        <v>0.73333333333333328</v>
      </c>
      <c r="W103" s="1">
        <v>5</v>
      </c>
      <c r="X103" s="1">
        <v>4</v>
      </c>
      <c r="Y103" s="1">
        <v>5</v>
      </c>
      <c r="Z103" s="1">
        <f t="shared" si="18"/>
        <v>14</v>
      </c>
      <c r="AA103" s="12">
        <f t="shared" si="14"/>
        <v>0.93333333333333335</v>
      </c>
      <c r="AB103" s="2" t="s">
        <v>843</v>
      </c>
    </row>
    <row r="104" spans="1:28" x14ac:dyDescent="0.25">
      <c r="A104" s="1" t="s">
        <v>1653</v>
      </c>
      <c r="B104" s="1" t="s">
        <v>576</v>
      </c>
      <c r="C104" s="1" t="s">
        <v>36</v>
      </c>
      <c r="D104" s="1">
        <v>12</v>
      </c>
      <c r="E104" s="1">
        <v>3</v>
      </c>
      <c r="F104" s="1">
        <v>5</v>
      </c>
      <c r="G104" s="1">
        <v>7</v>
      </c>
      <c r="H104" s="1">
        <v>8</v>
      </c>
      <c r="I104" s="1">
        <v>7</v>
      </c>
      <c r="J104" s="1">
        <v>5</v>
      </c>
      <c r="K104" s="1">
        <f t="shared" si="15"/>
        <v>27</v>
      </c>
      <c r="L104" s="12">
        <f t="shared" si="11"/>
        <v>0.77142857142857146</v>
      </c>
      <c r="M104" s="1">
        <v>7</v>
      </c>
      <c r="N104" s="1">
        <v>6</v>
      </c>
      <c r="O104" s="1">
        <v>6</v>
      </c>
      <c r="P104" s="1">
        <v>4</v>
      </c>
      <c r="Q104" s="1">
        <f t="shared" si="16"/>
        <v>23</v>
      </c>
      <c r="R104" s="12">
        <f t="shared" si="12"/>
        <v>0.65714285714285714</v>
      </c>
      <c r="S104" s="1">
        <v>7</v>
      </c>
      <c r="T104" s="1">
        <v>3</v>
      </c>
      <c r="U104" s="1">
        <f t="shared" si="17"/>
        <v>10</v>
      </c>
      <c r="V104" s="12">
        <f t="shared" si="13"/>
        <v>0.66666666666666663</v>
      </c>
      <c r="W104" s="1">
        <v>4</v>
      </c>
      <c r="X104" s="1">
        <v>3</v>
      </c>
      <c r="Y104" s="1">
        <v>4</v>
      </c>
      <c r="Z104" s="1">
        <f t="shared" si="18"/>
        <v>11</v>
      </c>
      <c r="AA104" s="12">
        <f t="shared" si="14"/>
        <v>0.73333333333333328</v>
      </c>
      <c r="AB104" s="2" t="s">
        <v>844</v>
      </c>
    </row>
    <row r="105" spans="1:28" x14ac:dyDescent="0.25">
      <c r="A105" s="1" t="s">
        <v>1653</v>
      </c>
      <c r="B105" s="1" t="s">
        <v>576</v>
      </c>
      <c r="C105" s="1" t="s">
        <v>36</v>
      </c>
      <c r="D105" s="1">
        <v>12</v>
      </c>
      <c r="E105" s="1">
        <v>3</v>
      </c>
      <c r="F105" s="1">
        <v>5</v>
      </c>
      <c r="G105" s="1">
        <v>6</v>
      </c>
      <c r="H105" s="1">
        <v>7</v>
      </c>
      <c r="I105" s="1">
        <v>6</v>
      </c>
      <c r="J105" s="1">
        <v>4</v>
      </c>
      <c r="K105" s="1">
        <f t="shared" si="15"/>
        <v>23</v>
      </c>
      <c r="L105" s="12">
        <f t="shared" si="11"/>
        <v>0.65714285714285714</v>
      </c>
      <c r="M105" s="1">
        <v>7</v>
      </c>
      <c r="N105" s="1">
        <v>6</v>
      </c>
      <c r="O105" s="1">
        <v>6</v>
      </c>
      <c r="P105" s="1">
        <v>4</v>
      </c>
      <c r="Q105" s="1">
        <f t="shared" si="16"/>
        <v>23</v>
      </c>
      <c r="R105" s="12">
        <f t="shared" si="12"/>
        <v>0.65714285714285714</v>
      </c>
      <c r="S105" s="1">
        <v>6</v>
      </c>
      <c r="T105" s="1">
        <v>2</v>
      </c>
      <c r="U105" s="1">
        <f t="shared" si="17"/>
        <v>8</v>
      </c>
      <c r="V105" s="12">
        <f t="shared" si="13"/>
        <v>0.53333333333333333</v>
      </c>
      <c r="W105" s="1">
        <v>4</v>
      </c>
      <c r="X105" s="1">
        <v>3</v>
      </c>
      <c r="Y105" s="1">
        <v>4</v>
      </c>
      <c r="Z105" s="1">
        <f t="shared" si="18"/>
        <v>11</v>
      </c>
      <c r="AA105" s="12">
        <f t="shared" si="14"/>
        <v>0.73333333333333328</v>
      </c>
      <c r="AB105" s="2" t="s">
        <v>845</v>
      </c>
    </row>
    <row r="106" spans="1:28" x14ac:dyDescent="0.25">
      <c r="A106" s="1" t="s">
        <v>1653</v>
      </c>
      <c r="B106" s="1" t="s">
        <v>576</v>
      </c>
      <c r="C106" s="1" t="s">
        <v>861</v>
      </c>
      <c r="D106" s="1">
        <v>24</v>
      </c>
      <c r="E106" s="1">
        <v>1</v>
      </c>
      <c r="F106" s="1">
        <v>5</v>
      </c>
      <c r="G106" s="1">
        <v>5</v>
      </c>
      <c r="H106" s="1">
        <v>3</v>
      </c>
      <c r="I106" s="1">
        <v>5</v>
      </c>
      <c r="J106" s="1">
        <v>4</v>
      </c>
      <c r="K106" s="1">
        <f t="shared" si="15"/>
        <v>17</v>
      </c>
      <c r="L106" s="12">
        <f t="shared" ref="L106:L117" si="19">K106/40</f>
        <v>0.42499999999999999</v>
      </c>
      <c r="M106" s="1">
        <v>5</v>
      </c>
      <c r="N106" s="1">
        <v>4</v>
      </c>
      <c r="O106" s="1">
        <v>4</v>
      </c>
      <c r="P106" s="1">
        <v>5</v>
      </c>
      <c r="Q106" s="1">
        <f t="shared" si="16"/>
        <v>18</v>
      </c>
      <c r="R106" s="12">
        <f t="shared" ref="R106:R117" si="20">Q106/40</f>
        <v>0.45</v>
      </c>
      <c r="S106" s="1">
        <v>6</v>
      </c>
      <c r="T106" s="1">
        <v>5</v>
      </c>
      <c r="U106" s="1">
        <f t="shared" si="17"/>
        <v>11</v>
      </c>
      <c r="V106" s="12">
        <f t="shared" ref="V106:V117" si="21">U106/20</f>
        <v>0.55000000000000004</v>
      </c>
      <c r="Z106" s="1">
        <f t="shared" si="18"/>
        <v>0</v>
      </c>
      <c r="AB106" s="2" t="s">
        <v>1433</v>
      </c>
    </row>
    <row r="107" spans="1:28" x14ac:dyDescent="0.25">
      <c r="A107" s="1" t="s">
        <v>1653</v>
      </c>
      <c r="B107" s="1" t="s">
        <v>576</v>
      </c>
      <c r="C107" s="1" t="s">
        <v>861</v>
      </c>
      <c r="D107" s="1">
        <v>24</v>
      </c>
      <c r="E107" s="1">
        <v>1</v>
      </c>
      <c r="F107" s="1">
        <v>5</v>
      </c>
      <c r="G107" s="1">
        <v>7</v>
      </c>
      <c r="H107" s="1">
        <v>6</v>
      </c>
      <c r="I107" s="1">
        <v>7</v>
      </c>
      <c r="J107" s="1">
        <v>7</v>
      </c>
      <c r="K107" s="1">
        <f t="shared" si="15"/>
        <v>27</v>
      </c>
      <c r="L107" s="12">
        <f t="shared" si="19"/>
        <v>0.67500000000000004</v>
      </c>
      <c r="M107" s="1">
        <v>7</v>
      </c>
      <c r="N107" s="1">
        <v>6</v>
      </c>
      <c r="O107" s="1">
        <v>6</v>
      </c>
      <c r="P107" s="1">
        <v>6</v>
      </c>
      <c r="Q107" s="1">
        <f t="shared" si="16"/>
        <v>25</v>
      </c>
      <c r="R107" s="12">
        <f t="shared" si="20"/>
        <v>0.625</v>
      </c>
      <c r="S107" s="1">
        <v>7</v>
      </c>
      <c r="T107" s="1">
        <v>7</v>
      </c>
      <c r="U107" s="1">
        <f t="shared" si="17"/>
        <v>14</v>
      </c>
      <c r="V107" s="12">
        <f t="shared" si="21"/>
        <v>0.7</v>
      </c>
      <c r="Z107" s="1">
        <f t="shared" si="18"/>
        <v>0</v>
      </c>
      <c r="AB107" s="2" t="s">
        <v>1434</v>
      </c>
    </row>
    <row r="108" spans="1:28" x14ac:dyDescent="0.25">
      <c r="A108" s="1" t="s">
        <v>1653</v>
      </c>
      <c r="B108" s="1" t="s">
        <v>576</v>
      </c>
      <c r="C108" s="1" t="s">
        <v>861</v>
      </c>
      <c r="D108" s="1">
        <v>24</v>
      </c>
      <c r="E108" s="1">
        <v>1</v>
      </c>
      <c r="F108" s="1">
        <v>5</v>
      </c>
      <c r="G108" s="1">
        <v>6</v>
      </c>
      <c r="H108" s="1">
        <v>7</v>
      </c>
      <c r="I108" s="1">
        <v>6</v>
      </c>
      <c r="J108" s="1">
        <v>7</v>
      </c>
      <c r="K108" s="1">
        <f t="shared" si="15"/>
        <v>26</v>
      </c>
      <c r="L108" s="12">
        <f t="shared" si="19"/>
        <v>0.65</v>
      </c>
      <c r="M108" s="1">
        <v>7</v>
      </c>
      <c r="N108" s="1">
        <v>6</v>
      </c>
      <c r="O108" s="1">
        <v>5</v>
      </c>
      <c r="P108" s="1">
        <v>6</v>
      </c>
      <c r="Q108" s="1">
        <f t="shared" si="16"/>
        <v>24</v>
      </c>
      <c r="R108" s="12">
        <f t="shared" si="20"/>
        <v>0.6</v>
      </c>
      <c r="S108" s="1">
        <v>6</v>
      </c>
      <c r="T108" s="1">
        <v>7</v>
      </c>
      <c r="U108" s="1">
        <f t="shared" si="17"/>
        <v>13</v>
      </c>
      <c r="V108" s="12">
        <f t="shared" si="21"/>
        <v>0.65</v>
      </c>
      <c r="Z108" s="1">
        <f t="shared" si="18"/>
        <v>0</v>
      </c>
      <c r="AB108" s="2" t="s">
        <v>1435</v>
      </c>
    </row>
    <row r="109" spans="1:28" x14ac:dyDescent="0.25">
      <c r="A109" s="1" t="s">
        <v>1653</v>
      </c>
      <c r="B109" s="1" t="s">
        <v>576</v>
      </c>
      <c r="C109" s="1" t="s">
        <v>861</v>
      </c>
      <c r="D109" s="1">
        <v>24</v>
      </c>
      <c r="E109" s="1">
        <v>1</v>
      </c>
      <c r="F109" s="1">
        <v>5</v>
      </c>
      <c r="G109" s="1">
        <v>5</v>
      </c>
      <c r="H109" s="1">
        <v>6</v>
      </c>
      <c r="I109" s="1">
        <v>5</v>
      </c>
      <c r="J109" s="1">
        <v>5</v>
      </c>
      <c r="K109" s="1">
        <f t="shared" si="15"/>
        <v>21</v>
      </c>
      <c r="L109" s="12">
        <f t="shared" si="19"/>
        <v>0.52500000000000002</v>
      </c>
      <c r="M109" s="1">
        <v>5</v>
      </c>
      <c r="N109" s="1">
        <v>5</v>
      </c>
      <c r="O109" s="1">
        <v>5</v>
      </c>
      <c r="P109" s="1">
        <v>6</v>
      </c>
      <c r="Q109" s="1">
        <f t="shared" si="16"/>
        <v>21</v>
      </c>
      <c r="R109" s="12">
        <f t="shared" si="20"/>
        <v>0.52500000000000002</v>
      </c>
      <c r="S109" s="1">
        <v>6</v>
      </c>
      <c r="T109" s="1">
        <v>6</v>
      </c>
      <c r="U109" s="1">
        <f t="shared" si="17"/>
        <v>12</v>
      </c>
      <c r="V109" s="12">
        <f t="shared" si="21"/>
        <v>0.6</v>
      </c>
      <c r="Z109" s="1">
        <f t="shared" si="18"/>
        <v>0</v>
      </c>
      <c r="AB109" s="2" t="s">
        <v>1436</v>
      </c>
    </row>
    <row r="110" spans="1:28" x14ac:dyDescent="0.25">
      <c r="A110" s="1" t="s">
        <v>1653</v>
      </c>
      <c r="B110" s="1" t="s">
        <v>576</v>
      </c>
      <c r="C110" s="1" t="s">
        <v>861</v>
      </c>
      <c r="D110" s="1">
        <v>24</v>
      </c>
      <c r="E110" s="1">
        <v>1</v>
      </c>
      <c r="F110" s="1">
        <v>5</v>
      </c>
      <c r="G110" s="1">
        <v>6</v>
      </c>
      <c r="H110" s="1">
        <v>5</v>
      </c>
      <c r="I110" s="1">
        <v>5</v>
      </c>
      <c r="J110" s="1">
        <v>4</v>
      </c>
      <c r="K110" s="1">
        <f t="shared" si="15"/>
        <v>20</v>
      </c>
      <c r="L110" s="12">
        <f t="shared" si="19"/>
        <v>0.5</v>
      </c>
      <c r="M110" s="1">
        <v>6</v>
      </c>
      <c r="N110" s="1">
        <v>6</v>
      </c>
      <c r="O110" s="1">
        <v>4</v>
      </c>
      <c r="P110" s="1">
        <v>6</v>
      </c>
      <c r="Q110" s="1">
        <f t="shared" si="16"/>
        <v>22</v>
      </c>
      <c r="R110" s="12">
        <f t="shared" si="20"/>
        <v>0.55000000000000004</v>
      </c>
      <c r="S110" s="1">
        <v>6</v>
      </c>
      <c r="T110" s="1">
        <v>6</v>
      </c>
      <c r="U110" s="1">
        <f t="shared" si="17"/>
        <v>12</v>
      </c>
      <c r="V110" s="12">
        <f t="shared" si="21"/>
        <v>0.6</v>
      </c>
      <c r="Z110" s="1">
        <f t="shared" si="18"/>
        <v>0</v>
      </c>
      <c r="AB110" s="2" t="s">
        <v>1437</v>
      </c>
    </row>
    <row r="111" spans="1:28" x14ac:dyDescent="0.25">
      <c r="A111" s="1" t="s">
        <v>1653</v>
      </c>
      <c r="B111" s="1" t="s">
        <v>576</v>
      </c>
      <c r="C111" s="1" t="s">
        <v>861</v>
      </c>
      <c r="D111" s="1">
        <v>24</v>
      </c>
      <c r="E111" s="1">
        <v>1</v>
      </c>
      <c r="F111" s="1">
        <v>5</v>
      </c>
      <c r="G111" s="1">
        <v>4</v>
      </c>
      <c r="H111" s="1">
        <v>3</v>
      </c>
      <c r="I111" s="1">
        <v>4</v>
      </c>
      <c r="J111" s="1">
        <v>4</v>
      </c>
      <c r="K111" s="1">
        <f t="shared" si="15"/>
        <v>15</v>
      </c>
      <c r="L111" s="12">
        <f t="shared" si="19"/>
        <v>0.375</v>
      </c>
      <c r="M111" s="1">
        <v>3</v>
      </c>
      <c r="N111" s="1">
        <v>3</v>
      </c>
      <c r="O111" s="1">
        <v>4</v>
      </c>
      <c r="P111" s="1">
        <v>4</v>
      </c>
      <c r="Q111" s="1">
        <f t="shared" si="16"/>
        <v>14</v>
      </c>
      <c r="R111" s="12">
        <f t="shared" si="20"/>
        <v>0.35</v>
      </c>
      <c r="S111" s="1">
        <v>5</v>
      </c>
      <c r="T111" s="1">
        <v>3</v>
      </c>
      <c r="U111" s="1">
        <f t="shared" si="17"/>
        <v>8</v>
      </c>
      <c r="V111" s="12">
        <f t="shared" si="21"/>
        <v>0.4</v>
      </c>
      <c r="Z111" s="1">
        <f t="shared" si="18"/>
        <v>0</v>
      </c>
      <c r="AB111" s="2" t="s">
        <v>1438</v>
      </c>
    </row>
    <row r="112" spans="1:28" x14ac:dyDescent="0.25">
      <c r="A112" s="1" t="s">
        <v>1653</v>
      </c>
      <c r="B112" s="1" t="s">
        <v>576</v>
      </c>
      <c r="C112" s="1" t="s">
        <v>861</v>
      </c>
      <c r="D112" s="1">
        <v>25</v>
      </c>
      <c r="E112" s="1">
        <v>2</v>
      </c>
      <c r="F112" s="1">
        <v>5</v>
      </c>
      <c r="G112" s="1">
        <v>6</v>
      </c>
      <c r="H112" s="1">
        <v>5</v>
      </c>
      <c r="I112" s="1">
        <v>5</v>
      </c>
      <c r="J112" s="1">
        <v>5</v>
      </c>
      <c r="K112" s="1">
        <f t="shared" si="15"/>
        <v>21</v>
      </c>
      <c r="L112" s="12">
        <f t="shared" si="19"/>
        <v>0.52500000000000002</v>
      </c>
      <c r="M112" s="1">
        <v>5</v>
      </c>
      <c r="N112" s="1">
        <v>4</v>
      </c>
      <c r="O112" s="1">
        <v>4</v>
      </c>
      <c r="P112" s="1">
        <v>5</v>
      </c>
      <c r="Q112" s="1">
        <f t="shared" si="16"/>
        <v>18</v>
      </c>
      <c r="R112" s="12">
        <f t="shared" si="20"/>
        <v>0.45</v>
      </c>
      <c r="S112" s="1">
        <v>6</v>
      </c>
      <c r="T112" s="1">
        <v>3</v>
      </c>
      <c r="U112" s="1">
        <f t="shared" si="17"/>
        <v>9</v>
      </c>
      <c r="V112" s="12">
        <f t="shared" si="21"/>
        <v>0.45</v>
      </c>
      <c r="Z112" s="1">
        <f t="shared" si="18"/>
        <v>0</v>
      </c>
      <c r="AB112" s="2" t="s">
        <v>1523</v>
      </c>
    </row>
    <row r="113" spans="1:28" x14ac:dyDescent="0.25">
      <c r="A113" s="1" t="s">
        <v>1653</v>
      </c>
      <c r="B113" s="1" t="s">
        <v>576</v>
      </c>
      <c r="C113" s="1" t="s">
        <v>861</v>
      </c>
      <c r="D113" s="1">
        <v>25</v>
      </c>
      <c r="E113" s="1">
        <v>2</v>
      </c>
      <c r="F113" s="1">
        <v>5</v>
      </c>
      <c r="G113" s="1">
        <v>6</v>
      </c>
      <c r="H113" s="1">
        <v>7</v>
      </c>
      <c r="I113" s="1">
        <v>6</v>
      </c>
      <c r="J113" s="1">
        <v>6</v>
      </c>
      <c r="K113" s="1">
        <f t="shared" si="15"/>
        <v>25</v>
      </c>
      <c r="L113" s="12">
        <f t="shared" si="19"/>
        <v>0.625</v>
      </c>
      <c r="M113" s="1">
        <v>6</v>
      </c>
      <c r="N113" s="1">
        <v>6</v>
      </c>
      <c r="O113" s="1">
        <v>6</v>
      </c>
      <c r="P113" s="1">
        <v>6</v>
      </c>
      <c r="Q113" s="1">
        <f t="shared" si="16"/>
        <v>24</v>
      </c>
      <c r="R113" s="12">
        <f t="shared" si="20"/>
        <v>0.6</v>
      </c>
      <c r="S113" s="1">
        <v>6</v>
      </c>
      <c r="T113" s="1">
        <v>6</v>
      </c>
      <c r="U113" s="1">
        <f t="shared" si="17"/>
        <v>12</v>
      </c>
      <c r="V113" s="12">
        <f t="shared" si="21"/>
        <v>0.6</v>
      </c>
      <c r="Z113" s="1">
        <f t="shared" si="18"/>
        <v>0</v>
      </c>
      <c r="AB113" s="2" t="s">
        <v>1524</v>
      </c>
    </row>
    <row r="114" spans="1:28" x14ac:dyDescent="0.25">
      <c r="A114" s="1" t="s">
        <v>1653</v>
      </c>
      <c r="B114" s="1" t="s">
        <v>576</v>
      </c>
      <c r="C114" s="1" t="s">
        <v>861</v>
      </c>
      <c r="D114" s="1">
        <v>25</v>
      </c>
      <c r="E114" s="1">
        <v>2</v>
      </c>
      <c r="F114" s="1">
        <v>5</v>
      </c>
      <c r="G114" s="1">
        <v>4</v>
      </c>
      <c r="H114" s="1">
        <v>4</v>
      </c>
      <c r="I114" s="1">
        <v>4</v>
      </c>
      <c r="J114" s="1">
        <v>5</v>
      </c>
      <c r="K114" s="1">
        <f t="shared" si="15"/>
        <v>17</v>
      </c>
      <c r="L114" s="12">
        <f t="shared" si="19"/>
        <v>0.42499999999999999</v>
      </c>
      <c r="M114" s="1">
        <v>4</v>
      </c>
      <c r="N114" s="1">
        <v>4</v>
      </c>
      <c r="O114" s="1">
        <v>4</v>
      </c>
      <c r="P114" s="1">
        <v>4</v>
      </c>
      <c r="Q114" s="1">
        <f t="shared" si="16"/>
        <v>16</v>
      </c>
      <c r="R114" s="12">
        <f t="shared" si="20"/>
        <v>0.4</v>
      </c>
      <c r="S114" s="1">
        <v>4</v>
      </c>
      <c r="T114" s="1">
        <v>4</v>
      </c>
      <c r="U114" s="1">
        <f t="shared" si="17"/>
        <v>8</v>
      </c>
      <c r="V114" s="12">
        <f t="shared" si="21"/>
        <v>0.4</v>
      </c>
      <c r="Z114" s="1">
        <f t="shared" si="18"/>
        <v>0</v>
      </c>
      <c r="AB114" s="2" t="s">
        <v>1525</v>
      </c>
    </row>
    <row r="115" spans="1:28" x14ac:dyDescent="0.25">
      <c r="A115" s="1" t="s">
        <v>1653</v>
      </c>
      <c r="B115" s="1" t="s">
        <v>576</v>
      </c>
      <c r="C115" s="1" t="s">
        <v>861</v>
      </c>
      <c r="D115" s="1">
        <v>25</v>
      </c>
      <c r="E115" s="1">
        <v>2</v>
      </c>
      <c r="F115" s="1">
        <v>5</v>
      </c>
      <c r="G115" s="1">
        <v>4</v>
      </c>
      <c r="H115" s="1">
        <v>4</v>
      </c>
      <c r="I115" s="1">
        <v>3</v>
      </c>
      <c r="J115" s="1">
        <v>4</v>
      </c>
      <c r="K115" s="1">
        <f t="shared" si="15"/>
        <v>15</v>
      </c>
      <c r="L115" s="12">
        <f t="shared" si="19"/>
        <v>0.375</v>
      </c>
      <c r="M115" s="1">
        <v>3</v>
      </c>
      <c r="N115" s="1">
        <v>3</v>
      </c>
      <c r="O115" s="1">
        <v>3</v>
      </c>
      <c r="P115" s="1">
        <v>3</v>
      </c>
      <c r="Q115" s="1">
        <f t="shared" si="16"/>
        <v>12</v>
      </c>
      <c r="R115" s="12">
        <f t="shared" si="20"/>
        <v>0.3</v>
      </c>
      <c r="S115" s="1">
        <v>3</v>
      </c>
      <c r="T115" s="1">
        <v>4</v>
      </c>
      <c r="U115" s="1">
        <f t="shared" si="17"/>
        <v>7</v>
      </c>
      <c r="V115" s="12">
        <f t="shared" si="21"/>
        <v>0.35</v>
      </c>
      <c r="Z115" s="1">
        <f t="shared" si="18"/>
        <v>0</v>
      </c>
      <c r="AB115" s="2" t="s">
        <v>1526</v>
      </c>
    </row>
    <row r="116" spans="1:28" x14ac:dyDescent="0.25">
      <c r="A116" s="1" t="s">
        <v>1653</v>
      </c>
      <c r="B116" s="1" t="s">
        <v>576</v>
      </c>
      <c r="C116" s="1" t="s">
        <v>861</v>
      </c>
      <c r="D116" s="1">
        <v>25</v>
      </c>
      <c r="E116" s="1">
        <v>2</v>
      </c>
      <c r="F116" s="1">
        <v>5</v>
      </c>
      <c r="G116" s="1">
        <v>5</v>
      </c>
      <c r="H116" s="1">
        <v>6</v>
      </c>
      <c r="I116" s="1">
        <v>5</v>
      </c>
      <c r="J116" s="1">
        <v>6</v>
      </c>
      <c r="K116" s="1">
        <f t="shared" si="15"/>
        <v>22</v>
      </c>
      <c r="L116" s="12">
        <f t="shared" si="19"/>
        <v>0.55000000000000004</v>
      </c>
      <c r="M116" s="1">
        <v>6</v>
      </c>
      <c r="N116" s="1">
        <v>6</v>
      </c>
      <c r="O116" s="1">
        <v>5</v>
      </c>
      <c r="P116" s="1">
        <v>6</v>
      </c>
      <c r="Q116" s="1">
        <f t="shared" si="16"/>
        <v>23</v>
      </c>
      <c r="R116" s="12">
        <f t="shared" si="20"/>
        <v>0.57499999999999996</v>
      </c>
      <c r="S116" s="1">
        <v>6</v>
      </c>
      <c r="T116" s="1">
        <v>5</v>
      </c>
      <c r="U116" s="1">
        <f t="shared" si="17"/>
        <v>11</v>
      </c>
      <c r="V116" s="12">
        <f t="shared" si="21"/>
        <v>0.55000000000000004</v>
      </c>
      <c r="Z116" s="1">
        <f t="shared" si="18"/>
        <v>0</v>
      </c>
      <c r="AB116" s="2" t="s">
        <v>1527</v>
      </c>
    </row>
    <row r="117" spans="1:28" x14ac:dyDescent="0.25">
      <c r="A117" s="1" t="s">
        <v>1653</v>
      </c>
      <c r="B117" s="1" t="s">
        <v>576</v>
      </c>
      <c r="C117" s="1" t="s">
        <v>861</v>
      </c>
      <c r="D117" s="1">
        <v>25</v>
      </c>
      <c r="E117" s="1">
        <v>2</v>
      </c>
      <c r="F117" s="1">
        <v>5</v>
      </c>
      <c r="G117" s="1">
        <v>4</v>
      </c>
      <c r="H117" s="1">
        <v>4</v>
      </c>
      <c r="I117" s="1">
        <v>5</v>
      </c>
      <c r="J117" s="1">
        <v>5</v>
      </c>
      <c r="K117" s="1">
        <f t="shared" si="15"/>
        <v>18</v>
      </c>
      <c r="L117" s="12">
        <f t="shared" si="19"/>
        <v>0.45</v>
      </c>
      <c r="M117" s="1">
        <v>4</v>
      </c>
      <c r="N117" s="1">
        <v>4</v>
      </c>
      <c r="O117" s="1">
        <v>5</v>
      </c>
      <c r="P117" s="1">
        <v>5</v>
      </c>
      <c r="Q117" s="1">
        <f t="shared" si="16"/>
        <v>18</v>
      </c>
      <c r="R117" s="12">
        <f t="shared" si="20"/>
        <v>0.45</v>
      </c>
      <c r="S117" s="1">
        <v>4</v>
      </c>
      <c r="T117" s="1">
        <v>4</v>
      </c>
      <c r="U117" s="1">
        <f t="shared" si="17"/>
        <v>8</v>
      </c>
      <c r="V117" s="12">
        <f t="shared" si="21"/>
        <v>0.4</v>
      </c>
      <c r="Z117" s="1">
        <f t="shared" si="18"/>
        <v>0</v>
      </c>
      <c r="AB117" s="2" t="s">
        <v>1528</v>
      </c>
    </row>
    <row r="118" spans="1:28" x14ac:dyDescent="0.25">
      <c r="A118" s="1" t="s">
        <v>1655</v>
      </c>
      <c r="B118" s="1" t="s">
        <v>35</v>
      </c>
      <c r="C118" s="1" t="s">
        <v>36</v>
      </c>
      <c r="D118" s="1">
        <v>19</v>
      </c>
      <c r="E118" s="1">
        <v>1</v>
      </c>
      <c r="F118" s="1">
        <v>3</v>
      </c>
      <c r="G118" s="1">
        <v>6</v>
      </c>
      <c r="H118" s="1">
        <v>5</v>
      </c>
      <c r="I118" s="1">
        <v>6</v>
      </c>
      <c r="J118" s="1">
        <v>4</v>
      </c>
      <c r="K118" s="1">
        <f t="shared" si="15"/>
        <v>21</v>
      </c>
      <c r="L118" s="12">
        <f t="shared" ref="L118:L133" si="22">K118/35</f>
        <v>0.6</v>
      </c>
      <c r="M118" s="1">
        <v>6</v>
      </c>
      <c r="N118" s="1">
        <v>7</v>
      </c>
      <c r="O118" s="1">
        <v>6</v>
      </c>
      <c r="P118" s="1">
        <v>4</v>
      </c>
      <c r="Q118" s="1">
        <f t="shared" si="16"/>
        <v>23</v>
      </c>
      <c r="R118" s="12">
        <f t="shared" ref="R118:R133" si="23">Q118/35</f>
        <v>0.65714285714285714</v>
      </c>
      <c r="S118" s="1">
        <v>7</v>
      </c>
      <c r="T118" s="1">
        <v>5</v>
      </c>
      <c r="U118" s="1">
        <f t="shared" si="17"/>
        <v>12</v>
      </c>
      <c r="V118" s="12">
        <f t="shared" ref="V118:V133" si="24">U118/15</f>
        <v>0.8</v>
      </c>
      <c r="W118" s="1">
        <v>4</v>
      </c>
      <c r="X118" s="1">
        <v>3</v>
      </c>
      <c r="Y118" s="1">
        <v>3</v>
      </c>
      <c r="Z118" s="1">
        <f t="shared" si="18"/>
        <v>10</v>
      </c>
      <c r="AA118" s="12">
        <f t="shared" ref="AA118:AA133" si="25">Z118/15</f>
        <v>0.66666666666666663</v>
      </c>
      <c r="AB118" s="2" t="s">
        <v>94</v>
      </c>
    </row>
    <row r="119" spans="1:28" x14ac:dyDescent="0.25">
      <c r="A119" s="1" t="s">
        <v>1655</v>
      </c>
      <c r="B119" s="1" t="s">
        <v>35</v>
      </c>
      <c r="C119" s="1" t="s">
        <v>36</v>
      </c>
      <c r="D119" s="1">
        <v>19</v>
      </c>
      <c r="E119" s="1">
        <v>1</v>
      </c>
      <c r="F119" s="1">
        <v>3</v>
      </c>
      <c r="G119" s="1">
        <v>5</v>
      </c>
      <c r="H119" s="1">
        <v>4</v>
      </c>
      <c r="I119" s="1">
        <v>4</v>
      </c>
      <c r="J119" s="1">
        <v>3</v>
      </c>
      <c r="K119" s="1">
        <f t="shared" si="15"/>
        <v>16</v>
      </c>
      <c r="L119" s="12">
        <f t="shared" si="22"/>
        <v>0.45714285714285713</v>
      </c>
      <c r="M119" s="1">
        <v>5</v>
      </c>
      <c r="N119" s="1">
        <v>6</v>
      </c>
      <c r="O119" s="1">
        <v>4</v>
      </c>
      <c r="P119" s="1">
        <v>4</v>
      </c>
      <c r="Q119" s="1">
        <f t="shared" si="16"/>
        <v>19</v>
      </c>
      <c r="R119" s="12">
        <f t="shared" si="23"/>
        <v>0.54285714285714282</v>
      </c>
      <c r="S119" s="1">
        <v>6</v>
      </c>
      <c r="T119" s="1">
        <v>4</v>
      </c>
      <c r="U119" s="1">
        <f t="shared" si="17"/>
        <v>10</v>
      </c>
      <c r="V119" s="12">
        <f t="shared" si="24"/>
        <v>0.66666666666666663</v>
      </c>
      <c r="W119" s="1">
        <v>3</v>
      </c>
      <c r="X119" s="1">
        <v>2</v>
      </c>
      <c r="Y119" s="1">
        <v>3</v>
      </c>
      <c r="Z119" s="1">
        <f t="shared" si="18"/>
        <v>8</v>
      </c>
      <c r="AA119" s="12">
        <f t="shared" si="25"/>
        <v>0.53333333333333333</v>
      </c>
      <c r="AB119" s="2" t="s">
        <v>95</v>
      </c>
    </row>
    <row r="120" spans="1:28" x14ac:dyDescent="0.25">
      <c r="A120" s="1" t="s">
        <v>1655</v>
      </c>
      <c r="B120" s="1" t="s">
        <v>35</v>
      </c>
      <c r="C120" s="1" t="s">
        <v>36</v>
      </c>
      <c r="D120" s="1">
        <v>19</v>
      </c>
      <c r="E120" s="1">
        <v>1</v>
      </c>
      <c r="F120" s="1">
        <v>3</v>
      </c>
      <c r="G120" s="1">
        <v>7</v>
      </c>
      <c r="H120" s="1">
        <v>7</v>
      </c>
      <c r="I120" s="1">
        <v>6</v>
      </c>
      <c r="J120" s="1">
        <v>4</v>
      </c>
      <c r="K120" s="1">
        <f t="shared" si="15"/>
        <v>24</v>
      </c>
      <c r="L120" s="12">
        <f t="shared" si="22"/>
        <v>0.68571428571428572</v>
      </c>
      <c r="M120" s="1">
        <v>6</v>
      </c>
      <c r="N120" s="1">
        <v>7</v>
      </c>
      <c r="O120" s="1">
        <v>7</v>
      </c>
      <c r="P120" s="1">
        <v>4</v>
      </c>
      <c r="Q120" s="1">
        <f t="shared" si="16"/>
        <v>24</v>
      </c>
      <c r="R120" s="12">
        <f t="shared" si="23"/>
        <v>0.68571428571428572</v>
      </c>
      <c r="S120" s="1">
        <v>7</v>
      </c>
      <c r="T120" s="1">
        <v>4</v>
      </c>
      <c r="U120" s="1">
        <f t="shared" si="17"/>
        <v>11</v>
      </c>
      <c r="V120" s="12">
        <f t="shared" si="24"/>
        <v>0.73333333333333328</v>
      </c>
      <c r="W120" s="1">
        <v>4</v>
      </c>
      <c r="X120" s="1">
        <v>3</v>
      </c>
      <c r="Y120" s="1">
        <v>4</v>
      </c>
      <c r="Z120" s="1">
        <f t="shared" si="18"/>
        <v>11</v>
      </c>
      <c r="AA120" s="12">
        <f t="shared" si="25"/>
        <v>0.73333333333333328</v>
      </c>
      <c r="AB120" s="2" t="s">
        <v>96</v>
      </c>
    </row>
    <row r="121" spans="1:28" x14ac:dyDescent="0.25">
      <c r="A121" s="1" t="s">
        <v>1655</v>
      </c>
      <c r="B121" s="1" t="s">
        <v>35</v>
      </c>
      <c r="C121" s="1" t="s">
        <v>36</v>
      </c>
      <c r="D121" s="1">
        <v>19</v>
      </c>
      <c r="E121" s="1">
        <v>1</v>
      </c>
      <c r="F121" s="1">
        <v>3</v>
      </c>
      <c r="G121" s="1">
        <v>7</v>
      </c>
      <c r="H121" s="1">
        <v>7</v>
      </c>
      <c r="I121" s="1">
        <v>7</v>
      </c>
      <c r="J121" s="1">
        <v>4</v>
      </c>
      <c r="K121" s="1">
        <f t="shared" si="15"/>
        <v>25</v>
      </c>
      <c r="L121" s="12">
        <f t="shared" si="22"/>
        <v>0.7142857142857143</v>
      </c>
      <c r="M121" s="1">
        <v>6</v>
      </c>
      <c r="N121" s="1">
        <v>7</v>
      </c>
      <c r="O121" s="1">
        <v>7</v>
      </c>
      <c r="P121" s="1">
        <v>3</v>
      </c>
      <c r="Q121" s="1">
        <f t="shared" si="16"/>
        <v>23</v>
      </c>
      <c r="R121" s="12">
        <f t="shared" si="23"/>
        <v>0.65714285714285714</v>
      </c>
      <c r="S121" s="1">
        <v>6</v>
      </c>
      <c r="T121" s="1">
        <v>5</v>
      </c>
      <c r="U121" s="1">
        <f t="shared" si="17"/>
        <v>11</v>
      </c>
      <c r="V121" s="12">
        <f t="shared" si="24"/>
        <v>0.73333333333333328</v>
      </c>
      <c r="W121" s="1">
        <v>3</v>
      </c>
      <c r="X121" s="1">
        <v>4</v>
      </c>
      <c r="Y121" s="1">
        <v>4</v>
      </c>
      <c r="Z121" s="1">
        <f t="shared" si="18"/>
        <v>11</v>
      </c>
      <c r="AA121" s="12">
        <f t="shared" si="25"/>
        <v>0.73333333333333328</v>
      </c>
      <c r="AB121" s="2" t="s">
        <v>97</v>
      </c>
    </row>
    <row r="122" spans="1:28" x14ac:dyDescent="0.25">
      <c r="A122" s="1" t="s">
        <v>1655</v>
      </c>
      <c r="B122" s="1" t="s">
        <v>35</v>
      </c>
      <c r="C122" s="1" t="s">
        <v>36</v>
      </c>
      <c r="D122" s="1">
        <v>19</v>
      </c>
      <c r="E122" s="1">
        <v>1</v>
      </c>
      <c r="F122" s="1">
        <v>3</v>
      </c>
      <c r="G122" s="1">
        <v>7</v>
      </c>
      <c r="H122" s="1">
        <v>6</v>
      </c>
      <c r="I122" s="1">
        <v>8</v>
      </c>
      <c r="J122" s="1">
        <v>4</v>
      </c>
      <c r="K122" s="1">
        <f t="shared" si="15"/>
        <v>25</v>
      </c>
      <c r="L122" s="12">
        <f t="shared" si="22"/>
        <v>0.7142857142857143</v>
      </c>
      <c r="M122" s="1">
        <v>8</v>
      </c>
      <c r="N122" s="1">
        <v>7</v>
      </c>
      <c r="O122" s="1">
        <v>7</v>
      </c>
      <c r="P122" s="1">
        <v>4</v>
      </c>
      <c r="Q122" s="1">
        <f t="shared" si="16"/>
        <v>26</v>
      </c>
      <c r="R122" s="12">
        <f t="shared" si="23"/>
        <v>0.74285714285714288</v>
      </c>
      <c r="S122" s="1">
        <v>7</v>
      </c>
      <c r="T122" s="1">
        <v>5</v>
      </c>
      <c r="U122" s="1">
        <f t="shared" si="17"/>
        <v>12</v>
      </c>
      <c r="V122" s="12">
        <f t="shared" si="24"/>
        <v>0.8</v>
      </c>
      <c r="W122" s="1">
        <v>4</v>
      </c>
      <c r="X122" s="1">
        <v>4</v>
      </c>
      <c r="Y122" s="1">
        <v>5</v>
      </c>
      <c r="Z122" s="1">
        <f t="shared" si="18"/>
        <v>13</v>
      </c>
      <c r="AA122" s="12">
        <f t="shared" si="25"/>
        <v>0.8666666666666667</v>
      </c>
      <c r="AB122" s="2" t="s">
        <v>98</v>
      </c>
    </row>
    <row r="123" spans="1:28" x14ac:dyDescent="0.25">
      <c r="A123" s="1" t="s">
        <v>1655</v>
      </c>
      <c r="B123" s="1" t="s">
        <v>35</v>
      </c>
      <c r="C123" s="1" t="s">
        <v>36</v>
      </c>
      <c r="D123" s="1">
        <v>19</v>
      </c>
      <c r="E123" s="1">
        <v>1</v>
      </c>
      <c r="F123" s="1">
        <v>3</v>
      </c>
      <c r="G123" s="1">
        <v>6</v>
      </c>
      <c r="H123" s="1">
        <v>6</v>
      </c>
      <c r="I123" s="1">
        <v>7</v>
      </c>
      <c r="J123" s="1">
        <v>4</v>
      </c>
      <c r="K123" s="1">
        <f t="shared" si="15"/>
        <v>23</v>
      </c>
      <c r="L123" s="12">
        <f t="shared" si="22"/>
        <v>0.65714285714285714</v>
      </c>
      <c r="M123" s="1">
        <v>7</v>
      </c>
      <c r="N123" s="1">
        <v>7</v>
      </c>
      <c r="O123" s="1">
        <v>7</v>
      </c>
      <c r="P123" s="1">
        <v>4</v>
      </c>
      <c r="Q123" s="1">
        <f t="shared" si="16"/>
        <v>25</v>
      </c>
      <c r="R123" s="12">
        <f t="shared" si="23"/>
        <v>0.7142857142857143</v>
      </c>
      <c r="S123" s="1">
        <v>7</v>
      </c>
      <c r="T123" s="1">
        <v>5</v>
      </c>
      <c r="U123" s="1">
        <f t="shared" si="17"/>
        <v>12</v>
      </c>
      <c r="V123" s="12">
        <f t="shared" si="24"/>
        <v>0.8</v>
      </c>
      <c r="W123" s="1">
        <v>4</v>
      </c>
      <c r="X123" s="1">
        <v>3</v>
      </c>
      <c r="Y123" s="1">
        <v>4</v>
      </c>
      <c r="Z123" s="1">
        <f t="shared" si="18"/>
        <v>11</v>
      </c>
      <c r="AA123" s="12">
        <f t="shared" si="25"/>
        <v>0.73333333333333328</v>
      </c>
      <c r="AB123" s="2" t="s">
        <v>99</v>
      </c>
    </row>
    <row r="124" spans="1:28" x14ac:dyDescent="0.25">
      <c r="A124" s="1" t="s">
        <v>1655</v>
      </c>
      <c r="B124" s="1" t="s">
        <v>35</v>
      </c>
      <c r="C124" s="1" t="s">
        <v>36</v>
      </c>
      <c r="D124" s="1">
        <v>19</v>
      </c>
      <c r="E124" s="1">
        <v>1</v>
      </c>
      <c r="F124" s="1">
        <v>3</v>
      </c>
      <c r="G124" s="1">
        <v>4</v>
      </c>
      <c r="H124" s="1">
        <v>4</v>
      </c>
      <c r="I124" s="1">
        <v>4</v>
      </c>
      <c r="J124" s="1">
        <v>3</v>
      </c>
      <c r="K124" s="1">
        <f t="shared" si="15"/>
        <v>15</v>
      </c>
      <c r="L124" s="12">
        <f t="shared" si="22"/>
        <v>0.42857142857142855</v>
      </c>
      <c r="M124" s="1">
        <v>5</v>
      </c>
      <c r="N124" s="1">
        <v>5</v>
      </c>
      <c r="O124" s="1">
        <v>4</v>
      </c>
      <c r="P124" s="1">
        <v>3</v>
      </c>
      <c r="Q124" s="1">
        <f t="shared" si="16"/>
        <v>17</v>
      </c>
      <c r="R124" s="12">
        <f t="shared" si="23"/>
        <v>0.48571428571428571</v>
      </c>
      <c r="S124" s="1">
        <v>6</v>
      </c>
      <c r="T124" s="1">
        <v>4</v>
      </c>
      <c r="U124" s="1">
        <f t="shared" si="17"/>
        <v>10</v>
      </c>
      <c r="V124" s="12">
        <f t="shared" si="24"/>
        <v>0.66666666666666663</v>
      </c>
      <c r="W124" s="1">
        <v>5</v>
      </c>
      <c r="X124" s="1">
        <v>4</v>
      </c>
      <c r="Y124" s="1">
        <v>3</v>
      </c>
      <c r="Z124" s="1">
        <f t="shared" si="18"/>
        <v>12</v>
      </c>
      <c r="AA124" s="12">
        <f t="shared" si="25"/>
        <v>0.8</v>
      </c>
      <c r="AB124" s="2" t="s">
        <v>100</v>
      </c>
    </row>
    <row r="125" spans="1:28" x14ac:dyDescent="0.25">
      <c r="A125" s="1" t="s">
        <v>1655</v>
      </c>
      <c r="B125" s="1" t="s">
        <v>35</v>
      </c>
      <c r="C125" s="1" t="s">
        <v>36</v>
      </c>
      <c r="D125" s="1">
        <v>19</v>
      </c>
      <c r="E125" s="1">
        <v>1</v>
      </c>
      <c r="F125" s="1">
        <v>3</v>
      </c>
      <c r="G125" s="1">
        <v>7</v>
      </c>
      <c r="H125" s="1">
        <v>8</v>
      </c>
      <c r="I125" s="1">
        <v>7</v>
      </c>
      <c r="J125" s="1">
        <v>4</v>
      </c>
      <c r="K125" s="1">
        <f t="shared" si="15"/>
        <v>26</v>
      </c>
      <c r="L125" s="12">
        <f t="shared" si="22"/>
        <v>0.74285714285714288</v>
      </c>
      <c r="M125" s="1">
        <v>6</v>
      </c>
      <c r="N125" s="1">
        <v>6</v>
      </c>
      <c r="O125" s="1">
        <v>6</v>
      </c>
      <c r="P125" s="1">
        <v>4</v>
      </c>
      <c r="Q125" s="1">
        <f t="shared" si="16"/>
        <v>22</v>
      </c>
      <c r="R125" s="12">
        <f t="shared" si="23"/>
        <v>0.62857142857142856</v>
      </c>
      <c r="S125" s="1">
        <v>7</v>
      </c>
      <c r="T125" s="1">
        <v>4</v>
      </c>
      <c r="U125" s="1">
        <f t="shared" si="17"/>
        <v>11</v>
      </c>
      <c r="V125" s="12">
        <f t="shared" si="24"/>
        <v>0.73333333333333328</v>
      </c>
      <c r="W125" s="1">
        <v>3</v>
      </c>
      <c r="X125" s="1">
        <v>3</v>
      </c>
      <c r="Y125" s="1">
        <v>4</v>
      </c>
      <c r="Z125" s="1">
        <f t="shared" si="18"/>
        <v>10</v>
      </c>
      <c r="AA125" s="12">
        <f t="shared" si="25"/>
        <v>0.66666666666666663</v>
      </c>
      <c r="AB125" s="2" t="s">
        <v>101</v>
      </c>
    </row>
    <row r="126" spans="1:28" x14ac:dyDescent="0.25">
      <c r="A126" s="1" t="s">
        <v>1655</v>
      </c>
      <c r="B126" s="1" t="s">
        <v>35</v>
      </c>
      <c r="C126" s="1" t="s">
        <v>36</v>
      </c>
      <c r="D126" s="1">
        <v>20</v>
      </c>
      <c r="E126" s="1">
        <v>2</v>
      </c>
      <c r="F126" s="1">
        <v>4</v>
      </c>
      <c r="G126" s="1">
        <v>5</v>
      </c>
      <c r="H126" s="1">
        <v>6</v>
      </c>
      <c r="I126" s="1">
        <v>5</v>
      </c>
      <c r="J126" s="1">
        <v>3</v>
      </c>
      <c r="K126" s="1">
        <f t="shared" si="15"/>
        <v>19</v>
      </c>
      <c r="L126" s="12">
        <f t="shared" si="22"/>
        <v>0.54285714285714282</v>
      </c>
      <c r="M126" s="1">
        <v>5</v>
      </c>
      <c r="N126" s="1">
        <v>6</v>
      </c>
      <c r="O126" s="1">
        <v>5</v>
      </c>
      <c r="P126" s="1">
        <v>3</v>
      </c>
      <c r="Q126" s="1">
        <f t="shared" si="16"/>
        <v>19</v>
      </c>
      <c r="R126" s="12">
        <f t="shared" si="23"/>
        <v>0.54285714285714282</v>
      </c>
      <c r="S126" s="1">
        <v>6</v>
      </c>
      <c r="T126" s="1">
        <v>4</v>
      </c>
      <c r="U126" s="1">
        <f t="shared" si="17"/>
        <v>10</v>
      </c>
      <c r="V126" s="12">
        <f t="shared" si="24"/>
        <v>0.66666666666666663</v>
      </c>
      <c r="W126" s="1">
        <v>4</v>
      </c>
      <c r="X126" s="1">
        <v>3</v>
      </c>
      <c r="Y126" s="1">
        <v>4</v>
      </c>
      <c r="Z126" s="1">
        <f t="shared" si="18"/>
        <v>11</v>
      </c>
      <c r="AA126" s="12">
        <f t="shared" si="25"/>
        <v>0.73333333333333328</v>
      </c>
      <c r="AB126" s="2" t="s">
        <v>325</v>
      </c>
    </row>
    <row r="127" spans="1:28" x14ac:dyDescent="0.25">
      <c r="A127" s="1" t="s">
        <v>1655</v>
      </c>
      <c r="B127" s="1" t="s">
        <v>35</v>
      </c>
      <c r="C127" s="1" t="s">
        <v>36</v>
      </c>
      <c r="D127" s="1">
        <v>20</v>
      </c>
      <c r="E127" s="1">
        <v>2</v>
      </c>
      <c r="F127" s="1">
        <v>4</v>
      </c>
      <c r="G127" s="1">
        <v>6</v>
      </c>
      <c r="H127" s="1">
        <v>6</v>
      </c>
      <c r="I127" s="1">
        <v>6</v>
      </c>
      <c r="J127" s="1">
        <v>4</v>
      </c>
      <c r="K127" s="1">
        <f t="shared" si="15"/>
        <v>22</v>
      </c>
      <c r="L127" s="12">
        <f t="shared" si="22"/>
        <v>0.62857142857142856</v>
      </c>
      <c r="M127" s="1">
        <v>5</v>
      </c>
      <c r="N127" s="1">
        <v>5</v>
      </c>
      <c r="O127" s="1">
        <v>5</v>
      </c>
      <c r="P127" s="1">
        <v>3</v>
      </c>
      <c r="Q127" s="1">
        <f t="shared" si="16"/>
        <v>18</v>
      </c>
      <c r="R127" s="12">
        <f t="shared" si="23"/>
        <v>0.51428571428571423</v>
      </c>
      <c r="S127" s="1">
        <v>5</v>
      </c>
      <c r="T127" s="1">
        <v>3</v>
      </c>
      <c r="U127" s="1">
        <f t="shared" si="17"/>
        <v>8</v>
      </c>
      <c r="V127" s="12">
        <f t="shared" si="24"/>
        <v>0.53333333333333333</v>
      </c>
      <c r="W127" s="1">
        <v>3</v>
      </c>
      <c r="X127" s="1">
        <v>3</v>
      </c>
      <c r="Y127" s="1">
        <v>3</v>
      </c>
      <c r="Z127" s="1">
        <f t="shared" si="18"/>
        <v>9</v>
      </c>
      <c r="AA127" s="12">
        <f t="shared" si="25"/>
        <v>0.6</v>
      </c>
      <c r="AB127" s="2" t="s">
        <v>326</v>
      </c>
    </row>
    <row r="128" spans="1:28" x14ac:dyDescent="0.25">
      <c r="A128" s="1" t="s">
        <v>1655</v>
      </c>
      <c r="B128" s="1" t="s">
        <v>35</v>
      </c>
      <c r="C128" s="1" t="s">
        <v>36</v>
      </c>
      <c r="D128" s="1">
        <v>20</v>
      </c>
      <c r="E128" s="1">
        <v>2</v>
      </c>
      <c r="F128" s="1">
        <v>4</v>
      </c>
      <c r="G128" s="1">
        <v>5</v>
      </c>
      <c r="H128" s="1">
        <v>6</v>
      </c>
      <c r="I128" s="1">
        <v>6</v>
      </c>
      <c r="J128" s="1">
        <v>3</v>
      </c>
      <c r="K128" s="1">
        <f t="shared" si="15"/>
        <v>20</v>
      </c>
      <c r="L128" s="12">
        <f t="shared" si="22"/>
        <v>0.5714285714285714</v>
      </c>
      <c r="M128" s="1">
        <v>6</v>
      </c>
      <c r="N128" s="1">
        <v>5</v>
      </c>
      <c r="O128" s="1">
        <v>6</v>
      </c>
      <c r="P128" s="1">
        <v>3</v>
      </c>
      <c r="Q128" s="1">
        <f t="shared" si="16"/>
        <v>20</v>
      </c>
      <c r="R128" s="12">
        <f t="shared" si="23"/>
        <v>0.5714285714285714</v>
      </c>
      <c r="S128" s="1">
        <v>6</v>
      </c>
      <c r="T128" s="1">
        <v>4</v>
      </c>
      <c r="U128" s="1">
        <f t="shared" si="17"/>
        <v>10</v>
      </c>
      <c r="V128" s="12">
        <f t="shared" si="24"/>
        <v>0.66666666666666663</v>
      </c>
      <c r="W128" s="1">
        <v>3</v>
      </c>
      <c r="X128" s="1">
        <v>3</v>
      </c>
      <c r="Y128" s="1">
        <v>3</v>
      </c>
      <c r="Z128" s="1">
        <f t="shared" si="18"/>
        <v>9</v>
      </c>
      <c r="AA128" s="12">
        <f t="shared" si="25"/>
        <v>0.6</v>
      </c>
      <c r="AB128" s="2" t="s">
        <v>327</v>
      </c>
    </row>
    <row r="129" spans="1:28" x14ac:dyDescent="0.25">
      <c r="A129" s="1" t="s">
        <v>1655</v>
      </c>
      <c r="B129" s="1" t="s">
        <v>35</v>
      </c>
      <c r="C129" s="1" t="s">
        <v>36</v>
      </c>
      <c r="D129" s="1">
        <v>20</v>
      </c>
      <c r="E129" s="1">
        <v>2</v>
      </c>
      <c r="F129" s="1">
        <v>4</v>
      </c>
      <c r="G129" s="1">
        <v>5</v>
      </c>
      <c r="H129" s="1">
        <v>5</v>
      </c>
      <c r="I129" s="1">
        <v>5</v>
      </c>
      <c r="J129" s="1">
        <v>3</v>
      </c>
      <c r="K129" s="1">
        <f t="shared" si="15"/>
        <v>18</v>
      </c>
      <c r="L129" s="12">
        <f t="shared" si="22"/>
        <v>0.51428571428571423</v>
      </c>
      <c r="M129" s="1">
        <v>6</v>
      </c>
      <c r="N129" s="1">
        <v>5</v>
      </c>
      <c r="O129" s="1">
        <v>5</v>
      </c>
      <c r="P129" s="1">
        <v>3</v>
      </c>
      <c r="Q129" s="1">
        <f t="shared" si="16"/>
        <v>19</v>
      </c>
      <c r="R129" s="12">
        <f t="shared" si="23"/>
        <v>0.54285714285714282</v>
      </c>
      <c r="S129" s="1">
        <v>6</v>
      </c>
      <c r="T129" s="1">
        <v>4</v>
      </c>
      <c r="U129" s="1">
        <f t="shared" si="17"/>
        <v>10</v>
      </c>
      <c r="V129" s="12">
        <f t="shared" si="24"/>
        <v>0.66666666666666663</v>
      </c>
      <c r="W129" s="1">
        <v>2</v>
      </c>
      <c r="X129" s="1">
        <v>3</v>
      </c>
      <c r="Y129" s="1">
        <v>3</v>
      </c>
      <c r="Z129" s="1">
        <f t="shared" si="18"/>
        <v>8</v>
      </c>
      <c r="AA129" s="12">
        <f t="shared" si="25"/>
        <v>0.53333333333333333</v>
      </c>
      <c r="AB129" s="2" t="s">
        <v>328</v>
      </c>
    </row>
    <row r="130" spans="1:28" x14ac:dyDescent="0.25">
      <c r="A130" s="1" t="s">
        <v>1655</v>
      </c>
      <c r="B130" s="1" t="s">
        <v>35</v>
      </c>
      <c r="C130" s="1" t="s">
        <v>36</v>
      </c>
      <c r="D130" s="1">
        <v>20</v>
      </c>
      <c r="E130" s="1">
        <v>2</v>
      </c>
      <c r="F130" s="1">
        <v>4</v>
      </c>
      <c r="G130" s="1">
        <v>7</v>
      </c>
      <c r="H130" s="1">
        <v>6</v>
      </c>
      <c r="I130" s="1">
        <v>7</v>
      </c>
      <c r="J130" s="1">
        <v>4</v>
      </c>
      <c r="K130" s="1">
        <f t="shared" si="15"/>
        <v>24</v>
      </c>
      <c r="L130" s="12">
        <f t="shared" si="22"/>
        <v>0.68571428571428572</v>
      </c>
      <c r="M130" s="1">
        <v>6</v>
      </c>
      <c r="N130" s="1">
        <v>7</v>
      </c>
      <c r="O130" s="1">
        <v>7</v>
      </c>
      <c r="P130" s="1">
        <v>4</v>
      </c>
      <c r="Q130" s="1">
        <f t="shared" si="16"/>
        <v>24</v>
      </c>
      <c r="R130" s="12">
        <f t="shared" si="23"/>
        <v>0.68571428571428572</v>
      </c>
      <c r="S130" s="1">
        <v>7</v>
      </c>
      <c r="T130" s="1">
        <v>4</v>
      </c>
      <c r="U130" s="1">
        <f t="shared" si="17"/>
        <v>11</v>
      </c>
      <c r="V130" s="12">
        <f t="shared" si="24"/>
        <v>0.73333333333333328</v>
      </c>
      <c r="W130" s="1">
        <v>4</v>
      </c>
      <c r="X130" s="1">
        <v>4</v>
      </c>
      <c r="Y130" s="1">
        <v>4</v>
      </c>
      <c r="Z130" s="1">
        <f t="shared" si="18"/>
        <v>12</v>
      </c>
      <c r="AA130" s="12">
        <f t="shared" si="25"/>
        <v>0.8</v>
      </c>
      <c r="AB130" s="2" t="s">
        <v>329</v>
      </c>
    </row>
    <row r="131" spans="1:28" x14ac:dyDescent="0.25">
      <c r="A131" s="1" t="s">
        <v>1655</v>
      </c>
      <c r="B131" s="1" t="s">
        <v>35</v>
      </c>
      <c r="C131" s="1" t="s">
        <v>36</v>
      </c>
      <c r="D131" s="1">
        <v>20</v>
      </c>
      <c r="E131" s="1">
        <v>2</v>
      </c>
      <c r="F131" s="1">
        <v>4</v>
      </c>
      <c r="G131" s="1">
        <v>7</v>
      </c>
      <c r="H131" s="1">
        <v>7</v>
      </c>
      <c r="I131" s="1">
        <v>6</v>
      </c>
      <c r="J131" s="1">
        <v>4</v>
      </c>
      <c r="K131" s="1">
        <f t="shared" ref="K131:K194" si="26">SUM(G131:J131)</f>
        <v>24</v>
      </c>
      <c r="L131" s="12">
        <f t="shared" si="22"/>
        <v>0.68571428571428572</v>
      </c>
      <c r="M131" s="1">
        <v>7</v>
      </c>
      <c r="N131" s="1">
        <v>6</v>
      </c>
      <c r="O131" s="1">
        <v>7</v>
      </c>
      <c r="P131" s="1">
        <v>4</v>
      </c>
      <c r="Q131" s="1">
        <f t="shared" ref="Q131:Q194" si="27">SUM(M131:P131)</f>
        <v>24</v>
      </c>
      <c r="R131" s="12">
        <f t="shared" si="23"/>
        <v>0.68571428571428572</v>
      </c>
      <c r="S131" s="1">
        <v>7</v>
      </c>
      <c r="T131" s="1">
        <v>4</v>
      </c>
      <c r="U131" s="1">
        <f t="shared" ref="U131:U194" si="28">SUM(S131:T131)</f>
        <v>11</v>
      </c>
      <c r="V131" s="12">
        <f t="shared" si="24"/>
        <v>0.73333333333333328</v>
      </c>
      <c r="W131" s="1">
        <v>3</v>
      </c>
      <c r="X131" s="1">
        <v>3</v>
      </c>
      <c r="Y131" s="1">
        <v>4</v>
      </c>
      <c r="Z131" s="1">
        <f t="shared" ref="Z131:Z194" si="29">SUM(W131:Y131)</f>
        <v>10</v>
      </c>
      <c r="AA131" s="12">
        <f t="shared" si="25"/>
        <v>0.66666666666666663</v>
      </c>
      <c r="AB131" s="2" t="s">
        <v>330</v>
      </c>
    </row>
    <row r="132" spans="1:28" x14ac:dyDescent="0.25">
      <c r="A132" s="1" t="s">
        <v>1655</v>
      </c>
      <c r="B132" s="1" t="s">
        <v>35</v>
      </c>
      <c r="C132" s="1" t="s">
        <v>36</v>
      </c>
      <c r="D132" s="1">
        <v>20</v>
      </c>
      <c r="E132" s="1">
        <v>2</v>
      </c>
      <c r="F132" s="1">
        <v>4</v>
      </c>
      <c r="G132" s="1">
        <v>7</v>
      </c>
      <c r="H132" s="1">
        <v>5</v>
      </c>
      <c r="I132" s="1">
        <v>7</v>
      </c>
      <c r="J132" s="1">
        <v>4</v>
      </c>
      <c r="K132" s="1">
        <f t="shared" si="26"/>
        <v>23</v>
      </c>
      <c r="L132" s="12">
        <f t="shared" si="22"/>
        <v>0.65714285714285714</v>
      </c>
      <c r="M132" s="1">
        <v>6</v>
      </c>
      <c r="N132" s="1">
        <v>7</v>
      </c>
      <c r="O132" s="1">
        <v>6</v>
      </c>
      <c r="P132" s="1">
        <v>3</v>
      </c>
      <c r="Q132" s="1">
        <f t="shared" si="27"/>
        <v>22</v>
      </c>
      <c r="R132" s="12">
        <f t="shared" si="23"/>
        <v>0.62857142857142856</v>
      </c>
      <c r="S132" s="1">
        <v>6</v>
      </c>
      <c r="T132" s="1">
        <v>4</v>
      </c>
      <c r="U132" s="1">
        <f t="shared" si="28"/>
        <v>10</v>
      </c>
      <c r="V132" s="12">
        <f t="shared" si="24"/>
        <v>0.66666666666666663</v>
      </c>
      <c r="W132" s="1">
        <v>4</v>
      </c>
      <c r="X132" s="1">
        <v>3</v>
      </c>
      <c r="Y132" s="1">
        <v>4</v>
      </c>
      <c r="Z132" s="1">
        <f t="shared" si="29"/>
        <v>11</v>
      </c>
      <c r="AA132" s="12">
        <f t="shared" si="25"/>
        <v>0.73333333333333328</v>
      </c>
      <c r="AB132" s="2" t="s">
        <v>331</v>
      </c>
    </row>
    <row r="133" spans="1:28" x14ac:dyDescent="0.25">
      <c r="A133" s="1" t="s">
        <v>1655</v>
      </c>
      <c r="B133" s="1" t="s">
        <v>35</v>
      </c>
      <c r="C133" s="1" t="s">
        <v>36</v>
      </c>
      <c r="D133" s="1">
        <v>20</v>
      </c>
      <c r="E133" s="1">
        <v>2</v>
      </c>
      <c r="F133" s="1">
        <v>4</v>
      </c>
      <c r="G133" s="1">
        <v>7</v>
      </c>
      <c r="H133" s="1">
        <v>6</v>
      </c>
      <c r="I133" s="1">
        <v>6</v>
      </c>
      <c r="J133" s="1">
        <v>4</v>
      </c>
      <c r="K133" s="1">
        <f t="shared" si="26"/>
        <v>23</v>
      </c>
      <c r="L133" s="12">
        <f t="shared" si="22"/>
        <v>0.65714285714285714</v>
      </c>
      <c r="M133" s="1">
        <v>6</v>
      </c>
      <c r="N133" s="1">
        <v>6</v>
      </c>
      <c r="O133" s="1">
        <v>6</v>
      </c>
      <c r="P133" s="1">
        <v>3</v>
      </c>
      <c r="Q133" s="1">
        <f t="shared" si="27"/>
        <v>21</v>
      </c>
      <c r="R133" s="12">
        <f t="shared" si="23"/>
        <v>0.6</v>
      </c>
      <c r="S133" s="1">
        <v>6</v>
      </c>
      <c r="T133" s="1">
        <v>4</v>
      </c>
      <c r="U133" s="1">
        <f t="shared" si="28"/>
        <v>10</v>
      </c>
      <c r="V133" s="12">
        <f t="shared" si="24"/>
        <v>0.66666666666666663</v>
      </c>
      <c r="W133" s="1">
        <v>3</v>
      </c>
      <c r="X133" s="1">
        <v>3</v>
      </c>
      <c r="Y133" s="1">
        <v>4</v>
      </c>
      <c r="Z133" s="1">
        <f t="shared" si="29"/>
        <v>10</v>
      </c>
      <c r="AA133" s="12">
        <f t="shared" si="25"/>
        <v>0.66666666666666663</v>
      </c>
      <c r="AB133" s="2" t="s">
        <v>332</v>
      </c>
    </row>
    <row r="134" spans="1:28" x14ac:dyDescent="0.25">
      <c r="A134" s="1" t="s">
        <v>1655</v>
      </c>
      <c r="B134" s="1" t="s">
        <v>35</v>
      </c>
      <c r="C134" s="1" t="s">
        <v>861</v>
      </c>
      <c r="D134" s="1">
        <v>18</v>
      </c>
      <c r="E134" s="1">
        <v>2</v>
      </c>
      <c r="F134" s="1">
        <v>3</v>
      </c>
      <c r="G134" s="1">
        <v>4</v>
      </c>
      <c r="H134" s="1">
        <v>5</v>
      </c>
      <c r="I134" s="1">
        <v>4</v>
      </c>
      <c r="J134" s="1">
        <v>5</v>
      </c>
      <c r="K134" s="1">
        <f t="shared" si="26"/>
        <v>18</v>
      </c>
      <c r="L134" s="12">
        <f t="shared" ref="L134:L158" si="30">K134/40</f>
        <v>0.45</v>
      </c>
      <c r="M134" s="1">
        <v>6</v>
      </c>
      <c r="N134" s="1">
        <v>4</v>
      </c>
      <c r="O134" s="1">
        <v>4</v>
      </c>
      <c r="P134" s="1">
        <v>5</v>
      </c>
      <c r="Q134" s="1">
        <f t="shared" si="27"/>
        <v>19</v>
      </c>
      <c r="R134" s="12">
        <f t="shared" ref="R134:R158" si="31">Q134/40</f>
        <v>0.47499999999999998</v>
      </c>
      <c r="S134" s="1">
        <v>4</v>
      </c>
      <c r="T134" s="1">
        <v>6</v>
      </c>
      <c r="U134" s="1">
        <f t="shared" si="28"/>
        <v>10</v>
      </c>
      <c r="V134" s="12">
        <f t="shared" ref="V134:V158" si="32">U134/20</f>
        <v>0.5</v>
      </c>
      <c r="Z134" s="1">
        <f t="shared" si="29"/>
        <v>0</v>
      </c>
      <c r="AB134" s="2" t="s">
        <v>1076</v>
      </c>
    </row>
    <row r="135" spans="1:28" x14ac:dyDescent="0.25">
      <c r="A135" s="1" t="s">
        <v>1655</v>
      </c>
      <c r="B135" s="1" t="s">
        <v>35</v>
      </c>
      <c r="C135" s="1" t="s">
        <v>861</v>
      </c>
      <c r="D135" s="1">
        <v>18</v>
      </c>
      <c r="E135" s="1">
        <v>2</v>
      </c>
      <c r="F135" s="1">
        <v>3</v>
      </c>
      <c r="G135" s="1">
        <v>4</v>
      </c>
      <c r="H135" s="1">
        <v>5</v>
      </c>
      <c r="I135" s="1">
        <v>5</v>
      </c>
      <c r="J135" s="1">
        <v>6</v>
      </c>
      <c r="K135" s="1">
        <f t="shared" si="26"/>
        <v>20</v>
      </c>
      <c r="L135" s="12">
        <f t="shared" si="30"/>
        <v>0.5</v>
      </c>
      <c r="M135" s="1">
        <v>4</v>
      </c>
      <c r="N135" s="1">
        <v>5</v>
      </c>
      <c r="O135" s="1">
        <v>4</v>
      </c>
      <c r="P135" s="1">
        <v>4</v>
      </c>
      <c r="Q135" s="1">
        <f t="shared" si="27"/>
        <v>17</v>
      </c>
      <c r="R135" s="12">
        <f t="shared" si="31"/>
        <v>0.42499999999999999</v>
      </c>
      <c r="S135" s="1">
        <v>4</v>
      </c>
      <c r="T135" s="1">
        <v>6</v>
      </c>
      <c r="U135" s="1">
        <f t="shared" si="28"/>
        <v>10</v>
      </c>
      <c r="V135" s="12">
        <f t="shared" si="32"/>
        <v>0.5</v>
      </c>
      <c r="Z135" s="1">
        <f t="shared" si="29"/>
        <v>0</v>
      </c>
      <c r="AB135" s="2" t="s">
        <v>1077</v>
      </c>
    </row>
    <row r="136" spans="1:28" x14ac:dyDescent="0.25">
      <c r="A136" s="1" t="s">
        <v>1655</v>
      </c>
      <c r="B136" s="1" t="s">
        <v>35</v>
      </c>
      <c r="C136" s="1" t="s">
        <v>861</v>
      </c>
      <c r="D136" s="1">
        <v>18</v>
      </c>
      <c r="E136" s="1">
        <v>2</v>
      </c>
      <c r="F136" s="1">
        <v>3</v>
      </c>
      <c r="G136" s="1">
        <v>6</v>
      </c>
      <c r="H136" s="1">
        <v>5</v>
      </c>
      <c r="I136" s="1">
        <v>4</v>
      </c>
      <c r="J136" s="1">
        <v>4</v>
      </c>
      <c r="K136" s="1">
        <f t="shared" si="26"/>
        <v>19</v>
      </c>
      <c r="L136" s="12">
        <f t="shared" si="30"/>
        <v>0.47499999999999998</v>
      </c>
      <c r="M136" s="1">
        <v>5</v>
      </c>
      <c r="N136" s="1">
        <v>5</v>
      </c>
      <c r="O136" s="1">
        <v>4</v>
      </c>
      <c r="P136" s="1">
        <v>5</v>
      </c>
      <c r="Q136" s="1">
        <f t="shared" si="27"/>
        <v>19</v>
      </c>
      <c r="R136" s="12">
        <f t="shared" si="31"/>
        <v>0.47499999999999998</v>
      </c>
      <c r="S136" s="1">
        <v>5</v>
      </c>
      <c r="T136" s="1">
        <v>5</v>
      </c>
      <c r="U136" s="1">
        <f t="shared" si="28"/>
        <v>10</v>
      </c>
      <c r="V136" s="12">
        <f t="shared" si="32"/>
        <v>0.5</v>
      </c>
      <c r="Z136" s="1">
        <f t="shared" si="29"/>
        <v>0</v>
      </c>
      <c r="AB136" s="2" t="s">
        <v>1078</v>
      </c>
    </row>
    <row r="137" spans="1:28" x14ac:dyDescent="0.25">
      <c r="A137" s="1" t="s">
        <v>1655</v>
      </c>
      <c r="B137" s="1" t="s">
        <v>35</v>
      </c>
      <c r="C137" s="1" t="s">
        <v>861</v>
      </c>
      <c r="D137" s="1">
        <v>18</v>
      </c>
      <c r="E137" s="1">
        <v>2</v>
      </c>
      <c r="F137" s="1">
        <v>3</v>
      </c>
      <c r="G137" s="1">
        <v>7</v>
      </c>
      <c r="H137" s="1">
        <v>5</v>
      </c>
      <c r="I137" s="1">
        <v>5</v>
      </c>
      <c r="J137" s="1">
        <v>6</v>
      </c>
      <c r="K137" s="1">
        <f t="shared" si="26"/>
        <v>23</v>
      </c>
      <c r="L137" s="12">
        <f t="shared" si="30"/>
        <v>0.57499999999999996</v>
      </c>
      <c r="M137" s="1">
        <v>4</v>
      </c>
      <c r="N137" s="1">
        <v>6</v>
      </c>
      <c r="O137" s="1">
        <v>6</v>
      </c>
      <c r="P137" s="1">
        <v>5</v>
      </c>
      <c r="Q137" s="1">
        <f t="shared" si="27"/>
        <v>21</v>
      </c>
      <c r="R137" s="12">
        <f t="shared" si="31"/>
        <v>0.52500000000000002</v>
      </c>
      <c r="S137" s="1">
        <v>6</v>
      </c>
      <c r="T137" s="1">
        <v>5</v>
      </c>
      <c r="U137" s="1">
        <f t="shared" si="28"/>
        <v>11</v>
      </c>
      <c r="V137" s="12">
        <f t="shared" si="32"/>
        <v>0.55000000000000004</v>
      </c>
      <c r="Z137" s="1">
        <f t="shared" si="29"/>
        <v>0</v>
      </c>
      <c r="AB137" s="2" t="s">
        <v>1079</v>
      </c>
    </row>
    <row r="138" spans="1:28" x14ac:dyDescent="0.25">
      <c r="A138" s="1" t="s">
        <v>1655</v>
      </c>
      <c r="B138" s="1" t="s">
        <v>35</v>
      </c>
      <c r="C138" s="1" t="s">
        <v>861</v>
      </c>
      <c r="D138" s="1">
        <v>18</v>
      </c>
      <c r="E138" s="1">
        <v>2</v>
      </c>
      <c r="F138" s="1">
        <v>3</v>
      </c>
      <c r="G138" s="1">
        <v>4</v>
      </c>
      <c r="H138" s="1">
        <v>5</v>
      </c>
      <c r="I138" s="1">
        <v>4</v>
      </c>
      <c r="J138" s="1">
        <v>6</v>
      </c>
      <c r="K138" s="1">
        <f t="shared" si="26"/>
        <v>19</v>
      </c>
      <c r="L138" s="12">
        <f t="shared" si="30"/>
        <v>0.47499999999999998</v>
      </c>
      <c r="M138" s="1">
        <v>5</v>
      </c>
      <c r="N138" s="1">
        <v>5</v>
      </c>
      <c r="O138" s="1">
        <v>5</v>
      </c>
      <c r="P138" s="1">
        <v>6</v>
      </c>
      <c r="Q138" s="1">
        <f t="shared" si="27"/>
        <v>21</v>
      </c>
      <c r="R138" s="12">
        <f t="shared" si="31"/>
        <v>0.52500000000000002</v>
      </c>
      <c r="S138" s="1">
        <v>5</v>
      </c>
      <c r="T138" s="1">
        <v>4</v>
      </c>
      <c r="U138" s="1">
        <f t="shared" si="28"/>
        <v>9</v>
      </c>
      <c r="V138" s="12">
        <f t="shared" si="32"/>
        <v>0.45</v>
      </c>
      <c r="Z138" s="1">
        <f t="shared" si="29"/>
        <v>0</v>
      </c>
      <c r="AB138" s="2" t="s">
        <v>1080</v>
      </c>
    </row>
    <row r="139" spans="1:28" x14ac:dyDescent="0.25">
      <c r="A139" s="1" t="s">
        <v>1655</v>
      </c>
      <c r="B139" s="1" t="s">
        <v>35</v>
      </c>
      <c r="C139" s="1" t="s">
        <v>861</v>
      </c>
      <c r="D139" s="1">
        <v>18</v>
      </c>
      <c r="E139" s="1">
        <v>2</v>
      </c>
      <c r="F139" s="1">
        <v>3</v>
      </c>
      <c r="G139" s="1">
        <v>5</v>
      </c>
      <c r="H139" s="1">
        <v>4</v>
      </c>
      <c r="I139" s="1">
        <v>3</v>
      </c>
      <c r="J139" s="1">
        <v>5</v>
      </c>
      <c r="K139" s="1">
        <f t="shared" si="26"/>
        <v>17</v>
      </c>
      <c r="L139" s="12">
        <f t="shared" si="30"/>
        <v>0.42499999999999999</v>
      </c>
      <c r="M139" s="1">
        <v>5</v>
      </c>
      <c r="N139" s="1">
        <v>5</v>
      </c>
      <c r="O139" s="1">
        <v>5</v>
      </c>
      <c r="P139" s="1">
        <v>4</v>
      </c>
      <c r="Q139" s="1">
        <f t="shared" si="27"/>
        <v>19</v>
      </c>
      <c r="R139" s="12">
        <f t="shared" si="31"/>
        <v>0.47499999999999998</v>
      </c>
      <c r="S139" s="1">
        <v>4</v>
      </c>
      <c r="T139" s="1">
        <v>6</v>
      </c>
      <c r="U139" s="1">
        <f t="shared" si="28"/>
        <v>10</v>
      </c>
      <c r="V139" s="12">
        <f t="shared" si="32"/>
        <v>0.5</v>
      </c>
      <c r="Z139" s="1">
        <f t="shared" si="29"/>
        <v>0</v>
      </c>
      <c r="AB139" s="2" t="s">
        <v>1081</v>
      </c>
    </row>
    <row r="140" spans="1:28" x14ac:dyDescent="0.25">
      <c r="A140" s="1" t="s">
        <v>1655</v>
      </c>
      <c r="B140" s="1" t="s">
        <v>35</v>
      </c>
      <c r="C140" s="1" t="s">
        <v>861</v>
      </c>
      <c r="D140" s="1">
        <v>18</v>
      </c>
      <c r="E140" s="1">
        <v>2</v>
      </c>
      <c r="F140" s="1">
        <v>3</v>
      </c>
      <c r="G140" s="1">
        <v>7</v>
      </c>
      <c r="H140" s="1">
        <v>6</v>
      </c>
      <c r="I140" s="1">
        <v>6</v>
      </c>
      <c r="J140" s="1">
        <v>7</v>
      </c>
      <c r="K140" s="1">
        <f t="shared" si="26"/>
        <v>26</v>
      </c>
      <c r="L140" s="12">
        <f t="shared" si="30"/>
        <v>0.65</v>
      </c>
      <c r="M140" s="1">
        <v>6</v>
      </c>
      <c r="N140" s="1">
        <v>6</v>
      </c>
      <c r="O140" s="1">
        <v>6</v>
      </c>
      <c r="P140" s="1">
        <v>6</v>
      </c>
      <c r="Q140" s="1">
        <f t="shared" si="27"/>
        <v>24</v>
      </c>
      <c r="R140" s="12">
        <f t="shared" si="31"/>
        <v>0.6</v>
      </c>
      <c r="S140" s="1">
        <v>7</v>
      </c>
      <c r="T140" s="1">
        <v>8</v>
      </c>
      <c r="U140" s="1">
        <f t="shared" si="28"/>
        <v>15</v>
      </c>
      <c r="V140" s="12">
        <f t="shared" si="32"/>
        <v>0.75</v>
      </c>
      <c r="Z140" s="1">
        <f t="shared" si="29"/>
        <v>0</v>
      </c>
      <c r="AB140" s="2" t="s">
        <v>1082</v>
      </c>
    </row>
    <row r="141" spans="1:28" x14ac:dyDescent="0.25">
      <c r="A141" s="1" t="s">
        <v>1655</v>
      </c>
      <c r="B141" s="1" t="s">
        <v>35</v>
      </c>
      <c r="C141" s="1" t="s">
        <v>861</v>
      </c>
      <c r="D141" s="1">
        <v>18</v>
      </c>
      <c r="E141" s="1">
        <v>2</v>
      </c>
      <c r="F141" s="1">
        <v>3</v>
      </c>
      <c r="G141" s="1">
        <v>6</v>
      </c>
      <c r="H141" s="1">
        <v>7</v>
      </c>
      <c r="I141" s="1">
        <v>6</v>
      </c>
      <c r="J141" s="1">
        <v>7</v>
      </c>
      <c r="K141" s="1">
        <f t="shared" si="26"/>
        <v>26</v>
      </c>
      <c r="L141" s="12">
        <f t="shared" si="30"/>
        <v>0.65</v>
      </c>
      <c r="M141" s="1">
        <v>5</v>
      </c>
      <c r="N141" s="1">
        <v>5</v>
      </c>
      <c r="O141" s="1">
        <v>6</v>
      </c>
      <c r="P141" s="1">
        <v>5</v>
      </c>
      <c r="Q141" s="1">
        <f t="shared" si="27"/>
        <v>21</v>
      </c>
      <c r="R141" s="12">
        <f t="shared" si="31"/>
        <v>0.52500000000000002</v>
      </c>
      <c r="S141" s="1">
        <v>5</v>
      </c>
      <c r="T141" s="1">
        <v>6</v>
      </c>
      <c r="U141" s="1">
        <f t="shared" si="28"/>
        <v>11</v>
      </c>
      <c r="V141" s="12">
        <f t="shared" si="32"/>
        <v>0.55000000000000004</v>
      </c>
      <c r="Z141" s="1">
        <f t="shared" si="29"/>
        <v>0</v>
      </c>
      <c r="AB141" s="2" t="s">
        <v>1083</v>
      </c>
    </row>
    <row r="142" spans="1:28" x14ac:dyDescent="0.25">
      <c r="A142" s="1" t="s">
        <v>1655</v>
      </c>
      <c r="B142" s="1" t="s">
        <v>576</v>
      </c>
      <c r="C142" s="1" t="s">
        <v>861</v>
      </c>
      <c r="D142" s="1">
        <v>11</v>
      </c>
      <c r="E142" s="1">
        <v>3</v>
      </c>
      <c r="F142" s="1">
        <v>1</v>
      </c>
      <c r="G142" s="1">
        <v>5</v>
      </c>
      <c r="H142" s="1">
        <v>4</v>
      </c>
      <c r="I142" s="1">
        <v>4</v>
      </c>
      <c r="J142" s="1">
        <v>4</v>
      </c>
      <c r="K142" s="1">
        <f t="shared" si="26"/>
        <v>17</v>
      </c>
      <c r="L142" s="12">
        <f t="shared" si="30"/>
        <v>0.42499999999999999</v>
      </c>
      <c r="M142" s="1">
        <v>5</v>
      </c>
      <c r="N142" s="1">
        <v>6</v>
      </c>
      <c r="O142" s="1">
        <v>4</v>
      </c>
      <c r="P142" s="1">
        <v>5</v>
      </c>
      <c r="Q142" s="1">
        <f t="shared" si="27"/>
        <v>20</v>
      </c>
      <c r="R142" s="12">
        <f t="shared" si="31"/>
        <v>0.5</v>
      </c>
      <c r="S142" s="1">
        <v>6</v>
      </c>
      <c r="T142" s="1">
        <v>7</v>
      </c>
      <c r="U142" s="1">
        <f t="shared" si="28"/>
        <v>13</v>
      </c>
      <c r="V142" s="12">
        <f t="shared" si="32"/>
        <v>0.65</v>
      </c>
      <c r="Z142" s="1">
        <f t="shared" si="29"/>
        <v>0</v>
      </c>
      <c r="AB142" s="2" t="s">
        <v>1549</v>
      </c>
    </row>
    <row r="143" spans="1:28" x14ac:dyDescent="0.25">
      <c r="A143" s="1" t="s">
        <v>1655</v>
      </c>
      <c r="B143" s="1" t="s">
        <v>576</v>
      </c>
      <c r="C143" s="1" t="s">
        <v>861</v>
      </c>
      <c r="D143" s="1">
        <v>11</v>
      </c>
      <c r="E143" s="1">
        <v>3</v>
      </c>
      <c r="F143" s="1">
        <v>1</v>
      </c>
      <c r="G143" s="1">
        <v>7</v>
      </c>
      <c r="H143" s="1">
        <v>6</v>
      </c>
      <c r="I143" s="1">
        <v>7</v>
      </c>
      <c r="J143" s="1">
        <v>7</v>
      </c>
      <c r="K143" s="1">
        <f t="shared" si="26"/>
        <v>27</v>
      </c>
      <c r="L143" s="12">
        <f t="shared" si="30"/>
        <v>0.67500000000000004</v>
      </c>
      <c r="M143" s="1">
        <v>7</v>
      </c>
      <c r="N143" s="1">
        <v>7</v>
      </c>
      <c r="O143" s="1">
        <v>7</v>
      </c>
      <c r="P143" s="1">
        <v>6</v>
      </c>
      <c r="Q143" s="1">
        <f t="shared" si="27"/>
        <v>27</v>
      </c>
      <c r="R143" s="12">
        <f t="shared" si="31"/>
        <v>0.67500000000000004</v>
      </c>
      <c r="S143" s="1">
        <v>6</v>
      </c>
      <c r="T143" s="1">
        <v>7</v>
      </c>
      <c r="U143" s="1">
        <f t="shared" si="28"/>
        <v>13</v>
      </c>
      <c r="V143" s="12">
        <f t="shared" si="32"/>
        <v>0.65</v>
      </c>
      <c r="Z143" s="1">
        <f t="shared" si="29"/>
        <v>0</v>
      </c>
      <c r="AB143" s="2" t="s">
        <v>1550</v>
      </c>
    </row>
    <row r="144" spans="1:28" x14ac:dyDescent="0.25">
      <c r="A144" s="1" t="s">
        <v>1655</v>
      </c>
      <c r="B144" s="1" t="s">
        <v>576</v>
      </c>
      <c r="C144" s="1" t="s">
        <v>861</v>
      </c>
      <c r="D144" s="1">
        <v>11</v>
      </c>
      <c r="E144" s="1">
        <v>3</v>
      </c>
      <c r="F144" s="1">
        <v>1</v>
      </c>
      <c r="G144" s="1">
        <v>7</v>
      </c>
      <c r="H144" s="1">
        <v>8</v>
      </c>
      <c r="I144" s="1">
        <v>7</v>
      </c>
      <c r="J144" s="1">
        <v>8</v>
      </c>
      <c r="K144" s="1">
        <f t="shared" si="26"/>
        <v>30</v>
      </c>
      <c r="L144" s="12">
        <f t="shared" si="30"/>
        <v>0.75</v>
      </c>
      <c r="M144" s="1">
        <v>6</v>
      </c>
      <c r="N144" s="1">
        <v>5</v>
      </c>
      <c r="O144" s="1">
        <v>7</v>
      </c>
      <c r="P144" s="1">
        <v>6</v>
      </c>
      <c r="Q144" s="1">
        <f t="shared" si="27"/>
        <v>24</v>
      </c>
      <c r="R144" s="12">
        <f t="shared" si="31"/>
        <v>0.6</v>
      </c>
      <c r="S144" s="1">
        <v>7</v>
      </c>
      <c r="T144" s="1">
        <v>7</v>
      </c>
      <c r="U144" s="1">
        <f t="shared" si="28"/>
        <v>14</v>
      </c>
      <c r="V144" s="12">
        <f t="shared" si="32"/>
        <v>0.7</v>
      </c>
      <c r="Z144" s="1">
        <f t="shared" si="29"/>
        <v>0</v>
      </c>
      <c r="AB144" s="2" t="s">
        <v>1551</v>
      </c>
    </row>
    <row r="145" spans="1:28" x14ac:dyDescent="0.25">
      <c r="A145" s="1" t="s">
        <v>1655</v>
      </c>
      <c r="B145" s="1" t="s">
        <v>576</v>
      </c>
      <c r="C145" s="1" t="s">
        <v>861</v>
      </c>
      <c r="D145" s="1">
        <v>11</v>
      </c>
      <c r="E145" s="1">
        <v>3</v>
      </c>
      <c r="F145" s="1">
        <v>1</v>
      </c>
      <c r="G145" s="1">
        <v>8</v>
      </c>
      <c r="H145" s="1">
        <v>7</v>
      </c>
      <c r="I145" s="1">
        <v>8</v>
      </c>
      <c r="J145" s="1">
        <v>8</v>
      </c>
      <c r="K145" s="1">
        <f t="shared" si="26"/>
        <v>31</v>
      </c>
      <c r="L145" s="12">
        <f t="shared" si="30"/>
        <v>0.77500000000000002</v>
      </c>
      <c r="M145" s="1">
        <v>8</v>
      </c>
      <c r="N145" s="1">
        <v>6</v>
      </c>
      <c r="O145" s="1">
        <v>8</v>
      </c>
      <c r="P145" s="1">
        <v>8</v>
      </c>
      <c r="Q145" s="1">
        <f t="shared" si="27"/>
        <v>30</v>
      </c>
      <c r="R145" s="12">
        <f t="shared" si="31"/>
        <v>0.75</v>
      </c>
      <c r="S145" s="1">
        <v>8</v>
      </c>
      <c r="T145" s="1">
        <v>7</v>
      </c>
      <c r="U145" s="1">
        <f t="shared" si="28"/>
        <v>15</v>
      </c>
      <c r="V145" s="12">
        <f t="shared" si="32"/>
        <v>0.75</v>
      </c>
      <c r="Z145" s="1">
        <f t="shared" si="29"/>
        <v>0</v>
      </c>
      <c r="AB145" s="2" t="s">
        <v>1552</v>
      </c>
    </row>
    <row r="146" spans="1:28" x14ac:dyDescent="0.25">
      <c r="A146" s="1" t="s">
        <v>1655</v>
      </c>
      <c r="B146" s="1" t="s">
        <v>576</v>
      </c>
      <c r="C146" s="1" t="s">
        <v>861</v>
      </c>
      <c r="D146" s="1">
        <v>11</v>
      </c>
      <c r="E146" s="1">
        <v>3</v>
      </c>
      <c r="F146" s="1">
        <v>1</v>
      </c>
      <c r="G146" s="1">
        <v>8</v>
      </c>
      <c r="H146" s="1">
        <v>5</v>
      </c>
      <c r="I146" s="1">
        <v>7</v>
      </c>
      <c r="J146" s="1">
        <v>7</v>
      </c>
      <c r="K146" s="1">
        <f t="shared" si="26"/>
        <v>27</v>
      </c>
      <c r="L146" s="12">
        <f t="shared" si="30"/>
        <v>0.67500000000000004</v>
      </c>
      <c r="M146" s="1">
        <v>7</v>
      </c>
      <c r="N146" s="1">
        <v>7</v>
      </c>
      <c r="O146" s="1">
        <v>7</v>
      </c>
      <c r="P146" s="1">
        <v>8</v>
      </c>
      <c r="Q146" s="1">
        <f t="shared" si="27"/>
        <v>29</v>
      </c>
      <c r="R146" s="12">
        <f t="shared" si="31"/>
        <v>0.72499999999999998</v>
      </c>
      <c r="S146" s="1">
        <v>7</v>
      </c>
      <c r="T146" s="1">
        <v>6</v>
      </c>
      <c r="U146" s="1">
        <f t="shared" si="28"/>
        <v>13</v>
      </c>
      <c r="V146" s="12">
        <f t="shared" si="32"/>
        <v>0.65</v>
      </c>
      <c r="Z146" s="1">
        <f t="shared" si="29"/>
        <v>0</v>
      </c>
      <c r="AB146" s="2" t="s">
        <v>1553</v>
      </c>
    </row>
    <row r="147" spans="1:28" x14ac:dyDescent="0.25">
      <c r="A147" s="1" t="s">
        <v>1655</v>
      </c>
      <c r="B147" s="1" t="s">
        <v>576</v>
      </c>
      <c r="C147" s="1" t="s">
        <v>861</v>
      </c>
      <c r="D147" s="1">
        <v>11</v>
      </c>
      <c r="E147" s="1">
        <v>3</v>
      </c>
      <c r="F147" s="1">
        <v>1</v>
      </c>
      <c r="G147" s="1">
        <v>9</v>
      </c>
      <c r="H147" s="1">
        <v>8</v>
      </c>
      <c r="I147" s="1">
        <v>8</v>
      </c>
      <c r="J147" s="1">
        <v>8</v>
      </c>
      <c r="K147" s="1">
        <f t="shared" si="26"/>
        <v>33</v>
      </c>
      <c r="L147" s="12">
        <f t="shared" si="30"/>
        <v>0.82499999999999996</v>
      </c>
      <c r="M147" s="1">
        <v>7</v>
      </c>
      <c r="N147" s="1">
        <v>7</v>
      </c>
      <c r="O147" s="1">
        <v>8</v>
      </c>
      <c r="P147" s="1">
        <v>8</v>
      </c>
      <c r="Q147" s="1">
        <f t="shared" si="27"/>
        <v>30</v>
      </c>
      <c r="R147" s="12">
        <f t="shared" si="31"/>
        <v>0.75</v>
      </c>
      <c r="S147" s="1">
        <v>7</v>
      </c>
      <c r="T147" s="1">
        <v>7</v>
      </c>
      <c r="U147" s="1">
        <f t="shared" si="28"/>
        <v>14</v>
      </c>
      <c r="V147" s="12">
        <f t="shared" si="32"/>
        <v>0.7</v>
      </c>
      <c r="Z147" s="1">
        <f t="shared" si="29"/>
        <v>0</v>
      </c>
      <c r="AB147" s="2" t="s">
        <v>1554</v>
      </c>
    </row>
    <row r="148" spans="1:28" x14ac:dyDescent="0.25">
      <c r="A148" s="1" t="s">
        <v>1655</v>
      </c>
      <c r="B148" s="1" t="s">
        <v>576</v>
      </c>
      <c r="C148" s="1" t="s">
        <v>861</v>
      </c>
      <c r="D148" s="1">
        <v>11</v>
      </c>
      <c r="E148" s="1">
        <v>3</v>
      </c>
      <c r="F148" s="1">
        <v>1</v>
      </c>
      <c r="G148" s="1">
        <v>8</v>
      </c>
      <c r="H148" s="1">
        <v>7</v>
      </c>
      <c r="I148" s="1">
        <v>7</v>
      </c>
      <c r="J148" s="1">
        <v>8</v>
      </c>
      <c r="K148" s="1">
        <f t="shared" si="26"/>
        <v>30</v>
      </c>
      <c r="L148" s="12">
        <f t="shared" si="30"/>
        <v>0.75</v>
      </c>
      <c r="M148" s="1">
        <v>7</v>
      </c>
      <c r="N148" s="1">
        <v>6</v>
      </c>
      <c r="O148" s="1">
        <v>6</v>
      </c>
      <c r="P148" s="1">
        <v>6</v>
      </c>
      <c r="Q148" s="1">
        <f t="shared" si="27"/>
        <v>25</v>
      </c>
      <c r="R148" s="12">
        <f t="shared" si="31"/>
        <v>0.625</v>
      </c>
      <c r="S148" s="1">
        <v>6</v>
      </c>
      <c r="T148" s="1">
        <v>7</v>
      </c>
      <c r="U148" s="1">
        <f t="shared" si="28"/>
        <v>13</v>
      </c>
      <c r="V148" s="12">
        <f t="shared" si="32"/>
        <v>0.65</v>
      </c>
      <c r="Z148" s="1">
        <f t="shared" si="29"/>
        <v>0</v>
      </c>
      <c r="AB148" s="2" t="s">
        <v>1555</v>
      </c>
    </row>
    <row r="149" spans="1:28" x14ac:dyDescent="0.25">
      <c r="A149" s="1" t="s">
        <v>1655</v>
      </c>
      <c r="B149" s="1" t="s">
        <v>576</v>
      </c>
      <c r="C149" s="1" t="s">
        <v>861</v>
      </c>
      <c r="D149" s="1">
        <v>11</v>
      </c>
      <c r="E149" s="1">
        <v>3</v>
      </c>
      <c r="F149" s="1">
        <v>1</v>
      </c>
      <c r="G149" s="1">
        <v>5</v>
      </c>
      <c r="H149" s="1">
        <v>5</v>
      </c>
      <c r="I149" s="1">
        <v>4</v>
      </c>
      <c r="J149" s="1">
        <v>4</v>
      </c>
      <c r="K149" s="1">
        <f t="shared" si="26"/>
        <v>18</v>
      </c>
      <c r="L149" s="12">
        <f t="shared" si="30"/>
        <v>0.45</v>
      </c>
      <c r="M149" s="1">
        <v>2</v>
      </c>
      <c r="N149" s="1">
        <v>2</v>
      </c>
      <c r="O149" s="1">
        <v>2</v>
      </c>
      <c r="P149" s="1">
        <v>2</v>
      </c>
      <c r="Q149" s="1">
        <f t="shared" si="27"/>
        <v>8</v>
      </c>
      <c r="R149" s="12">
        <f t="shared" si="31"/>
        <v>0.2</v>
      </c>
      <c r="S149" s="1">
        <v>3</v>
      </c>
      <c r="T149" s="1">
        <v>2</v>
      </c>
      <c r="U149" s="1">
        <f t="shared" si="28"/>
        <v>5</v>
      </c>
      <c r="V149" s="12">
        <f t="shared" si="32"/>
        <v>0.25</v>
      </c>
      <c r="Z149" s="1">
        <f t="shared" si="29"/>
        <v>0</v>
      </c>
      <c r="AB149" s="2" t="s">
        <v>1556</v>
      </c>
    </row>
    <row r="150" spans="1:28" x14ac:dyDescent="0.25">
      <c r="A150" s="1" t="s">
        <v>1656</v>
      </c>
      <c r="B150" s="1" t="s">
        <v>35</v>
      </c>
      <c r="C150" s="1" t="s">
        <v>861</v>
      </c>
      <c r="D150" s="1">
        <v>17</v>
      </c>
      <c r="E150" s="1">
        <v>1</v>
      </c>
      <c r="F150" s="1">
        <v>1</v>
      </c>
      <c r="G150" s="1">
        <v>6</v>
      </c>
      <c r="H150" s="1">
        <v>5</v>
      </c>
      <c r="I150" s="1">
        <v>5</v>
      </c>
      <c r="J150" s="1">
        <v>5</v>
      </c>
      <c r="K150" s="1">
        <f t="shared" si="26"/>
        <v>21</v>
      </c>
      <c r="L150" s="12">
        <f t="shared" si="30"/>
        <v>0.52500000000000002</v>
      </c>
      <c r="M150" s="1">
        <v>5</v>
      </c>
      <c r="N150" s="1">
        <v>5</v>
      </c>
      <c r="O150" s="1">
        <v>6</v>
      </c>
      <c r="P150" s="1">
        <v>6</v>
      </c>
      <c r="Q150" s="1">
        <f t="shared" si="27"/>
        <v>22</v>
      </c>
      <c r="R150" s="12">
        <f t="shared" si="31"/>
        <v>0.55000000000000004</v>
      </c>
      <c r="S150" s="1">
        <v>7</v>
      </c>
      <c r="T150" s="1">
        <v>6</v>
      </c>
      <c r="U150" s="1">
        <f t="shared" si="28"/>
        <v>13</v>
      </c>
      <c r="V150" s="12">
        <f t="shared" si="32"/>
        <v>0.65</v>
      </c>
      <c r="Z150" s="1">
        <f t="shared" si="29"/>
        <v>0</v>
      </c>
      <c r="AB150" s="2" t="s">
        <v>862</v>
      </c>
    </row>
    <row r="151" spans="1:28" x14ac:dyDescent="0.25">
      <c r="A151" s="1" t="s">
        <v>1656</v>
      </c>
      <c r="B151" s="1" t="s">
        <v>35</v>
      </c>
      <c r="C151" s="1" t="s">
        <v>861</v>
      </c>
      <c r="D151" s="1">
        <v>17</v>
      </c>
      <c r="E151" s="1">
        <v>1</v>
      </c>
      <c r="F151" s="1">
        <v>1</v>
      </c>
      <c r="G151" s="1">
        <v>6</v>
      </c>
      <c r="H151" s="1">
        <v>4</v>
      </c>
      <c r="I151" s="1">
        <v>4</v>
      </c>
      <c r="J151" s="1">
        <v>5</v>
      </c>
      <c r="K151" s="1">
        <f t="shared" si="26"/>
        <v>19</v>
      </c>
      <c r="L151" s="12">
        <f t="shared" si="30"/>
        <v>0.47499999999999998</v>
      </c>
      <c r="M151" s="1">
        <v>5</v>
      </c>
      <c r="N151" s="1">
        <v>5</v>
      </c>
      <c r="O151" s="1">
        <v>5</v>
      </c>
      <c r="P151" s="1">
        <v>5</v>
      </c>
      <c r="Q151" s="1">
        <f t="shared" si="27"/>
        <v>20</v>
      </c>
      <c r="R151" s="12">
        <f t="shared" si="31"/>
        <v>0.5</v>
      </c>
      <c r="S151" s="1">
        <v>6</v>
      </c>
      <c r="T151" s="1">
        <v>6</v>
      </c>
      <c r="U151" s="1">
        <f t="shared" si="28"/>
        <v>12</v>
      </c>
      <c r="V151" s="12">
        <f t="shared" si="32"/>
        <v>0.6</v>
      </c>
      <c r="Z151" s="1">
        <f t="shared" si="29"/>
        <v>0</v>
      </c>
      <c r="AB151" s="2" t="s">
        <v>863</v>
      </c>
    </row>
    <row r="152" spans="1:28" x14ac:dyDescent="0.25">
      <c r="A152" s="1" t="s">
        <v>1656</v>
      </c>
      <c r="B152" s="1" t="s">
        <v>35</v>
      </c>
      <c r="C152" s="1" t="s">
        <v>861</v>
      </c>
      <c r="D152" s="1">
        <v>17</v>
      </c>
      <c r="E152" s="1">
        <v>1</v>
      </c>
      <c r="F152" s="1">
        <v>1</v>
      </c>
      <c r="G152" s="1">
        <v>6</v>
      </c>
      <c r="H152" s="1">
        <v>5</v>
      </c>
      <c r="I152" s="1">
        <v>5</v>
      </c>
      <c r="J152" s="1">
        <v>6</v>
      </c>
      <c r="K152" s="1">
        <f t="shared" si="26"/>
        <v>22</v>
      </c>
      <c r="L152" s="12">
        <f t="shared" si="30"/>
        <v>0.55000000000000004</v>
      </c>
      <c r="M152" s="1">
        <v>7</v>
      </c>
      <c r="N152" s="1">
        <v>6</v>
      </c>
      <c r="O152" s="1">
        <v>6</v>
      </c>
      <c r="P152" s="1">
        <v>6</v>
      </c>
      <c r="Q152" s="1">
        <f t="shared" si="27"/>
        <v>25</v>
      </c>
      <c r="R152" s="12">
        <f t="shared" si="31"/>
        <v>0.625</v>
      </c>
      <c r="S152" s="1">
        <v>7</v>
      </c>
      <c r="T152" s="1">
        <v>7</v>
      </c>
      <c r="U152" s="1">
        <f t="shared" si="28"/>
        <v>14</v>
      </c>
      <c r="V152" s="12">
        <f t="shared" si="32"/>
        <v>0.7</v>
      </c>
      <c r="Z152" s="1">
        <f t="shared" si="29"/>
        <v>0</v>
      </c>
      <c r="AB152" s="2" t="s">
        <v>864</v>
      </c>
    </row>
    <row r="153" spans="1:28" x14ac:dyDescent="0.25">
      <c r="A153" s="1" t="s">
        <v>1656</v>
      </c>
      <c r="B153" s="1" t="s">
        <v>35</v>
      </c>
      <c r="C153" s="1" t="s">
        <v>861</v>
      </c>
      <c r="D153" s="1">
        <v>17</v>
      </c>
      <c r="E153" s="1">
        <v>1</v>
      </c>
      <c r="F153" s="1">
        <v>1</v>
      </c>
      <c r="G153" s="1">
        <v>7</v>
      </c>
      <c r="H153" s="1">
        <v>7</v>
      </c>
      <c r="I153" s="1">
        <v>7</v>
      </c>
      <c r="J153" s="1">
        <v>8</v>
      </c>
      <c r="K153" s="1">
        <f t="shared" si="26"/>
        <v>29</v>
      </c>
      <c r="L153" s="12">
        <f t="shared" si="30"/>
        <v>0.72499999999999998</v>
      </c>
      <c r="M153" s="1">
        <v>8</v>
      </c>
      <c r="N153" s="1">
        <v>6</v>
      </c>
      <c r="O153" s="1">
        <v>8</v>
      </c>
      <c r="P153" s="1">
        <v>6</v>
      </c>
      <c r="Q153" s="1">
        <f t="shared" si="27"/>
        <v>28</v>
      </c>
      <c r="R153" s="12">
        <f t="shared" si="31"/>
        <v>0.7</v>
      </c>
      <c r="S153" s="1">
        <v>6</v>
      </c>
      <c r="T153" s="1">
        <v>5</v>
      </c>
      <c r="U153" s="1">
        <f t="shared" si="28"/>
        <v>11</v>
      </c>
      <c r="V153" s="12">
        <f t="shared" si="32"/>
        <v>0.55000000000000004</v>
      </c>
      <c r="Z153" s="1">
        <f t="shared" si="29"/>
        <v>0</v>
      </c>
      <c r="AB153" s="2" t="s">
        <v>865</v>
      </c>
    </row>
    <row r="154" spans="1:28" x14ac:dyDescent="0.25">
      <c r="A154" s="1" t="s">
        <v>1656</v>
      </c>
      <c r="B154" s="1" t="s">
        <v>35</v>
      </c>
      <c r="C154" s="1" t="s">
        <v>861</v>
      </c>
      <c r="D154" s="1">
        <v>17</v>
      </c>
      <c r="E154" s="1">
        <v>1</v>
      </c>
      <c r="F154" s="1">
        <v>1</v>
      </c>
      <c r="G154" s="1">
        <v>7</v>
      </c>
      <c r="H154" s="1">
        <v>6</v>
      </c>
      <c r="I154" s="1">
        <v>6</v>
      </c>
      <c r="J154" s="1">
        <v>7</v>
      </c>
      <c r="K154" s="1">
        <f t="shared" si="26"/>
        <v>26</v>
      </c>
      <c r="L154" s="12">
        <f t="shared" si="30"/>
        <v>0.65</v>
      </c>
      <c r="M154" s="1">
        <v>6</v>
      </c>
      <c r="N154" s="1">
        <v>6</v>
      </c>
      <c r="O154" s="1">
        <v>7</v>
      </c>
      <c r="P154" s="1">
        <v>7</v>
      </c>
      <c r="Q154" s="1">
        <f t="shared" si="27"/>
        <v>26</v>
      </c>
      <c r="R154" s="12">
        <f t="shared" si="31"/>
        <v>0.65</v>
      </c>
      <c r="S154" s="1">
        <v>7</v>
      </c>
      <c r="T154" s="1">
        <v>7</v>
      </c>
      <c r="U154" s="1">
        <f t="shared" si="28"/>
        <v>14</v>
      </c>
      <c r="V154" s="12">
        <f t="shared" si="32"/>
        <v>0.7</v>
      </c>
      <c r="Z154" s="1">
        <f t="shared" si="29"/>
        <v>0</v>
      </c>
      <c r="AB154" s="2" t="s">
        <v>866</v>
      </c>
    </row>
    <row r="155" spans="1:28" x14ac:dyDescent="0.25">
      <c r="A155" s="1" t="s">
        <v>1656</v>
      </c>
      <c r="B155" s="1" t="s">
        <v>35</v>
      </c>
      <c r="C155" s="1" t="s">
        <v>861</v>
      </c>
      <c r="D155" s="1">
        <v>17</v>
      </c>
      <c r="E155" s="1">
        <v>1</v>
      </c>
      <c r="F155" s="1">
        <v>1</v>
      </c>
      <c r="G155" s="1">
        <v>4</v>
      </c>
      <c r="H155" s="1">
        <v>4</v>
      </c>
      <c r="I155" s="1">
        <v>4</v>
      </c>
      <c r="J155" s="1">
        <v>5</v>
      </c>
      <c r="K155" s="1">
        <f t="shared" si="26"/>
        <v>17</v>
      </c>
      <c r="L155" s="12">
        <f t="shared" si="30"/>
        <v>0.42499999999999999</v>
      </c>
      <c r="M155" s="1">
        <v>5</v>
      </c>
      <c r="N155" s="1">
        <v>5</v>
      </c>
      <c r="O155" s="1">
        <v>5</v>
      </c>
      <c r="P155" s="1">
        <v>6</v>
      </c>
      <c r="Q155" s="1">
        <f t="shared" si="27"/>
        <v>21</v>
      </c>
      <c r="R155" s="12">
        <f t="shared" si="31"/>
        <v>0.52500000000000002</v>
      </c>
      <c r="S155" s="1">
        <v>6</v>
      </c>
      <c r="T155" s="1">
        <v>5</v>
      </c>
      <c r="U155" s="1">
        <f t="shared" si="28"/>
        <v>11</v>
      </c>
      <c r="V155" s="12">
        <f t="shared" si="32"/>
        <v>0.55000000000000004</v>
      </c>
      <c r="Z155" s="1">
        <f t="shared" si="29"/>
        <v>0</v>
      </c>
      <c r="AB155" s="2" t="s">
        <v>867</v>
      </c>
    </row>
    <row r="156" spans="1:28" x14ac:dyDescent="0.25">
      <c r="A156" s="1" t="s">
        <v>1656</v>
      </c>
      <c r="B156" s="1" t="s">
        <v>35</v>
      </c>
      <c r="C156" s="1" t="s">
        <v>861</v>
      </c>
      <c r="D156" s="1">
        <v>17</v>
      </c>
      <c r="E156" s="1">
        <v>1</v>
      </c>
      <c r="F156" s="1">
        <v>1</v>
      </c>
      <c r="G156" s="1">
        <v>5</v>
      </c>
      <c r="H156" s="1">
        <v>5</v>
      </c>
      <c r="I156" s="1">
        <v>4</v>
      </c>
      <c r="J156" s="1">
        <v>5</v>
      </c>
      <c r="K156" s="1">
        <f t="shared" si="26"/>
        <v>19</v>
      </c>
      <c r="L156" s="12">
        <f t="shared" si="30"/>
        <v>0.47499999999999998</v>
      </c>
      <c r="M156" s="1">
        <v>5</v>
      </c>
      <c r="N156" s="1">
        <v>5</v>
      </c>
      <c r="O156" s="1">
        <v>6</v>
      </c>
      <c r="P156" s="1">
        <v>6</v>
      </c>
      <c r="Q156" s="1">
        <f t="shared" si="27"/>
        <v>22</v>
      </c>
      <c r="R156" s="12">
        <f t="shared" si="31"/>
        <v>0.55000000000000004</v>
      </c>
      <c r="S156" s="1">
        <v>5</v>
      </c>
      <c r="T156" s="1">
        <v>6</v>
      </c>
      <c r="U156" s="1">
        <f t="shared" si="28"/>
        <v>11</v>
      </c>
      <c r="V156" s="12">
        <f t="shared" si="32"/>
        <v>0.55000000000000004</v>
      </c>
      <c r="Z156" s="1">
        <f t="shared" si="29"/>
        <v>0</v>
      </c>
      <c r="AB156" s="2" t="s">
        <v>868</v>
      </c>
    </row>
    <row r="157" spans="1:28" x14ac:dyDescent="0.25">
      <c r="A157" s="1" t="s">
        <v>1656</v>
      </c>
      <c r="B157" s="1" t="s">
        <v>35</v>
      </c>
      <c r="C157" s="1" t="s">
        <v>861</v>
      </c>
      <c r="D157" s="1">
        <v>17</v>
      </c>
      <c r="E157" s="1">
        <v>1</v>
      </c>
      <c r="F157" s="1">
        <v>1</v>
      </c>
      <c r="G157" s="1">
        <v>4</v>
      </c>
      <c r="H157" s="1">
        <v>5</v>
      </c>
      <c r="I157" s="1">
        <v>4</v>
      </c>
      <c r="J157" s="1">
        <v>4</v>
      </c>
      <c r="K157" s="1">
        <f t="shared" si="26"/>
        <v>17</v>
      </c>
      <c r="L157" s="12">
        <f t="shared" si="30"/>
        <v>0.42499999999999999</v>
      </c>
      <c r="M157" s="1">
        <v>5</v>
      </c>
      <c r="N157" s="1">
        <v>6</v>
      </c>
      <c r="O157" s="1">
        <v>5</v>
      </c>
      <c r="P157" s="1">
        <v>4</v>
      </c>
      <c r="Q157" s="1">
        <f t="shared" si="27"/>
        <v>20</v>
      </c>
      <c r="R157" s="12">
        <f t="shared" si="31"/>
        <v>0.5</v>
      </c>
      <c r="S157" s="1">
        <v>4</v>
      </c>
      <c r="T157" s="1">
        <v>5</v>
      </c>
      <c r="U157" s="1">
        <f t="shared" si="28"/>
        <v>9</v>
      </c>
      <c r="V157" s="12">
        <f t="shared" si="32"/>
        <v>0.45</v>
      </c>
      <c r="Z157" s="1">
        <f t="shared" si="29"/>
        <v>0</v>
      </c>
      <c r="AB157" s="2" t="s">
        <v>869</v>
      </c>
    </row>
    <row r="158" spans="1:28" x14ac:dyDescent="0.25">
      <c r="A158" s="1" t="s">
        <v>1656</v>
      </c>
      <c r="B158" s="1" t="s">
        <v>35</v>
      </c>
      <c r="C158" s="1" t="s">
        <v>861</v>
      </c>
      <c r="D158" s="1">
        <v>17</v>
      </c>
      <c r="E158" s="1">
        <v>1</v>
      </c>
      <c r="F158" s="1">
        <v>1</v>
      </c>
      <c r="G158" s="1">
        <v>7</v>
      </c>
      <c r="H158" s="1">
        <v>8</v>
      </c>
      <c r="I158" s="1">
        <v>7</v>
      </c>
      <c r="J158" s="1">
        <v>7</v>
      </c>
      <c r="K158" s="1">
        <f t="shared" si="26"/>
        <v>29</v>
      </c>
      <c r="L158" s="12">
        <f t="shared" si="30"/>
        <v>0.72499999999999998</v>
      </c>
      <c r="M158" s="1">
        <v>7</v>
      </c>
      <c r="N158" s="1">
        <v>6</v>
      </c>
      <c r="O158" s="1">
        <v>6</v>
      </c>
      <c r="P158" s="1">
        <v>6</v>
      </c>
      <c r="Q158" s="1">
        <f t="shared" si="27"/>
        <v>25</v>
      </c>
      <c r="R158" s="12">
        <f t="shared" si="31"/>
        <v>0.625</v>
      </c>
      <c r="S158" s="1">
        <v>6</v>
      </c>
      <c r="T158" s="1">
        <v>6</v>
      </c>
      <c r="U158" s="1">
        <f t="shared" si="28"/>
        <v>12</v>
      </c>
      <c r="V158" s="12">
        <f t="shared" si="32"/>
        <v>0.6</v>
      </c>
      <c r="Z158" s="1">
        <f t="shared" si="29"/>
        <v>0</v>
      </c>
      <c r="AB158" s="2" t="s">
        <v>870</v>
      </c>
    </row>
    <row r="159" spans="1:28" x14ac:dyDescent="0.25">
      <c r="A159" s="1" t="s">
        <v>1657</v>
      </c>
      <c r="B159" s="1" t="s">
        <v>35</v>
      </c>
      <c r="C159" s="1" t="s">
        <v>36</v>
      </c>
      <c r="D159" s="1">
        <v>20</v>
      </c>
      <c r="E159" s="1">
        <v>2</v>
      </c>
      <c r="F159" s="1">
        <v>2</v>
      </c>
      <c r="G159" s="1">
        <v>4</v>
      </c>
      <c r="H159" s="1">
        <v>2</v>
      </c>
      <c r="I159" s="1">
        <v>2</v>
      </c>
      <c r="J159" s="1">
        <v>4</v>
      </c>
      <c r="K159" s="1">
        <f t="shared" si="26"/>
        <v>12</v>
      </c>
      <c r="L159" s="12">
        <f t="shared" ref="L159:L204" si="33">K159/35</f>
        <v>0.34285714285714286</v>
      </c>
      <c r="M159" s="1">
        <v>5</v>
      </c>
      <c r="N159" s="1">
        <v>2</v>
      </c>
      <c r="O159" s="1">
        <v>3</v>
      </c>
      <c r="P159" s="1">
        <v>5</v>
      </c>
      <c r="Q159" s="1">
        <f t="shared" si="27"/>
        <v>15</v>
      </c>
      <c r="R159" s="12">
        <f t="shared" ref="R159:R204" si="34">Q159/35</f>
        <v>0.42857142857142855</v>
      </c>
      <c r="S159" s="1">
        <v>6</v>
      </c>
      <c r="T159" s="1">
        <v>3</v>
      </c>
      <c r="U159" s="1">
        <f t="shared" si="28"/>
        <v>9</v>
      </c>
      <c r="V159" s="12">
        <f t="shared" ref="V159:V204" si="35">U159/15</f>
        <v>0.6</v>
      </c>
      <c r="W159" s="1">
        <v>4</v>
      </c>
      <c r="X159" s="1">
        <v>2</v>
      </c>
      <c r="Y159" s="1">
        <v>3</v>
      </c>
      <c r="Z159" s="1">
        <f t="shared" si="29"/>
        <v>9</v>
      </c>
      <c r="AA159" s="12">
        <f t="shared" ref="AA159:AA204" si="36">Z159/15</f>
        <v>0.6</v>
      </c>
      <c r="AB159" s="2" t="s">
        <v>271</v>
      </c>
    </row>
    <row r="160" spans="1:28" x14ac:dyDescent="0.25">
      <c r="A160" s="1" t="s">
        <v>1657</v>
      </c>
      <c r="B160" s="1" t="s">
        <v>35</v>
      </c>
      <c r="C160" s="1" t="s">
        <v>36</v>
      </c>
      <c r="D160" s="1">
        <v>20</v>
      </c>
      <c r="E160" s="1">
        <v>2</v>
      </c>
      <c r="F160" s="1">
        <v>2</v>
      </c>
      <c r="G160" s="1">
        <v>7</v>
      </c>
      <c r="H160" s="1">
        <v>7</v>
      </c>
      <c r="I160" s="1">
        <v>8</v>
      </c>
      <c r="J160" s="1">
        <v>4</v>
      </c>
      <c r="K160" s="1">
        <f t="shared" si="26"/>
        <v>26</v>
      </c>
      <c r="L160" s="12">
        <f t="shared" si="33"/>
        <v>0.74285714285714288</v>
      </c>
      <c r="M160" s="1">
        <v>6</v>
      </c>
      <c r="N160" s="1">
        <v>4</v>
      </c>
      <c r="O160" s="1">
        <v>5</v>
      </c>
      <c r="P160" s="1">
        <v>5</v>
      </c>
      <c r="Q160" s="1">
        <f t="shared" si="27"/>
        <v>20</v>
      </c>
      <c r="R160" s="12">
        <f t="shared" si="34"/>
        <v>0.5714285714285714</v>
      </c>
      <c r="S160" s="1">
        <v>5</v>
      </c>
      <c r="T160" s="1">
        <v>4</v>
      </c>
      <c r="U160" s="1">
        <f t="shared" si="28"/>
        <v>9</v>
      </c>
      <c r="V160" s="12">
        <f t="shared" si="35"/>
        <v>0.6</v>
      </c>
      <c r="W160" s="1">
        <v>3</v>
      </c>
      <c r="X160" s="1">
        <v>2</v>
      </c>
      <c r="Y160" s="1">
        <v>3</v>
      </c>
      <c r="Z160" s="1">
        <f t="shared" si="29"/>
        <v>8</v>
      </c>
      <c r="AA160" s="12">
        <f t="shared" si="36"/>
        <v>0.53333333333333333</v>
      </c>
      <c r="AB160" s="2" t="s">
        <v>272</v>
      </c>
    </row>
    <row r="161" spans="1:28" x14ac:dyDescent="0.25">
      <c r="A161" s="1" t="s">
        <v>1657</v>
      </c>
      <c r="B161" s="1" t="s">
        <v>35</v>
      </c>
      <c r="C161" s="1" t="s">
        <v>36</v>
      </c>
      <c r="D161" s="1">
        <v>20</v>
      </c>
      <c r="E161" s="1">
        <v>2</v>
      </c>
      <c r="F161" s="1">
        <v>2</v>
      </c>
      <c r="G161" s="1">
        <v>4</v>
      </c>
      <c r="H161" s="1">
        <v>2</v>
      </c>
      <c r="I161" s="1">
        <v>2</v>
      </c>
      <c r="J161" s="1">
        <v>3</v>
      </c>
      <c r="K161" s="1">
        <f t="shared" si="26"/>
        <v>11</v>
      </c>
      <c r="L161" s="12">
        <f t="shared" si="33"/>
        <v>0.31428571428571428</v>
      </c>
      <c r="M161" s="1">
        <v>5</v>
      </c>
      <c r="N161" s="1">
        <v>2</v>
      </c>
      <c r="O161" s="1">
        <v>3</v>
      </c>
      <c r="P161" s="1">
        <v>3</v>
      </c>
      <c r="Q161" s="1">
        <f t="shared" si="27"/>
        <v>13</v>
      </c>
      <c r="R161" s="12">
        <f t="shared" si="34"/>
        <v>0.37142857142857144</v>
      </c>
      <c r="S161" s="1">
        <v>4</v>
      </c>
      <c r="T161" s="1">
        <v>3</v>
      </c>
      <c r="U161" s="1">
        <f t="shared" si="28"/>
        <v>7</v>
      </c>
      <c r="V161" s="12">
        <f t="shared" si="35"/>
        <v>0.46666666666666667</v>
      </c>
      <c r="W161" s="1">
        <v>3</v>
      </c>
      <c r="X161" s="1">
        <v>2</v>
      </c>
      <c r="Y161" s="1">
        <v>2</v>
      </c>
      <c r="Z161" s="1">
        <f t="shared" si="29"/>
        <v>7</v>
      </c>
      <c r="AA161" s="12">
        <f t="shared" si="36"/>
        <v>0.46666666666666667</v>
      </c>
      <c r="AB161" s="2" t="s">
        <v>273</v>
      </c>
    </row>
    <row r="162" spans="1:28" x14ac:dyDescent="0.25">
      <c r="A162" s="1" t="s">
        <v>1657</v>
      </c>
      <c r="B162" s="1" t="s">
        <v>35</v>
      </c>
      <c r="C162" s="1" t="s">
        <v>36</v>
      </c>
      <c r="D162" s="1">
        <v>20</v>
      </c>
      <c r="E162" s="1">
        <v>2</v>
      </c>
      <c r="F162" s="1">
        <v>2</v>
      </c>
      <c r="G162" s="1">
        <v>7</v>
      </c>
      <c r="H162" s="1">
        <v>9</v>
      </c>
      <c r="I162" s="1">
        <v>9</v>
      </c>
      <c r="J162" s="1">
        <v>4</v>
      </c>
      <c r="K162" s="1">
        <f t="shared" si="26"/>
        <v>29</v>
      </c>
      <c r="L162" s="12">
        <f t="shared" si="33"/>
        <v>0.82857142857142863</v>
      </c>
      <c r="M162" s="1">
        <v>6</v>
      </c>
      <c r="N162" s="1">
        <v>5</v>
      </c>
      <c r="O162" s="1">
        <v>5</v>
      </c>
      <c r="P162" s="1">
        <v>3</v>
      </c>
      <c r="Q162" s="1">
        <f t="shared" si="27"/>
        <v>19</v>
      </c>
      <c r="R162" s="12">
        <f t="shared" si="34"/>
        <v>0.54285714285714282</v>
      </c>
      <c r="S162" s="1">
        <v>5</v>
      </c>
      <c r="T162" s="1">
        <v>3</v>
      </c>
      <c r="U162" s="1">
        <f t="shared" si="28"/>
        <v>8</v>
      </c>
      <c r="V162" s="12">
        <f t="shared" si="35"/>
        <v>0.53333333333333333</v>
      </c>
      <c r="W162" s="1">
        <v>5</v>
      </c>
      <c r="X162" s="1">
        <v>5</v>
      </c>
      <c r="Y162" s="1">
        <v>4</v>
      </c>
      <c r="Z162" s="1">
        <f t="shared" si="29"/>
        <v>14</v>
      </c>
      <c r="AA162" s="12">
        <f t="shared" si="36"/>
        <v>0.93333333333333335</v>
      </c>
      <c r="AB162" s="2" t="s">
        <v>274</v>
      </c>
    </row>
    <row r="163" spans="1:28" x14ac:dyDescent="0.25">
      <c r="A163" s="1" t="s">
        <v>1657</v>
      </c>
      <c r="B163" s="1" t="s">
        <v>35</v>
      </c>
      <c r="C163" s="1" t="s">
        <v>36</v>
      </c>
      <c r="D163" s="1">
        <v>20</v>
      </c>
      <c r="E163" s="1">
        <v>2</v>
      </c>
      <c r="F163" s="1">
        <v>2</v>
      </c>
      <c r="G163" s="1">
        <v>7</v>
      </c>
      <c r="H163" s="1">
        <v>8</v>
      </c>
      <c r="I163" s="1">
        <v>9</v>
      </c>
      <c r="J163" s="1">
        <v>4</v>
      </c>
      <c r="K163" s="1">
        <f t="shared" si="26"/>
        <v>28</v>
      </c>
      <c r="L163" s="12">
        <f t="shared" si="33"/>
        <v>0.8</v>
      </c>
      <c r="M163" s="1">
        <v>4</v>
      </c>
      <c r="N163" s="1">
        <v>4</v>
      </c>
      <c r="O163" s="1">
        <v>5</v>
      </c>
      <c r="P163" s="1">
        <v>4</v>
      </c>
      <c r="Q163" s="1">
        <f t="shared" si="27"/>
        <v>17</v>
      </c>
      <c r="R163" s="12">
        <f t="shared" si="34"/>
        <v>0.48571428571428571</v>
      </c>
      <c r="S163" s="1">
        <v>4</v>
      </c>
      <c r="T163" s="1">
        <v>3</v>
      </c>
      <c r="U163" s="1">
        <f t="shared" si="28"/>
        <v>7</v>
      </c>
      <c r="V163" s="12">
        <f t="shared" si="35"/>
        <v>0.46666666666666667</v>
      </c>
      <c r="W163" s="1">
        <v>3</v>
      </c>
      <c r="X163" s="1">
        <v>2</v>
      </c>
      <c r="Y163" s="1">
        <v>2</v>
      </c>
      <c r="Z163" s="1">
        <f t="shared" si="29"/>
        <v>7</v>
      </c>
      <c r="AA163" s="12">
        <f t="shared" si="36"/>
        <v>0.46666666666666667</v>
      </c>
      <c r="AB163" s="2" t="s">
        <v>275</v>
      </c>
    </row>
    <row r="164" spans="1:28" x14ac:dyDescent="0.25">
      <c r="A164" s="1" t="s">
        <v>1657</v>
      </c>
      <c r="B164" s="1" t="s">
        <v>35</v>
      </c>
      <c r="C164" s="1" t="s">
        <v>36</v>
      </c>
      <c r="D164" s="1">
        <v>20</v>
      </c>
      <c r="E164" s="1">
        <v>2</v>
      </c>
      <c r="F164" s="1">
        <v>2</v>
      </c>
      <c r="G164" s="1">
        <v>7</v>
      </c>
      <c r="H164" s="1">
        <v>6</v>
      </c>
      <c r="I164" s="1">
        <v>6</v>
      </c>
      <c r="J164" s="1">
        <v>4</v>
      </c>
      <c r="K164" s="1">
        <f t="shared" si="26"/>
        <v>23</v>
      </c>
      <c r="L164" s="12">
        <f t="shared" si="33"/>
        <v>0.65714285714285714</v>
      </c>
      <c r="M164" s="1">
        <v>4</v>
      </c>
      <c r="N164" s="1">
        <v>5</v>
      </c>
      <c r="O164" s="1">
        <v>4</v>
      </c>
      <c r="P164" s="1">
        <v>3</v>
      </c>
      <c r="Q164" s="1">
        <f t="shared" si="27"/>
        <v>16</v>
      </c>
      <c r="R164" s="12">
        <f t="shared" si="34"/>
        <v>0.45714285714285713</v>
      </c>
      <c r="S164" s="1">
        <v>3</v>
      </c>
      <c r="T164" s="1">
        <v>2</v>
      </c>
      <c r="U164" s="1">
        <f t="shared" si="28"/>
        <v>5</v>
      </c>
      <c r="V164" s="12">
        <f t="shared" si="35"/>
        <v>0.33333333333333331</v>
      </c>
      <c r="W164" s="1">
        <v>4</v>
      </c>
      <c r="X164" s="1">
        <v>2</v>
      </c>
      <c r="Y164" s="1">
        <v>3</v>
      </c>
      <c r="Z164" s="1">
        <f t="shared" si="29"/>
        <v>9</v>
      </c>
      <c r="AA164" s="12">
        <f t="shared" si="36"/>
        <v>0.6</v>
      </c>
      <c r="AB164" s="2" t="s">
        <v>276</v>
      </c>
    </row>
    <row r="165" spans="1:28" x14ac:dyDescent="0.25">
      <c r="A165" s="1" t="s">
        <v>1657</v>
      </c>
      <c r="B165" s="1" t="s">
        <v>35</v>
      </c>
      <c r="C165" s="1" t="s">
        <v>36</v>
      </c>
      <c r="D165" s="1">
        <v>20</v>
      </c>
      <c r="E165" s="1">
        <v>2</v>
      </c>
      <c r="F165" s="1">
        <v>2</v>
      </c>
      <c r="G165" s="1">
        <v>2</v>
      </c>
      <c r="H165" s="1">
        <v>3</v>
      </c>
      <c r="I165" s="1">
        <v>4</v>
      </c>
      <c r="J165" s="1">
        <v>3</v>
      </c>
      <c r="K165" s="1">
        <f t="shared" si="26"/>
        <v>12</v>
      </c>
      <c r="L165" s="12">
        <f t="shared" si="33"/>
        <v>0.34285714285714286</v>
      </c>
      <c r="M165" s="1">
        <v>3</v>
      </c>
      <c r="N165" s="1">
        <v>4</v>
      </c>
      <c r="O165" s="1">
        <v>3</v>
      </c>
      <c r="P165" s="1">
        <v>4</v>
      </c>
      <c r="Q165" s="1">
        <f t="shared" si="27"/>
        <v>14</v>
      </c>
      <c r="R165" s="12">
        <f t="shared" si="34"/>
        <v>0.4</v>
      </c>
      <c r="S165" s="1">
        <v>3</v>
      </c>
      <c r="T165" s="1">
        <v>2</v>
      </c>
      <c r="U165" s="1">
        <f t="shared" si="28"/>
        <v>5</v>
      </c>
      <c r="V165" s="12">
        <f t="shared" si="35"/>
        <v>0.33333333333333331</v>
      </c>
      <c r="W165" s="1">
        <v>3</v>
      </c>
      <c r="X165" s="1">
        <v>2</v>
      </c>
      <c r="Y165" s="1">
        <v>2</v>
      </c>
      <c r="Z165" s="1">
        <f t="shared" si="29"/>
        <v>7</v>
      </c>
      <c r="AA165" s="12">
        <f t="shared" si="36"/>
        <v>0.46666666666666667</v>
      </c>
      <c r="AB165" s="2" t="s">
        <v>277</v>
      </c>
    </row>
    <row r="166" spans="1:28" x14ac:dyDescent="0.25">
      <c r="A166" s="1" t="s">
        <v>1657</v>
      </c>
      <c r="B166" s="1" t="s">
        <v>35</v>
      </c>
      <c r="C166" s="1" t="s">
        <v>36</v>
      </c>
      <c r="D166" s="1">
        <v>20</v>
      </c>
      <c r="E166" s="1">
        <v>2</v>
      </c>
      <c r="F166" s="1">
        <v>2</v>
      </c>
      <c r="G166" s="1">
        <v>9</v>
      </c>
      <c r="H166" s="1">
        <v>9</v>
      </c>
      <c r="I166" s="1">
        <v>9</v>
      </c>
      <c r="J166" s="1">
        <v>4</v>
      </c>
      <c r="K166" s="1">
        <f t="shared" si="26"/>
        <v>31</v>
      </c>
      <c r="L166" s="12">
        <f t="shared" si="33"/>
        <v>0.88571428571428568</v>
      </c>
      <c r="M166" s="1">
        <v>10</v>
      </c>
      <c r="N166" s="1">
        <v>9</v>
      </c>
      <c r="O166" s="1">
        <v>9</v>
      </c>
      <c r="P166" s="1">
        <v>4</v>
      </c>
      <c r="Q166" s="1">
        <f t="shared" si="27"/>
        <v>32</v>
      </c>
      <c r="R166" s="12">
        <f t="shared" si="34"/>
        <v>0.91428571428571426</v>
      </c>
      <c r="S166" s="1">
        <v>7</v>
      </c>
      <c r="T166" s="1">
        <v>4</v>
      </c>
      <c r="U166" s="1">
        <f t="shared" si="28"/>
        <v>11</v>
      </c>
      <c r="V166" s="12">
        <f t="shared" si="35"/>
        <v>0.73333333333333328</v>
      </c>
      <c r="W166" s="1">
        <v>4</v>
      </c>
      <c r="X166" s="1">
        <v>3</v>
      </c>
      <c r="Y166" s="1">
        <v>3</v>
      </c>
      <c r="Z166" s="1">
        <f t="shared" si="29"/>
        <v>10</v>
      </c>
      <c r="AA166" s="12">
        <f t="shared" si="36"/>
        <v>0.66666666666666663</v>
      </c>
      <c r="AB166" s="2" t="s">
        <v>278</v>
      </c>
    </row>
    <row r="167" spans="1:28" x14ac:dyDescent="0.25">
      <c r="A167" s="1" t="s">
        <v>1657</v>
      </c>
      <c r="B167" s="1" t="s">
        <v>35</v>
      </c>
      <c r="C167" s="1" t="s">
        <v>36</v>
      </c>
      <c r="D167" s="1">
        <v>20</v>
      </c>
      <c r="E167" s="1">
        <v>2</v>
      </c>
      <c r="F167" s="1">
        <v>2</v>
      </c>
      <c r="G167" s="1">
        <v>5</v>
      </c>
      <c r="H167" s="1">
        <v>7</v>
      </c>
      <c r="I167" s="1">
        <v>4</v>
      </c>
      <c r="J167" s="1">
        <v>3</v>
      </c>
      <c r="K167" s="1">
        <f t="shared" si="26"/>
        <v>19</v>
      </c>
      <c r="L167" s="12">
        <f t="shared" si="33"/>
        <v>0.54285714285714282</v>
      </c>
      <c r="M167" s="1">
        <v>4</v>
      </c>
      <c r="N167" s="1">
        <v>7</v>
      </c>
      <c r="O167" s="1">
        <v>4</v>
      </c>
      <c r="P167" s="1">
        <v>2</v>
      </c>
      <c r="Q167" s="1">
        <f t="shared" si="27"/>
        <v>17</v>
      </c>
      <c r="R167" s="12">
        <f t="shared" si="34"/>
        <v>0.48571428571428571</v>
      </c>
      <c r="S167" s="1">
        <v>3</v>
      </c>
      <c r="T167" s="1">
        <v>3</v>
      </c>
      <c r="U167" s="1">
        <f t="shared" si="28"/>
        <v>6</v>
      </c>
      <c r="V167" s="12">
        <f t="shared" si="35"/>
        <v>0.4</v>
      </c>
      <c r="W167" s="1">
        <v>4</v>
      </c>
      <c r="X167" s="1">
        <v>3</v>
      </c>
      <c r="Y167" s="1">
        <v>2</v>
      </c>
      <c r="Z167" s="1">
        <f t="shared" si="29"/>
        <v>9</v>
      </c>
      <c r="AA167" s="12">
        <f t="shared" si="36"/>
        <v>0.6</v>
      </c>
      <c r="AB167" s="2" t="s">
        <v>279</v>
      </c>
    </row>
    <row r="168" spans="1:28" x14ac:dyDescent="0.25">
      <c r="A168" s="1" t="s">
        <v>1658</v>
      </c>
      <c r="B168" s="1" t="s">
        <v>35</v>
      </c>
      <c r="C168" s="1" t="s">
        <v>36</v>
      </c>
      <c r="D168" s="1">
        <v>19</v>
      </c>
      <c r="E168" s="1">
        <v>1</v>
      </c>
      <c r="F168" s="1">
        <v>5</v>
      </c>
      <c r="G168" s="1">
        <v>5</v>
      </c>
      <c r="H168" s="1">
        <v>5</v>
      </c>
      <c r="I168" s="1">
        <v>5</v>
      </c>
      <c r="J168" s="1">
        <v>5</v>
      </c>
      <c r="K168" s="1">
        <f t="shared" si="26"/>
        <v>20</v>
      </c>
      <c r="L168" s="12">
        <f t="shared" si="33"/>
        <v>0.5714285714285714</v>
      </c>
      <c r="M168" s="1">
        <v>7</v>
      </c>
      <c r="N168" s="1">
        <v>6</v>
      </c>
      <c r="O168" s="1">
        <v>7</v>
      </c>
      <c r="P168" s="1">
        <v>3</v>
      </c>
      <c r="Q168" s="1">
        <f t="shared" si="27"/>
        <v>23</v>
      </c>
      <c r="R168" s="12">
        <f t="shared" si="34"/>
        <v>0.65714285714285714</v>
      </c>
      <c r="S168" s="1">
        <v>4</v>
      </c>
      <c r="T168" s="1">
        <v>3</v>
      </c>
      <c r="U168" s="1">
        <f t="shared" si="28"/>
        <v>7</v>
      </c>
      <c r="V168" s="12">
        <f t="shared" si="35"/>
        <v>0.46666666666666667</v>
      </c>
      <c r="W168" s="1">
        <v>5</v>
      </c>
      <c r="X168" s="1">
        <v>5</v>
      </c>
      <c r="Y168" s="1">
        <v>5</v>
      </c>
      <c r="Z168" s="1">
        <f t="shared" si="29"/>
        <v>15</v>
      </c>
      <c r="AA168" s="12">
        <f t="shared" si="36"/>
        <v>1</v>
      </c>
      <c r="AB168" s="2" t="s">
        <v>148</v>
      </c>
    </row>
    <row r="169" spans="1:28" x14ac:dyDescent="0.25">
      <c r="A169" s="1" t="s">
        <v>1658</v>
      </c>
      <c r="B169" s="1" t="s">
        <v>35</v>
      </c>
      <c r="C169" s="1" t="s">
        <v>36</v>
      </c>
      <c r="D169" s="1">
        <v>19</v>
      </c>
      <c r="E169" s="1">
        <v>1</v>
      </c>
      <c r="F169" s="1">
        <v>5</v>
      </c>
      <c r="G169" s="1">
        <v>7</v>
      </c>
      <c r="H169" s="1">
        <v>6</v>
      </c>
      <c r="I169" s="1">
        <v>6</v>
      </c>
      <c r="J169" s="1">
        <v>4</v>
      </c>
      <c r="K169" s="1">
        <f t="shared" si="26"/>
        <v>23</v>
      </c>
      <c r="L169" s="12">
        <f t="shared" si="33"/>
        <v>0.65714285714285714</v>
      </c>
      <c r="M169" s="1">
        <v>6</v>
      </c>
      <c r="N169" s="1">
        <v>7</v>
      </c>
      <c r="O169" s="1">
        <v>7</v>
      </c>
      <c r="P169" s="1">
        <v>4</v>
      </c>
      <c r="Q169" s="1">
        <f t="shared" si="27"/>
        <v>24</v>
      </c>
      <c r="R169" s="12">
        <f t="shared" si="34"/>
        <v>0.68571428571428572</v>
      </c>
      <c r="S169" s="1">
        <v>7</v>
      </c>
      <c r="T169" s="1">
        <v>4</v>
      </c>
      <c r="U169" s="1">
        <f t="shared" si="28"/>
        <v>11</v>
      </c>
      <c r="V169" s="12">
        <f t="shared" si="35"/>
        <v>0.73333333333333328</v>
      </c>
      <c r="W169" s="1">
        <v>4</v>
      </c>
      <c r="X169" s="1">
        <v>4</v>
      </c>
      <c r="Y169" s="1">
        <v>5</v>
      </c>
      <c r="Z169" s="1">
        <f t="shared" si="29"/>
        <v>13</v>
      </c>
      <c r="AA169" s="12">
        <f t="shared" si="36"/>
        <v>0.8666666666666667</v>
      </c>
      <c r="AB169" s="2" t="s">
        <v>149</v>
      </c>
    </row>
    <row r="170" spans="1:28" x14ac:dyDescent="0.25">
      <c r="A170" s="1" t="s">
        <v>1658</v>
      </c>
      <c r="B170" s="1" t="s">
        <v>35</v>
      </c>
      <c r="C170" s="1" t="s">
        <v>36</v>
      </c>
      <c r="D170" s="1">
        <v>19</v>
      </c>
      <c r="E170" s="1">
        <v>1</v>
      </c>
      <c r="F170" s="1">
        <v>5</v>
      </c>
      <c r="G170" s="1">
        <v>8</v>
      </c>
      <c r="H170" s="1">
        <v>7</v>
      </c>
      <c r="I170" s="1">
        <v>8</v>
      </c>
      <c r="J170" s="1">
        <v>3</v>
      </c>
      <c r="K170" s="1">
        <f t="shared" si="26"/>
        <v>26</v>
      </c>
      <c r="L170" s="12">
        <f t="shared" si="33"/>
        <v>0.74285714285714288</v>
      </c>
      <c r="M170" s="1">
        <v>7</v>
      </c>
      <c r="N170" s="1">
        <v>7</v>
      </c>
      <c r="O170" s="1">
        <v>7</v>
      </c>
      <c r="P170" s="1">
        <v>4</v>
      </c>
      <c r="Q170" s="1">
        <f t="shared" si="27"/>
        <v>25</v>
      </c>
      <c r="R170" s="12">
        <f t="shared" si="34"/>
        <v>0.7142857142857143</v>
      </c>
      <c r="S170" s="1">
        <v>7</v>
      </c>
      <c r="T170" s="1">
        <v>3</v>
      </c>
      <c r="U170" s="1">
        <f t="shared" si="28"/>
        <v>10</v>
      </c>
      <c r="V170" s="12">
        <f t="shared" si="35"/>
        <v>0.66666666666666663</v>
      </c>
      <c r="W170" s="1">
        <v>5</v>
      </c>
      <c r="X170" s="1">
        <v>4</v>
      </c>
      <c r="Y170" s="1">
        <v>5</v>
      </c>
      <c r="Z170" s="1">
        <f t="shared" si="29"/>
        <v>14</v>
      </c>
      <c r="AA170" s="12">
        <f t="shared" si="36"/>
        <v>0.93333333333333335</v>
      </c>
      <c r="AB170" s="2" t="s">
        <v>150</v>
      </c>
    </row>
    <row r="171" spans="1:28" x14ac:dyDescent="0.25">
      <c r="A171" s="1" t="s">
        <v>1658</v>
      </c>
      <c r="B171" s="1" t="s">
        <v>35</v>
      </c>
      <c r="C171" s="1" t="s">
        <v>36</v>
      </c>
      <c r="D171" s="1">
        <v>19</v>
      </c>
      <c r="E171" s="1">
        <v>1</v>
      </c>
      <c r="F171" s="1">
        <v>5</v>
      </c>
      <c r="G171" s="1">
        <v>5</v>
      </c>
      <c r="H171" s="1">
        <v>4</v>
      </c>
      <c r="I171" s="1">
        <v>6</v>
      </c>
      <c r="J171" s="1">
        <v>3</v>
      </c>
      <c r="K171" s="1">
        <f t="shared" si="26"/>
        <v>18</v>
      </c>
      <c r="L171" s="12">
        <f t="shared" si="33"/>
        <v>0.51428571428571423</v>
      </c>
      <c r="M171" s="1">
        <v>6</v>
      </c>
      <c r="N171" s="1">
        <v>4</v>
      </c>
      <c r="O171" s="1">
        <v>4</v>
      </c>
      <c r="P171" s="1">
        <v>2</v>
      </c>
      <c r="Q171" s="1">
        <f t="shared" si="27"/>
        <v>16</v>
      </c>
      <c r="R171" s="12">
        <f t="shared" si="34"/>
        <v>0.45714285714285713</v>
      </c>
      <c r="S171" s="1">
        <v>4</v>
      </c>
      <c r="T171" s="1">
        <v>3</v>
      </c>
      <c r="U171" s="1">
        <f t="shared" si="28"/>
        <v>7</v>
      </c>
      <c r="V171" s="12">
        <f t="shared" si="35"/>
        <v>0.46666666666666667</v>
      </c>
      <c r="W171" s="1">
        <v>3</v>
      </c>
      <c r="X171" s="1">
        <v>3</v>
      </c>
      <c r="Y171" s="1">
        <v>3</v>
      </c>
      <c r="Z171" s="1">
        <f t="shared" si="29"/>
        <v>9</v>
      </c>
      <c r="AA171" s="12">
        <f t="shared" si="36"/>
        <v>0.6</v>
      </c>
      <c r="AB171" s="2" t="s">
        <v>151</v>
      </c>
    </row>
    <row r="172" spans="1:28" x14ac:dyDescent="0.25">
      <c r="A172" s="1" t="s">
        <v>1658</v>
      </c>
      <c r="B172" s="1" t="s">
        <v>35</v>
      </c>
      <c r="C172" s="1" t="s">
        <v>36</v>
      </c>
      <c r="D172" s="1">
        <v>19</v>
      </c>
      <c r="E172" s="1">
        <v>1</v>
      </c>
      <c r="F172" s="1">
        <v>5</v>
      </c>
      <c r="G172" s="1">
        <v>8</v>
      </c>
      <c r="H172" s="1">
        <v>3</v>
      </c>
      <c r="I172" s="1">
        <v>2</v>
      </c>
      <c r="J172" s="1">
        <v>1</v>
      </c>
      <c r="K172" s="1">
        <f t="shared" si="26"/>
        <v>14</v>
      </c>
      <c r="L172" s="12">
        <f t="shared" si="33"/>
        <v>0.4</v>
      </c>
      <c r="M172" s="1">
        <v>7</v>
      </c>
      <c r="N172" s="1">
        <v>6</v>
      </c>
      <c r="O172" s="1">
        <v>6</v>
      </c>
      <c r="P172" s="1">
        <v>2</v>
      </c>
      <c r="Q172" s="1">
        <f t="shared" si="27"/>
        <v>21</v>
      </c>
      <c r="R172" s="12">
        <f t="shared" si="34"/>
        <v>0.6</v>
      </c>
      <c r="S172" s="1">
        <v>3</v>
      </c>
      <c r="T172" s="1">
        <v>1</v>
      </c>
      <c r="U172" s="1">
        <f t="shared" si="28"/>
        <v>4</v>
      </c>
      <c r="V172" s="12">
        <f t="shared" si="35"/>
        <v>0.26666666666666666</v>
      </c>
      <c r="W172" s="1">
        <v>4</v>
      </c>
      <c r="X172" s="1">
        <v>3</v>
      </c>
      <c r="Y172" s="1">
        <v>3</v>
      </c>
      <c r="Z172" s="1">
        <f t="shared" si="29"/>
        <v>10</v>
      </c>
      <c r="AA172" s="12">
        <f t="shared" si="36"/>
        <v>0.66666666666666663</v>
      </c>
      <c r="AB172" s="2" t="s">
        <v>152</v>
      </c>
    </row>
    <row r="173" spans="1:28" x14ac:dyDescent="0.25">
      <c r="A173" s="1" t="s">
        <v>1658</v>
      </c>
      <c r="B173" s="1" t="s">
        <v>35</v>
      </c>
      <c r="C173" s="1" t="s">
        <v>36</v>
      </c>
      <c r="D173" s="1">
        <v>19</v>
      </c>
      <c r="E173" s="1">
        <v>1</v>
      </c>
      <c r="F173" s="1">
        <v>5</v>
      </c>
      <c r="G173" s="1">
        <v>5</v>
      </c>
      <c r="H173" s="1">
        <v>5</v>
      </c>
      <c r="I173" s="1">
        <v>5</v>
      </c>
      <c r="J173" s="1">
        <v>3</v>
      </c>
      <c r="K173" s="1">
        <f t="shared" si="26"/>
        <v>18</v>
      </c>
      <c r="L173" s="12">
        <f t="shared" si="33"/>
        <v>0.51428571428571423</v>
      </c>
      <c r="M173" s="1">
        <v>6</v>
      </c>
      <c r="N173" s="1">
        <v>6</v>
      </c>
      <c r="O173" s="1">
        <v>4</v>
      </c>
      <c r="P173" s="1">
        <v>2</v>
      </c>
      <c r="Q173" s="1">
        <f t="shared" si="27"/>
        <v>18</v>
      </c>
      <c r="R173" s="12">
        <f t="shared" si="34"/>
        <v>0.51428571428571423</v>
      </c>
      <c r="S173" s="1">
        <v>5</v>
      </c>
      <c r="T173" s="1">
        <v>2</v>
      </c>
      <c r="U173" s="1">
        <f t="shared" si="28"/>
        <v>7</v>
      </c>
      <c r="V173" s="12">
        <f t="shared" si="35"/>
        <v>0.46666666666666667</v>
      </c>
      <c r="W173" s="1">
        <v>2</v>
      </c>
      <c r="X173" s="1">
        <v>2</v>
      </c>
      <c r="Y173" s="1">
        <v>3</v>
      </c>
      <c r="Z173" s="1">
        <f t="shared" si="29"/>
        <v>7</v>
      </c>
      <c r="AA173" s="12">
        <f t="shared" si="36"/>
        <v>0.46666666666666667</v>
      </c>
      <c r="AB173" s="2" t="s">
        <v>153</v>
      </c>
    </row>
    <row r="174" spans="1:28" x14ac:dyDescent="0.25">
      <c r="A174" s="1" t="s">
        <v>1658</v>
      </c>
      <c r="B174" s="1" t="s">
        <v>35</v>
      </c>
      <c r="C174" s="1" t="s">
        <v>36</v>
      </c>
      <c r="D174" s="1">
        <v>19</v>
      </c>
      <c r="E174" s="1">
        <v>1</v>
      </c>
      <c r="F174" s="1">
        <v>5</v>
      </c>
      <c r="G174" s="1">
        <v>7</v>
      </c>
      <c r="H174" s="1">
        <v>6</v>
      </c>
      <c r="I174" s="1">
        <v>7</v>
      </c>
      <c r="J174" s="1">
        <v>4</v>
      </c>
      <c r="K174" s="1">
        <f t="shared" si="26"/>
        <v>24</v>
      </c>
      <c r="L174" s="12">
        <f t="shared" si="33"/>
        <v>0.68571428571428572</v>
      </c>
      <c r="M174" s="1">
        <v>7</v>
      </c>
      <c r="N174" s="1">
        <v>7</v>
      </c>
      <c r="O174" s="1">
        <v>7</v>
      </c>
      <c r="P174" s="1">
        <v>4</v>
      </c>
      <c r="Q174" s="1">
        <f t="shared" si="27"/>
        <v>25</v>
      </c>
      <c r="R174" s="12">
        <f t="shared" si="34"/>
        <v>0.7142857142857143</v>
      </c>
      <c r="S174" s="1">
        <v>3</v>
      </c>
      <c r="T174" s="1">
        <v>1</v>
      </c>
      <c r="U174" s="1">
        <f t="shared" si="28"/>
        <v>4</v>
      </c>
      <c r="V174" s="12">
        <f t="shared" si="35"/>
        <v>0.26666666666666666</v>
      </c>
      <c r="W174" s="1">
        <v>4</v>
      </c>
      <c r="X174" s="1">
        <v>3</v>
      </c>
      <c r="Y174" s="1">
        <v>3</v>
      </c>
      <c r="Z174" s="1">
        <f t="shared" si="29"/>
        <v>10</v>
      </c>
      <c r="AA174" s="12">
        <f t="shared" si="36"/>
        <v>0.66666666666666663</v>
      </c>
      <c r="AB174" s="2" t="s">
        <v>154</v>
      </c>
    </row>
    <row r="175" spans="1:28" x14ac:dyDescent="0.25">
      <c r="A175" s="1" t="s">
        <v>1658</v>
      </c>
      <c r="B175" s="1" t="s">
        <v>35</v>
      </c>
      <c r="C175" s="1" t="s">
        <v>36</v>
      </c>
      <c r="D175" s="1">
        <v>19</v>
      </c>
      <c r="E175" s="1">
        <v>1</v>
      </c>
      <c r="F175" s="1">
        <v>5</v>
      </c>
      <c r="G175" s="1">
        <v>6</v>
      </c>
      <c r="H175" s="1">
        <v>4</v>
      </c>
      <c r="I175" s="1">
        <v>4</v>
      </c>
      <c r="J175" s="1">
        <v>2</v>
      </c>
      <c r="K175" s="1">
        <f t="shared" si="26"/>
        <v>16</v>
      </c>
      <c r="L175" s="12">
        <f t="shared" si="33"/>
        <v>0.45714285714285713</v>
      </c>
      <c r="M175" s="1">
        <v>6</v>
      </c>
      <c r="N175" s="1">
        <v>6</v>
      </c>
      <c r="O175" s="1">
        <v>5</v>
      </c>
      <c r="P175" s="1">
        <v>3</v>
      </c>
      <c r="Q175" s="1">
        <f t="shared" si="27"/>
        <v>20</v>
      </c>
      <c r="R175" s="12">
        <f t="shared" si="34"/>
        <v>0.5714285714285714</v>
      </c>
      <c r="S175" s="1">
        <v>6</v>
      </c>
      <c r="T175" s="1">
        <v>3</v>
      </c>
      <c r="U175" s="1">
        <f t="shared" si="28"/>
        <v>9</v>
      </c>
      <c r="V175" s="12">
        <f t="shared" si="35"/>
        <v>0.6</v>
      </c>
      <c r="W175" s="1">
        <v>4</v>
      </c>
      <c r="X175" s="1">
        <v>3</v>
      </c>
      <c r="Y175" s="1">
        <v>3</v>
      </c>
      <c r="Z175" s="1">
        <f t="shared" si="29"/>
        <v>10</v>
      </c>
      <c r="AA175" s="12">
        <f t="shared" si="36"/>
        <v>0.66666666666666663</v>
      </c>
      <c r="AB175" s="2" t="s">
        <v>155</v>
      </c>
    </row>
    <row r="176" spans="1:28" x14ac:dyDescent="0.25">
      <c r="A176" s="1" t="s">
        <v>1658</v>
      </c>
      <c r="B176" s="1" t="s">
        <v>35</v>
      </c>
      <c r="C176" s="1" t="s">
        <v>36</v>
      </c>
      <c r="D176" s="1">
        <v>20</v>
      </c>
      <c r="E176" s="1">
        <v>2</v>
      </c>
      <c r="F176" s="1">
        <v>1</v>
      </c>
      <c r="G176" s="1">
        <v>4</v>
      </c>
      <c r="H176" s="1">
        <v>4</v>
      </c>
      <c r="I176" s="1">
        <v>4</v>
      </c>
      <c r="J176" s="1">
        <v>2</v>
      </c>
      <c r="K176" s="1">
        <f t="shared" si="26"/>
        <v>14</v>
      </c>
      <c r="L176" s="12">
        <f t="shared" si="33"/>
        <v>0.4</v>
      </c>
      <c r="M176" s="1">
        <v>6</v>
      </c>
      <c r="N176" s="1">
        <v>5</v>
      </c>
      <c r="O176" s="1">
        <v>6</v>
      </c>
      <c r="P176" s="1">
        <v>2</v>
      </c>
      <c r="Q176" s="1">
        <f t="shared" si="27"/>
        <v>19</v>
      </c>
      <c r="R176" s="12">
        <f t="shared" si="34"/>
        <v>0.54285714285714282</v>
      </c>
      <c r="S176" s="1">
        <v>4</v>
      </c>
      <c r="T176" s="1">
        <v>2</v>
      </c>
      <c r="U176" s="1">
        <f t="shared" si="28"/>
        <v>6</v>
      </c>
      <c r="V176" s="12">
        <f t="shared" si="35"/>
        <v>0.4</v>
      </c>
      <c r="W176" s="1">
        <v>4</v>
      </c>
      <c r="X176" s="1">
        <v>3</v>
      </c>
      <c r="Y176" s="1">
        <v>3</v>
      </c>
      <c r="Z176" s="1">
        <f t="shared" si="29"/>
        <v>10</v>
      </c>
      <c r="AA176" s="12">
        <f t="shared" si="36"/>
        <v>0.66666666666666663</v>
      </c>
      <c r="AB176" s="2" t="s">
        <v>245</v>
      </c>
    </row>
    <row r="177" spans="1:28" x14ac:dyDescent="0.25">
      <c r="A177" s="1" t="s">
        <v>1658</v>
      </c>
      <c r="B177" s="1" t="s">
        <v>35</v>
      </c>
      <c r="C177" s="1" t="s">
        <v>36</v>
      </c>
      <c r="D177" s="1">
        <v>20</v>
      </c>
      <c r="E177" s="1">
        <v>2</v>
      </c>
      <c r="F177" s="1">
        <v>1</v>
      </c>
      <c r="G177" s="1">
        <v>6</v>
      </c>
      <c r="H177" s="1">
        <v>6</v>
      </c>
      <c r="I177" s="1">
        <v>6</v>
      </c>
      <c r="J177" s="1">
        <v>3</v>
      </c>
      <c r="K177" s="1">
        <f t="shared" si="26"/>
        <v>21</v>
      </c>
      <c r="L177" s="12">
        <f t="shared" si="33"/>
        <v>0.6</v>
      </c>
      <c r="M177" s="1">
        <v>6</v>
      </c>
      <c r="N177" s="1">
        <v>6</v>
      </c>
      <c r="O177" s="1">
        <v>6</v>
      </c>
      <c r="P177" s="1">
        <v>3</v>
      </c>
      <c r="Q177" s="1">
        <f t="shared" si="27"/>
        <v>21</v>
      </c>
      <c r="R177" s="12">
        <f t="shared" si="34"/>
        <v>0.6</v>
      </c>
      <c r="S177" s="1">
        <v>6</v>
      </c>
      <c r="T177" s="1">
        <v>4</v>
      </c>
      <c r="U177" s="1">
        <f t="shared" si="28"/>
        <v>10</v>
      </c>
      <c r="V177" s="12">
        <f t="shared" si="35"/>
        <v>0.66666666666666663</v>
      </c>
      <c r="W177" s="1">
        <v>4</v>
      </c>
      <c r="X177" s="1">
        <v>3</v>
      </c>
      <c r="Y177" s="1">
        <v>3</v>
      </c>
      <c r="Z177" s="1">
        <f t="shared" si="29"/>
        <v>10</v>
      </c>
      <c r="AA177" s="12">
        <f t="shared" si="36"/>
        <v>0.66666666666666663</v>
      </c>
      <c r="AB177" s="2" t="s">
        <v>246</v>
      </c>
    </row>
    <row r="178" spans="1:28" x14ac:dyDescent="0.25">
      <c r="A178" s="1" t="s">
        <v>1658</v>
      </c>
      <c r="B178" s="1" t="s">
        <v>35</v>
      </c>
      <c r="C178" s="1" t="s">
        <v>36</v>
      </c>
      <c r="D178" s="1">
        <v>20</v>
      </c>
      <c r="E178" s="1">
        <v>2</v>
      </c>
      <c r="F178" s="1">
        <v>1</v>
      </c>
      <c r="G178" s="1">
        <v>8</v>
      </c>
      <c r="H178" s="1">
        <v>7</v>
      </c>
      <c r="I178" s="1">
        <v>7</v>
      </c>
      <c r="J178" s="1">
        <v>4</v>
      </c>
      <c r="K178" s="1">
        <f t="shared" si="26"/>
        <v>26</v>
      </c>
      <c r="L178" s="12">
        <f t="shared" si="33"/>
        <v>0.74285714285714288</v>
      </c>
      <c r="M178" s="1">
        <v>8</v>
      </c>
      <c r="N178" s="1">
        <v>7</v>
      </c>
      <c r="O178" s="1">
        <v>7</v>
      </c>
      <c r="P178" s="1">
        <v>4</v>
      </c>
      <c r="Q178" s="1">
        <f t="shared" si="27"/>
        <v>26</v>
      </c>
      <c r="R178" s="12">
        <f t="shared" si="34"/>
        <v>0.74285714285714288</v>
      </c>
      <c r="S178" s="1">
        <v>8</v>
      </c>
      <c r="T178" s="1">
        <v>4</v>
      </c>
      <c r="U178" s="1">
        <f t="shared" si="28"/>
        <v>12</v>
      </c>
      <c r="V178" s="12">
        <f t="shared" si="35"/>
        <v>0.8</v>
      </c>
      <c r="W178" s="1">
        <v>4</v>
      </c>
      <c r="X178" s="1">
        <v>4</v>
      </c>
      <c r="Y178" s="1">
        <v>4</v>
      </c>
      <c r="Z178" s="1">
        <f t="shared" si="29"/>
        <v>12</v>
      </c>
      <c r="AA178" s="12">
        <f t="shared" si="36"/>
        <v>0.8</v>
      </c>
      <c r="AB178" s="2" t="s">
        <v>247</v>
      </c>
    </row>
    <row r="179" spans="1:28" x14ac:dyDescent="0.25">
      <c r="A179" s="1" t="s">
        <v>1658</v>
      </c>
      <c r="B179" s="1" t="s">
        <v>35</v>
      </c>
      <c r="C179" s="1" t="s">
        <v>36</v>
      </c>
      <c r="D179" s="1">
        <v>20</v>
      </c>
      <c r="E179" s="1">
        <v>2</v>
      </c>
      <c r="F179" s="1">
        <v>1</v>
      </c>
      <c r="G179" s="1">
        <v>5</v>
      </c>
      <c r="H179" s="1">
        <v>4</v>
      </c>
      <c r="I179" s="1">
        <v>4</v>
      </c>
      <c r="J179" s="1">
        <v>3</v>
      </c>
      <c r="K179" s="1">
        <f t="shared" si="26"/>
        <v>16</v>
      </c>
      <c r="L179" s="12">
        <f t="shared" si="33"/>
        <v>0.45714285714285713</v>
      </c>
      <c r="M179" s="1">
        <v>6</v>
      </c>
      <c r="N179" s="1">
        <v>5</v>
      </c>
      <c r="O179" s="1">
        <v>5</v>
      </c>
      <c r="P179" s="1">
        <v>3</v>
      </c>
      <c r="Q179" s="1">
        <f t="shared" si="27"/>
        <v>19</v>
      </c>
      <c r="R179" s="12">
        <f t="shared" si="34"/>
        <v>0.54285714285714282</v>
      </c>
      <c r="S179" s="1">
        <v>6</v>
      </c>
      <c r="T179" s="1">
        <v>4</v>
      </c>
      <c r="U179" s="1">
        <f t="shared" si="28"/>
        <v>10</v>
      </c>
      <c r="V179" s="12">
        <f t="shared" si="35"/>
        <v>0.66666666666666663</v>
      </c>
      <c r="W179" s="1">
        <v>4</v>
      </c>
      <c r="X179" s="1">
        <v>3</v>
      </c>
      <c r="Y179" s="1">
        <v>4</v>
      </c>
      <c r="Z179" s="1">
        <f t="shared" si="29"/>
        <v>11</v>
      </c>
      <c r="AA179" s="12">
        <f t="shared" si="36"/>
        <v>0.73333333333333328</v>
      </c>
      <c r="AB179" s="2" t="s">
        <v>248</v>
      </c>
    </row>
    <row r="180" spans="1:28" x14ac:dyDescent="0.25">
      <c r="A180" s="1" t="s">
        <v>1658</v>
      </c>
      <c r="B180" s="1" t="s">
        <v>35</v>
      </c>
      <c r="C180" s="1" t="s">
        <v>36</v>
      </c>
      <c r="D180" s="1">
        <v>20</v>
      </c>
      <c r="E180" s="1">
        <v>2</v>
      </c>
      <c r="F180" s="1">
        <v>1</v>
      </c>
      <c r="G180" s="1">
        <v>7</v>
      </c>
      <c r="H180" s="1">
        <v>8</v>
      </c>
      <c r="I180" s="1">
        <v>7</v>
      </c>
      <c r="J180" s="1">
        <v>4</v>
      </c>
      <c r="K180" s="1">
        <f t="shared" si="26"/>
        <v>26</v>
      </c>
      <c r="L180" s="12">
        <f t="shared" si="33"/>
        <v>0.74285714285714288</v>
      </c>
      <c r="M180" s="1">
        <v>7</v>
      </c>
      <c r="N180" s="1">
        <v>7</v>
      </c>
      <c r="O180" s="1">
        <v>8</v>
      </c>
      <c r="P180" s="1">
        <v>4</v>
      </c>
      <c r="Q180" s="1">
        <f t="shared" si="27"/>
        <v>26</v>
      </c>
      <c r="R180" s="12">
        <f t="shared" si="34"/>
        <v>0.74285714285714288</v>
      </c>
      <c r="S180" s="1">
        <v>8</v>
      </c>
      <c r="T180" s="1">
        <v>4</v>
      </c>
      <c r="U180" s="1">
        <f t="shared" si="28"/>
        <v>12</v>
      </c>
      <c r="V180" s="12">
        <f t="shared" si="35"/>
        <v>0.8</v>
      </c>
      <c r="W180" s="1">
        <v>4</v>
      </c>
      <c r="X180" s="1">
        <v>4</v>
      </c>
      <c r="Y180" s="1">
        <v>4</v>
      </c>
      <c r="Z180" s="1">
        <f t="shared" si="29"/>
        <v>12</v>
      </c>
      <c r="AA180" s="12">
        <f t="shared" si="36"/>
        <v>0.8</v>
      </c>
      <c r="AB180" s="2" t="s">
        <v>249</v>
      </c>
    </row>
    <row r="181" spans="1:28" x14ac:dyDescent="0.25">
      <c r="A181" s="1" t="s">
        <v>1658</v>
      </c>
      <c r="B181" s="1" t="s">
        <v>35</v>
      </c>
      <c r="C181" s="1" t="s">
        <v>36</v>
      </c>
      <c r="D181" s="1">
        <v>20</v>
      </c>
      <c r="E181" s="1">
        <v>2</v>
      </c>
      <c r="F181" s="1">
        <v>1</v>
      </c>
      <c r="G181" s="1">
        <v>8</v>
      </c>
      <c r="H181" s="1">
        <v>8</v>
      </c>
      <c r="I181" s="1">
        <v>7</v>
      </c>
      <c r="J181" s="1">
        <v>4</v>
      </c>
      <c r="K181" s="1">
        <f t="shared" si="26"/>
        <v>27</v>
      </c>
      <c r="L181" s="12">
        <f t="shared" si="33"/>
        <v>0.77142857142857146</v>
      </c>
      <c r="M181" s="1">
        <v>7</v>
      </c>
      <c r="N181" s="1">
        <v>8</v>
      </c>
      <c r="O181" s="1">
        <v>8</v>
      </c>
      <c r="P181" s="1">
        <v>4</v>
      </c>
      <c r="Q181" s="1">
        <f t="shared" si="27"/>
        <v>27</v>
      </c>
      <c r="R181" s="12">
        <f t="shared" si="34"/>
        <v>0.77142857142857146</v>
      </c>
      <c r="S181" s="1">
        <v>8</v>
      </c>
      <c r="T181" s="1">
        <v>4</v>
      </c>
      <c r="U181" s="1">
        <f t="shared" si="28"/>
        <v>12</v>
      </c>
      <c r="V181" s="12">
        <f t="shared" si="35"/>
        <v>0.8</v>
      </c>
      <c r="W181" s="1">
        <v>4</v>
      </c>
      <c r="X181" s="1">
        <v>5</v>
      </c>
      <c r="Y181" s="1">
        <v>5</v>
      </c>
      <c r="Z181" s="1">
        <f t="shared" si="29"/>
        <v>14</v>
      </c>
      <c r="AA181" s="12">
        <f t="shared" si="36"/>
        <v>0.93333333333333335</v>
      </c>
      <c r="AB181" s="2" t="s">
        <v>250</v>
      </c>
    </row>
    <row r="182" spans="1:28" x14ac:dyDescent="0.25">
      <c r="A182" s="1" t="s">
        <v>1658</v>
      </c>
      <c r="B182" s="1" t="s">
        <v>35</v>
      </c>
      <c r="C182" s="1" t="s">
        <v>36</v>
      </c>
      <c r="D182" s="1">
        <v>20</v>
      </c>
      <c r="E182" s="1">
        <v>2</v>
      </c>
      <c r="F182" s="1">
        <v>1</v>
      </c>
      <c r="G182" s="1">
        <v>9</v>
      </c>
      <c r="H182" s="1">
        <v>9</v>
      </c>
      <c r="I182" s="1">
        <v>9</v>
      </c>
      <c r="J182" s="1">
        <v>4</v>
      </c>
      <c r="K182" s="1">
        <f t="shared" si="26"/>
        <v>31</v>
      </c>
      <c r="L182" s="12">
        <f t="shared" si="33"/>
        <v>0.88571428571428568</v>
      </c>
      <c r="M182" s="1">
        <v>8</v>
      </c>
      <c r="N182" s="1">
        <v>8</v>
      </c>
      <c r="O182" s="1">
        <v>8</v>
      </c>
      <c r="P182" s="1">
        <v>4</v>
      </c>
      <c r="Q182" s="1">
        <f t="shared" si="27"/>
        <v>28</v>
      </c>
      <c r="R182" s="12">
        <f t="shared" si="34"/>
        <v>0.8</v>
      </c>
      <c r="S182" s="1">
        <v>9</v>
      </c>
      <c r="T182" s="1">
        <v>4</v>
      </c>
      <c r="U182" s="1">
        <f t="shared" si="28"/>
        <v>13</v>
      </c>
      <c r="V182" s="12">
        <f t="shared" si="35"/>
        <v>0.8666666666666667</v>
      </c>
      <c r="W182" s="1">
        <v>5</v>
      </c>
      <c r="X182" s="1">
        <v>4</v>
      </c>
      <c r="Y182" s="1">
        <v>5</v>
      </c>
      <c r="Z182" s="1">
        <f t="shared" si="29"/>
        <v>14</v>
      </c>
      <c r="AA182" s="12">
        <f t="shared" si="36"/>
        <v>0.93333333333333335</v>
      </c>
      <c r="AB182" s="2" t="s">
        <v>251</v>
      </c>
    </row>
    <row r="183" spans="1:28" x14ac:dyDescent="0.25">
      <c r="A183" s="1" t="s">
        <v>1658</v>
      </c>
      <c r="B183" s="1" t="s">
        <v>35</v>
      </c>
      <c r="C183" s="1" t="s">
        <v>36</v>
      </c>
      <c r="D183" s="1">
        <v>20</v>
      </c>
      <c r="E183" s="1">
        <v>2</v>
      </c>
      <c r="F183" s="1">
        <v>1</v>
      </c>
      <c r="G183" s="1">
        <v>7</v>
      </c>
      <c r="H183" s="1">
        <v>7</v>
      </c>
      <c r="I183" s="1">
        <v>7</v>
      </c>
      <c r="J183" s="1">
        <v>4</v>
      </c>
      <c r="K183" s="1">
        <f t="shared" si="26"/>
        <v>25</v>
      </c>
      <c r="L183" s="12">
        <f t="shared" si="33"/>
        <v>0.7142857142857143</v>
      </c>
      <c r="M183" s="1">
        <v>7</v>
      </c>
      <c r="N183" s="1">
        <v>8</v>
      </c>
      <c r="O183" s="1">
        <v>7</v>
      </c>
      <c r="P183" s="1">
        <v>4</v>
      </c>
      <c r="Q183" s="1">
        <f t="shared" si="27"/>
        <v>26</v>
      </c>
      <c r="R183" s="12">
        <f t="shared" si="34"/>
        <v>0.74285714285714288</v>
      </c>
      <c r="S183" s="1">
        <v>7</v>
      </c>
      <c r="T183" s="1">
        <v>3</v>
      </c>
      <c r="U183" s="1">
        <f t="shared" si="28"/>
        <v>10</v>
      </c>
      <c r="V183" s="12">
        <f t="shared" si="35"/>
        <v>0.66666666666666663</v>
      </c>
      <c r="W183" s="1">
        <v>5</v>
      </c>
      <c r="X183" s="1">
        <v>4</v>
      </c>
      <c r="Y183" s="1">
        <v>4</v>
      </c>
      <c r="Z183" s="1">
        <f t="shared" si="29"/>
        <v>13</v>
      </c>
      <c r="AA183" s="12">
        <f t="shared" si="36"/>
        <v>0.8666666666666667</v>
      </c>
      <c r="AB183" s="2" t="s">
        <v>252</v>
      </c>
    </row>
    <row r="184" spans="1:28" x14ac:dyDescent="0.25">
      <c r="A184" s="1" t="s">
        <v>1658</v>
      </c>
      <c r="B184" s="1" t="s">
        <v>35</v>
      </c>
      <c r="C184" s="1" t="s">
        <v>36</v>
      </c>
      <c r="D184" s="1">
        <v>5</v>
      </c>
      <c r="E184" s="1">
        <v>3</v>
      </c>
      <c r="F184" s="1">
        <v>6</v>
      </c>
      <c r="G184" s="1">
        <v>7</v>
      </c>
      <c r="H184" s="1">
        <v>7</v>
      </c>
      <c r="I184" s="1">
        <v>7</v>
      </c>
      <c r="J184" s="1">
        <v>4</v>
      </c>
      <c r="K184" s="1">
        <f t="shared" si="26"/>
        <v>25</v>
      </c>
      <c r="L184" s="12">
        <f t="shared" si="33"/>
        <v>0.7142857142857143</v>
      </c>
      <c r="M184" s="1">
        <v>7</v>
      </c>
      <c r="N184" s="1">
        <v>7</v>
      </c>
      <c r="O184" s="1">
        <v>6</v>
      </c>
      <c r="P184" s="1">
        <v>3</v>
      </c>
      <c r="Q184" s="1">
        <f t="shared" si="27"/>
        <v>23</v>
      </c>
      <c r="R184" s="12">
        <f t="shared" si="34"/>
        <v>0.65714285714285714</v>
      </c>
      <c r="S184" s="1">
        <v>5</v>
      </c>
      <c r="T184" s="1">
        <v>3</v>
      </c>
      <c r="U184" s="1">
        <f t="shared" si="28"/>
        <v>8</v>
      </c>
      <c r="V184" s="12">
        <f t="shared" si="35"/>
        <v>0.53333333333333333</v>
      </c>
      <c r="W184" s="1">
        <v>4</v>
      </c>
      <c r="X184" s="1">
        <v>4</v>
      </c>
      <c r="Y184" s="1">
        <v>4</v>
      </c>
      <c r="Z184" s="1">
        <f t="shared" si="29"/>
        <v>12</v>
      </c>
      <c r="AA184" s="12">
        <f t="shared" si="36"/>
        <v>0.8</v>
      </c>
      <c r="AB184" s="2" t="s">
        <v>560</v>
      </c>
    </row>
    <row r="185" spans="1:28" x14ac:dyDescent="0.25">
      <c r="A185" s="1" t="s">
        <v>1658</v>
      </c>
      <c r="B185" s="1" t="s">
        <v>35</v>
      </c>
      <c r="C185" s="1" t="s">
        <v>36</v>
      </c>
      <c r="D185" s="1">
        <v>5</v>
      </c>
      <c r="E185" s="1">
        <v>3</v>
      </c>
      <c r="F185" s="1">
        <v>6</v>
      </c>
      <c r="G185" s="1">
        <v>7</v>
      </c>
      <c r="H185" s="1">
        <v>5</v>
      </c>
      <c r="I185" s="1">
        <v>6</v>
      </c>
      <c r="J185" s="1">
        <v>3</v>
      </c>
      <c r="K185" s="1">
        <f t="shared" si="26"/>
        <v>21</v>
      </c>
      <c r="L185" s="12">
        <f t="shared" si="33"/>
        <v>0.6</v>
      </c>
      <c r="M185" s="1">
        <v>6</v>
      </c>
      <c r="N185" s="1">
        <v>6</v>
      </c>
      <c r="O185" s="1">
        <v>5</v>
      </c>
      <c r="P185" s="1">
        <v>3</v>
      </c>
      <c r="Q185" s="1">
        <f t="shared" si="27"/>
        <v>20</v>
      </c>
      <c r="R185" s="12">
        <f t="shared" si="34"/>
        <v>0.5714285714285714</v>
      </c>
      <c r="S185" s="1">
        <v>6</v>
      </c>
      <c r="T185" s="1">
        <v>3</v>
      </c>
      <c r="U185" s="1">
        <f t="shared" si="28"/>
        <v>9</v>
      </c>
      <c r="V185" s="12">
        <f t="shared" si="35"/>
        <v>0.6</v>
      </c>
      <c r="W185" s="1">
        <v>3</v>
      </c>
      <c r="X185" s="1">
        <v>3</v>
      </c>
      <c r="Y185" s="1">
        <v>3</v>
      </c>
      <c r="Z185" s="1">
        <f t="shared" si="29"/>
        <v>9</v>
      </c>
      <c r="AA185" s="12">
        <f t="shared" si="36"/>
        <v>0.6</v>
      </c>
      <c r="AB185" s="2" t="s">
        <v>561</v>
      </c>
    </row>
    <row r="186" spans="1:28" x14ac:dyDescent="0.25">
      <c r="A186" s="1" t="s">
        <v>1658</v>
      </c>
      <c r="B186" s="1" t="s">
        <v>35</v>
      </c>
      <c r="C186" s="1" t="s">
        <v>36</v>
      </c>
      <c r="D186" s="1">
        <v>5</v>
      </c>
      <c r="E186" s="1">
        <v>3</v>
      </c>
      <c r="F186" s="1">
        <v>6</v>
      </c>
      <c r="G186" s="1">
        <v>7</v>
      </c>
      <c r="H186" s="1">
        <v>6</v>
      </c>
      <c r="I186" s="1">
        <v>6</v>
      </c>
      <c r="J186" s="1">
        <v>4</v>
      </c>
      <c r="K186" s="1">
        <f t="shared" si="26"/>
        <v>23</v>
      </c>
      <c r="L186" s="12">
        <f t="shared" si="33"/>
        <v>0.65714285714285714</v>
      </c>
      <c r="M186" s="1">
        <v>7</v>
      </c>
      <c r="N186" s="1">
        <v>6</v>
      </c>
      <c r="O186" s="1">
        <v>6</v>
      </c>
      <c r="P186" s="1">
        <v>3</v>
      </c>
      <c r="Q186" s="1">
        <f t="shared" si="27"/>
        <v>22</v>
      </c>
      <c r="R186" s="12">
        <f t="shared" si="34"/>
        <v>0.62857142857142856</v>
      </c>
      <c r="S186" s="1">
        <v>7</v>
      </c>
      <c r="T186" s="1">
        <v>4</v>
      </c>
      <c r="U186" s="1">
        <f t="shared" si="28"/>
        <v>11</v>
      </c>
      <c r="V186" s="12">
        <f t="shared" si="35"/>
        <v>0.73333333333333328</v>
      </c>
      <c r="W186" s="1">
        <v>4</v>
      </c>
      <c r="X186" s="1">
        <v>4</v>
      </c>
      <c r="Y186" s="1">
        <v>4</v>
      </c>
      <c r="Z186" s="1">
        <f t="shared" si="29"/>
        <v>12</v>
      </c>
      <c r="AA186" s="12">
        <f t="shared" si="36"/>
        <v>0.8</v>
      </c>
      <c r="AB186" s="2" t="s">
        <v>562</v>
      </c>
    </row>
    <row r="187" spans="1:28" x14ac:dyDescent="0.25">
      <c r="A187" s="1" t="s">
        <v>1658</v>
      </c>
      <c r="B187" s="1" t="s">
        <v>35</v>
      </c>
      <c r="C187" s="1" t="s">
        <v>36</v>
      </c>
      <c r="D187" s="1">
        <v>5</v>
      </c>
      <c r="E187" s="1">
        <v>3</v>
      </c>
      <c r="F187" s="1">
        <v>6</v>
      </c>
      <c r="G187" s="1">
        <v>5</v>
      </c>
      <c r="H187" s="1">
        <v>5</v>
      </c>
      <c r="I187" s="1">
        <v>6</v>
      </c>
      <c r="J187" s="1">
        <v>4</v>
      </c>
      <c r="K187" s="1">
        <f t="shared" si="26"/>
        <v>20</v>
      </c>
      <c r="L187" s="12">
        <f t="shared" si="33"/>
        <v>0.5714285714285714</v>
      </c>
      <c r="M187" s="1">
        <v>7</v>
      </c>
      <c r="N187" s="1">
        <v>5</v>
      </c>
      <c r="O187" s="1">
        <v>6</v>
      </c>
      <c r="P187" s="1">
        <v>4</v>
      </c>
      <c r="Q187" s="1">
        <f t="shared" si="27"/>
        <v>22</v>
      </c>
      <c r="R187" s="12">
        <f t="shared" si="34"/>
        <v>0.62857142857142856</v>
      </c>
      <c r="S187" s="1">
        <v>6</v>
      </c>
      <c r="T187" s="1">
        <v>4</v>
      </c>
      <c r="U187" s="1">
        <f t="shared" si="28"/>
        <v>10</v>
      </c>
      <c r="V187" s="12">
        <f t="shared" si="35"/>
        <v>0.66666666666666663</v>
      </c>
      <c r="W187" s="1">
        <v>4</v>
      </c>
      <c r="X187" s="1">
        <v>4</v>
      </c>
      <c r="Y187" s="1">
        <v>3</v>
      </c>
      <c r="Z187" s="1">
        <f t="shared" si="29"/>
        <v>11</v>
      </c>
      <c r="AA187" s="12">
        <f t="shared" si="36"/>
        <v>0.73333333333333328</v>
      </c>
      <c r="AB187" s="2" t="s">
        <v>563</v>
      </c>
    </row>
    <row r="188" spans="1:28" x14ac:dyDescent="0.25">
      <c r="A188" s="1" t="s">
        <v>1658</v>
      </c>
      <c r="B188" s="1" t="s">
        <v>35</v>
      </c>
      <c r="C188" s="1" t="s">
        <v>36</v>
      </c>
      <c r="D188" s="1">
        <v>5</v>
      </c>
      <c r="E188" s="1">
        <v>3</v>
      </c>
      <c r="F188" s="1">
        <v>6</v>
      </c>
      <c r="G188" s="1">
        <v>7</v>
      </c>
      <c r="H188" s="1">
        <v>7</v>
      </c>
      <c r="I188" s="1">
        <v>6</v>
      </c>
      <c r="J188" s="1">
        <v>3</v>
      </c>
      <c r="K188" s="1">
        <f t="shared" si="26"/>
        <v>23</v>
      </c>
      <c r="L188" s="12">
        <f t="shared" si="33"/>
        <v>0.65714285714285714</v>
      </c>
      <c r="M188" s="1">
        <v>6</v>
      </c>
      <c r="N188" s="1">
        <v>5</v>
      </c>
      <c r="O188" s="1">
        <v>5</v>
      </c>
      <c r="P188" s="1">
        <v>3</v>
      </c>
      <c r="Q188" s="1">
        <f t="shared" si="27"/>
        <v>19</v>
      </c>
      <c r="R188" s="12">
        <f t="shared" si="34"/>
        <v>0.54285714285714282</v>
      </c>
      <c r="S188" s="1">
        <v>6</v>
      </c>
      <c r="T188" s="1">
        <v>3</v>
      </c>
      <c r="U188" s="1">
        <f t="shared" si="28"/>
        <v>9</v>
      </c>
      <c r="V188" s="12">
        <f t="shared" si="35"/>
        <v>0.6</v>
      </c>
      <c r="W188" s="1">
        <v>4</v>
      </c>
      <c r="X188" s="1">
        <v>3</v>
      </c>
      <c r="Y188" s="1">
        <v>3</v>
      </c>
      <c r="Z188" s="1">
        <f t="shared" si="29"/>
        <v>10</v>
      </c>
      <c r="AA188" s="12">
        <f t="shared" si="36"/>
        <v>0.66666666666666663</v>
      </c>
      <c r="AB188" s="2" t="s">
        <v>564</v>
      </c>
    </row>
    <row r="189" spans="1:28" x14ac:dyDescent="0.25">
      <c r="A189" s="1" t="s">
        <v>1658</v>
      </c>
      <c r="B189" s="1" t="s">
        <v>35</v>
      </c>
      <c r="C189" s="1" t="s">
        <v>36</v>
      </c>
      <c r="D189" s="1">
        <v>5</v>
      </c>
      <c r="E189" s="1">
        <v>3</v>
      </c>
      <c r="F189" s="1">
        <v>6</v>
      </c>
      <c r="G189" s="1">
        <v>8</v>
      </c>
      <c r="H189" s="1">
        <v>6</v>
      </c>
      <c r="I189" s="1">
        <v>7</v>
      </c>
      <c r="J189" s="1">
        <v>4</v>
      </c>
      <c r="K189" s="1">
        <f t="shared" si="26"/>
        <v>25</v>
      </c>
      <c r="L189" s="12">
        <f t="shared" si="33"/>
        <v>0.7142857142857143</v>
      </c>
      <c r="M189" s="1">
        <v>7</v>
      </c>
      <c r="N189" s="1">
        <v>7</v>
      </c>
      <c r="O189" s="1">
        <v>7</v>
      </c>
      <c r="P189" s="1">
        <v>4</v>
      </c>
      <c r="Q189" s="1">
        <f t="shared" si="27"/>
        <v>25</v>
      </c>
      <c r="R189" s="12">
        <f t="shared" si="34"/>
        <v>0.7142857142857143</v>
      </c>
      <c r="S189" s="1">
        <v>7</v>
      </c>
      <c r="T189" s="1">
        <v>4</v>
      </c>
      <c r="U189" s="1">
        <f t="shared" si="28"/>
        <v>11</v>
      </c>
      <c r="V189" s="12">
        <f t="shared" si="35"/>
        <v>0.73333333333333328</v>
      </c>
      <c r="W189" s="1">
        <v>4</v>
      </c>
      <c r="X189" s="1">
        <v>4</v>
      </c>
      <c r="Y189" s="1">
        <v>4</v>
      </c>
      <c r="Z189" s="1">
        <f t="shared" si="29"/>
        <v>12</v>
      </c>
      <c r="AA189" s="12">
        <f t="shared" si="36"/>
        <v>0.8</v>
      </c>
      <c r="AB189" s="2" t="s">
        <v>565</v>
      </c>
    </row>
    <row r="190" spans="1:28" x14ac:dyDescent="0.25">
      <c r="A190" s="1" t="s">
        <v>1658</v>
      </c>
      <c r="B190" s="1" t="s">
        <v>35</v>
      </c>
      <c r="C190" s="1" t="s">
        <v>36</v>
      </c>
      <c r="D190" s="1">
        <v>5</v>
      </c>
      <c r="E190" s="1">
        <v>3</v>
      </c>
      <c r="F190" s="1">
        <v>6</v>
      </c>
      <c r="G190" s="1">
        <v>8</v>
      </c>
      <c r="H190" s="1">
        <v>7</v>
      </c>
      <c r="I190" s="1">
        <v>6</v>
      </c>
      <c r="J190" s="1">
        <v>3</v>
      </c>
      <c r="K190" s="1">
        <f t="shared" si="26"/>
        <v>24</v>
      </c>
      <c r="L190" s="12">
        <f t="shared" si="33"/>
        <v>0.68571428571428572</v>
      </c>
      <c r="M190" s="1">
        <v>7</v>
      </c>
      <c r="N190" s="1">
        <v>6</v>
      </c>
      <c r="O190" s="1">
        <v>5</v>
      </c>
      <c r="P190" s="1">
        <v>3</v>
      </c>
      <c r="Q190" s="1">
        <f t="shared" si="27"/>
        <v>21</v>
      </c>
      <c r="R190" s="12">
        <f t="shared" si="34"/>
        <v>0.6</v>
      </c>
      <c r="S190" s="1">
        <v>7</v>
      </c>
      <c r="T190" s="1">
        <v>4</v>
      </c>
      <c r="U190" s="1">
        <f t="shared" si="28"/>
        <v>11</v>
      </c>
      <c r="V190" s="12">
        <f t="shared" si="35"/>
        <v>0.73333333333333328</v>
      </c>
      <c r="W190" s="1">
        <v>4</v>
      </c>
      <c r="X190" s="1">
        <v>3</v>
      </c>
      <c r="Y190" s="1">
        <v>3</v>
      </c>
      <c r="Z190" s="1">
        <f t="shared" si="29"/>
        <v>10</v>
      </c>
      <c r="AA190" s="12">
        <f t="shared" si="36"/>
        <v>0.66666666666666663</v>
      </c>
      <c r="AB190" s="2" t="s">
        <v>566</v>
      </c>
    </row>
    <row r="191" spans="1:28" x14ac:dyDescent="0.25">
      <c r="A191" s="1" t="s">
        <v>1658</v>
      </c>
      <c r="B191" s="1" t="s">
        <v>35</v>
      </c>
      <c r="C191" s="1" t="s">
        <v>36</v>
      </c>
      <c r="D191" s="1">
        <v>5</v>
      </c>
      <c r="E191" s="1">
        <v>3</v>
      </c>
      <c r="F191" s="1">
        <v>6</v>
      </c>
      <c r="G191" s="1">
        <v>8</v>
      </c>
      <c r="H191" s="1">
        <v>7</v>
      </c>
      <c r="I191" s="1">
        <v>6</v>
      </c>
      <c r="J191" s="1">
        <v>3</v>
      </c>
      <c r="K191" s="1">
        <f t="shared" si="26"/>
        <v>24</v>
      </c>
      <c r="L191" s="12">
        <f t="shared" si="33"/>
        <v>0.68571428571428572</v>
      </c>
      <c r="M191" s="1">
        <v>8</v>
      </c>
      <c r="N191" s="1">
        <v>7</v>
      </c>
      <c r="O191" s="1">
        <v>6</v>
      </c>
      <c r="P191" s="1">
        <v>3</v>
      </c>
      <c r="Q191" s="1">
        <f t="shared" si="27"/>
        <v>24</v>
      </c>
      <c r="R191" s="12">
        <f t="shared" si="34"/>
        <v>0.68571428571428572</v>
      </c>
      <c r="S191" s="1">
        <v>7</v>
      </c>
      <c r="T191" s="1">
        <v>4</v>
      </c>
      <c r="U191" s="1">
        <f t="shared" si="28"/>
        <v>11</v>
      </c>
      <c r="V191" s="12">
        <f t="shared" si="35"/>
        <v>0.73333333333333328</v>
      </c>
      <c r="W191" s="1">
        <v>4</v>
      </c>
      <c r="X191" s="1">
        <v>3</v>
      </c>
      <c r="Y191" s="1">
        <v>3</v>
      </c>
      <c r="Z191" s="1">
        <f t="shared" si="29"/>
        <v>10</v>
      </c>
      <c r="AA191" s="12">
        <f t="shared" si="36"/>
        <v>0.66666666666666663</v>
      </c>
      <c r="AB191" s="2" t="s">
        <v>567</v>
      </c>
    </row>
    <row r="192" spans="1:28" x14ac:dyDescent="0.25">
      <c r="A192" s="1" t="s">
        <v>1658</v>
      </c>
      <c r="B192" s="1" t="s">
        <v>576</v>
      </c>
      <c r="C192" s="1" t="s">
        <v>36</v>
      </c>
      <c r="D192" s="1">
        <v>27</v>
      </c>
      <c r="E192" s="1">
        <v>2</v>
      </c>
      <c r="F192" s="1">
        <v>2</v>
      </c>
      <c r="G192" s="1">
        <v>5</v>
      </c>
      <c r="H192" s="1">
        <v>6</v>
      </c>
      <c r="I192" s="1">
        <v>6</v>
      </c>
      <c r="J192" s="1">
        <v>2</v>
      </c>
      <c r="K192" s="1">
        <f t="shared" si="26"/>
        <v>19</v>
      </c>
      <c r="L192" s="12">
        <f t="shared" si="33"/>
        <v>0.54285714285714282</v>
      </c>
      <c r="M192" s="1">
        <v>6</v>
      </c>
      <c r="N192" s="1">
        <v>6</v>
      </c>
      <c r="O192" s="1">
        <v>6</v>
      </c>
      <c r="P192" s="1">
        <v>3</v>
      </c>
      <c r="Q192" s="1">
        <f t="shared" si="27"/>
        <v>21</v>
      </c>
      <c r="R192" s="12">
        <f t="shared" si="34"/>
        <v>0.6</v>
      </c>
      <c r="S192" s="1">
        <v>6</v>
      </c>
      <c r="T192" s="1">
        <v>3</v>
      </c>
      <c r="U192" s="1">
        <f t="shared" si="28"/>
        <v>9</v>
      </c>
      <c r="V192" s="12">
        <f t="shared" si="35"/>
        <v>0.6</v>
      </c>
      <c r="W192" s="1">
        <v>2</v>
      </c>
      <c r="X192" s="1">
        <v>2</v>
      </c>
      <c r="Y192" s="1">
        <v>2</v>
      </c>
      <c r="Z192" s="1">
        <f t="shared" si="29"/>
        <v>6</v>
      </c>
      <c r="AA192" s="12">
        <f t="shared" si="36"/>
        <v>0.4</v>
      </c>
      <c r="AB192" s="2" t="s">
        <v>701</v>
      </c>
    </row>
    <row r="193" spans="1:28" x14ac:dyDescent="0.25">
      <c r="A193" s="1" t="s">
        <v>1658</v>
      </c>
      <c r="B193" s="1" t="s">
        <v>576</v>
      </c>
      <c r="C193" s="1" t="s">
        <v>36</v>
      </c>
      <c r="D193" s="1">
        <v>27</v>
      </c>
      <c r="E193" s="1">
        <v>2</v>
      </c>
      <c r="F193" s="1">
        <v>2</v>
      </c>
      <c r="G193" s="1">
        <v>8</v>
      </c>
      <c r="H193" s="1">
        <v>7</v>
      </c>
      <c r="I193" s="1">
        <v>6</v>
      </c>
      <c r="J193" s="1">
        <v>3</v>
      </c>
      <c r="K193" s="1">
        <f t="shared" si="26"/>
        <v>24</v>
      </c>
      <c r="L193" s="12">
        <f t="shared" si="33"/>
        <v>0.68571428571428572</v>
      </c>
      <c r="M193" s="1">
        <v>7</v>
      </c>
      <c r="N193" s="1">
        <v>8</v>
      </c>
      <c r="O193" s="1">
        <v>7</v>
      </c>
      <c r="P193" s="1">
        <v>4</v>
      </c>
      <c r="Q193" s="1">
        <f t="shared" si="27"/>
        <v>26</v>
      </c>
      <c r="R193" s="12">
        <f t="shared" si="34"/>
        <v>0.74285714285714288</v>
      </c>
      <c r="S193" s="1">
        <v>8</v>
      </c>
      <c r="T193" s="1">
        <v>4</v>
      </c>
      <c r="U193" s="1">
        <f t="shared" si="28"/>
        <v>12</v>
      </c>
      <c r="V193" s="12">
        <f t="shared" si="35"/>
        <v>0.8</v>
      </c>
      <c r="W193" s="1">
        <v>4</v>
      </c>
      <c r="X193" s="1">
        <v>4</v>
      </c>
      <c r="Y193" s="1">
        <v>4</v>
      </c>
      <c r="Z193" s="1">
        <f t="shared" si="29"/>
        <v>12</v>
      </c>
      <c r="AA193" s="12">
        <f t="shared" si="36"/>
        <v>0.8</v>
      </c>
      <c r="AB193" s="2" t="s">
        <v>702</v>
      </c>
    </row>
    <row r="194" spans="1:28" x14ac:dyDescent="0.25">
      <c r="A194" s="1" t="s">
        <v>1658</v>
      </c>
      <c r="B194" s="1" t="s">
        <v>576</v>
      </c>
      <c r="C194" s="1" t="s">
        <v>36</v>
      </c>
      <c r="D194" s="1">
        <v>27</v>
      </c>
      <c r="E194" s="1">
        <v>2</v>
      </c>
      <c r="F194" s="1">
        <v>2</v>
      </c>
      <c r="G194" s="1">
        <v>6</v>
      </c>
      <c r="H194" s="1">
        <v>6</v>
      </c>
      <c r="I194" s="1">
        <v>6</v>
      </c>
      <c r="J194" s="1">
        <v>3</v>
      </c>
      <c r="K194" s="1">
        <f t="shared" si="26"/>
        <v>21</v>
      </c>
      <c r="L194" s="12">
        <f t="shared" si="33"/>
        <v>0.6</v>
      </c>
      <c r="M194" s="1">
        <v>5</v>
      </c>
      <c r="N194" s="1">
        <v>5</v>
      </c>
      <c r="O194" s="1">
        <v>5</v>
      </c>
      <c r="P194" s="1">
        <v>2</v>
      </c>
      <c r="Q194" s="1">
        <f t="shared" si="27"/>
        <v>17</v>
      </c>
      <c r="R194" s="12">
        <f t="shared" si="34"/>
        <v>0.48571428571428571</v>
      </c>
      <c r="S194" s="1">
        <v>5</v>
      </c>
      <c r="T194" s="1">
        <v>2</v>
      </c>
      <c r="U194" s="1">
        <f t="shared" si="28"/>
        <v>7</v>
      </c>
      <c r="V194" s="12">
        <f t="shared" si="35"/>
        <v>0.46666666666666667</v>
      </c>
      <c r="W194" s="1">
        <v>3</v>
      </c>
      <c r="X194" s="1">
        <v>3</v>
      </c>
      <c r="Y194" s="1">
        <v>3</v>
      </c>
      <c r="Z194" s="1">
        <f t="shared" si="29"/>
        <v>9</v>
      </c>
      <c r="AA194" s="12">
        <f t="shared" si="36"/>
        <v>0.6</v>
      </c>
      <c r="AB194" s="2" t="s">
        <v>703</v>
      </c>
    </row>
    <row r="195" spans="1:28" x14ac:dyDescent="0.25">
      <c r="A195" s="1" t="s">
        <v>1658</v>
      </c>
      <c r="B195" s="1" t="s">
        <v>576</v>
      </c>
      <c r="C195" s="1" t="s">
        <v>36</v>
      </c>
      <c r="D195" s="1">
        <v>27</v>
      </c>
      <c r="E195" s="1">
        <v>2</v>
      </c>
      <c r="F195" s="1">
        <v>2</v>
      </c>
      <c r="G195" s="1">
        <v>9</v>
      </c>
      <c r="H195" s="1">
        <v>6</v>
      </c>
      <c r="I195" s="1">
        <v>9</v>
      </c>
      <c r="J195" s="1">
        <v>4</v>
      </c>
      <c r="K195" s="1">
        <f t="shared" ref="K195:K258" si="37">SUM(G195:J195)</f>
        <v>28</v>
      </c>
      <c r="L195" s="12">
        <f t="shared" si="33"/>
        <v>0.8</v>
      </c>
      <c r="M195" s="1">
        <v>8</v>
      </c>
      <c r="N195" s="1">
        <v>8</v>
      </c>
      <c r="O195" s="1">
        <v>7</v>
      </c>
      <c r="P195" s="1">
        <v>4</v>
      </c>
      <c r="Q195" s="1">
        <f t="shared" ref="Q195:Q258" si="38">SUM(M195:P195)</f>
        <v>27</v>
      </c>
      <c r="R195" s="12">
        <f t="shared" si="34"/>
        <v>0.77142857142857146</v>
      </c>
      <c r="S195" s="1">
        <v>8</v>
      </c>
      <c r="T195" s="1">
        <v>3</v>
      </c>
      <c r="U195" s="1">
        <f t="shared" ref="U195:U258" si="39">SUM(S195:T195)</f>
        <v>11</v>
      </c>
      <c r="V195" s="12">
        <f t="shared" si="35"/>
        <v>0.73333333333333328</v>
      </c>
      <c r="W195" s="1">
        <v>4</v>
      </c>
      <c r="X195" s="1">
        <v>5</v>
      </c>
      <c r="Y195" s="1">
        <v>5</v>
      </c>
      <c r="Z195" s="1">
        <f t="shared" ref="Z195:Z258" si="40">SUM(W195:Y195)</f>
        <v>14</v>
      </c>
      <c r="AA195" s="12">
        <f t="shared" si="36"/>
        <v>0.93333333333333335</v>
      </c>
      <c r="AB195" s="2" t="s">
        <v>704</v>
      </c>
    </row>
    <row r="196" spans="1:28" x14ac:dyDescent="0.25">
      <c r="A196" s="1" t="s">
        <v>1658</v>
      </c>
      <c r="B196" s="1" t="s">
        <v>576</v>
      </c>
      <c r="C196" s="1" t="s">
        <v>36</v>
      </c>
      <c r="D196" s="1">
        <v>27</v>
      </c>
      <c r="E196" s="1">
        <v>2</v>
      </c>
      <c r="F196" s="1">
        <v>2</v>
      </c>
      <c r="G196" s="1">
        <v>8</v>
      </c>
      <c r="H196" s="1">
        <v>8</v>
      </c>
      <c r="I196" s="1">
        <v>9</v>
      </c>
      <c r="J196" s="1">
        <v>4</v>
      </c>
      <c r="K196" s="1">
        <f t="shared" si="37"/>
        <v>29</v>
      </c>
      <c r="L196" s="12">
        <f t="shared" si="33"/>
        <v>0.82857142857142863</v>
      </c>
      <c r="M196" s="1">
        <v>6</v>
      </c>
      <c r="N196" s="1">
        <v>6</v>
      </c>
      <c r="O196" s="1">
        <v>5</v>
      </c>
      <c r="P196" s="1">
        <v>3</v>
      </c>
      <c r="Q196" s="1">
        <f t="shared" si="38"/>
        <v>20</v>
      </c>
      <c r="R196" s="12">
        <f t="shared" si="34"/>
        <v>0.5714285714285714</v>
      </c>
      <c r="S196" s="1">
        <v>8</v>
      </c>
      <c r="T196" s="1">
        <v>4</v>
      </c>
      <c r="U196" s="1">
        <f t="shared" si="39"/>
        <v>12</v>
      </c>
      <c r="V196" s="12">
        <f t="shared" si="35"/>
        <v>0.8</v>
      </c>
      <c r="W196" s="1">
        <v>5</v>
      </c>
      <c r="X196" s="1">
        <v>4</v>
      </c>
      <c r="Y196" s="1">
        <v>5</v>
      </c>
      <c r="Z196" s="1">
        <f t="shared" si="40"/>
        <v>14</v>
      </c>
      <c r="AA196" s="12">
        <f t="shared" si="36"/>
        <v>0.93333333333333335</v>
      </c>
      <c r="AB196" s="2" t="s">
        <v>705</v>
      </c>
    </row>
    <row r="197" spans="1:28" x14ac:dyDescent="0.25">
      <c r="A197" s="1" t="s">
        <v>1658</v>
      </c>
      <c r="B197" s="1" t="s">
        <v>576</v>
      </c>
      <c r="C197" s="1" t="s">
        <v>36</v>
      </c>
      <c r="D197" s="1">
        <v>27</v>
      </c>
      <c r="E197" s="1">
        <v>2</v>
      </c>
      <c r="F197" s="1">
        <v>2</v>
      </c>
      <c r="G197" s="1">
        <v>7</v>
      </c>
      <c r="H197" s="1">
        <v>7</v>
      </c>
      <c r="I197" s="1">
        <v>7</v>
      </c>
      <c r="J197" s="1">
        <v>3</v>
      </c>
      <c r="K197" s="1">
        <f t="shared" si="37"/>
        <v>24</v>
      </c>
      <c r="L197" s="12">
        <f t="shared" si="33"/>
        <v>0.68571428571428572</v>
      </c>
      <c r="M197" s="1">
        <v>7</v>
      </c>
      <c r="N197" s="1">
        <v>7</v>
      </c>
      <c r="O197" s="1">
        <v>6</v>
      </c>
      <c r="P197" s="1">
        <v>3</v>
      </c>
      <c r="Q197" s="1">
        <f t="shared" si="38"/>
        <v>23</v>
      </c>
      <c r="R197" s="12">
        <f t="shared" si="34"/>
        <v>0.65714285714285714</v>
      </c>
      <c r="S197" s="1">
        <v>7</v>
      </c>
      <c r="T197" s="1">
        <v>4</v>
      </c>
      <c r="U197" s="1">
        <f t="shared" si="39"/>
        <v>11</v>
      </c>
      <c r="V197" s="12">
        <f t="shared" si="35"/>
        <v>0.73333333333333328</v>
      </c>
      <c r="W197" s="1">
        <v>5</v>
      </c>
      <c r="X197" s="1">
        <v>4</v>
      </c>
      <c r="Y197" s="1">
        <v>4</v>
      </c>
      <c r="Z197" s="1">
        <f t="shared" si="40"/>
        <v>13</v>
      </c>
      <c r="AA197" s="12">
        <f t="shared" si="36"/>
        <v>0.8666666666666667</v>
      </c>
      <c r="AB197" s="2" t="s">
        <v>706</v>
      </c>
    </row>
    <row r="198" spans="1:28" x14ac:dyDescent="0.25">
      <c r="A198" s="1" t="s">
        <v>1658</v>
      </c>
      <c r="B198" s="1" t="s">
        <v>576</v>
      </c>
      <c r="C198" s="1" t="s">
        <v>36</v>
      </c>
      <c r="D198" s="1">
        <v>12</v>
      </c>
      <c r="E198" s="1">
        <v>3</v>
      </c>
      <c r="F198" s="1">
        <v>4</v>
      </c>
      <c r="G198" s="1">
        <v>6</v>
      </c>
      <c r="H198" s="1">
        <v>7</v>
      </c>
      <c r="I198" s="1">
        <v>6</v>
      </c>
      <c r="J198" s="1">
        <v>3</v>
      </c>
      <c r="K198" s="1">
        <f t="shared" si="37"/>
        <v>22</v>
      </c>
      <c r="L198" s="12">
        <f t="shared" si="33"/>
        <v>0.62857142857142856</v>
      </c>
      <c r="M198" s="1">
        <v>6</v>
      </c>
      <c r="N198" s="1">
        <v>6</v>
      </c>
      <c r="O198" s="1">
        <v>6</v>
      </c>
      <c r="P198" s="1">
        <v>3</v>
      </c>
      <c r="Q198" s="1">
        <f t="shared" si="38"/>
        <v>21</v>
      </c>
      <c r="R198" s="12">
        <f t="shared" si="34"/>
        <v>0.6</v>
      </c>
      <c r="S198" s="1">
        <v>6</v>
      </c>
      <c r="T198" s="1">
        <v>4</v>
      </c>
      <c r="U198" s="1">
        <f t="shared" si="39"/>
        <v>10</v>
      </c>
      <c r="V198" s="12">
        <f t="shared" si="35"/>
        <v>0.66666666666666663</v>
      </c>
      <c r="W198" s="1">
        <v>3</v>
      </c>
      <c r="X198" s="1">
        <v>3</v>
      </c>
      <c r="Y198" s="1">
        <v>3</v>
      </c>
      <c r="Z198" s="1">
        <f t="shared" si="40"/>
        <v>9</v>
      </c>
      <c r="AA198" s="12">
        <f t="shared" si="36"/>
        <v>0.6</v>
      </c>
      <c r="AB198" s="2" t="s">
        <v>832</v>
      </c>
    </row>
    <row r="199" spans="1:28" x14ac:dyDescent="0.25">
      <c r="A199" s="1" t="s">
        <v>1658</v>
      </c>
      <c r="B199" s="1" t="s">
        <v>576</v>
      </c>
      <c r="C199" s="1" t="s">
        <v>36</v>
      </c>
      <c r="D199" s="1">
        <v>12</v>
      </c>
      <c r="E199" s="1">
        <v>3</v>
      </c>
      <c r="F199" s="1">
        <v>4</v>
      </c>
      <c r="G199" s="1">
        <v>6</v>
      </c>
      <c r="H199" s="1">
        <v>7</v>
      </c>
      <c r="I199" s="1">
        <v>7</v>
      </c>
      <c r="J199" s="1">
        <v>3</v>
      </c>
      <c r="K199" s="1">
        <f t="shared" si="37"/>
        <v>23</v>
      </c>
      <c r="L199" s="12">
        <f t="shared" si="33"/>
        <v>0.65714285714285714</v>
      </c>
      <c r="M199" s="1">
        <v>6</v>
      </c>
      <c r="N199" s="1">
        <v>6</v>
      </c>
      <c r="O199" s="1">
        <v>5</v>
      </c>
      <c r="P199" s="1">
        <v>3</v>
      </c>
      <c r="Q199" s="1">
        <f t="shared" si="38"/>
        <v>20</v>
      </c>
      <c r="R199" s="12">
        <f t="shared" si="34"/>
        <v>0.5714285714285714</v>
      </c>
      <c r="S199" s="1">
        <v>6</v>
      </c>
      <c r="T199" s="1">
        <v>3</v>
      </c>
      <c r="U199" s="1">
        <f t="shared" si="39"/>
        <v>9</v>
      </c>
      <c r="V199" s="12">
        <f t="shared" si="35"/>
        <v>0.6</v>
      </c>
      <c r="W199" s="1">
        <v>3</v>
      </c>
      <c r="X199" s="1">
        <v>3</v>
      </c>
      <c r="Y199" s="1">
        <v>4</v>
      </c>
      <c r="Z199" s="1">
        <f t="shared" si="40"/>
        <v>10</v>
      </c>
      <c r="AA199" s="12">
        <f t="shared" si="36"/>
        <v>0.66666666666666663</v>
      </c>
      <c r="AB199" s="2" t="s">
        <v>833</v>
      </c>
    </row>
    <row r="200" spans="1:28" x14ac:dyDescent="0.25">
      <c r="A200" s="1" t="s">
        <v>1658</v>
      </c>
      <c r="B200" s="1" t="s">
        <v>576</v>
      </c>
      <c r="C200" s="1" t="s">
        <v>36</v>
      </c>
      <c r="D200" s="1">
        <v>12</v>
      </c>
      <c r="E200" s="1">
        <v>3</v>
      </c>
      <c r="F200" s="1">
        <v>4</v>
      </c>
      <c r="G200" s="1">
        <v>7</v>
      </c>
      <c r="H200" s="1">
        <v>7</v>
      </c>
      <c r="I200" s="1">
        <v>6</v>
      </c>
      <c r="J200" s="1">
        <v>3</v>
      </c>
      <c r="K200" s="1">
        <f t="shared" si="37"/>
        <v>23</v>
      </c>
      <c r="L200" s="12">
        <f t="shared" si="33"/>
        <v>0.65714285714285714</v>
      </c>
      <c r="M200" s="1">
        <v>7</v>
      </c>
      <c r="N200" s="1">
        <v>7</v>
      </c>
      <c r="O200" s="1">
        <v>6</v>
      </c>
      <c r="P200" s="1">
        <v>3</v>
      </c>
      <c r="Q200" s="1">
        <f t="shared" si="38"/>
        <v>23</v>
      </c>
      <c r="R200" s="12">
        <f t="shared" si="34"/>
        <v>0.65714285714285714</v>
      </c>
      <c r="S200" s="1">
        <v>5</v>
      </c>
      <c r="T200" s="1">
        <v>2</v>
      </c>
      <c r="U200" s="1">
        <f t="shared" si="39"/>
        <v>7</v>
      </c>
      <c r="V200" s="12">
        <f t="shared" si="35"/>
        <v>0.46666666666666667</v>
      </c>
      <c r="W200" s="1">
        <v>3</v>
      </c>
      <c r="X200" s="1">
        <v>3</v>
      </c>
      <c r="Y200" s="1">
        <v>3</v>
      </c>
      <c r="Z200" s="1">
        <f t="shared" si="40"/>
        <v>9</v>
      </c>
      <c r="AA200" s="12">
        <f t="shared" si="36"/>
        <v>0.6</v>
      </c>
      <c r="AB200" s="2" t="s">
        <v>834</v>
      </c>
    </row>
    <row r="201" spans="1:28" x14ac:dyDescent="0.25">
      <c r="A201" s="1" t="s">
        <v>1658</v>
      </c>
      <c r="B201" s="1" t="s">
        <v>576</v>
      </c>
      <c r="C201" s="1" t="s">
        <v>36</v>
      </c>
      <c r="D201" s="1">
        <v>12</v>
      </c>
      <c r="E201" s="1">
        <v>3</v>
      </c>
      <c r="F201" s="1">
        <v>4</v>
      </c>
      <c r="G201" s="1">
        <v>7</v>
      </c>
      <c r="H201" s="1">
        <v>7</v>
      </c>
      <c r="I201" s="1">
        <v>7</v>
      </c>
      <c r="J201" s="1">
        <v>3</v>
      </c>
      <c r="K201" s="1">
        <f t="shared" si="37"/>
        <v>24</v>
      </c>
      <c r="L201" s="12">
        <f t="shared" si="33"/>
        <v>0.68571428571428572</v>
      </c>
      <c r="M201" s="1">
        <v>7</v>
      </c>
      <c r="N201" s="1">
        <v>7</v>
      </c>
      <c r="O201" s="1">
        <v>6</v>
      </c>
      <c r="P201" s="1">
        <v>4</v>
      </c>
      <c r="Q201" s="1">
        <f t="shared" si="38"/>
        <v>24</v>
      </c>
      <c r="R201" s="12">
        <f t="shared" si="34"/>
        <v>0.68571428571428572</v>
      </c>
      <c r="S201" s="1">
        <v>7</v>
      </c>
      <c r="T201" s="1">
        <v>3</v>
      </c>
      <c r="U201" s="1">
        <f t="shared" si="39"/>
        <v>10</v>
      </c>
      <c r="V201" s="12">
        <f t="shared" si="35"/>
        <v>0.66666666666666663</v>
      </c>
      <c r="W201" s="1">
        <v>4</v>
      </c>
      <c r="X201" s="1">
        <v>3</v>
      </c>
      <c r="Y201" s="1">
        <v>4</v>
      </c>
      <c r="Z201" s="1">
        <f t="shared" si="40"/>
        <v>11</v>
      </c>
      <c r="AA201" s="12">
        <f t="shared" si="36"/>
        <v>0.73333333333333328</v>
      </c>
      <c r="AB201" s="2" t="s">
        <v>835</v>
      </c>
    </row>
    <row r="202" spans="1:28" x14ac:dyDescent="0.25">
      <c r="A202" s="1" t="s">
        <v>1658</v>
      </c>
      <c r="B202" s="1" t="s">
        <v>576</v>
      </c>
      <c r="C202" s="1" t="s">
        <v>36</v>
      </c>
      <c r="D202" s="1">
        <v>12</v>
      </c>
      <c r="E202" s="1">
        <v>3</v>
      </c>
      <c r="F202" s="1">
        <v>4</v>
      </c>
      <c r="G202" s="1">
        <v>7</v>
      </c>
      <c r="H202" s="1">
        <v>8</v>
      </c>
      <c r="I202" s="1">
        <v>7</v>
      </c>
      <c r="J202" s="1">
        <v>4</v>
      </c>
      <c r="K202" s="1">
        <f t="shared" si="37"/>
        <v>26</v>
      </c>
      <c r="L202" s="12">
        <f t="shared" si="33"/>
        <v>0.74285714285714288</v>
      </c>
      <c r="M202" s="1">
        <v>7</v>
      </c>
      <c r="N202" s="1">
        <v>7</v>
      </c>
      <c r="O202" s="1">
        <v>7</v>
      </c>
      <c r="P202" s="1">
        <v>3</v>
      </c>
      <c r="Q202" s="1">
        <f t="shared" si="38"/>
        <v>24</v>
      </c>
      <c r="R202" s="12">
        <f t="shared" si="34"/>
        <v>0.68571428571428572</v>
      </c>
      <c r="S202" s="1">
        <v>6</v>
      </c>
      <c r="T202" s="1">
        <v>4</v>
      </c>
      <c r="U202" s="1">
        <f t="shared" si="39"/>
        <v>10</v>
      </c>
      <c r="V202" s="12">
        <f t="shared" si="35"/>
        <v>0.66666666666666663</v>
      </c>
      <c r="W202" s="1">
        <v>4</v>
      </c>
      <c r="X202" s="1">
        <v>3</v>
      </c>
      <c r="Y202" s="1">
        <v>4</v>
      </c>
      <c r="Z202" s="1">
        <f t="shared" si="40"/>
        <v>11</v>
      </c>
      <c r="AA202" s="12">
        <f t="shared" si="36"/>
        <v>0.73333333333333328</v>
      </c>
      <c r="AB202" s="2" t="s">
        <v>836</v>
      </c>
    </row>
    <row r="203" spans="1:28" x14ac:dyDescent="0.25">
      <c r="A203" s="1" t="s">
        <v>1658</v>
      </c>
      <c r="B203" s="1" t="s">
        <v>576</v>
      </c>
      <c r="C203" s="1" t="s">
        <v>36</v>
      </c>
      <c r="D203" s="1">
        <v>12</v>
      </c>
      <c r="E203" s="1">
        <v>3</v>
      </c>
      <c r="F203" s="1">
        <v>4</v>
      </c>
      <c r="G203" s="1">
        <v>7</v>
      </c>
      <c r="H203" s="1">
        <v>6</v>
      </c>
      <c r="I203" s="1">
        <v>6</v>
      </c>
      <c r="J203" s="1">
        <v>2</v>
      </c>
      <c r="K203" s="1">
        <f t="shared" si="37"/>
        <v>21</v>
      </c>
      <c r="L203" s="12">
        <f t="shared" si="33"/>
        <v>0.6</v>
      </c>
      <c r="M203" s="1">
        <v>6</v>
      </c>
      <c r="N203" s="1">
        <v>5</v>
      </c>
      <c r="O203" s="1">
        <v>5</v>
      </c>
      <c r="P203" s="1">
        <v>2</v>
      </c>
      <c r="Q203" s="1">
        <f t="shared" si="38"/>
        <v>18</v>
      </c>
      <c r="R203" s="12">
        <f t="shared" si="34"/>
        <v>0.51428571428571423</v>
      </c>
      <c r="S203" s="1">
        <v>6</v>
      </c>
      <c r="T203" s="1">
        <v>2</v>
      </c>
      <c r="U203" s="1">
        <f t="shared" si="39"/>
        <v>8</v>
      </c>
      <c r="V203" s="12">
        <f t="shared" si="35"/>
        <v>0.53333333333333333</v>
      </c>
      <c r="W203" s="1">
        <v>4</v>
      </c>
      <c r="X203" s="1">
        <v>3</v>
      </c>
      <c r="Y203" s="1">
        <v>3</v>
      </c>
      <c r="Z203" s="1">
        <f t="shared" si="40"/>
        <v>10</v>
      </c>
      <c r="AA203" s="12">
        <f t="shared" si="36"/>
        <v>0.66666666666666663</v>
      </c>
      <c r="AB203" s="2" t="s">
        <v>837</v>
      </c>
    </row>
    <row r="204" spans="1:28" x14ac:dyDescent="0.25">
      <c r="A204" s="1" t="s">
        <v>1658</v>
      </c>
      <c r="B204" s="1" t="s">
        <v>576</v>
      </c>
      <c r="C204" s="1" t="s">
        <v>36</v>
      </c>
      <c r="D204" s="1">
        <v>12</v>
      </c>
      <c r="E204" s="1">
        <v>3</v>
      </c>
      <c r="F204" s="1">
        <v>4</v>
      </c>
      <c r="G204" s="1">
        <v>8</v>
      </c>
      <c r="H204" s="1">
        <v>7</v>
      </c>
      <c r="I204" s="1">
        <v>7</v>
      </c>
      <c r="J204" s="1">
        <v>4</v>
      </c>
      <c r="K204" s="1">
        <f t="shared" si="37"/>
        <v>26</v>
      </c>
      <c r="L204" s="12">
        <f t="shared" si="33"/>
        <v>0.74285714285714288</v>
      </c>
      <c r="M204" s="1">
        <v>7</v>
      </c>
      <c r="N204" s="1">
        <v>7</v>
      </c>
      <c r="O204" s="1">
        <v>8</v>
      </c>
      <c r="P204" s="1">
        <v>4</v>
      </c>
      <c r="Q204" s="1">
        <f t="shared" si="38"/>
        <v>26</v>
      </c>
      <c r="R204" s="12">
        <f t="shared" si="34"/>
        <v>0.74285714285714288</v>
      </c>
      <c r="S204" s="1">
        <v>8</v>
      </c>
      <c r="T204" s="1">
        <v>3</v>
      </c>
      <c r="U204" s="1">
        <f t="shared" si="39"/>
        <v>11</v>
      </c>
      <c r="V204" s="12">
        <f t="shared" si="35"/>
        <v>0.73333333333333328</v>
      </c>
      <c r="W204" s="1">
        <v>4</v>
      </c>
      <c r="X204" s="1">
        <v>4</v>
      </c>
      <c r="Y204" s="1">
        <v>4</v>
      </c>
      <c r="Z204" s="1">
        <f t="shared" si="40"/>
        <v>12</v>
      </c>
      <c r="AA204" s="12">
        <f t="shared" si="36"/>
        <v>0.8</v>
      </c>
      <c r="AB204" s="2" t="s">
        <v>838</v>
      </c>
    </row>
    <row r="205" spans="1:28" x14ac:dyDescent="0.25">
      <c r="A205" s="1" t="s">
        <v>1658</v>
      </c>
      <c r="B205" s="1" t="s">
        <v>35</v>
      </c>
      <c r="C205" s="1" t="s">
        <v>861</v>
      </c>
      <c r="D205" s="1">
        <v>18</v>
      </c>
      <c r="E205" s="1">
        <v>2</v>
      </c>
      <c r="F205" s="1">
        <v>1</v>
      </c>
      <c r="G205" s="1">
        <v>6</v>
      </c>
      <c r="H205" s="1">
        <v>4</v>
      </c>
      <c r="I205" s="1">
        <v>4</v>
      </c>
      <c r="J205" s="1">
        <v>3</v>
      </c>
      <c r="K205" s="1">
        <f t="shared" si="37"/>
        <v>17</v>
      </c>
      <c r="L205" s="12">
        <f t="shared" ref="L205:L227" si="41">K205/40</f>
        <v>0.42499999999999999</v>
      </c>
      <c r="M205" s="1">
        <v>4</v>
      </c>
      <c r="N205" s="1">
        <v>4</v>
      </c>
      <c r="O205" s="1">
        <v>4</v>
      </c>
      <c r="P205" s="1">
        <v>4</v>
      </c>
      <c r="Q205" s="1">
        <f t="shared" si="38"/>
        <v>16</v>
      </c>
      <c r="R205" s="12">
        <f t="shared" ref="R205:R227" si="42">Q205/40</f>
        <v>0.4</v>
      </c>
      <c r="S205" s="1">
        <v>5</v>
      </c>
      <c r="T205" s="1">
        <v>4</v>
      </c>
      <c r="U205" s="1">
        <f t="shared" si="39"/>
        <v>9</v>
      </c>
      <c r="V205" s="12">
        <f t="shared" ref="V205:V227" si="43">U205/20</f>
        <v>0.45</v>
      </c>
      <c r="Z205" s="1">
        <f t="shared" si="40"/>
        <v>0</v>
      </c>
      <c r="AB205" s="2" t="s">
        <v>1028</v>
      </c>
    </row>
    <row r="206" spans="1:28" x14ac:dyDescent="0.25">
      <c r="A206" s="1" t="s">
        <v>1658</v>
      </c>
      <c r="B206" s="1" t="s">
        <v>35</v>
      </c>
      <c r="C206" s="1" t="s">
        <v>861</v>
      </c>
      <c r="D206" s="1">
        <v>18</v>
      </c>
      <c r="E206" s="1">
        <v>2</v>
      </c>
      <c r="F206" s="1">
        <v>1</v>
      </c>
      <c r="G206" s="1">
        <v>7</v>
      </c>
      <c r="H206" s="1">
        <v>7</v>
      </c>
      <c r="I206" s="1">
        <v>7</v>
      </c>
      <c r="J206" s="1">
        <v>6</v>
      </c>
      <c r="K206" s="1">
        <f t="shared" si="37"/>
        <v>27</v>
      </c>
      <c r="L206" s="12">
        <f t="shared" si="41"/>
        <v>0.67500000000000004</v>
      </c>
      <c r="M206" s="1">
        <v>6</v>
      </c>
      <c r="N206" s="1">
        <v>7</v>
      </c>
      <c r="O206" s="1">
        <v>6</v>
      </c>
      <c r="P206" s="1">
        <v>5</v>
      </c>
      <c r="Q206" s="1">
        <f t="shared" si="38"/>
        <v>24</v>
      </c>
      <c r="R206" s="12">
        <f t="shared" si="42"/>
        <v>0.6</v>
      </c>
      <c r="S206" s="1">
        <v>5</v>
      </c>
      <c r="T206" s="1">
        <v>5</v>
      </c>
      <c r="U206" s="1">
        <f t="shared" si="39"/>
        <v>10</v>
      </c>
      <c r="V206" s="12">
        <f t="shared" si="43"/>
        <v>0.5</v>
      </c>
      <c r="Z206" s="1">
        <f t="shared" si="40"/>
        <v>0</v>
      </c>
      <c r="AB206" s="2" t="s">
        <v>1029</v>
      </c>
    </row>
    <row r="207" spans="1:28" x14ac:dyDescent="0.25">
      <c r="A207" s="1" t="s">
        <v>1658</v>
      </c>
      <c r="B207" s="1" t="s">
        <v>35</v>
      </c>
      <c r="C207" s="1" t="s">
        <v>861</v>
      </c>
      <c r="D207" s="1">
        <v>18</v>
      </c>
      <c r="E207" s="1">
        <v>2</v>
      </c>
      <c r="F207" s="1">
        <v>1</v>
      </c>
      <c r="G207" s="1">
        <v>3</v>
      </c>
      <c r="H207" s="1">
        <v>3</v>
      </c>
      <c r="I207" s="1">
        <v>3</v>
      </c>
      <c r="J207" s="1">
        <v>2</v>
      </c>
      <c r="K207" s="1">
        <f t="shared" si="37"/>
        <v>11</v>
      </c>
      <c r="L207" s="12">
        <f t="shared" si="41"/>
        <v>0.27500000000000002</v>
      </c>
      <c r="M207" s="1">
        <v>3</v>
      </c>
      <c r="N207" s="1">
        <v>3</v>
      </c>
      <c r="O207" s="1">
        <v>2</v>
      </c>
      <c r="P207" s="1">
        <v>3</v>
      </c>
      <c r="Q207" s="1">
        <f t="shared" si="38"/>
        <v>11</v>
      </c>
      <c r="R207" s="12">
        <f t="shared" si="42"/>
        <v>0.27500000000000002</v>
      </c>
      <c r="S207" s="1">
        <v>3</v>
      </c>
      <c r="T207" s="1">
        <v>2</v>
      </c>
      <c r="U207" s="1">
        <f t="shared" si="39"/>
        <v>5</v>
      </c>
      <c r="V207" s="12">
        <f t="shared" si="43"/>
        <v>0.25</v>
      </c>
      <c r="Z207" s="1">
        <f t="shared" si="40"/>
        <v>0</v>
      </c>
      <c r="AB207" s="2" t="s">
        <v>1030</v>
      </c>
    </row>
    <row r="208" spans="1:28" x14ac:dyDescent="0.25">
      <c r="A208" s="1" t="s">
        <v>1658</v>
      </c>
      <c r="B208" s="1" t="s">
        <v>35</v>
      </c>
      <c r="C208" s="1" t="s">
        <v>861</v>
      </c>
      <c r="D208" s="1">
        <v>18</v>
      </c>
      <c r="E208" s="1">
        <v>2</v>
      </c>
      <c r="F208" s="1">
        <v>1</v>
      </c>
      <c r="G208" s="1">
        <v>7</v>
      </c>
      <c r="H208" s="1">
        <v>6</v>
      </c>
      <c r="I208" s="1">
        <v>6</v>
      </c>
      <c r="J208" s="1">
        <v>6</v>
      </c>
      <c r="K208" s="1">
        <f t="shared" si="37"/>
        <v>25</v>
      </c>
      <c r="L208" s="12">
        <f t="shared" si="41"/>
        <v>0.625</v>
      </c>
      <c r="M208" s="1">
        <v>6</v>
      </c>
      <c r="N208" s="1">
        <v>5</v>
      </c>
      <c r="O208" s="1">
        <v>5</v>
      </c>
      <c r="P208" s="1">
        <v>5</v>
      </c>
      <c r="Q208" s="1">
        <f t="shared" si="38"/>
        <v>21</v>
      </c>
      <c r="R208" s="12">
        <f t="shared" si="42"/>
        <v>0.52500000000000002</v>
      </c>
      <c r="S208" s="1">
        <v>6</v>
      </c>
      <c r="T208" s="1">
        <v>7</v>
      </c>
      <c r="U208" s="1">
        <f t="shared" si="39"/>
        <v>13</v>
      </c>
      <c r="V208" s="12">
        <f t="shared" si="43"/>
        <v>0.65</v>
      </c>
      <c r="Z208" s="1">
        <f t="shared" si="40"/>
        <v>0</v>
      </c>
      <c r="AB208" s="2" t="s">
        <v>1031</v>
      </c>
    </row>
    <row r="209" spans="1:28" x14ac:dyDescent="0.25">
      <c r="A209" s="1" t="s">
        <v>1658</v>
      </c>
      <c r="B209" s="1" t="s">
        <v>35</v>
      </c>
      <c r="C209" s="1" t="s">
        <v>861</v>
      </c>
      <c r="D209" s="1">
        <v>18</v>
      </c>
      <c r="E209" s="1">
        <v>2</v>
      </c>
      <c r="F209" s="1">
        <v>1</v>
      </c>
      <c r="G209" s="1">
        <v>5</v>
      </c>
      <c r="H209" s="1">
        <v>4</v>
      </c>
      <c r="I209" s="1">
        <v>4</v>
      </c>
      <c r="J209" s="1">
        <v>3</v>
      </c>
      <c r="K209" s="1">
        <f t="shared" si="37"/>
        <v>16</v>
      </c>
      <c r="L209" s="12">
        <f t="shared" si="41"/>
        <v>0.4</v>
      </c>
      <c r="M209" s="1">
        <v>4</v>
      </c>
      <c r="N209" s="1">
        <v>3</v>
      </c>
      <c r="O209" s="1">
        <v>3</v>
      </c>
      <c r="P209" s="1">
        <v>2</v>
      </c>
      <c r="Q209" s="1">
        <f t="shared" si="38"/>
        <v>12</v>
      </c>
      <c r="R209" s="12">
        <f t="shared" si="42"/>
        <v>0.3</v>
      </c>
      <c r="S209" s="1">
        <v>3</v>
      </c>
      <c r="T209" s="1">
        <v>5</v>
      </c>
      <c r="U209" s="1">
        <f t="shared" si="39"/>
        <v>8</v>
      </c>
      <c r="V209" s="12">
        <f t="shared" si="43"/>
        <v>0.4</v>
      </c>
      <c r="Z209" s="1">
        <f t="shared" si="40"/>
        <v>0</v>
      </c>
      <c r="AB209" s="2" t="s">
        <v>1032</v>
      </c>
    </row>
    <row r="210" spans="1:28" x14ac:dyDescent="0.25">
      <c r="A210" s="1" t="s">
        <v>1658</v>
      </c>
      <c r="B210" s="1" t="s">
        <v>35</v>
      </c>
      <c r="C210" s="1" t="s">
        <v>861</v>
      </c>
      <c r="D210" s="1">
        <v>18</v>
      </c>
      <c r="E210" s="1">
        <v>2</v>
      </c>
      <c r="F210" s="1">
        <v>1</v>
      </c>
      <c r="G210" s="1">
        <v>8</v>
      </c>
      <c r="H210" s="1">
        <v>7</v>
      </c>
      <c r="I210" s="1">
        <v>7</v>
      </c>
      <c r="J210" s="1">
        <v>7</v>
      </c>
      <c r="K210" s="1">
        <f t="shared" si="37"/>
        <v>29</v>
      </c>
      <c r="L210" s="12">
        <f t="shared" si="41"/>
        <v>0.72499999999999998</v>
      </c>
      <c r="M210" s="1">
        <v>8</v>
      </c>
      <c r="N210" s="1">
        <v>7</v>
      </c>
      <c r="O210" s="1">
        <v>8</v>
      </c>
      <c r="P210" s="1">
        <v>7</v>
      </c>
      <c r="Q210" s="1">
        <f t="shared" si="38"/>
        <v>30</v>
      </c>
      <c r="R210" s="12">
        <f t="shared" si="42"/>
        <v>0.75</v>
      </c>
      <c r="S210" s="1">
        <v>7</v>
      </c>
      <c r="T210" s="1">
        <v>8</v>
      </c>
      <c r="U210" s="1">
        <f t="shared" si="39"/>
        <v>15</v>
      </c>
      <c r="V210" s="12">
        <f t="shared" si="43"/>
        <v>0.75</v>
      </c>
      <c r="Z210" s="1">
        <f t="shared" si="40"/>
        <v>0</v>
      </c>
      <c r="AB210" s="2" t="s">
        <v>1033</v>
      </c>
    </row>
    <row r="211" spans="1:28" x14ac:dyDescent="0.25">
      <c r="A211" s="1" t="s">
        <v>1658</v>
      </c>
      <c r="B211" s="1" t="s">
        <v>35</v>
      </c>
      <c r="C211" s="1" t="s">
        <v>861</v>
      </c>
      <c r="D211" s="1">
        <v>18</v>
      </c>
      <c r="E211" s="1">
        <v>2</v>
      </c>
      <c r="F211" s="1">
        <v>1</v>
      </c>
      <c r="G211" s="1">
        <v>6</v>
      </c>
      <c r="H211" s="1">
        <v>6</v>
      </c>
      <c r="I211" s="1">
        <v>5</v>
      </c>
      <c r="J211" s="1">
        <v>5</v>
      </c>
      <c r="K211" s="1">
        <f t="shared" si="37"/>
        <v>22</v>
      </c>
      <c r="L211" s="12">
        <f t="shared" si="41"/>
        <v>0.55000000000000004</v>
      </c>
      <c r="M211" s="1">
        <v>5</v>
      </c>
      <c r="N211" s="1">
        <v>6</v>
      </c>
      <c r="O211" s="1">
        <v>6</v>
      </c>
      <c r="P211" s="1">
        <v>6</v>
      </c>
      <c r="Q211" s="1">
        <f t="shared" si="38"/>
        <v>23</v>
      </c>
      <c r="R211" s="12">
        <f t="shared" si="42"/>
        <v>0.57499999999999996</v>
      </c>
      <c r="S211" s="1">
        <v>5</v>
      </c>
      <c r="T211" s="1">
        <v>5</v>
      </c>
      <c r="U211" s="1">
        <f t="shared" si="39"/>
        <v>10</v>
      </c>
      <c r="V211" s="12">
        <f t="shared" si="43"/>
        <v>0.5</v>
      </c>
      <c r="Z211" s="1">
        <f t="shared" si="40"/>
        <v>0</v>
      </c>
      <c r="AB211" s="2" t="s">
        <v>1034</v>
      </c>
    </row>
    <row r="212" spans="1:28" x14ac:dyDescent="0.25">
      <c r="A212" s="1" t="s">
        <v>1658</v>
      </c>
      <c r="B212" s="1" t="s">
        <v>35</v>
      </c>
      <c r="C212" s="1" t="s">
        <v>861</v>
      </c>
      <c r="D212" s="1">
        <v>18</v>
      </c>
      <c r="E212" s="1">
        <v>2</v>
      </c>
      <c r="F212" s="1">
        <v>1</v>
      </c>
      <c r="G212" s="1">
        <v>5</v>
      </c>
      <c r="H212" s="1">
        <v>5</v>
      </c>
      <c r="I212" s="1">
        <v>4</v>
      </c>
      <c r="J212" s="1">
        <v>4</v>
      </c>
      <c r="K212" s="1">
        <f t="shared" si="37"/>
        <v>18</v>
      </c>
      <c r="L212" s="12">
        <f t="shared" si="41"/>
        <v>0.45</v>
      </c>
      <c r="M212" s="1">
        <v>4</v>
      </c>
      <c r="N212" s="1">
        <v>3</v>
      </c>
      <c r="O212" s="1">
        <v>4</v>
      </c>
      <c r="P212" s="1">
        <v>4</v>
      </c>
      <c r="Q212" s="1">
        <f t="shared" si="38"/>
        <v>15</v>
      </c>
      <c r="R212" s="12">
        <f t="shared" si="42"/>
        <v>0.375</v>
      </c>
      <c r="S212" s="1">
        <v>5</v>
      </c>
      <c r="T212" s="1">
        <v>5</v>
      </c>
      <c r="U212" s="1">
        <f t="shared" si="39"/>
        <v>10</v>
      </c>
      <c r="V212" s="12">
        <f t="shared" si="43"/>
        <v>0.5</v>
      </c>
      <c r="Z212" s="1">
        <f t="shared" si="40"/>
        <v>0</v>
      </c>
      <c r="AB212" s="2" t="s">
        <v>1035</v>
      </c>
    </row>
    <row r="213" spans="1:28" x14ac:dyDescent="0.25">
      <c r="A213" s="1" t="s">
        <v>1658</v>
      </c>
      <c r="B213" s="1" t="s">
        <v>35</v>
      </c>
      <c r="C213" s="1" t="s">
        <v>861</v>
      </c>
      <c r="D213" s="1">
        <v>4</v>
      </c>
      <c r="E213" s="1">
        <v>3</v>
      </c>
      <c r="F213" s="1">
        <v>1</v>
      </c>
      <c r="G213" s="1">
        <v>6</v>
      </c>
      <c r="H213" s="1">
        <v>5</v>
      </c>
      <c r="I213" s="1">
        <v>5</v>
      </c>
      <c r="J213" s="1">
        <v>4</v>
      </c>
      <c r="K213" s="1">
        <f t="shared" si="37"/>
        <v>20</v>
      </c>
      <c r="L213" s="12">
        <f t="shared" si="41"/>
        <v>0.5</v>
      </c>
      <c r="M213" s="1">
        <v>5</v>
      </c>
      <c r="N213" s="1">
        <v>5</v>
      </c>
      <c r="O213" s="1">
        <v>6</v>
      </c>
      <c r="P213" s="1">
        <v>5</v>
      </c>
      <c r="Q213" s="1">
        <f t="shared" si="38"/>
        <v>21</v>
      </c>
      <c r="R213" s="12">
        <f t="shared" si="42"/>
        <v>0.52500000000000002</v>
      </c>
      <c r="S213" s="1">
        <v>6</v>
      </c>
      <c r="T213" s="1">
        <v>5</v>
      </c>
      <c r="U213" s="1">
        <f t="shared" si="39"/>
        <v>11</v>
      </c>
      <c r="V213" s="12">
        <f t="shared" si="43"/>
        <v>0.55000000000000004</v>
      </c>
      <c r="Z213" s="1">
        <f t="shared" si="40"/>
        <v>0</v>
      </c>
      <c r="AB213" s="2" t="s">
        <v>1204</v>
      </c>
    </row>
    <row r="214" spans="1:28" x14ac:dyDescent="0.25">
      <c r="A214" s="1" t="s">
        <v>1658</v>
      </c>
      <c r="B214" s="1" t="s">
        <v>35</v>
      </c>
      <c r="C214" s="1" t="s">
        <v>861</v>
      </c>
      <c r="D214" s="1">
        <v>4</v>
      </c>
      <c r="E214" s="1">
        <v>3</v>
      </c>
      <c r="F214" s="1">
        <v>1</v>
      </c>
      <c r="G214" s="1">
        <v>6</v>
      </c>
      <c r="H214" s="1">
        <v>6</v>
      </c>
      <c r="I214" s="1">
        <v>6</v>
      </c>
      <c r="J214" s="1">
        <v>7</v>
      </c>
      <c r="K214" s="1">
        <f t="shared" si="37"/>
        <v>25</v>
      </c>
      <c r="L214" s="12">
        <f t="shared" si="41"/>
        <v>0.625</v>
      </c>
      <c r="M214" s="1">
        <v>7</v>
      </c>
      <c r="N214" s="1">
        <v>7</v>
      </c>
      <c r="O214" s="1">
        <v>5</v>
      </c>
      <c r="P214" s="1">
        <v>6</v>
      </c>
      <c r="Q214" s="1">
        <f t="shared" si="38"/>
        <v>25</v>
      </c>
      <c r="R214" s="12">
        <f t="shared" si="42"/>
        <v>0.625</v>
      </c>
      <c r="S214" s="1">
        <v>6</v>
      </c>
      <c r="T214" s="1">
        <v>7</v>
      </c>
      <c r="U214" s="1">
        <f t="shared" si="39"/>
        <v>13</v>
      </c>
      <c r="V214" s="12">
        <f t="shared" si="43"/>
        <v>0.65</v>
      </c>
      <c r="Z214" s="1">
        <f t="shared" si="40"/>
        <v>0</v>
      </c>
      <c r="AB214" s="2" t="s">
        <v>1205</v>
      </c>
    </row>
    <row r="215" spans="1:28" x14ac:dyDescent="0.25">
      <c r="A215" s="1" t="s">
        <v>1658</v>
      </c>
      <c r="B215" s="1" t="s">
        <v>35</v>
      </c>
      <c r="C215" s="1" t="s">
        <v>861</v>
      </c>
      <c r="D215" s="1">
        <v>4</v>
      </c>
      <c r="E215" s="1">
        <v>3</v>
      </c>
      <c r="F215" s="1">
        <v>1</v>
      </c>
      <c r="G215" s="1">
        <v>8</v>
      </c>
      <c r="H215" s="1">
        <v>8</v>
      </c>
      <c r="I215" s="1">
        <v>8</v>
      </c>
      <c r="J215" s="1">
        <v>8</v>
      </c>
      <c r="K215" s="1">
        <f t="shared" si="37"/>
        <v>32</v>
      </c>
      <c r="L215" s="12">
        <f t="shared" si="41"/>
        <v>0.8</v>
      </c>
      <c r="M215" s="1">
        <v>8</v>
      </c>
      <c r="N215" s="1">
        <v>9</v>
      </c>
      <c r="O215" s="1">
        <v>7</v>
      </c>
      <c r="P215" s="1">
        <v>7</v>
      </c>
      <c r="Q215" s="1">
        <f t="shared" si="38"/>
        <v>31</v>
      </c>
      <c r="R215" s="12">
        <f t="shared" si="42"/>
        <v>0.77500000000000002</v>
      </c>
      <c r="S215" s="1">
        <v>8</v>
      </c>
      <c r="T215" s="1">
        <v>7</v>
      </c>
      <c r="U215" s="1">
        <f t="shared" si="39"/>
        <v>15</v>
      </c>
      <c r="V215" s="12">
        <f t="shared" si="43"/>
        <v>0.75</v>
      </c>
      <c r="Z215" s="1">
        <f t="shared" si="40"/>
        <v>0</v>
      </c>
      <c r="AB215" s="2" t="s">
        <v>1206</v>
      </c>
    </row>
    <row r="216" spans="1:28" x14ac:dyDescent="0.25">
      <c r="A216" s="1" t="s">
        <v>1658</v>
      </c>
      <c r="B216" s="1" t="s">
        <v>35</v>
      </c>
      <c r="C216" s="1" t="s">
        <v>861</v>
      </c>
      <c r="D216" s="1">
        <v>4</v>
      </c>
      <c r="E216" s="1">
        <v>3</v>
      </c>
      <c r="F216" s="1">
        <v>1</v>
      </c>
      <c r="G216" s="1">
        <v>7</v>
      </c>
      <c r="H216" s="1">
        <v>8</v>
      </c>
      <c r="I216" s="1">
        <v>8</v>
      </c>
      <c r="J216" s="1">
        <v>8</v>
      </c>
      <c r="K216" s="1">
        <f t="shared" si="37"/>
        <v>31</v>
      </c>
      <c r="L216" s="12">
        <f t="shared" si="41"/>
        <v>0.77500000000000002</v>
      </c>
      <c r="M216" s="1">
        <v>8</v>
      </c>
      <c r="N216" s="1">
        <v>7</v>
      </c>
      <c r="O216" s="1">
        <v>7</v>
      </c>
      <c r="P216" s="1">
        <v>7</v>
      </c>
      <c r="Q216" s="1">
        <f t="shared" si="38"/>
        <v>29</v>
      </c>
      <c r="R216" s="12">
        <f t="shared" si="42"/>
        <v>0.72499999999999998</v>
      </c>
      <c r="S216" s="1">
        <v>7</v>
      </c>
      <c r="T216" s="1">
        <v>6</v>
      </c>
      <c r="U216" s="1">
        <f t="shared" si="39"/>
        <v>13</v>
      </c>
      <c r="V216" s="12">
        <f t="shared" si="43"/>
        <v>0.65</v>
      </c>
      <c r="Z216" s="1">
        <f t="shared" si="40"/>
        <v>0</v>
      </c>
      <c r="AB216" s="2" t="s">
        <v>1207</v>
      </c>
    </row>
    <row r="217" spans="1:28" x14ac:dyDescent="0.25">
      <c r="A217" s="1" t="s">
        <v>1658</v>
      </c>
      <c r="B217" s="1" t="s">
        <v>35</v>
      </c>
      <c r="C217" s="1" t="s">
        <v>861</v>
      </c>
      <c r="D217" s="1">
        <v>4</v>
      </c>
      <c r="E217" s="1">
        <v>3</v>
      </c>
      <c r="F217" s="1">
        <v>1</v>
      </c>
      <c r="G217" s="1">
        <v>8</v>
      </c>
      <c r="H217" s="1">
        <v>8</v>
      </c>
      <c r="I217" s="1">
        <v>8</v>
      </c>
      <c r="J217" s="1">
        <v>9</v>
      </c>
      <c r="K217" s="1">
        <f t="shared" si="37"/>
        <v>33</v>
      </c>
      <c r="L217" s="12">
        <f t="shared" si="41"/>
        <v>0.82499999999999996</v>
      </c>
      <c r="M217" s="1">
        <v>8</v>
      </c>
      <c r="N217" s="1">
        <v>8</v>
      </c>
      <c r="O217" s="1">
        <v>8</v>
      </c>
      <c r="P217" s="1">
        <v>8</v>
      </c>
      <c r="Q217" s="1">
        <f t="shared" si="38"/>
        <v>32</v>
      </c>
      <c r="R217" s="12">
        <f t="shared" si="42"/>
        <v>0.8</v>
      </c>
      <c r="S217" s="1">
        <v>9</v>
      </c>
      <c r="T217" s="1">
        <v>9</v>
      </c>
      <c r="U217" s="1">
        <f t="shared" si="39"/>
        <v>18</v>
      </c>
      <c r="V217" s="12">
        <f t="shared" si="43"/>
        <v>0.9</v>
      </c>
      <c r="Z217" s="1">
        <f t="shared" si="40"/>
        <v>0</v>
      </c>
      <c r="AB217" s="2" t="s">
        <v>1208</v>
      </c>
    </row>
    <row r="218" spans="1:28" x14ac:dyDescent="0.25">
      <c r="A218" s="1" t="s">
        <v>1658</v>
      </c>
      <c r="B218" s="1" t="s">
        <v>35</v>
      </c>
      <c r="C218" s="1" t="s">
        <v>861</v>
      </c>
      <c r="D218" s="1">
        <v>4</v>
      </c>
      <c r="E218" s="1">
        <v>3</v>
      </c>
      <c r="F218" s="1">
        <v>1</v>
      </c>
      <c r="G218" s="1">
        <v>8</v>
      </c>
      <c r="H218" s="1">
        <v>7</v>
      </c>
      <c r="I218" s="1">
        <v>7</v>
      </c>
      <c r="J218" s="1">
        <v>5</v>
      </c>
      <c r="K218" s="1">
        <f t="shared" si="37"/>
        <v>27</v>
      </c>
      <c r="L218" s="12">
        <f t="shared" si="41"/>
        <v>0.67500000000000004</v>
      </c>
      <c r="M218" s="1">
        <v>7</v>
      </c>
      <c r="N218" s="1">
        <v>7</v>
      </c>
      <c r="O218" s="1">
        <v>7</v>
      </c>
      <c r="P218" s="1">
        <v>7</v>
      </c>
      <c r="Q218" s="1">
        <f t="shared" si="38"/>
        <v>28</v>
      </c>
      <c r="R218" s="12">
        <f t="shared" si="42"/>
        <v>0.7</v>
      </c>
      <c r="S218" s="1">
        <v>5</v>
      </c>
      <c r="T218" s="1">
        <v>4</v>
      </c>
      <c r="U218" s="1">
        <f t="shared" si="39"/>
        <v>9</v>
      </c>
      <c r="V218" s="12">
        <f t="shared" si="43"/>
        <v>0.45</v>
      </c>
      <c r="Z218" s="1">
        <f t="shared" si="40"/>
        <v>0</v>
      </c>
      <c r="AB218" s="2" t="s">
        <v>1209</v>
      </c>
    </row>
    <row r="219" spans="1:28" x14ac:dyDescent="0.25">
      <c r="A219" s="1" t="s">
        <v>1658</v>
      </c>
      <c r="B219" s="1" t="s">
        <v>35</v>
      </c>
      <c r="C219" s="1" t="s">
        <v>861</v>
      </c>
      <c r="D219" s="1">
        <v>4</v>
      </c>
      <c r="E219" s="1">
        <v>3</v>
      </c>
      <c r="F219" s="1">
        <v>1</v>
      </c>
      <c r="G219" s="1">
        <v>8</v>
      </c>
      <c r="H219" s="1">
        <v>5</v>
      </c>
      <c r="I219" s="1">
        <v>6</v>
      </c>
      <c r="J219" s="1">
        <v>7</v>
      </c>
      <c r="K219" s="1">
        <f t="shared" si="37"/>
        <v>26</v>
      </c>
      <c r="L219" s="12">
        <f t="shared" si="41"/>
        <v>0.65</v>
      </c>
      <c r="M219" s="1">
        <v>6</v>
      </c>
      <c r="N219" s="1">
        <v>7</v>
      </c>
      <c r="O219" s="1">
        <v>6</v>
      </c>
      <c r="P219" s="1">
        <v>7</v>
      </c>
      <c r="Q219" s="1">
        <f t="shared" si="38"/>
        <v>26</v>
      </c>
      <c r="R219" s="12">
        <f t="shared" si="42"/>
        <v>0.65</v>
      </c>
      <c r="S219" s="1">
        <v>7</v>
      </c>
      <c r="T219" s="1">
        <v>7</v>
      </c>
      <c r="U219" s="1">
        <f t="shared" si="39"/>
        <v>14</v>
      </c>
      <c r="V219" s="12">
        <f t="shared" si="43"/>
        <v>0.7</v>
      </c>
      <c r="Z219" s="1">
        <f t="shared" si="40"/>
        <v>0</v>
      </c>
      <c r="AB219" s="2" t="s">
        <v>1210</v>
      </c>
    </row>
    <row r="220" spans="1:28" x14ac:dyDescent="0.25">
      <c r="A220" s="1" t="s">
        <v>1658</v>
      </c>
      <c r="B220" s="1" t="s">
        <v>35</v>
      </c>
      <c r="C220" s="1" t="s">
        <v>861</v>
      </c>
      <c r="D220" s="1">
        <v>4</v>
      </c>
      <c r="E220" s="1">
        <v>3</v>
      </c>
      <c r="F220" s="1">
        <v>1</v>
      </c>
      <c r="G220" s="1">
        <v>8</v>
      </c>
      <c r="H220" s="1">
        <v>7</v>
      </c>
      <c r="I220" s="1">
        <v>8</v>
      </c>
      <c r="J220" s="1">
        <v>8</v>
      </c>
      <c r="K220" s="1">
        <f t="shared" si="37"/>
        <v>31</v>
      </c>
      <c r="L220" s="12">
        <f t="shared" si="41"/>
        <v>0.77500000000000002</v>
      </c>
      <c r="M220" s="1">
        <v>7</v>
      </c>
      <c r="N220" s="1">
        <v>6</v>
      </c>
      <c r="O220" s="1">
        <v>6</v>
      </c>
      <c r="P220" s="1">
        <v>7</v>
      </c>
      <c r="Q220" s="1">
        <f t="shared" si="38"/>
        <v>26</v>
      </c>
      <c r="R220" s="12">
        <f t="shared" si="42"/>
        <v>0.65</v>
      </c>
      <c r="S220" s="1">
        <v>7</v>
      </c>
      <c r="T220" s="1">
        <v>8</v>
      </c>
      <c r="U220" s="1">
        <f t="shared" si="39"/>
        <v>15</v>
      </c>
      <c r="V220" s="12">
        <f t="shared" si="43"/>
        <v>0.75</v>
      </c>
      <c r="Z220" s="1">
        <f t="shared" si="40"/>
        <v>0</v>
      </c>
      <c r="AB220" s="2" t="s">
        <v>1211</v>
      </c>
    </row>
    <row r="221" spans="1:28" x14ac:dyDescent="0.25">
      <c r="A221" s="1" t="s">
        <v>1658</v>
      </c>
      <c r="B221" s="1" t="s">
        <v>35</v>
      </c>
      <c r="C221" s="1" t="s">
        <v>861</v>
      </c>
      <c r="D221" s="1">
        <v>4</v>
      </c>
      <c r="E221" s="1">
        <v>3</v>
      </c>
      <c r="F221" s="1">
        <v>1</v>
      </c>
      <c r="G221" s="1">
        <v>9</v>
      </c>
      <c r="H221" s="1">
        <v>7</v>
      </c>
      <c r="I221" s="1">
        <v>7</v>
      </c>
      <c r="J221" s="1">
        <v>8</v>
      </c>
      <c r="K221" s="1">
        <f t="shared" si="37"/>
        <v>31</v>
      </c>
      <c r="L221" s="12">
        <f t="shared" si="41"/>
        <v>0.77500000000000002</v>
      </c>
      <c r="M221" s="1">
        <v>7</v>
      </c>
      <c r="N221" s="1">
        <v>8</v>
      </c>
      <c r="O221" s="1">
        <v>7</v>
      </c>
      <c r="P221" s="1">
        <v>7</v>
      </c>
      <c r="Q221" s="1">
        <f t="shared" si="38"/>
        <v>29</v>
      </c>
      <c r="R221" s="12">
        <f t="shared" si="42"/>
        <v>0.72499999999999998</v>
      </c>
      <c r="S221" s="1">
        <v>7</v>
      </c>
      <c r="T221" s="1">
        <v>8</v>
      </c>
      <c r="U221" s="1">
        <f t="shared" si="39"/>
        <v>15</v>
      </c>
      <c r="V221" s="12">
        <f t="shared" si="43"/>
        <v>0.75</v>
      </c>
      <c r="Z221" s="1">
        <f t="shared" si="40"/>
        <v>0</v>
      </c>
      <c r="AB221" s="2" t="s">
        <v>1212</v>
      </c>
    </row>
    <row r="222" spans="1:28" x14ac:dyDescent="0.25">
      <c r="A222" s="1" t="s">
        <v>1658</v>
      </c>
      <c r="B222" s="1" t="s">
        <v>576</v>
      </c>
      <c r="C222" s="1" t="s">
        <v>861</v>
      </c>
      <c r="D222" s="1">
        <v>25</v>
      </c>
      <c r="E222" s="1">
        <v>2</v>
      </c>
      <c r="F222" s="1">
        <v>1</v>
      </c>
      <c r="G222" s="1">
        <v>7</v>
      </c>
      <c r="H222" s="1">
        <v>7</v>
      </c>
      <c r="I222" s="1">
        <v>5</v>
      </c>
      <c r="J222" s="1">
        <v>5</v>
      </c>
      <c r="K222" s="1">
        <f t="shared" si="37"/>
        <v>24</v>
      </c>
      <c r="L222" s="12">
        <f t="shared" si="41"/>
        <v>0.6</v>
      </c>
      <c r="M222" s="1">
        <v>6</v>
      </c>
      <c r="N222" s="1">
        <v>6</v>
      </c>
      <c r="O222" s="1">
        <v>5</v>
      </c>
      <c r="P222" s="1">
        <v>6</v>
      </c>
      <c r="Q222" s="1">
        <f t="shared" si="38"/>
        <v>23</v>
      </c>
      <c r="R222" s="12">
        <f t="shared" si="42"/>
        <v>0.57499999999999996</v>
      </c>
      <c r="S222" s="1">
        <v>6</v>
      </c>
      <c r="T222" s="1">
        <v>6</v>
      </c>
      <c r="U222" s="1">
        <f t="shared" si="39"/>
        <v>12</v>
      </c>
      <c r="V222" s="12">
        <f t="shared" si="43"/>
        <v>0.6</v>
      </c>
      <c r="Z222" s="1">
        <f t="shared" si="40"/>
        <v>0</v>
      </c>
      <c r="AB222" s="2" t="s">
        <v>1457</v>
      </c>
    </row>
    <row r="223" spans="1:28" x14ac:dyDescent="0.25">
      <c r="A223" s="1" t="s">
        <v>1658</v>
      </c>
      <c r="B223" s="1" t="s">
        <v>576</v>
      </c>
      <c r="C223" s="1" t="s">
        <v>861</v>
      </c>
      <c r="D223" s="1">
        <v>25</v>
      </c>
      <c r="E223" s="1">
        <v>2</v>
      </c>
      <c r="F223" s="1">
        <v>1</v>
      </c>
      <c r="G223" s="1">
        <v>6</v>
      </c>
      <c r="H223" s="1">
        <v>6</v>
      </c>
      <c r="I223" s="1">
        <v>5</v>
      </c>
      <c r="J223" s="1">
        <v>5</v>
      </c>
      <c r="K223" s="1">
        <f t="shared" si="37"/>
        <v>22</v>
      </c>
      <c r="L223" s="12">
        <f t="shared" si="41"/>
        <v>0.55000000000000004</v>
      </c>
      <c r="M223" s="1">
        <v>4</v>
      </c>
      <c r="N223" s="1">
        <v>4</v>
      </c>
      <c r="O223" s="1">
        <v>5</v>
      </c>
      <c r="P223" s="1">
        <v>5</v>
      </c>
      <c r="Q223" s="1">
        <f t="shared" si="38"/>
        <v>18</v>
      </c>
      <c r="R223" s="12">
        <f t="shared" si="42"/>
        <v>0.45</v>
      </c>
      <c r="S223" s="1">
        <v>4</v>
      </c>
      <c r="T223" s="1">
        <v>4</v>
      </c>
      <c r="U223" s="1">
        <f t="shared" si="39"/>
        <v>8</v>
      </c>
      <c r="V223" s="12">
        <f t="shared" si="43"/>
        <v>0.4</v>
      </c>
      <c r="Z223" s="1">
        <f t="shared" si="40"/>
        <v>0</v>
      </c>
      <c r="AB223" s="2" t="s">
        <v>1458</v>
      </c>
    </row>
    <row r="224" spans="1:28" x14ac:dyDescent="0.25">
      <c r="A224" s="1" t="s">
        <v>1658</v>
      </c>
      <c r="B224" s="1" t="s">
        <v>576</v>
      </c>
      <c r="C224" s="1" t="s">
        <v>861</v>
      </c>
      <c r="D224" s="1">
        <v>25</v>
      </c>
      <c r="E224" s="1">
        <v>2</v>
      </c>
      <c r="F224" s="1">
        <v>1</v>
      </c>
      <c r="G224" s="1">
        <v>8</v>
      </c>
      <c r="H224" s="1">
        <v>7</v>
      </c>
      <c r="I224" s="1">
        <v>8</v>
      </c>
      <c r="J224" s="1">
        <v>7</v>
      </c>
      <c r="K224" s="1">
        <f t="shared" si="37"/>
        <v>30</v>
      </c>
      <c r="L224" s="12">
        <f t="shared" si="41"/>
        <v>0.75</v>
      </c>
      <c r="M224" s="1">
        <v>8</v>
      </c>
      <c r="N224" s="1">
        <v>7</v>
      </c>
      <c r="O224" s="1">
        <v>8</v>
      </c>
      <c r="P224" s="1">
        <v>8</v>
      </c>
      <c r="Q224" s="1">
        <f t="shared" si="38"/>
        <v>31</v>
      </c>
      <c r="R224" s="12">
        <f t="shared" si="42"/>
        <v>0.77500000000000002</v>
      </c>
      <c r="S224" s="1">
        <v>7</v>
      </c>
      <c r="T224" s="1">
        <v>8</v>
      </c>
      <c r="U224" s="1">
        <f t="shared" si="39"/>
        <v>15</v>
      </c>
      <c r="V224" s="12">
        <f t="shared" si="43"/>
        <v>0.75</v>
      </c>
      <c r="Z224" s="1">
        <f t="shared" si="40"/>
        <v>0</v>
      </c>
      <c r="AB224" s="2" t="s">
        <v>1459</v>
      </c>
    </row>
    <row r="225" spans="1:28" x14ac:dyDescent="0.25">
      <c r="A225" s="1" t="s">
        <v>1658</v>
      </c>
      <c r="B225" s="1" t="s">
        <v>576</v>
      </c>
      <c r="C225" s="1" t="s">
        <v>861</v>
      </c>
      <c r="D225" s="1">
        <v>25</v>
      </c>
      <c r="E225" s="1">
        <v>2</v>
      </c>
      <c r="F225" s="1">
        <v>1</v>
      </c>
      <c r="G225" s="1">
        <v>5</v>
      </c>
      <c r="H225" s="1">
        <v>5</v>
      </c>
      <c r="I225" s="1">
        <v>5</v>
      </c>
      <c r="J225" s="1">
        <v>5</v>
      </c>
      <c r="K225" s="1">
        <f t="shared" si="37"/>
        <v>20</v>
      </c>
      <c r="L225" s="12">
        <f t="shared" si="41"/>
        <v>0.5</v>
      </c>
      <c r="M225" s="1">
        <v>6</v>
      </c>
      <c r="N225" s="1">
        <v>5</v>
      </c>
      <c r="O225" s="1">
        <v>4</v>
      </c>
      <c r="P225" s="1">
        <v>4</v>
      </c>
      <c r="Q225" s="1">
        <f t="shared" si="38"/>
        <v>19</v>
      </c>
      <c r="R225" s="12">
        <f t="shared" si="42"/>
        <v>0.47499999999999998</v>
      </c>
      <c r="S225" s="1">
        <v>4</v>
      </c>
      <c r="T225" s="1">
        <v>4</v>
      </c>
      <c r="U225" s="1">
        <f t="shared" si="39"/>
        <v>8</v>
      </c>
      <c r="V225" s="12">
        <f t="shared" si="43"/>
        <v>0.4</v>
      </c>
      <c r="Z225" s="1">
        <f t="shared" si="40"/>
        <v>0</v>
      </c>
      <c r="AB225" s="2" t="s">
        <v>1460</v>
      </c>
    </row>
    <row r="226" spans="1:28" x14ac:dyDescent="0.25">
      <c r="A226" s="1" t="s">
        <v>1658</v>
      </c>
      <c r="B226" s="1" t="s">
        <v>576</v>
      </c>
      <c r="C226" s="1" t="s">
        <v>861</v>
      </c>
      <c r="D226" s="1">
        <v>25</v>
      </c>
      <c r="E226" s="1">
        <v>2</v>
      </c>
      <c r="F226" s="1">
        <v>1</v>
      </c>
      <c r="G226" s="1">
        <v>8</v>
      </c>
      <c r="H226" s="1">
        <v>6</v>
      </c>
      <c r="I226" s="1">
        <v>7</v>
      </c>
      <c r="J226" s="1">
        <v>5</v>
      </c>
      <c r="K226" s="1">
        <f t="shared" si="37"/>
        <v>26</v>
      </c>
      <c r="L226" s="12">
        <f t="shared" si="41"/>
        <v>0.65</v>
      </c>
      <c r="M226" s="1">
        <v>6</v>
      </c>
      <c r="N226" s="1">
        <v>5</v>
      </c>
      <c r="O226" s="1">
        <v>4</v>
      </c>
      <c r="P226" s="1">
        <v>5</v>
      </c>
      <c r="Q226" s="1">
        <f t="shared" si="38"/>
        <v>20</v>
      </c>
      <c r="R226" s="12">
        <f t="shared" si="42"/>
        <v>0.5</v>
      </c>
      <c r="S226" s="1">
        <v>5</v>
      </c>
      <c r="T226" s="1">
        <v>5</v>
      </c>
      <c r="U226" s="1">
        <f t="shared" si="39"/>
        <v>10</v>
      </c>
      <c r="V226" s="12">
        <f t="shared" si="43"/>
        <v>0.5</v>
      </c>
      <c r="Z226" s="1">
        <f t="shared" si="40"/>
        <v>0</v>
      </c>
      <c r="AB226" s="2" t="s">
        <v>1461</v>
      </c>
    </row>
    <row r="227" spans="1:28" x14ac:dyDescent="0.25">
      <c r="A227" s="1" t="s">
        <v>1658</v>
      </c>
      <c r="B227" s="1" t="s">
        <v>576</v>
      </c>
      <c r="C227" s="1" t="s">
        <v>861</v>
      </c>
      <c r="D227" s="1">
        <v>25</v>
      </c>
      <c r="E227" s="1">
        <v>2</v>
      </c>
      <c r="F227" s="1">
        <v>1</v>
      </c>
      <c r="G227" s="1">
        <v>9</v>
      </c>
      <c r="H227" s="1">
        <v>8</v>
      </c>
      <c r="I227" s="1">
        <v>8</v>
      </c>
      <c r="J227" s="1">
        <v>8</v>
      </c>
      <c r="K227" s="1">
        <f t="shared" si="37"/>
        <v>33</v>
      </c>
      <c r="L227" s="12">
        <f t="shared" si="41"/>
        <v>0.82499999999999996</v>
      </c>
      <c r="M227" s="1">
        <v>6</v>
      </c>
      <c r="N227" s="1">
        <v>7</v>
      </c>
      <c r="O227" s="1">
        <v>8</v>
      </c>
      <c r="P227" s="1">
        <v>8</v>
      </c>
      <c r="Q227" s="1">
        <f t="shared" si="38"/>
        <v>29</v>
      </c>
      <c r="R227" s="12">
        <f t="shared" si="42"/>
        <v>0.72499999999999998</v>
      </c>
      <c r="S227" s="1">
        <v>5</v>
      </c>
      <c r="T227" s="1">
        <v>5</v>
      </c>
      <c r="U227" s="1">
        <f t="shared" si="39"/>
        <v>10</v>
      </c>
      <c r="V227" s="12">
        <f t="shared" si="43"/>
        <v>0.5</v>
      </c>
      <c r="Z227" s="1">
        <f t="shared" si="40"/>
        <v>0</v>
      </c>
      <c r="AB227" s="2" t="s">
        <v>1462</v>
      </c>
    </row>
    <row r="228" spans="1:28" x14ac:dyDescent="0.25">
      <c r="A228" s="1" t="s">
        <v>1659</v>
      </c>
      <c r="B228" s="1" t="s">
        <v>35</v>
      </c>
      <c r="C228" s="1" t="s">
        <v>36</v>
      </c>
      <c r="D228" s="1">
        <v>20</v>
      </c>
      <c r="E228" s="1">
        <v>2</v>
      </c>
      <c r="F228" s="1">
        <v>2</v>
      </c>
      <c r="G228" s="1">
        <v>3</v>
      </c>
      <c r="H228" s="1">
        <v>1</v>
      </c>
      <c r="I228" s="1">
        <v>1</v>
      </c>
      <c r="J228" s="1">
        <v>2</v>
      </c>
      <c r="K228" s="1">
        <f t="shared" si="37"/>
        <v>7</v>
      </c>
      <c r="L228" s="12">
        <f t="shared" ref="L228:L247" si="44">K228/35</f>
        <v>0.2</v>
      </c>
      <c r="M228" s="1">
        <v>4</v>
      </c>
      <c r="N228" s="1">
        <v>3</v>
      </c>
      <c r="O228" s="1">
        <v>3</v>
      </c>
      <c r="P228" s="1">
        <v>3</v>
      </c>
      <c r="Q228" s="1">
        <f t="shared" si="38"/>
        <v>13</v>
      </c>
      <c r="R228" s="12">
        <f t="shared" ref="R228:R247" si="45">Q228/35</f>
        <v>0.37142857142857144</v>
      </c>
      <c r="S228" s="1">
        <v>5</v>
      </c>
      <c r="T228" s="1">
        <v>4</v>
      </c>
      <c r="U228" s="1">
        <f t="shared" si="39"/>
        <v>9</v>
      </c>
      <c r="V228" s="12">
        <f t="shared" ref="V228:V247" si="46">U228/15</f>
        <v>0.6</v>
      </c>
      <c r="W228" s="1">
        <v>5</v>
      </c>
      <c r="X228" s="1">
        <v>2</v>
      </c>
      <c r="Y228" s="1">
        <v>2</v>
      </c>
      <c r="Z228" s="1">
        <f t="shared" si="40"/>
        <v>9</v>
      </c>
      <c r="AA228" s="12">
        <f t="shared" ref="AA228:AA247" si="47">Z228/15</f>
        <v>0.6</v>
      </c>
      <c r="AB228" s="2" t="s">
        <v>281</v>
      </c>
    </row>
    <row r="229" spans="1:28" x14ac:dyDescent="0.25">
      <c r="A229" s="1" t="s">
        <v>1659</v>
      </c>
      <c r="B229" s="1" t="s">
        <v>35</v>
      </c>
      <c r="C229" s="1" t="s">
        <v>36</v>
      </c>
      <c r="D229" s="1">
        <v>20</v>
      </c>
      <c r="E229" s="1">
        <v>2</v>
      </c>
      <c r="F229" s="1">
        <v>2</v>
      </c>
      <c r="G229" s="1">
        <v>8</v>
      </c>
      <c r="H229" s="1">
        <v>7</v>
      </c>
      <c r="I229" s="1">
        <v>8</v>
      </c>
      <c r="J229" s="1">
        <v>4</v>
      </c>
      <c r="K229" s="1">
        <f t="shared" si="37"/>
        <v>27</v>
      </c>
      <c r="L229" s="12">
        <f t="shared" si="44"/>
        <v>0.77142857142857146</v>
      </c>
      <c r="M229" s="1">
        <v>8</v>
      </c>
      <c r="N229" s="1">
        <v>8</v>
      </c>
      <c r="O229" s="1">
        <v>8</v>
      </c>
      <c r="P229" s="1">
        <v>4</v>
      </c>
      <c r="Q229" s="1">
        <f t="shared" si="38"/>
        <v>28</v>
      </c>
      <c r="R229" s="12">
        <f t="shared" si="45"/>
        <v>0.8</v>
      </c>
      <c r="S229" s="1">
        <v>9</v>
      </c>
      <c r="T229" s="1">
        <v>5</v>
      </c>
      <c r="U229" s="1">
        <f t="shared" si="39"/>
        <v>14</v>
      </c>
      <c r="V229" s="12">
        <f t="shared" si="46"/>
        <v>0.93333333333333335</v>
      </c>
      <c r="W229" s="1">
        <v>5</v>
      </c>
      <c r="X229" s="1">
        <v>5</v>
      </c>
      <c r="Y229" s="1">
        <v>5</v>
      </c>
      <c r="Z229" s="1">
        <f t="shared" si="40"/>
        <v>15</v>
      </c>
      <c r="AA229" s="12">
        <f t="shared" si="47"/>
        <v>1</v>
      </c>
      <c r="AB229" s="2" t="s">
        <v>282</v>
      </c>
    </row>
    <row r="230" spans="1:28" x14ac:dyDescent="0.25">
      <c r="A230" s="1" t="s">
        <v>1659</v>
      </c>
      <c r="B230" s="1" t="s">
        <v>35</v>
      </c>
      <c r="C230" s="1" t="s">
        <v>36</v>
      </c>
      <c r="D230" s="1">
        <v>20</v>
      </c>
      <c r="E230" s="1">
        <v>2</v>
      </c>
      <c r="F230" s="1">
        <v>2</v>
      </c>
      <c r="G230" s="1">
        <v>2</v>
      </c>
      <c r="H230" s="1">
        <v>1</v>
      </c>
      <c r="I230" s="1">
        <v>2</v>
      </c>
      <c r="J230" s="1">
        <v>2</v>
      </c>
      <c r="K230" s="1">
        <f t="shared" si="37"/>
        <v>7</v>
      </c>
      <c r="L230" s="12">
        <f t="shared" si="44"/>
        <v>0.2</v>
      </c>
      <c r="M230" s="1">
        <v>3</v>
      </c>
      <c r="N230" s="1">
        <v>1</v>
      </c>
      <c r="O230" s="1">
        <v>2</v>
      </c>
      <c r="P230" s="1">
        <v>2</v>
      </c>
      <c r="Q230" s="1">
        <f t="shared" si="38"/>
        <v>8</v>
      </c>
      <c r="R230" s="12">
        <f t="shared" si="45"/>
        <v>0.22857142857142856</v>
      </c>
      <c r="S230" s="1">
        <v>1</v>
      </c>
      <c r="T230" s="1">
        <v>2</v>
      </c>
      <c r="U230" s="1">
        <f t="shared" si="39"/>
        <v>3</v>
      </c>
      <c r="V230" s="12">
        <f t="shared" si="46"/>
        <v>0.2</v>
      </c>
      <c r="W230" s="1">
        <v>5</v>
      </c>
      <c r="X230" s="1">
        <v>2</v>
      </c>
      <c r="Y230" s="1">
        <v>2</v>
      </c>
      <c r="Z230" s="1">
        <f t="shared" si="40"/>
        <v>9</v>
      </c>
      <c r="AA230" s="12">
        <f t="shared" si="47"/>
        <v>0.6</v>
      </c>
      <c r="AB230" s="2" t="s">
        <v>283</v>
      </c>
    </row>
    <row r="231" spans="1:28" x14ac:dyDescent="0.25">
      <c r="A231" s="1" t="s">
        <v>1659</v>
      </c>
      <c r="B231" s="1" t="s">
        <v>35</v>
      </c>
      <c r="C231" s="1" t="s">
        <v>36</v>
      </c>
      <c r="D231" s="1">
        <v>20</v>
      </c>
      <c r="E231" s="1">
        <v>2</v>
      </c>
      <c r="F231" s="1">
        <v>2</v>
      </c>
      <c r="G231" s="1">
        <v>9</v>
      </c>
      <c r="H231" s="1">
        <v>8</v>
      </c>
      <c r="I231" s="1">
        <v>7</v>
      </c>
      <c r="J231" s="1">
        <v>4</v>
      </c>
      <c r="K231" s="1">
        <f t="shared" si="37"/>
        <v>28</v>
      </c>
      <c r="L231" s="12">
        <f t="shared" si="44"/>
        <v>0.8</v>
      </c>
      <c r="M231" s="1">
        <v>8</v>
      </c>
      <c r="N231" s="1">
        <v>7</v>
      </c>
      <c r="O231" s="1">
        <v>7</v>
      </c>
      <c r="P231" s="1">
        <v>4</v>
      </c>
      <c r="Q231" s="1">
        <f t="shared" si="38"/>
        <v>26</v>
      </c>
      <c r="R231" s="12">
        <f t="shared" si="45"/>
        <v>0.74285714285714288</v>
      </c>
      <c r="S231" s="1">
        <v>7</v>
      </c>
      <c r="T231" s="1">
        <v>4</v>
      </c>
      <c r="U231" s="1">
        <f t="shared" si="39"/>
        <v>11</v>
      </c>
      <c r="V231" s="12">
        <f t="shared" si="46"/>
        <v>0.73333333333333328</v>
      </c>
      <c r="W231" s="1">
        <v>5</v>
      </c>
      <c r="X231" s="1">
        <v>5</v>
      </c>
      <c r="Y231" s="1">
        <v>5</v>
      </c>
      <c r="Z231" s="1">
        <f t="shared" si="40"/>
        <v>15</v>
      </c>
      <c r="AA231" s="12">
        <f t="shared" si="47"/>
        <v>1</v>
      </c>
      <c r="AB231" s="2" t="s">
        <v>284</v>
      </c>
    </row>
    <row r="232" spans="1:28" x14ac:dyDescent="0.25">
      <c r="A232" s="1" t="s">
        <v>1659</v>
      </c>
      <c r="B232" s="1" t="s">
        <v>35</v>
      </c>
      <c r="C232" s="1" t="s">
        <v>36</v>
      </c>
      <c r="D232" s="1">
        <v>20</v>
      </c>
      <c r="E232" s="1">
        <v>2</v>
      </c>
      <c r="F232" s="1">
        <v>2</v>
      </c>
      <c r="G232" s="1">
        <v>8</v>
      </c>
      <c r="H232" s="1">
        <v>8</v>
      </c>
      <c r="I232" s="1">
        <v>7</v>
      </c>
      <c r="J232" s="1">
        <v>5</v>
      </c>
      <c r="K232" s="1">
        <f t="shared" si="37"/>
        <v>28</v>
      </c>
      <c r="L232" s="12">
        <f t="shared" si="44"/>
        <v>0.8</v>
      </c>
      <c r="M232" s="1">
        <v>8</v>
      </c>
      <c r="N232" s="1">
        <v>7</v>
      </c>
      <c r="O232" s="1">
        <v>7</v>
      </c>
      <c r="P232" s="1">
        <v>4</v>
      </c>
      <c r="Q232" s="1">
        <f t="shared" si="38"/>
        <v>26</v>
      </c>
      <c r="R232" s="12">
        <f t="shared" si="45"/>
        <v>0.74285714285714288</v>
      </c>
      <c r="S232" s="1">
        <v>8</v>
      </c>
      <c r="T232" s="1">
        <v>5</v>
      </c>
      <c r="U232" s="1">
        <f t="shared" si="39"/>
        <v>13</v>
      </c>
      <c r="V232" s="12">
        <f t="shared" si="46"/>
        <v>0.8666666666666667</v>
      </c>
      <c r="W232" s="1">
        <v>5</v>
      </c>
      <c r="X232" s="1">
        <v>3</v>
      </c>
      <c r="Y232" s="1">
        <v>4</v>
      </c>
      <c r="Z232" s="1">
        <f t="shared" si="40"/>
        <v>12</v>
      </c>
      <c r="AA232" s="12">
        <f t="shared" si="47"/>
        <v>0.8</v>
      </c>
      <c r="AB232" s="2" t="s">
        <v>285</v>
      </c>
    </row>
    <row r="233" spans="1:28" x14ac:dyDescent="0.25">
      <c r="A233" s="1" t="s">
        <v>1659</v>
      </c>
      <c r="B233" s="1" t="s">
        <v>35</v>
      </c>
      <c r="C233" s="1" t="s">
        <v>36</v>
      </c>
      <c r="D233" s="1">
        <v>20</v>
      </c>
      <c r="E233" s="1">
        <v>2</v>
      </c>
      <c r="F233" s="1">
        <v>2</v>
      </c>
      <c r="G233" s="1">
        <v>8</v>
      </c>
      <c r="H233" s="1">
        <v>4</v>
      </c>
      <c r="I233" s="1">
        <v>4</v>
      </c>
      <c r="J233" s="1">
        <v>2</v>
      </c>
      <c r="K233" s="1">
        <f t="shared" si="37"/>
        <v>18</v>
      </c>
      <c r="L233" s="12">
        <f t="shared" si="44"/>
        <v>0.51428571428571423</v>
      </c>
      <c r="M233" s="1">
        <v>8</v>
      </c>
      <c r="N233" s="1">
        <v>7</v>
      </c>
      <c r="O233" s="1">
        <v>8</v>
      </c>
      <c r="P233" s="1">
        <v>4</v>
      </c>
      <c r="Q233" s="1">
        <f t="shared" si="38"/>
        <v>27</v>
      </c>
      <c r="R233" s="12">
        <f t="shared" si="45"/>
        <v>0.77142857142857146</v>
      </c>
      <c r="S233" s="1">
        <v>8</v>
      </c>
      <c r="T233" s="1">
        <v>5</v>
      </c>
      <c r="U233" s="1">
        <f t="shared" si="39"/>
        <v>13</v>
      </c>
      <c r="V233" s="12">
        <f t="shared" si="46"/>
        <v>0.8666666666666667</v>
      </c>
      <c r="W233" s="1">
        <v>5</v>
      </c>
      <c r="X233" s="1">
        <v>4</v>
      </c>
      <c r="Y233" s="1">
        <v>4</v>
      </c>
      <c r="Z233" s="1">
        <f t="shared" si="40"/>
        <v>13</v>
      </c>
      <c r="AA233" s="12">
        <f t="shared" si="47"/>
        <v>0.8666666666666667</v>
      </c>
      <c r="AB233" s="2" t="s">
        <v>286</v>
      </c>
    </row>
    <row r="234" spans="1:28" x14ac:dyDescent="0.25">
      <c r="A234" s="1" t="s">
        <v>1659</v>
      </c>
      <c r="B234" s="1" t="s">
        <v>35</v>
      </c>
      <c r="C234" s="1" t="s">
        <v>36</v>
      </c>
      <c r="D234" s="1">
        <v>20</v>
      </c>
      <c r="E234" s="1">
        <v>2</v>
      </c>
      <c r="F234" s="1">
        <v>2</v>
      </c>
      <c r="G234" s="1">
        <v>7</v>
      </c>
      <c r="H234" s="1">
        <v>5</v>
      </c>
      <c r="I234" s="1">
        <v>3</v>
      </c>
      <c r="J234" s="1">
        <v>3</v>
      </c>
      <c r="K234" s="1">
        <f t="shared" si="37"/>
        <v>18</v>
      </c>
      <c r="L234" s="12">
        <f t="shared" si="44"/>
        <v>0.51428571428571423</v>
      </c>
      <c r="M234" s="1">
        <v>6</v>
      </c>
      <c r="N234" s="1">
        <v>7</v>
      </c>
      <c r="O234" s="1">
        <v>6</v>
      </c>
      <c r="P234" s="1">
        <v>3</v>
      </c>
      <c r="Q234" s="1">
        <f t="shared" si="38"/>
        <v>22</v>
      </c>
      <c r="R234" s="12">
        <f t="shared" si="45"/>
        <v>0.62857142857142856</v>
      </c>
      <c r="S234" s="1">
        <v>7</v>
      </c>
      <c r="T234" s="1">
        <v>4</v>
      </c>
      <c r="U234" s="1">
        <f t="shared" si="39"/>
        <v>11</v>
      </c>
      <c r="V234" s="12">
        <f t="shared" si="46"/>
        <v>0.73333333333333328</v>
      </c>
      <c r="W234" s="1">
        <v>4</v>
      </c>
      <c r="X234" s="1">
        <v>2</v>
      </c>
      <c r="Y234" s="1">
        <v>1</v>
      </c>
      <c r="Z234" s="1">
        <f t="shared" si="40"/>
        <v>7</v>
      </c>
      <c r="AA234" s="12">
        <f t="shared" si="47"/>
        <v>0.46666666666666667</v>
      </c>
      <c r="AB234" s="2" t="s">
        <v>287</v>
      </c>
    </row>
    <row r="235" spans="1:28" x14ac:dyDescent="0.25">
      <c r="A235" s="1" t="s">
        <v>1659</v>
      </c>
      <c r="B235" s="1" t="s">
        <v>35</v>
      </c>
      <c r="C235" s="1" t="s">
        <v>36</v>
      </c>
      <c r="D235" s="1">
        <v>20</v>
      </c>
      <c r="E235" s="1">
        <v>2</v>
      </c>
      <c r="F235" s="1">
        <v>2</v>
      </c>
      <c r="G235" s="1">
        <v>9</v>
      </c>
      <c r="H235" s="1">
        <v>8</v>
      </c>
      <c r="I235" s="1">
        <v>9</v>
      </c>
      <c r="J235" s="1">
        <v>5</v>
      </c>
      <c r="K235" s="1">
        <f t="shared" si="37"/>
        <v>31</v>
      </c>
      <c r="L235" s="12">
        <f t="shared" si="44"/>
        <v>0.88571428571428568</v>
      </c>
      <c r="M235" s="1">
        <v>8</v>
      </c>
      <c r="N235" s="1">
        <v>8</v>
      </c>
      <c r="O235" s="1">
        <v>8</v>
      </c>
      <c r="P235" s="1">
        <v>5</v>
      </c>
      <c r="Q235" s="1">
        <f t="shared" si="38"/>
        <v>29</v>
      </c>
      <c r="R235" s="12">
        <f t="shared" si="45"/>
        <v>0.82857142857142863</v>
      </c>
      <c r="S235" s="1">
        <v>9</v>
      </c>
      <c r="T235" s="1">
        <v>5</v>
      </c>
      <c r="U235" s="1">
        <f t="shared" si="39"/>
        <v>14</v>
      </c>
      <c r="V235" s="12">
        <f t="shared" si="46"/>
        <v>0.93333333333333335</v>
      </c>
      <c r="W235" s="1">
        <v>5</v>
      </c>
      <c r="X235" s="1">
        <v>5</v>
      </c>
      <c r="Y235" s="1">
        <v>4</v>
      </c>
      <c r="Z235" s="1">
        <f t="shared" si="40"/>
        <v>14</v>
      </c>
      <c r="AA235" s="12">
        <f t="shared" si="47"/>
        <v>0.93333333333333335</v>
      </c>
      <c r="AB235" s="2" t="s">
        <v>288</v>
      </c>
    </row>
    <row r="236" spans="1:28" x14ac:dyDescent="0.25">
      <c r="A236" s="1" t="s">
        <v>1659</v>
      </c>
      <c r="B236" s="1" t="s">
        <v>35</v>
      </c>
      <c r="C236" s="1" t="s">
        <v>36</v>
      </c>
      <c r="D236" s="1">
        <v>20</v>
      </c>
      <c r="E236" s="1">
        <v>2</v>
      </c>
      <c r="F236" s="1">
        <v>2</v>
      </c>
      <c r="G236" s="1">
        <v>8</v>
      </c>
      <c r="H236" s="1">
        <v>5</v>
      </c>
      <c r="I236" s="1">
        <v>7</v>
      </c>
      <c r="J236" s="1">
        <v>5</v>
      </c>
      <c r="K236" s="1">
        <f t="shared" si="37"/>
        <v>25</v>
      </c>
      <c r="L236" s="12">
        <f t="shared" si="44"/>
        <v>0.7142857142857143</v>
      </c>
      <c r="M236" s="1">
        <v>5</v>
      </c>
      <c r="N236" s="1">
        <v>4</v>
      </c>
      <c r="O236" s="1">
        <v>5</v>
      </c>
      <c r="P236" s="1">
        <v>3</v>
      </c>
      <c r="Q236" s="1">
        <f t="shared" si="38"/>
        <v>17</v>
      </c>
      <c r="R236" s="12">
        <f t="shared" si="45"/>
        <v>0.48571428571428571</v>
      </c>
      <c r="S236" s="1">
        <v>3</v>
      </c>
      <c r="T236" s="1">
        <v>3</v>
      </c>
      <c r="U236" s="1">
        <f t="shared" si="39"/>
        <v>6</v>
      </c>
      <c r="V236" s="12">
        <f t="shared" si="46"/>
        <v>0.4</v>
      </c>
      <c r="W236" s="1">
        <v>4</v>
      </c>
      <c r="X236" s="1">
        <v>3</v>
      </c>
      <c r="Y236" s="1">
        <v>2</v>
      </c>
      <c r="Z236" s="1">
        <f t="shared" si="40"/>
        <v>9</v>
      </c>
      <c r="AA236" s="12">
        <f t="shared" si="47"/>
        <v>0.6</v>
      </c>
      <c r="AB236" s="2" t="s">
        <v>289</v>
      </c>
    </row>
    <row r="237" spans="1:28" x14ac:dyDescent="0.25">
      <c r="A237" s="1" t="s">
        <v>1659</v>
      </c>
      <c r="B237" s="1" t="s">
        <v>576</v>
      </c>
      <c r="C237" s="1" t="s">
        <v>36</v>
      </c>
      <c r="D237" s="1">
        <v>26</v>
      </c>
      <c r="E237" s="1">
        <v>1</v>
      </c>
      <c r="F237" s="1">
        <v>5</v>
      </c>
      <c r="G237" s="1">
        <v>7</v>
      </c>
      <c r="H237" s="1">
        <v>2</v>
      </c>
      <c r="I237" s="1">
        <v>2</v>
      </c>
      <c r="J237" s="1">
        <v>2</v>
      </c>
      <c r="K237" s="1">
        <f t="shared" si="37"/>
        <v>13</v>
      </c>
      <c r="L237" s="12">
        <f t="shared" si="44"/>
        <v>0.37142857142857144</v>
      </c>
      <c r="M237" s="1">
        <v>3</v>
      </c>
      <c r="N237" s="1">
        <v>4</v>
      </c>
      <c r="O237" s="1">
        <v>3</v>
      </c>
      <c r="P237" s="1">
        <v>3</v>
      </c>
      <c r="Q237" s="1">
        <f t="shared" si="38"/>
        <v>13</v>
      </c>
      <c r="R237" s="12">
        <f t="shared" si="45"/>
        <v>0.37142857142857144</v>
      </c>
      <c r="S237" s="1">
        <v>3</v>
      </c>
      <c r="T237" s="1">
        <v>3</v>
      </c>
      <c r="U237" s="1">
        <f t="shared" si="39"/>
        <v>6</v>
      </c>
      <c r="V237" s="12">
        <f t="shared" si="46"/>
        <v>0.4</v>
      </c>
      <c r="W237" s="1">
        <v>4</v>
      </c>
      <c r="X237" s="1">
        <v>3</v>
      </c>
      <c r="Y237" s="1">
        <v>3</v>
      </c>
      <c r="Z237" s="1">
        <f t="shared" si="40"/>
        <v>10</v>
      </c>
      <c r="AA237" s="12">
        <f t="shared" si="47"/>
        <v>0.66666666666666663</v>
      </c>
      <c r="AB237" s="2" t="s">
        <v>665</v>
      </c>
    </row>
    <row r="238" spans="1:28" x14ac:dyDescent="0.25">
      <c r="A238" s="1" t="s">
        <v>1659</v>
      </c>
      <c r="B238" s="1" t="s">
        <v>576</v>
      </c>
      <c r="C238" s="1" t="s">
        <v>36</v>
      </c>
      <c r="D238" s="1">
        <v>26</v>
      </c>
      <c r="E238" s="1">
        <v>1</v>
      </c>
      <c r="F238" s="1">
        <v>5</v>
      </c>
      <c r="G238" s="1">
        <v>8</v>
      </c>
      <c r="H238" s="1">
        <v>7</v>
      </c>
      <c r="I238" s="1">
        <v>6</v>
      </c>
      <c r="J238" s="1">
        <v>3</v>
      </c>
      <c r="K238" s="1">
        <f t="shared" si="37"/>
        <v>24</v>
      </c>
      <c r="L238" s="12">
        <f t="shared" si="44"/>
        <v>0.68571428571428572</v>
      </c>
      <c r="M238" s="1">
        <v>4</v>
      </c>
      <c r="N238" s="1">
        <v>4</v>
      </c>
      <c r="O238" s="1">
        <v>3</v>
      </c>
      <c r="P238" s="1">
        <v>4</v>
      </c>
      <c r="Q238" s="1">
        <f t="shared" si="38"/>
        <v>15</v>
      </c>
      <c r="R238" s="12">
        <f t="shared" si="45"/>
        <v>0.42857142857142855</v>
      </c>
      <c r="S238" s="1">
        <v>4</v>
      </c>
      <c r="T238" s="1">
        <v>4</v>
      </c>
      <c r="U238" s="1">
        <f t="shared" si="39"/>
        <v>8</v>
      </c>
      <c r="V238" s="12">
        <f t="shared" si="46"/>
        <v>0.53333333333333333</v>
      </c>
      <c r="W238" s="1">
        <v>3</v>
      </c>
      <c r="X238" s="1">
        <v>2</v>
      </c>
      <c r="Y238" s="1">
        <v>4</v>
      </c>
      <c r="Z238" s="1">
        <f t="shared" si="40"/>
        <v>9</v>
      </c>
      <c r="AA238" s="12">
        <f t="shared" si="47"/>
        <v>0.6</v>
      </c>
      <c r="AB238" s="2" t="s">
        <v>666</v>
      </c>
    </row>
    <row r="239" spans="1:28" x14ac:dyDescent="0.25">
      <c r="A239" s="1" t="s">
        <v>1659</v>
      </c>
      <c r="B239" s="1" t="s">
        <v>576</v>
      </c>
      <c r="C239" s="1" t="s">
        <v>36</v>
      </c>
      <c r="D239" s="1">
        <v>26</v>
      </c>
      <c r="E239" s="1">
        <v>1</v>
      </c>
      <c r="F239" s="1">
        <v>5</v>
      </c>
      <c r="G239" s="1">
        <v>8</v>
      </c>
      <c r="H239" s="1">
        <v>7</v>
      </c>
      <c r="I239" s="1">
        <v>8</v>
      </c>
      <c r="J239" s="1">
        <v>4</v>
      </c>
      <c r="K239" s="1">
        <f t="shared" si="37"/>
        <v>27</v>
      </c>
      <c r="L239" s="12">
        <f t="shared" si="44"/>
        <v>0.77142857142857146</v>
      </c>
      <c r="M239" s="1">
        <v>7</v>
      </c>
      <c r="N239" s="1">
        <v>7</v>
      </c>
      <c r="O239" s="1">
        <v>8</v>
      </c>
      <c r="P239" s="1">
        <v>4</v>
      </c>
      <c r="Q239" s="1">
        <f t="shared" si="38"/>
        <v>26</v>
      </c>
      <c r="R239" s="12">
        <f t="shared" si="45"/>
        <v>0.74285714285714288</v>
      </c>
      <c r="S239" s="1">
        <v>8</v>
      </c>
      <c r="T239" s="1">
        <v>4</v>
      </c>
      <c r="U239" s="1">
        <f t="shared" si="39"/>
        <v>12</v>
      </c>
      <c r="V239" s="12">
        <f t="shared" si="46"/>
        <v>0.8</v>
      </c>
      <c r="W239" s="1">
        <v>4</v>
      </c>
      <c r="X239" s="1">
        <v>4</v>
      </c>
      <c r="Y239" s="1">
        <v>4</v>
      </c>
      <c r="Z239" s="1">
        <f t="shared" si="40"/>
        <v>12</v>
      </c>
      <c r="AA239" s="12">
        <f t="shared" si="47"/>
        <v>0.8</v>
      </c>
      <c r="AB239" s="2" t="s">
        <v>667</v>
      </c>
    </row>
    <row r="240" spans="1:28" x14ac:dyDescent="0.25">
      <c r="A240" s="1" t="s">
        <v>1659</v>
      </c>
      <c r="B240" s="1" t="s">
        <v>576</v>
      </c>
      <c r="C240" s="1" t="s">
        <v>36</v>
      </c>
      <c r="D240" s="1">
        <v>26</v>
      </c>
      <c r="E240" s="1">
        <v>1</v>
      </c>
      <c r="F240" s="1">
        <v>5</v>
      </c>
      <c r="G240" s="1">
        <v>8</v>
      </c>
      <c r="H240" s="1">
        <v>4</v>
      </c>
      <c r="I240" s="1">
        <v>7</v>
      </c>
      <c r="J240" s="1">
        <v>3</v>
      </c>
      <c r="K240" s="1">
        <f t="shared" si="37"/>
        <v>22</v>
      </c>
      <c r="L240" s="12">
        <f t="shared" si="44"/>
        <v>0.62857142857142856</v>
      </c>
      <c r="M240" s="1">
        <v>7</v>
      </c>
      <c r="N240" s="1">
        <v>6</v>
      </c>
      <c r="O240" s="1">
        <v>5</v>
      </c>
      <c r="P240" s="1">
        <v>3</v>
      </c>
      <c r="Q240" s="1">
        <f t="shared" si="38"/>
        <v>21</v>
      </c>
      <c r="R240" s="12">
        <f t="shared" si="45"/>
        <v>0.6</v>
      </c>
      <c r="S240" s="1">
        <v>8</v>
      </c>
      <c r="T240" s="1">
        <v>4</v>
      </c>
      <c r="U240" s="1">
        <f t="shared" si="39"/>
        <v>12</v>
      </c>
      <c r="V240" s="12">
        <f t="shared" si="46"/>
        <v>0.8</v>
      </c>
      <c r="W240" s="1">
        <v>4</v>
      </c>
      <c r="X240" s="1">
        <v>3</v>
      </c>
      <c r="Y240" s="1">
        <v>4</v>
      </c>
      <c r="Z240" s="1">
        <f t="shared" si="40"/>
        <v>11</v>
      </c>
      <c r="AA240" s="12">
        <f t="shared" si="47"/>
        <v>0.73333333333333328</v>
      </c>
      <c r="AB240" s="2" t="s">
        <v>668</v>
      </c>
    </row>
    <row r="241" spans="1:28" x14ac:dyDescent="0.25">
      <c r="A241" s="1" t="s">
        <v>1659</v>
      </c>
      <c r="B241" s="1" t="s">
        <v>576</v>
      </c>
      <c r="C241" s="1" t="s">
        <v>36</v>
      </c>
      <c r="D241" s="1">
        <v>26</v>
      </c>
      <c r="E241" s="1">
        <v>1</v>
      </c>
      <c r="F241" s="1">
        <v>5</v>
      </c>
      <c r="G241" s="1">
        <v>8</v>
      </c>
      <c r="H241" s="1">
        <v>8</v>
      </c>
      <c r="I241" s="1">
        <v>8</v>
      </c>
      <c r="J241" s="1">
        <v>4</v>
      </c>
      <c r="K241" s="1">
        <f t="shared" si="37"/>
        <v>28</v>
      </c>
      <c r="L241" s="12">
        <f t="shared" si="44"/>
        <v>0.8</v>
      </c>
      <c r="M241" s="1">
        <v>8</v>
      </c>
      <c r="N241" s="1">
        <v>8</v>
      </c>
      <c r="O241" s="1">
        <v>8</v>
      </c>
      <c r="P241" s="1">
        <v>4</v>
      </c>
      <c r="Q241" s="1">
        <f t="shared" si="38"/>
        <v>28</v>
      </c>
      <c r="R241" s="12">
        <f t="shared" si="45"/>
        <v>0.8</v>
      </c>
      <c r="S241" s="1">
        <v>8</v>
      </c>
      <c r="T241" s="1">
        <v>4</v>
      </c>
      <c r="U241" s="1">
        <f t="shared" si="39"/>
        <v>12</v>
      </c>
      <c r="V241" s="12">
        <f t="shared" si="46"/>
        <v>0.8</v>
      </c>
      <c r="W241" s="1">
        <v>3</v>
      </c>
      <c r="X241" s="1">
        <v>3</v>
      </c>
      <c r="Y241" s="1">
        <v>3</v>
      </c>
      <c r="Z241" s="1">
        <f t="shared" si="40"/>
        <v>9</v>
      </c>
      <c r="AA241" s="12">
        <f t="shared" si="47"/>
        <v>0.6</v>
      </c>
      <c r="AB241" s="2" t="s">
        <v>669</v>
      </c>
    </row>
    <row r="242" spans="1:28" x14ac:dyDescent="0.25">
      <c r="A242" s="1" t="s">
        <v>1659</v>
      </c>
      <c r="B242" s="1" t="s">
        <v>576</v>
      </c>
      <c r="C242" s="1" t="s">
        <v>36</v>
      </c>
      <c r="D242" s="1">
        <v>26</v>
      </c>
      <c r="E242" s="1">
        <v>1</v>
      </c>
      <c r="F242" s="1">
        <v>5</v>
      </c>
      <c r="G242" s="1">
        <v>9</v>
      </c>
      <c r="H242" s="1">
        <v>8</v>
      </c>
      <c r="I242" s="1">
        <v>8</v>
      </c>
      <c r="J242" s="1">
        <v>4</v>
      </c>
      <c r="K242" s="1">
        <f t="shared" si="37"/>
        <v>29</v>
      </c>
      <c r="L242" s="12">
        <f t="shared" si="44"/>
        <v>0.82857142857142863</v>
      </c>
      <c r="M242" s="1">
        <v>7</v>
      </c>
      <c r="N242" s="1">
        <v>7</v>
      </c>
      <c r="O242" s="1">
        <v>8</v>
      </c>
      <c r="P242" s="1">
        <v>5</v>
      </c>
      <c r="Q242" s="1">
        <f t="shared" si="38"/>
        <v>27</v>
      </c>
      <c r="R242" s="12">
        <f t="shared" si="45"/>
        <v>0.77142857142857146</v>
      </c>
      <c r="S242" s="1">
        <v>8</v>
      </c>
      <c r="T242" s="1">
        <v>4</v>
      </c>
      <c r="U242" s="1">
        <f t="shared" si="39"/>
        <v>12</v>
      </c>
      <c r="V242" s="12">
        <f t="shared" si="46"/>
        <v>0.8</v>
      </c>
      <c r="W242" s="1">
        <v>4</v>
      </c>
      <c r="X242" s="1">
        <v>4</v>
      </c>
      <c r="Y242" s="1">
        <v>4</v>
      </c>
      <c r="Z242" s="1">
        <f t="shared" si="40"/>
        <v>12</v>
      </c>
      <c r="AA242" s="12">
        <f t="shared" si="47"/>
        <v>0.8</v>
      </c>
      <c r="AB242" s="2" t="s">
        <v>670</v>
      </c>
    </row>
    <row r="243" spans="1:28" x14ac:dyDescent="0.25">
      <c r="A243" s="1" t="s">
        <v>1659</v>
      </c>
      <c r="B243" s="1" t="s">
        <v>576</v>
      </c>
      <c r="C243" s="1" t="s">
        <v>36</v>
      </c>
      <c r="D243" s="1">
        <v>27</v>
      </c>
      <c r="E243" s="1">
        <v>2</v>
      </c>
      <c r="F243" s="1">
        <v>4</v>
      </c>
      <c r="G243" s="1">
        <v>4</v>
      </c>
      <c r="H243" s="1">
        <v>4</v>
      </c>
      <c r="I243" s="1">
        <v>3</v>
      </c>
      <c r="J243" s="1">
        <v>4</v>
      </c>
      <c r="K243" s="1">
        <f t="shared" si="37"/>
        <v>15</v>
      </c>
      <c r="L243" s="12">
        <f t="shared" si="44"/>
        <v>0.42857142857142855</v>
      </c>
      <c r="M243" s="1">
        <v>2</v>
      </c>
      <c r="N243" s="1">
        <v>2</v>
      </c>
      <c r="O243" s="1">
        <v>2</v>
      </c>
      <c r="P243" s="1">
        <v>3</v>
      </c>
      <c r="Q243" s="1">
        <f t="shared" si="38"/>
        <v>9</v>
      </c>
      <c r="R243" s="12">
        <f t="shared" si="45"/>
        <v>0.25714285714285712</v>
      </c>
      <c r="S243" s="1">
        <v>4</v>
      </c>
      <c r="T243" s="1">
        <v>3</v>
      </c>
      <c r="U243" s="1">
        <f t="shared" si="39"/>
        <v>7</v>
      </c>
      <c r="V243" s="12">
        <f t="shared" si="46"/>
        <v>0.46666666666666667</v>
      </c>
      <c r="W243" s="1">
        <v>3</v>
      </c>
      <c r="X243" s="1">
        <v>2</v>
      </c>
      <c r="Y243" s="1">
        <v>3</v>
      </c>
      <c r="Z243" s="1">
        <f t="shared" si="40"/>
        <v>8</v>
      </c>
      <c r="AA243" s="12">
        <f t="shared" si="47"/>
        <v>0.53333333333333333</v>
      </c>
      <c r="AB243" s="2" t="s">
        <v>732</v>
      </c>
    </row>
    <row r="244" spans="1:28" x14ac:dyDescent="0.25">
      <c r="A244" s="1" t="s">
        <v>1659</v>
      </c>
      <c r="B244" s="1" t="s">
        <v>576</v>
      </c>
      <c r="C244" s="1" t="s">
        <v>36</v>
      </c>
      <c r="D244" s="1">
        <v>27</v>
      </c>
      <c r="E244" s="1">
        <v>2</v>
      </c>
      <c r="F244" s="1">
        <v>4</v>
      </c>
      <c r="G244" s="1">
        <v>5</v>
      </c>
      <c r="H244" s="1">
        <v>2</v>
      </c>
      <c r="I244" s="1">
        <v>3</v>
      </c>
      <c r="J244" s="1">
        <v>3</v>
      </c>
      <c r="K244" s="1">
        <f t="shared" si="37"/>
        <v>13</v>
      </c>
      <c r="L244" s="12">
        <f t="shared" si="44"/>
        <v>0.37142857142857144</v>
      </c>
      <c r="M244" s="1">
        <v>3</v>
      </c>
      <c r="N244" s="1">
        <v>2</v>
      </c>
      <c r="O244" s="1">
        <v>3</v>
      </c>
      <c r="P244" s="1">
        <v>4</v>
      </c>
      <c r="Q244" s="1">
        <f t="shared" si="38"/>
        <v>12</v>
      </c>
      <c r="R244" s="12">
        <f t="shared" si="45"/>
        <v>0.34285714285714286</v>
      </c>
      <c r="S244" s="1">
        <v>7</v>
      </c>
      <c r="T244" s="1">
        <v>3</v>
      </c>
      <c r="U244" s="1">
        <f t="shared" si="39"/>
        <v>10</v>
      </c>
      <c r="V244" s="12">
        <f t="shared" si="46"/>
        <v>0.66666666666666663</v>
      </c>
      <c r="W244" s="1">
        <v>3</v>
      </c>
      <c r="X244" s="1">
        <v>3</v>
      </c>
      <c r="Y244" s="1">
        <v>4</v>
      </c>
      <c r="Z244" s="1">
        <f t="shared" si="40"/>
        <v>10</v>
      </c>
      <c r="AA244" s="12">
        <f t="shared" si="47"/>
        <v>0.66666666666666663</v>
      </c>
      <c r="AB244" s="2" t="s">
        <v>733</v>
      </c>
    </row>
    <row r="245" spans="1:28" x14ac:dyDescent="0.25">
      <c r="A245" s="1" t="s">
        <v>1659</v>
      </c>
      <c r="B245" s="1" t="s">
        <v>576</v>
      </c>
      <c r="C245" s="1" t="s">
        <v>36</v>
      </c>
      <c r="D245" s="1">
        <v>27</v>
      </c>
      <c r="E245" s="1">
        <v>2</v>
      </c>
      <c r="F245" s="1">
        <v>4</v>
      </c>
      <c r="G245" s="1">
        <v>8</v>
      </c>
      <c r="H245" s="1">
        <v>8</v>
      </c>
      <c r="I245" s="1">
        <v>7</v>
      </c>
      <c r="J245" s="1">
        <v>4</v>
      </c>
      <c r="K245" s="1">
        <f t="shared" si="37"/>
        <v>27</v>
      </c>
      <c r="L245" s="12">
        <f t="shared" si="44"/>
        <v>0.77142857142857146</v>
      </c>
      <c r="M245" s="1">
        <v>2</v>
      </c>
      <c r="N245" s="1">
        <v>3</v>
      </c>
      <c r="O245" s="1">
        <v>3</v>
      </c>
      <c r="P245" s="1">
        <v>3</v>
      </c>
      <c r="Q245" s="1">
        <f t="shared" si="38"/>
        <v>11</v>
      </c>
      <c r="R245" s="12">
        <f t="shared" si="45"/>
        <v>0.31428571428571428</v>
      </c>
      <c r="S245" s="1">
        <v>7</v>
      </c>
      <c r="T245" s="1">
        <v>4</v>
      </c>
      <c r="U245" s="1">
        <f t="shared" si="39"/>
        <v>11</v>
      </c>
      <c r="V245" s="12">
        <f t="shared" si="46"/>
        <v>0.73333333333333328</v>
      </c>
      <c r="W245" s="1">
        <v>4</v>
      </c>
      <c r="X245" s="1">
        <v>3</v>
      </c>
      <c r="Y245" s="1">
        <v>4</v>
      </c>
      <c r="Z245" s="1">
        <f t="shared" si="40"/>
        <v>11</v>
      </c>
      <c r="AA245" s="12">
        <f t="shared" si="47"/>
        <v>0.73333333333333328</v>
      </c>
      <c r="AB245" s="2" t="s">
        <v>734</v>
      </c>
    </row>
    <row r="246" spans="1:28" x14ac:dyDescent="0.25">
      <c r="A246" s="1" t="s">
        <v>1659</v>
      </c>
      <c r="B246" s="1" t="s">
        <v>576</v>
      </c>
      <c r="C246" s="1" t="s">
        <v>36</v>
      </c>
      <c r="D246" s="1">
        <v>27</v>
      </c>
      <c r="E246" s="1">
        <v>2</v>
      </c>
      <c r="F246" s="1">
        <v>4</v>
      </c>
      <c r="G246" s="1">
        <v>7</v>
      </c>
      <c r="H246" s="1">
        <v>3</v>
      </c>
      <c r="I246" s="1">
        <v>4</v>
      </c>
      <c r="J246" s="1">
        <v>3</v>
      </c>
      <c r="K246" s="1">
        <f t="shared" si="37"/>
        <v>17</v>
      </c>
      <c r="L246" s="12">
        <f t="shared" si="44"/>
        <v>0.48571428571428571</v>
      </c>
      <c r="M246" s="1">
        <v>5</v>
      </c>
      <c r="N246" s="1">
        <v>3</v>
      </c>
      <c r="O246" s="1">
        <v>3</v>
      </c>
      <c r="P246" s="1">
        <v>2</v>
      </c>
      <c r="Q246" s="1">
        <f t="shared" si="38"/>
        <v>13</v>
      </c>
      <c r="R246" s="12">
        <f t="shared" si="45"/>
        <v>0.37142857142857144</v>
      </c>
      <c r="S246" s="1">
        <v>4</v>
      </c>
      <c r="T246" s="1">
        <v>4</v>
      </c>
      <c r="U246" s="1">
        <f t="shared" si="39"/>
        <v>8</v>
      </c>
      <c r="V246" s="12">
        <f t="shared" si="46"/>
        <v>0.53333333333333333</v>
      </c>
      <c r="W246" s="1">
        <v>3</v>
      </c>
      <c r="X246" s="1">
        <v>2</v>
      </c>
      <c r="Y246" s="1">
        <v>2</v>
      </c>
      <c r="Z246" s="1">
        <f t="shared" si="40"/>
        <v>7</v>
      </c>
      <c r="AA246" s="12">
        <f t="shared" si="47"/>
        <v>0.46666666666666667</v>
      </c>
      <c r="AB246" s="2" t="s">
        <v>735</v>
      </c>
    </row>
    <row r="247" spans="1:28" x14ac:dyDescent="0.25">
      <c r="A247" s="1" t="s">
        <v>1659</v>
      </c>
      <c r="B247" s="1" t="s">
        <v>576</v>
      </c>
      <c r="C247" s="1" t="s">
        <v>36</v>
      </c>
      <c r="D247" s="1">
        <v>27</v>
      </c>
      <c r="E247" s="1">
        <v>2</v>
      </c>
      <c r="F247" s="1">
        <v>4</v>
      </c>
      <c r="G247" s="1">
        <v>7</v>
      </c>
      <c r="H247" s="1">
        <v>7</v>
      </c>
      <c r="I247" s="1">
        <v>7</v>
      </c>
      <c r="J247" s="1">
        <v>4</v>
      </c>
      <c r="K247" s="1">
        <f t="shared" si="37"/>
        <v>25</v>
      </c>
      <c r="L247" s="12">
        <f t="shared" si="44"/>
        <v>0.7142857142857143</v>
      </c>
      <c r="M247" s="1">
        <v>5</v>
      </c>
      <c r="N247" s="1">
        <v>3</v>
      </c>
      <c r="O247" s="1">
        <v>3</v>
      </c>
      <c r="P247" s="1">
        <v>3</v>
      </c>
      <c r="Q247" s="1">
        <f t="shared" si="38"/>
        <v>14</v>
      </c>
      <c r="R247" s="12">
        <f t="shared" si="45"/>
        <v>0.4</v>
      </c>
      <c r="S247" s="1">
        <v>5</v>
      </c>
      <c r="T247" s="1">
        <v>3</v>
      </c>
      <c r="U247" s="1">
        <f t="shared" si="39"/>
        <v>8</v>
      </c>
      <c r="V247" s="12">
        <f t="shared" si="46"/>
        <v>0.53333333333333333</v>
      </c>
      <c r="W247" s="1">
        <v>3</v>
      </c>
      <c r="X247" s="1">
        <v>2</v>
      </c>
      <c r="Y247" s="1">
        <v>2</v>
      </c>
      <c r="Z247" s="1">
        <f t="shared" si="40"/>
        <v>7</v>
      </c>
      <c r="AA247" s="12">
        <f t="shared" si="47"/>
        <v>0.46666666666666667</v>
      </c>
      <c r="AB247" s="2" t="s">
        <v>736</v>
      </c>
    </row>
    <row r="248" spans="1:28" x14ac:dyDescent="0.25">
      <c r="A248" s="1" t="s">
        <v>1659</v>
      </c>
      <c r="B248" s="1" t="s">
        <v>35</v>
      </c>
      <c r="C248" s="1" t="s">
        <v>861</v>
      </c>
      <c r="D248" s="1">
        <v>17</v>
      </c>
      <c r="E248" s="1">
        <v>1</v>
      </c>
      <c r="F248" s="1">
        <v>6</v>
      </c>
      <c r="G248" s="1">
        <v>4</v>
      </c>
      <c r="H248" s="1">
        <v>3</v>
      </c>
      <c r="I248" s="1">
        <v>3</v>
      </c>
      <c r="J248" s="1">
        <v>4</v>
      </c>
      <c r="K248" s="1">
        <f t="shared" si="37"/>
        <v>14</v>
      </c>
      <c r="L248" s="12">
        <f t="shared" ref="L248:L277" si="48">K248/40</f>
        <v>0.35</v>
      </c>
      <c r="M248" s="1">
        <v>3</v>
      </c>
      <c r="N248" s="1">
        <v>3</v>
      </c>
      <c r="O248" s="1">
        <v>3</v>
      </c>
      <c r="P248" s="1">
        <v>3</v>
      </c>
      <c r="Q248" s="1">
        <f t="shared" si="38"/>
        <v>12</v>
      </c>
      <c r="R248" s="12">
        <f t="shared" ref="R248:R277" si="49">Q248/40</f>
        <v>0.3</v>
      </c>
      <c r="S248" s="1">
        <v>4</v>
      </c>
      <c r="T248" s="1">
        <v>4</v>
      </c>
      <c r="U248" s="1">
        <f t="shared" si="39"/>
        <v>8</v>
      </c>
      <c r="V248" s="12">
        <f t="shared" ref="V248:V277" si="50">U248/20</f>
        <v>0.4</v>
      </c>
      <c r="Z248" s="1">
        <f t="shared" si="40"/>
        <v>0</v>
      </c>
      <c r="AB248" s="2" t="s">
        <v>986</v>
      </c>
    </row>
    <row r="249" spans="1:28" x14ac:dyDescent="0.25">
      <c r="A249" s="1" t="s">
        <v>1659</v>
      </c>
      <c r="B249" s="1" t="s">
        <v>35</v>
      </c>
      <c r="C249" s="1" t="s">
        <v>861</v>
      </c>
      <c r="D249" s="1">
        <v>17</v>
      </c>
      <c r="E249" s="1">
        <v>1</v>
      </c>
      <c r="F249" s="1">
        <v>6</v>
      </c>
      <c r="G249" s="1">
        <v>3</v>
      </c>
      <c r="H249" s="1">
        <v>1</v>
      </c>
      <c r="I249" s="1">
        <v>1</v>
      </c>
      <c r="J249" s="1">
        <v>1</v>
      </c>
      <c r="K249" s="1">
        <f t="shared" si="37"/>
        <v>6</v>
      </c>
      <c r="L249" s="12">
        <f t="shared" si="48"/>
        <v>0.15</v>
      </c>
      <c r="M249" s="1">
        <v>1</v>
      </c>
      <c r="N249" s="1">
        <v>1</v>
      </c>
      <c r="O249" s="1">
        <v>1</v>
      </c>
      <c r="P249" s="1">
        <v>1</v>
      </c>
      <c r="Q249" s="1">
        <f t="shared" si="38"/>
        <v>4</v>
      </c>
      <c r="R249" s="12">
        <f t="shared" si="49"/>
        <v>0.1</v>
      </c>
      <c r="S249" s="1">
        <v>1</v>
      </c>
      <c r="T249" s="1">
        <v>1</v>
      </c>
      <c r="U249" s="1">
        <f t="shared" si="39"/>
        <v>2</v>
      </c>
      <c r="V249" s="12">
        <f t="shared" si="50"/>
        <v>0.1</v>
      </c>
      <c r="Z249" s="1">
        <f t="shared" si="40"/>
        <v>0</v>
      </c>
      <c r="AB249" s="2" t="s">
        <v>987</v>
      </c>
    </row>
    <row r="250" spans="1:28" x14ac:dyDescent="0.25">
      <c r="A250" s="1" t="s">
        <v>1659</v>
      </c>
      <c r="B250" s="1" t="s">
        <v>35</v>
      </c>
      <c r="C250" s="1" t="s">
        <v>861</v>
      </c>
      <c r="D250" s="1">
        <v>17</v>
      </c>
      <c r="E250" s="1">
        <v>1</v>
      </c>
      <c r="F250" s="1">
        <v>6</v>
      </c>
      <c r="G250" s="1">
        <v>4</v>
      </c>
      <c r="H250" s="1">
        <v>4</v>
      </c>
      <c r="I250" s="1">
        <v>4</v>
      </c>
      <c r="J250" s="1">
        <v>4</v>
      </c>
      <c r="K250" s="1">
        <f t="shared" si="37"/>
        <v>16</v>
      </c>
      <c r="L250" s="12">
        <f t="shared" si="48"/>
        <v>0.4</v>
      </c>
      <c r="M250" s="1">
        <v>4</v>
      </c>
      <c r="N250" s="1">
        <v>3</v>
      </c>
      <c r="O250" s="1">
        <v>3</v>
      </c>
      <c r="P250" s="1">
        <v>4</v>
      </c>
      <c r="Q250" s="1">
        <f t="shared" si="38"/>
        <v>14</v>
      </c>
      <c r="R250" s="12">
        <f t="shared" si="49"/>
        <v>0.35</v>
      </c>
      <c r="S250" s="1">
        <v>4</v>
      </c>
      <c r="T250" s="1">
        <v>4</v>
      </c>
      <c r="U250" s="1">
        <f t="shared" si="39"/>
        <v>8</v>
      </c>
      <c r="V250" s="12">
        <f t="shared" si="50"/>
        <v>0.4</v>
      </c>
      <c r="Z250" s="1">
        <f t="shared" si="40"/>
        <v>0</v>
      </c>
      <c r="AB250" s="2" t="s">
        <v>988</v>
      </c>
    </row>
    <row r="251" spans="1:28" x14ac:dyDescent="0.25">
      <c r="A251" s="1" t="s">
        <v>1659</v>
      </c>
      <c r="B251" s="1" t="s">
        <v>35</v>
      </c>
      <c r="C251" s="1" t="s">
        <v>861</v>
      </c>
      <c r="D251" s="1">
        <v>17</v>
      </c>
      <c r="E251" s="1">
        <v>1</v>
      </c>
      <c r="F251" s="1">
        <v>6</v>
      </c>
      <c r="G251" s="1">
        <v>4</v>
      </c>
      <c r="H251" s="1">
        <v>4</v>
      </c>
      <c r="I251" s="1">
        <v>3</v>
      </c>
      <c r="J251" s="1">
        <v>4</v>
      </c>
      <c r="K251" s="1">
        <f t="shared" si="37"/>
        <v>15</v>
      </c>
      <c r="L251" s="12">
        <f t="shared" si="48"/>
        <v>0.375</v>
      </c>
      <c r="M251" s="1">
        <v>3</v>
      </c>
      <c r="N251" s="1">
        <v>3</v>
      </c>
      <c r="O251" s="1">
        <v>3</v>
      </c>
      <c r="P251" s="1">
        <v>3</v>
      </c>
      <c r="Q251" s="1">
        <f t="shared" si="38"/>
        <v>12</v>
      </c>
      <c r="R251" s="12">
        <f t="shared" si="49"/>
        <v>0.3</v>
      </c>
      <c r="S251" s="1">
        <v>3</v>
      </c>
      <c r="T251" s="1">
        <v>3</v>
      </c>
      <c r="U251" s="1">
        <f t="shared" si="39"/>
        <v>6</v>
      </c>
      <c r="V251" s="12">
        <f t="shared" si="50"/>
        <v>0.3</v>
      </c>
      <c r="Z251" s="1">
        <f t="shared" si="40"/>
        <v>0</v>
      </c>
      <c r="AB251" s="2" t="s">
        <v>989</v>
      </c>
    </row>
    <row r="252" spans="1:28" x14ac:dyDescent="0.25">
      <c r="A252" s="1" t="s">
        <v>1659</v>
      </c>
      <c r="B252" s="1" t="s">
        <v>35</v>
      </c>
      <c r="C252" s="1" t="s">
        <v>861</v>
      </c>
      <c r="D252" s="1">
        <v>17</v>
      </c>
      <c r="E252" s="1">
        <v>1</v>
      </c>
      <c r="F252" s="1">
        <v>6</v>
      </c>
      <c r="G252" s="1">
        <v>3</v>
      </c>
      <c r="H252" s="1">
        <v>4</v>
      </c>
      <c r="I252" s="1">
        <v>3</v>
      </c>
      <c r="J252" s="1">
        <v>4</v>
      </c>
      <c r="K252" s="1">
        <f t="shared" si="37"/>
        <v>14</v>
      </c>
      <c r="L252" s="12">
        <f t="shared" si="48"/>
        <v>0.35</v>
      </c>
      <c r="M252" s="1">
        <v>4</v>
      </c>
      <c r="N252" s="1">
        <v>3</v>
      </c>
      <c r="O252" s="1">
        <v>3</v>
      </c>
      <c r="P252" s="1">
        <v>4</v>
      </c>
      <c r="Q252" s="1">
        <f t="shared" si="38"/>
        <v>14</v>
      </c>
      <c r="R252" s="12">
        <f t="shared" si="49"/>
        <v>0.35</v>
      </c>
      <c r="S252" s="1">
        <v>3</v>
      </c>
      <c r="T252" s="1">
        <v>3</v>
      </c>
      <c r="U252" s="1">
        <f t="shared" si="39"/>
        <v>6</v>
      </c>
      <c r="V252" s="12">
        <f t="shared" si="50"/>
        <v>0.3</v>
      </c>
      <c r="Z252" s="1">
        <f t="shared" si="40"/>
        <v>0</v>
      </c>
      <c r="AB252" s="2" t="s">
        <v>990</v>
      </c>
    </row>
    <row r="253" spans="1:28" x14ac:dyDescent="0.25">
      <c r="A253" s="1" t="s">
        <v>1659</v>
      </c>
      <c r="B253" s="1" t="s">
        <v>35</v>
      </c>
      <c r="C253" s="1" t="s">
        <v>861</v>
      </c>
      <c r="D253" s="1">
        <v>17</v>
      </c>
      <c r="E253" s="1">
        <v>1</v>
      </c>
      <c r="F253" s="1">
        <v>6</v>
      </c>
      <c r="G253" s="1">
        <v>4</v>
      </c>
      <c r="H253" s="1">
        <v>4</v>
      </c>
      <c r="I253" s="1">
        <v>4</v>
      </c>
      <c r="J253" s="1">
        <v>4</v>
      </c>
      <c r="K253" s="1">
        <f t="shared" si="37"/>
        <v>16</v>
      </c>
      <c r="L253" s="12">
        <f t="shared" si="48"/>
        <v>0.4</v>
      </c>
      <c r="M253" s="1">
        <v>3</v>
      </c>
      <c r="N253" s="1">
        <v>4</v>
      </c>
      <c r="O253" s="1">
        <v>4</v>
      </c>
      <c r="P253" s="1">
        <v>4</v>
      </c>
      <c r="Q253" s="1">
        <f t="shared" si="38"/>
        <v>15</v>
      </c>
      <c r="R253" s="12">
        <f t="shared" si="49"/>
        <v>0.375</v>
      </c>
      <c r="S253" s="1">
        <v>4</v>
      </c>
      <c r="T253" s="1">
        <v>5</v>
      </c>
      <c r="U253" s="1">
        <f t="shared" si="39"/>
        <v>9</v>
      </c>
      <c r="V253" s="12">
        <f t="shared" si="50"/>
        <v>0.45</v>
      </c>
      <c r="Z253" s="1">
        <f t="shared" si="40"/>
        <v>0</v>
      </c>
      <c r="AB253" s="2" t="s">
        <v>991</v>
      </c>
    </row>
    <row r="254" spans="1:28" x14ac:dyDescent="0.25">
      <c r="A254" s="1" t="s">
        <v>1659</v>
      </c>
      <c r="B254" s="1" t="s">
        <v>35</v>
      </c>
      <c r="C254" s="1" t="s">
        <v>861</v>
      </c>
      <c r="D254" s="1">
        <v>17</v>
      </c>
      <c r="E254" s="1">
        <v>1</v>
      </c>
      <c r="F254" s="1">
        <v>6</v>
      </c>
      <c r="G254" s="1">
        <v>4</v>
      </c>
      <c r="H254" s="1">
        <v>2</v>
      </c>
      <c r="I254" s="1">
        <v>2</v>
      </c>
      <c r="J254" s="1">
        <v>3</v>
      </c>
      <c r="K254" s="1">
        <f t="shared" si="37"/>
        <v>11</v>
      </c>
      <c r="L254" s="12">
        <f t="shared" si="48"/>
        <v>0.27500000000000002</v>
      </c>
      <c r="M254" s="1">
        <v>4</v>
      </c>
      <c r="N254" s="1">
        <v>3</v>
      </c>
      <c r="O254" s="1">
        <v>3</v>
      </c>
      <c r="P254" s="1">
        <v>4</v>
      </c>
      <c r="Q254" s="1">
        <f t="shared" si="38"/>
        <v>14</v>
      </c>
      <c r="R254" s="12">
        <f t="shared" si="49"/>
        <v>0.35</v>
      </c>
      <c r="S254" s="1">
        <v>4</v>
      </c>
      <c r="T254" s="1">
        <v>4</v>
      </c>
      <c r="U254" s="1">
        <f t="shared" si="39"/>
        <v>8</v>
      </c>
      <c r="V254" s="12">
        <f t="shared" si="50"/>
        <v>0.4</v>
      </c>
      <c r="Z254" s="1">
        <f t="shared" si="40"/>
        <v>0</v>
      </c>
      <c r="AB254" s="2" t="s">
        <v>992</v>
      </c>
    </row>
    <row r="255" spans="1:28" x14ac:dyDescent="0.25">
      <c r="A255" s="1" t="s">
        <v>1659</v>
      </c>
      <c r="B255" s="1" t="s">
        <v>35</v>
      </c>
      <c r="C255" s="1" t="s">
        <v>861</v>
      </c>
      <c r="D255" s="1">
        <v>18</v>
      </c>
      <c r="E255" s="1">
        <v>2</v>
      </c>
      <c r="F255" s="1">
        <v>5</v>
      </c>
      <c r="G255" s="1">
        <v>2</v>
      </c>
      <c r="H255" s="1">
        <v>2</v>
      </c>
      <c r="I255" s="1">
        <v>2</v>
      </c>
      <c r="J255" s="1">
        <v>3</v>
      </c>
      <c r="K255" s="1">
        <f t="shared" si="37"/>
        <v>9</v>
      </c>
      <c r="L255" s="12">
        <f t="shared" si="48"/>
        <v>0.22500000000000001</v>
      </c>
      <c r="M255" s="1">
        <v>3</v>
      </c>
      <c r="N255" s="1">
        <v>2</v>
      </c>
      <c r="O255" s="1">
        <v>2</v>
      </c>
      <c r="P255" s="1">
        <v>2</v>
      </c>
      <c r="Q255" s="1">
        <f t="shared" si="38"/>
        <v>9</v>
      </c>
      <c r="R255" s="12">
        <f t="shared" si="49"/>
        <v>0.22500000000000001</v>
      </c>
      <c r="S255" s="1">
        <v>2</v>
      </c>
      <c r="T255" s="1">
        <v>1</v>
      </c>
      <c r="U255" s="1">
        <f t="shared" si="39"/>
        <v>3</v>
      </c>
      <c r="V255" s="12">
        <f t="shared" si="50"/>
        <v>0.15</v>
      </c>
      <c r="Z255" s="1">
        <f t="shared" si="40"/>
        <v>0</v>
      </c>
      <c r="AB255" s="2" t="s">
        <v>1124</v>
      </c>
    </row>
    <row r="256" spans="1:28" x14ac:dyDescent="0.25">
      <c r="A256" s="1" t="s">
        <v>1659</v>
      </c>
      <c r="B256" s="1" t="s">
        <v>35</v>
      </c>
      <c r="C256" s="1" t="s">
        <v>861</v>
      </c>
      <c r="D256" s="1">
        <v>18</v>
      </c>
      <c r="E256" s="1">
        <v>2</v>
      </c>
      <c r="F256" s="1">
        <v>5</v>
      </c>
      <c r="G256" s="1">
        <v>3</v>
      </c>
      <c r="H256" s="1">
        <v>2</v>
      </c>
      <c r="I256" s="1">
        <v>2</v>
      </c>
      <c r="J256" s="1">
        <v>3</v>
      </c>
      <c r="K256" s="1">
        <f t="shared" si="37"/>
        <v>10</v>
      </c>
      <c r="L256" s="12">
        <f t="shared" si="48"/>
        <v>0.25</v>
      </c>
      <c r="M256" s="1">
        <v>3</v>
      </c>
      <c r="N256" s="1">
        <v>3</v>
      </c>
      <c r="O256" s="1">
        <v>2</v>
      </c>
      <c r="P256" s="1">
        <v>2</v>
      </c>
      <c r="Q256" s="1">
        <f t="shared" si="38"/>
        <v>10</v>
      </c>
      <c r="R256" s="12">
        <f t="shared" si="49"/>
        <v>0.25</v>
      </c>
      <c r="S256" s="1">
        <v>2</v>
      </c>
      <c r="T256" s="1">
        <v>3</v>
      </c>
      <c r="U256" s="1">
        <f t="shared" si="39"/>
        <v>5</v>
      </c>
      <c r="V256" s="12">
        <f t="shared" si="50"/>
        <v>0.25</v>
      </c>
      <c r="Z256" s="1">
        <f t="shared" si="40"/>
        <v>0</v>
      </c>
      <c r="AB256" s="2" t="s">
        <v>1125</v>
      </c>
    </row>
    <row r="257" spans="1:28" x14ac:dyDescent="0.25">
      <c r="A257" s="1" t="s">
        <v>1659</v>
      </c>
      <c r="B257" s="1" t="s">
        <v>35</v>
      </c>
      <c r="C257" s="1" t="s">
        <v>861</v>
      </c>
      <c r="D257" s="1">
        <v>18</v>
      </c>
      <c r="E257" s="1">
        <v>2</v>
      </c>
      <c r="F257" s="1">
        <v>5</v>
      </c>
      <c r="G257" s="1">
        <v>2</v>
      </c>
      <c r="H257" s="1">
        <v>1</v>
      </c>
      <c r="I257" s="1">
        <v>1</v>
      </c>
      <c r="J257" s="1">
        <v>1</v>
      </c>
      <c r="K257" s="1">
        <f t="shared" si="37"/>
        <v>5</v>
      </c>
      <c r="L257" s="12">
        <f t="shared" si="48"/>
        <v>0.125</v>
      </c>
      <c r="M257" s="1">
        <v>3</v>
      </c>
      <c r="N257" s="1">
        <v>2</v>
      </c>
      <c r="O257" s="1">
        <v>1</v>
      </c>
      <c r="P257" s="1">
        <v>2</v>
      </c>
      <c r="Q257" s="1">
        <f t="shared" si="38"/>
        <v>8</v>
      </c>
      <c r="R257" s="12">
        <f t="shared" si="49"/>
        <v>0.2</v>
      </c>
      <c r="S257" s="1">
        <v>2</v>
      </c>
      <c r="T257" s="1">
        <v>2</v>
      </c>
      <c r="U257" s="1">
        <f t="shared" si="39"/>
        <v>4</v>
      </c>
      <c r="V257" s="12">
        <f t="shared" si="50"/>
        <v>0.2</v>
      </c>
      <c r="Z257" s="1">
        <f t="shared" si="40"/>
        <v>0</v>
      </c>
      <c r="AB257" s="2" t="s">
        <v>1126</v>
      </c>
    </row>
    <row r="258" spans="1:28" x14ac:dyDescent="0.25">
      <c r="A258" s="1" t="s">
        <v>1659</v>
      </c>
      <c r="B258" s="1" t="s">
        <v>35</v>
      </c>
      <c r="C258" s="1" t="s">
        <v>861</v>
      </c>
      <c r="D258" s="1">
        <v>18</v>
      </c>
      <c r="E258" s="1">
        <v>2</v>
      </c>
      <c r="F258" s="1">
        <v>5</v>
      </c>
      <c r="G258" s="1">
        <v>4</v>
      </c>
      <c r="H258" s="1">
        <v>3</v>
      </c>
      <c r="I258" s="1">
        <v>3</v>
      </c>
      <c r="J258" s="1">
        <v>3</v>
      </c>
      <c r="K258" s="1">
        <f t="shared" si="37"/>
        <v>13</v>
      </c>
      <c r="L258" s="12">
        <f t="shared" si="48"/>
        <v>0.32500000000000001</v>
      </c>
      <c r="M258" s="1">
        <v>3</v>
      </c>
      <c r="N258" s="1">
        <v>2</v>
      </c>
      <c r="O258" s="1">
        <v>2</v>
      </c>
      <c r="P258" s="1">
        <v>3</v>
      </c>
      <c r="Q258" s="1">
        <f t="shared" si="38"/>
        <v>10</v>
      </c>
      <c r="R258" s="12">
        <f t="shared" si="49"/>
        <v>0.25</v>
      </c>
      <c r="S258" s="1">
        <v>3</v>
      </c>
      <c r="T258" s="1">
        <v>3</v>
      </c>
      <c r="U258" s="1">
        <f t="shared" si="39"/>
        <v>6</v>
      </c>
      <c r="V258" s="12">
        <f t="shared" si="50"/>
        <v>0.3</v>
      </c>
      <c r="Z258" s="1">
        <f t="shared" si="40"/>
        <v>0</v>
      </c>
      <c r="AB258" s="2" t="s">
        <v>1127</v>
      </c>
    </row>
    <row r="259" spans="1:28" x14ac:dyDescent="0.25">
      <c r="A259" s="1" t="s">
        <v>1659</v>
      </c>
      <c r="B259" s="1" t="s">
        <v>35</v>
      </c>
      <c r="C259" s="1" t="s">
        <v>861</v>
      </c>
      <c r="D259" s="1">
        <v>18</v>
      </c>
      <c r="E259" s="1">
        <v>2</v>
      </c>
      <c r="F259" s="1">
        <v>5</v>
      </c>
      <c r="G259" s="1">
        <v>3</v>
      </c>
      <c r="H259" s="1">
        <v>3</v>
      </c>
      <c r="I259" s="1">
        <v>2</v>
      </c>
      <c r="J259" s="1">
        <v>2</v>
      </c>
      <c r="K259" s="1">
        <f t="shared" ref="K259:K322" si="51">SUM(G259:J259)</f>
        <v>10</v>
      </c>
      <c r="L259" s="12">
        <f t="shared" si="48"/>
        <v>0.25</v>
      </c>
      <c r="M259" s="1">
        <v>3</v>
      </c>
      <c r="N259" s="1">
        <v>2</v>
      </c>
      <c r="O259" s="1">
        <v>2</v>
      </c>
      <c r="P259" s="1">
        <v>2</v>
      </c>
      <c r="Q259" s="1">
        <f t="shared" ref="Q259:Q322" si="52">SUM(M259:P259)</f>
        <v>9</v>
      </c>
      <c r="R259" s="12">
        <f t="shared" si="49"/>
        <v>0.22500000000000001</v>
      </c>
      <c r="S259" s="1">
        <v>2</v>
      </c>
      <c r="T259" s="1">
        <v>3</v>
      </c>
      <c r="U259" s="1">
        <f t="shared" ref="U259:U322" si="53">SUM(S259:T259)</f>
        <v>5</v>
      </c>
      <c r="V259" s="12">
        <f t="shared" si="50"/>
        <v>0.25</v>
      </c>
      <c r="Z259" s="1">
        <f t="shared" ref="Z259:Z322" si="54">SUM(W259:Y259)</f>
        <v>0</v>
      </c>
      <c r="AB259" s="2" t="s">
        <v>1128</v>
      </c>
    </row>
    <row r="260" spans="1:28" x14ac:dyDescent="0.25">
      <c r="A260" s="1" t="s">
        <v>1659</v>
      </c>
      <c r="B260" s="1" t="s">
        <v>35</v>
      </c>
      <c r="C260" s="1" t="s">
        <v>861</v>
      </c>
      <c r="D260" s="1">
        <v>18</v>
      </c>
      <c r="E260" s="1">
        <v>2</v>
      </c>
      <c r="F260" s="1">
        <v>5</v>
      </c>
      <c r="G260" s="1">
        <v>4</v>
      </c>
      <c r="H260" s="1">
        <v>2</v>
      </c>
      <c r="I260" s="1">
        <v>2</v>
      </c>
      <c r="J260" s="1">
        <v>3</v>
      </c>
      <c r="K260" s="1">
        <f t="shared" si="51"/>
        <v>11</v>
      </c>
      <c r="L260" s="12">
        <f t="shared" si="48"/>
        <v>0.27500000000000002</v>
      </c>
      <c r="M260" s="1">
        <v>3</v>
      </c>
      <c r="N260" s="1">
        <v>3</v>
      </c>
      <c r="O260" s="1">
        <v>3</v>
      </c>
      <c r="P260" s="1">
        <v>3</v>
      </c>
      <c r="Q260" s="1">
        <f t="shared" si="52"/>
        <v>12</v>
      </c>
      <c r="R260" s="12">
        <f t="shared" si="49"/>
        <v>0.3</v>
      </c>
      <c r="S260" s="1">
        <v>4</v>
      </c>
      <c r="T260" s="1">
        <v>3</v>
      </c>
      <c r="U260" s="1">
        <f t="shared" si="53"/>
        <v>7</v>
      </c>
      <c r="V260" s="12">
        <f t="shared" si="50"/>
        <v>0.35</v>
      </c>
      <c r="Z260" s="1">
        <f t="shared" si="54"/>
        <v>0</v>
      </c>
      <c r="AB260" s="2" t="s">
        <v>1129</v>
      </c>
    </row>
    <row r="261" spans="1:28" x14ac:dyDescent="0.25">
      <c r="A261" s="1" t="s">
        <v>1659</v>
      </c>
      <c r="B261" s="1" t="s">
        <v>35</v>
      </c>
      <c r="C261" s="1" t="s">
        <v>861</v>
      </c>
      <c r="D261" s="1">
        <v>18</v>
      </c>
      <c r="E261" s="1">
        <v>2</v>
      </c>
      <c r="F261" s="1">
        <v>5</v>
      </c>
      <c r="G261" s="1">
        <v>3</v>
      </c>
      <c r="H261" s="1">
        <v>2</v>
      </c>
      <c r="I261" s="1">
        <v>1</v>
      </c>
      <c r="J261" s="1">
        <v>2</v>
      </c>
      <c r="K261" s="1">
        <f t="shared" si="51"/>
        <v>8</v>
      </c>
      <c r="L261" s="12">
        <f t="shared" si="48"/>
        <v>0.2</v>
      </c>
      <c r="M261" s="1">
        <v>2</v>
      </c>
      <c r="N261" s="1">
        <v>2</v>
      </c>
      <c r="O261" s="1">
        <v>2</v>
      </c>
      <c r="P261" s="1">
        <v>2</v>
      </c>
      <c r="Q261" s="1">
        <f t="shared" si="52"/>
        <v>8</v>
      </c>
      <c r="R261" s="12">
        <f t="shared" si="49"/>
        <v>0.2</v>
      </c>
      <c r="S261" s="1">
        <v>2</v>
      </c>
      <c r="T261" s="1">
        <v>2</v>
      </c>
      <c r="U261" s="1">
        <f t="shared" si="53"/>
        <v>4</v>
      </c>
      <c r="V261" s="12">
        <f t="shared" si="50"/>
        <v>0.2</v>
      </c>
      <c r="Z261" s="1">
        <f t="shared" si="54"/>
        <v>0</v>
      </c>
      <c r="AB261" s="2" t="s">
        <v>1130</v>
      </c>
    </row>
    <row r="262" spans="1:28" x14ac:dyDescent="0.25">
      <c r="A262" s="1" t="s">
        <v>1659</v>
      </c>
      <c r="B262" s="1" t="s">
        <v>35</v>
      </c>
      <c r="C262" s="1" t="s">
        <v>861</v>
      </c>
      <c r="D262" s="1">
        <v>18</v>
      </c>
      <c r="E262" s="1">
        <v>2</v>
      </c>
      <c r="F262" s="1">
        <v>5</v>
      </c>
      <c r="G262" s="1">
        <v>3</v>
      </c>
      <c r="H262" s="1">
        <v>3</v>
      </c>
      <c r="I262" s="1">
        <v>2</v>
      </c>
      <c r="J262" s="1">
        <v>3</v>
      </c>
      <c r="K262" s="1">
        <f t="shared" si="51"/>
        <v>11</v>
      </c>
      <c r="L262" s="12">
        <f t="shared" si="48"/>
        <v>0.27500000000000002</v>
      </c>
      <c r="M262" s="1">
        <v>2</v>
      </c>
      <c r="N262" s="1">
        <v>2</v>
      </c>
      <c r="O262" s="1">
        <v>1</v>
      </c>
      <c r="P262" s="1">
        <v>2</v>
      </c>
      <c r="Q262" s="1">
        <f t="shared" si="52"/>
        <v>7</v>
      </c>
      <c r="R262" s="12">
        <f t="shared" si="49"/>
        <v>0.17499999999999999</v>
      </c>
      <c r="S262" s="1">
        <v>2</v>
      </c>
      <c r="T262" s="1">
        <v>1</v>
      </c>
      <c r="U262" s="1">
        <f t="shared" si="53"/>
        <v>3</v>
      </c>
      <c r="V262" s="12">
        <f t="shared" si="50"/>
        <v>0.15</v>
      </c>
      <c r="Z262" s="1">
        <f t="shared" si="54"/>
        <v>0</v>
      </c>
      <c r="AB262" s="2" t="s">
        <v>1131</v>
      </c>
    </row>
    <row r="263" spans="1:28" x14ac:dyDescent="0.25">
      <c r="A263" s="1" t="s">
        <v>1659</v>
      </c>
      <c r="B263" s="1" t="s">
        <v>35</v>
      </c>
      <c r="C263" s="1" t="s">
        <v>861</v>
      </c>
      <c r="D263" s="1">
        <v>4</v>
      </c>
      <c r="E263" s="1">
        <v>3</v>
      </c>
      <c r="F263" s="1">
        <v>2</v>
      </c>
      <c r="G263" s="1">
        <v>7</v>
      </c>
      <c r="H263" s="1">
        <v>6</v>
      </c>
      <c r="I263" s="1">
        <v>5</v>
      </c>
      <c r="J263" s="1">
        <v>5</v>
      </c>
      <c r="K263" s="1">
        <f t="shared" si="51"/>
        <v>23</v>
      </c>
      <c r="L263" s="12">
        <f t="shared" si="48"/>
        <v>0.57499999999999996</v>
      </c>
      <c r="M263" s="1">
        <v>5</v>
      </c>
      <c r="N263" s="1">
        <v>4</v>
      </c>
      <c r="O263" s="1">
        <v>4</v>
      </c>
      <c r="P263" s="1">
        <v>5</v>
      </c>
      <c r="Q263" s="1">
        <f t="shared" si="52"/>
        <v>18</v>
      </c>
      <c r="R263" s="12">
        <f t="shared" si="49"/>
        <v>0.45</v>
      </c>
      <c r="S263" s="1">
        <v>5</v>
      </c>
      <c r="T263" s="1">
        <v>7</v>
      </c>
      <c r="U263" s="1">
        <f t="shared" si="53"/>
        <v>12</v>
      </c>
      <c r="V263" s="12">
        <f t="shared" si="50"/>
        <v>0.6</v>
      </c>
      <c r="Z263" s="1">
        <f t="shared" si="54"/>
        <v>0</v>
      </c>
      <c r="AB263" s="2" t="s">
        <v>1231</v>
      </c>
    </row>
    <row r="264" spans="1:28" x14ac:dyDescent="0.25">
      <c r="A264" s="1" t="s">
        <v>1659</v>
      </c>
      <c r="B264" s="1" t="s">
        <v>35</v>
      </c>
      <c r="C264" s="1" t="s">
        <v>861</v>
      </c>
      <c r="D264" s="1">
        <v>4</v>
      </c>
      <c r="E264" s="1">
        <v>3</v>
      </c>
      <c r="F264" s="1">
        <v>2</v>
      </c>
      <c r="G264" s="1">
        <v>7</v>
      </c>
      <c r="H264" s="1">
        <v>6</v>
      </c>
      <c r="I264" s="1">
        <v>5</v>
      </c>
      <c r="J264" s="1">
        <v>6</v>
      </c>
      <c r="K264" s="1">
        <f t="shared" si="51"/>
        <v>24</v>
      </c>
      <c r="L264" s="12">
        <f t="shared" si="48"/>
        <v>0.6</v>
      </c>
      <c r="M264" s="1">
        <v>7</v>
      </c>
      <c r="N264" s="1">
        <v>5</v>
      </c>
      <c r="O264" s="1">
        <v>6</v>
      </c>
      <c r="P264" s="1">
        <v>7</v>
      </c>
      <c r="Q264" s="1">
        <f t="shared" si="52"/>
        <v>25</v>
      </c>
      <c r="R264" s="12">
        <f t="shared" si="49"/>
        <v>0.625</v>
      </c>
      <c r="S264" s="1">
        <v>5</v>
      </c>
      <c r="T264" s="1">
        <v>7</v>
      </c>
      <c r="U264" s="1">
        <f t="shared" si="53"/>
        <v>12</v>
      </c>
      <c r="V264" s="12">
        <f t="shared" si="50"/>
        <v>0.6</v>
      </c>
      <c r="Z264" s="1">
        <f t="shared" si="54"/>
        <v>0</v>
      </c>
      <c r="AB264" s="2" t="s">
        <v>1232</v>
      </c>
    </row>
    <row r="265" spans="1:28" x14ac:dyDescent="0.25">
      <c r="A265" s="1" t="s">
        <v>1659</v>
      </c>
      <c r="B265" s="1" t="s">
        <v>35</v>
      </c>
      <c r="C265" s="1" t="s">
        <v>861</v>
      </c>
      <c r="D265" s="1">
        <v>4</v>
      </c>
      <c r="E265" s="1">
        <v>3</v>
      </c>
      <c r="F265" s="1">
        <v>2</v>
      </c>
      <c r="G265" s="1">
        <v>9</v>
      </c>
      <c r="H265" s="1">
        <v>8</v>
      </c>
      <c r="I265" s="1">
        <v>8</v>
      </c>
      <c r="J265" s="1">
        <v>8</v>
      </c>
      <c r="K265" s="1">
        <f t="shared" si="51"/>
        <v>33</v>
      </c>
      <c r="L265" s="12">
        <f t="shared" si="48"/>
        <v>0.82499999999999996</v>
      </c>
      <c r="M265" s="1">
        <v>7</v>
      </c>
      <c r="N265" s="1">
        <v>6</v>
      </c>
      <c r="O265" s="1">
        <v>6</v>
      </c>
      <c r="P265" s="1">
        <v>7</v>
      </c>
      <c r="Q265" s="1">
        <f t="shared" si="52"/>
        <v>26</v>
      </c>
      <c r="R265" s="12">
        <f t="shared" si="49"/>
        <v>0.65</v>
      </c>
      <c r="S265" s="1">
        <v>8</v>
      </c>
      <c r="T265" s="1">
        <v>7</v>
      </c>
      <c r="U265" s="1">
        <f t="shared" si="53"/>
        <v>15</v>
      </c>
      <c r="V265" s="12">
        <f t="shared" si="50"/>
        <v>0.75</v>
      </c>
      <c r="Z265" s="1">
        <f t="shared" si="54"/>
        <v>0</v>
      </c>
      <c r="AB265" s="2" t="s">
        <v>1233</v>
      </c>
    </row>
    <row r="266" spans="1:28" x14ac:dyDescent="0.25">
      <c r="A266" s="1" t="s">
        <v>1659</v>
      </c>
      <c r="B266" s="1" t="s">
        <v>35</v>
      </c>
      <c r="C266" s="1" t="s">
        <v>861</v>
      </c>
      <c r="D266" s="1">
        <v>4</v>
      </c>
      <c r="E266" s="1">
        <v>3</v>
      </c>
      <c r="F266" s="1">
        <v>2</v>
      </c>
      <c r="G266" s="1">
        <v>9</v>
      </c>
      <c r="H266" s="1">
        <v>8</v>
      </c>
      <c r="I266" s="1">
        <v>7</v>
      </c>
      <c r="J266" s="1">
        <v>8</v>
      </c>
      <c r="K266" s="1">
        <f t="shared" si="51"/>
        <v>32</v>
      </c>
      <c r="L266" s="12">
        <f t="shared" si="48"/>
        <v>0.8</v>
      </c>
      <c r="M266" s="1">
        <v>7</v>
      </c>
      <c r="N266" s="1">
        <v>6</v>
      </c>
      <c r="O266" s="1">
        <v>6</v>
      </c>
      <c r="P266" s="1">
        <v>7</v>
      </c>
      <c r="Q266" s="1">
        <f t="shared" si="52"/>
        <v>26</v>
      </c>
      <c r="R266" s="12">
        <f t="shared" si="49"/>
        <v>0.65</v>
      </c>
      <c r="S266" s="1">
        <v>8</v>
      </c>
      <c r="T266" s="1">
        <v>8</v>
      </c>
      <c r="U266" s="1">
        <f t="shared" si="53"/>
        <v>16</v>
      </c>
      <c r="V266" s="12">
        <f t="shared" si="50"/>
        <v>0.8</v>
      </c>
      <c r="Z266" s="1">
        <f t="shared" si="54"/>
        <v>0</v>
      </c>
      <c r="AB266" s="2" t="s">
        <v>1234</v>
      </c>
    </row>
    <row r="267" spans="1:28" x14ac:dyDescent="0.25">
      <c r="A267" s="1" t="s">
        <v>1659</v>
      </c>
      <c r="B267" s="1" t="s">
        <v>35</v>
      </c>
      <c r="C267" s="1" t="s">
        <v>861</v>
      </c>
      <c r="D267" s="1">
        <v>4</v>
      </c>
      <c r="E267" s="1">
        <v>3</v>
      </c>
      <c r="F267" s="1">
        <v>2</v>
      </c>
      <c r="G267" s="1">
        <v>6</v>
      </c>
      <c r="H267" s="1">
        <v>4</v>
      </c>
      <c r="I267" s="1">
        <v>4</v>
      </c>
      <c r="J267" s="1">
        <v>5</v>
      </c>
      <c r="K267" s="1">
        <f t="shared" si="51"/>
        <v>19</v>
      </c>
      <c r="L267" s="12">
        <f t="shared" si="48"/>
        <v>0.47499999999999998</v>
      </c>
      <c r="M267" s="1">
        <v>5</v>
      </c>
      <c r="N267" s="1">
        <v>5</v>
      </c>
      <c r="O267" s="1">
        <v>4</v>
      </c>
      <c r="P267" s="1">
        <v>5</v>
      </c>
      <c r="Q267" s="1">
        <f t="shared" si="52"/>
        <v>19</v>
      </c>
      <c r="R267" s="12">
        <f t="shared" si="49"/>
        <v>0.47499999999999998</v>
      </c>
      <c r="S267" s="1">
        <v>5</v>
      </c>
      <c r="T267" s="1">
        <v>5</v>
      </c>
      <c r="U267" s="1">
        <f t="shared" si="53"/>
        <v>10</v>
      </c>
      <c r="V267" s="12">
        <f t="shared" si="50"/>
        <v>0.5</v>
      </c>
      <c r="Z267" s="1">
        <f t="shared" si="54"/>
        <v>0</v>
      </c>
      <c r="AB267" s="2" t="s">
        <v>1235</v>
      </c>
    </row>
    <row r="268" spans="1:28" x14ac:dyDescent="0.25">
      <c r="A268" s="1" t="s">
        <v>1659</v>
      </c>
      <c r="B268" s="1" t="s">
        <v>35</v>
      </c>
      <c r="C268" s="1" t="s">
        <v>861</v>
      </c>
      <c r="D268" s="1">
        <v>4</v>
      </c>
      <c r="E268" s="1">
        <v>3</v>
      </c>
      <c r="F268" s="1">
        <v>2</v>
      </c>
      <c r="G268" s="1">
        <v>8</v>
      </c>
      <c r="H268" s="1">
        <v>7</v>
      </c>
      <c r="I268" s="1">
        <v>8</v>
      </c>
      <c r="J268" s="1">
        <v>7</v>
      </c>
      <c r="K268" s="1">
        <f t="shared" si="51"/>
        <v>30</v>
      </c>
      <c r="L268" s="12">
        <f t="shared" si="48"/>
        <v>0.75</v>
      </c>
      <c r="M268" s="1">
        <v>7</v>
      </c>
      <c r="N268" s="1">
        <v>6</v>
      </c>
      <c r="O268" s="1">
        <v>7</v>
      </c>
      <c r="P268" s="1">
        <v>8</v>
      </c>
      <c r="Q268" s="1">
        <f t="shared" si="52"/>
        <v>28</v>
      </c>
      <c r="R268" s="12">
        <f t="shared" si="49"/>
        <v>0.7</v>
      </c>
      <c r="S268" s="1">
        <v>5</v>
      </c>
      <c r="T268" s="1">
        <v>8</v>
      </c>
      <c r="U268" s="1">
        <f t="shared" si="53"/>
        <v>13</v>
      </c>
      <c r="V268" s="12">
        <f t="shared" si="50"/>
        <v>0.65</v>
      </c>
      <c r="Z268" s="1">
        <f t="shared" si="54"/>
        <v>0</v>
      </c>
      <c r="AB268" s="2" t="s">
        <v>1236</v>
      </c>
    </row>
    <row r="269" spans="1:28" x14ac:dyDescent="0.25">
      <c r="A269" s="1" t="s">
        <v>1659</v>
      </c>
      <c r="B269" s="1" t="s">
        <v>35</v>
      </c>
      <c r="C269" s="1" t="s">
        <v>861</v>
      </c>
      <c r="D269" s="1">
        <v>4</v>
      </c>
      <c r="E269" s="1">
        <v>3</v>
      </c>
      <c r="F269" s="1">
        <v>2</v>
      </c>
      <c r="G269" s="1">
        <v>6</v>
      </c>
      <c r="H269" s="1">
        <v>5</v>
      </c>
      <c r="I269" s="1">
        <v>6</v>
      </c>
      <c r="J269" s="1">
        <v>5</v>
      </c>
      <c r="K269" s="1">
        <f t="shared" si="51"/>
        <v>22</v>
      </c>
      <c r="L269" s="12">
        <f t="shared" si="48"/>
        <v>0.55000000000000004</v>
      </c>
      <c r="M269" s="1">
        <v>7</v>
      </c>
      <c r="N269" s="1">
        <v>5</v>
      </c>
      <c r="O269" s="1">
        <v>5</v>
      </c>
      <c r="P269" s="1">
        <v>6</v>
      </c>
      <c r="Q269" s="1">
        <f t="shared" si="52"/>
        <v>23</v>
      </c>
      <c r="R269" s="12">
        <f t="shared" si="49"/>
        <v>0.57499999999999996</v>
      </c>
      <c r="S269" s="1">
        <v>7</v>
      </c>
      <c r="T269" s="1">
        <v>7</v>
      </c>
      <c r="U269" s="1">
        <f t="shared" si="53"/>
        <v>14</v>
      </c>
      <c r="V269" s="12">
        <f t="shared" si="50"/>
        <v>0.7</v>
      </c>
      <c r="Z269" s="1">
        <f t="shared" si="54"/>
        <v>0</v>
      </c>
      <c r="AB269" s="2" t="s">
        <v>1237</v>
      </c>
    </row>
    <row r="270" spans="1:28" x14ac:dyDescent="0.25">
      <c r="A270" s="1" t="s">
        <v>1659</v>
      </c>
      <c r="B270" s="1" t="s">
        <v>35</v>
      </c>
      <c r="C270" s="1" t="s">
        <v>861</v>
      </c>
      <c r="D270" s="1">
        <v>4</v>
      </c>
      <c r="E270" s="1">
        <v>3</v>
      </c>
      <c r="F270" s="1">
        <v>2</v>
      </c>
      <c r="G270" s="1">
        <v>6</v>
      </c>
      <c r="H270" s="1">
        <v>4</v>
      </c>
      <c r="I270" s="1">
        <v>6</v>
      </c>
      <c r="J270" s="1">
        <v>6</v>
      </c>
      <c r="K270" s="1">
        <f t="shared" si="51"/>
        <v>22</v>
      </c>
      <c r="L270" s="12">
        <f t="shared" si="48"/>
        <v>0.55000000000000004</v>
      </c>
      <c r="M270" s="1">
        <v>4</v>
      </c>
      <c r="N270" s="1">
        <v>4</v>
      </c>
      <c r="O270" s="1">
        <v>5</v>
      </c>
      <c r="P270" s="1">
        <v>5</v>
      </c>
      <c r="Q270" s="1">
        <f t="shared" si="52"/>
        <v>18</v>
      </c>
      <c r="R270" s="12">
        <f t="shared" si="49"/>
        <v>0.45</v>
      </c>
      <c r="S270" s="1">
        <v>5</v>
      </c>
      <c r="T270" s="1">
        <v>4</v>
      </c>
      <c r="U270" s="1">
        <f t="shared" si="53"/>
        <v>9</v>
      </c>
      <c r="V270" s="12">
        <f t="shared" si="50"/>
        <v>0.45</v>
      </c>
      <c r="Z270" s="1">
        <f t="shared" si="54"/>
        <v>0</v>
      </c>
      <c r="AB270" s="2" t="s">
        <v>1238</v>
      </c>
    </row>
    <row r="271" spans="1:28" x14ac:dyDescent="0.25">
      <c r="A271" s="1" t="s">
        <v>1659</v>
      </c>
      <c r="B271" s="1" t="s">
        <v>576</v>
      </c>
      <c r="C271" s="1" t="s">
        <v>861</v>
      </c>
      <c r="D271" s="1">
        <v>11</v>
      </c>
      <c r="E271" s="1">
        <v>3</v>
      </c>
      <c r="F271" s="1">
        <v>5</v>
      </c>
      <c r="G271" s="1">
        <v>8</v>
      </c>
      <c r="H271" s="1">
        <v>8</v>
      </c>
      <c r="I271" s="1">
        <v>7</v>
      </c>
      <c r="J271" s="1">
        <v>8</v>
      </c>
      <c r="K271" s="1">
        <f t="shared" si="51"/>
        <v>31</v>
      </c>
      <c r="L271" s="12">
        <f t="shared" si="48"/>
        <v>0.77500000000000002</v>
      </c>
      <c r="M271" s="1">
        <v>5</v>
      </c>
      <c r="N271" s="1">
        <v>6</v>
      </c>
      <c r="O271" s="1">
        <v>7</v>
      </c>
      <c r="P271" s="1">
        <v>7</v>
      </c>
      <c r="Q271" s="1">
        <f t="shared" si="52"/>
        <v>25</v>
      </c>
      <c r="R271" s="12">
        <f t="shared" si="49"/>
        <v>0.625</v>
      </c>
      <c r="S271" s="1">
        <v>7</v>
      </c>
      <c r="T271" s="1">
        <v>7</v>
      </c>
      <c r="U271" s="1">
        <f t="shared" si="53"/>
        <v>14</v>
      </c>
      <c r="V271" s="12">
        <f t="shared" si="50"/>
        <v>0.7</v>
      </c>
      <c r="Z271" s="1">
        <f t="shared" si="54"/>
        <v>0</v>
      </c>
      <c r="AB271" s="2" t="s">
        <v>1645</v>
      </c>
    </row>
    <row r="272" spans="1:28" x14ac:dyDescent="0.25">
      <c r="A272" s="1" t="s">
        <v>1659</v>
      </c>
      <c r="B272" s="1" t="s">
        <v>576</v>
      </c>
      <c r="C272" s="1" t="s">
        <v>861</v>
      </c>
      <c r="D272" s="1">
        <v>11</v>
      </c>
      <c r="E272" s="1">
        <v>3</v>
      </c>
      <c r="F272" s="1">
        <v>5</v>
      </c>
      <c r="G272" s="1">
        <v>7</v>
      </c>
      <c r="H272" s="1">
        <v>6</v>
      </c>
      <c r="I272" s="1">
        <v>7</v>
      </c>
      <c r="J272" s="1">
        <v>7</v>
      </c>
      <c r="K272" s="1">
        <f t="shared" si="51"/>
        <v>27</v>
      </c>
      <c r="L272" s="12">
        <f t="shared" si="48"/>
        <v>0.67500000000000004</v>
      </c>
      <c r="M272" s="1">
        <v>5</v>
      </c>
      <c r="N272" s="1">
        <v>6</v>
      </c>
      <c r="O272" s="1">
        <v>6</v>
      </c>
      <c r="P272" s="1">
        <v>6</v>
      </c>
      <c r="Q272" s="1">
        <f t="shared" si="52"/>
        <v>23</v>
      </c>
      <c r="R272" s="12">
        <f t="shared" si="49"/>
        <v>0.57499999999999996</v>
      </c>
      <c r="S272" s="1">
        <v>6</v>
      </c>
      <c r="T272" s="1">
        <v>6</v>
      </c>
      <c r="U272" s="1">
        <f t="shared" si="53"/>
        <v>12</v>
      </c>
      <c r="V272" s="12">
        <f t="shared" si="50"/>
        <v>0.6</v>
      </c>
      <c r="Z272" s="1">
        <f t="shared" si="54"/>
        <v>0</v>
      </c>
      <c r="AB272" s="2" t="s">
        <v>1646</v>
      </c>
    </row>
    <row r="273" spans="1:28" x14ac:dyDescent="0.25">
      <c r="A273" s="1" t="s">
        <v>1659</v>
      </c>
      <c r="B273" s="1" t="s">
        <v>576</v>
      </c>
      <c r="C273" s="1" t="s">
        <v>861</v>
      </c>
      <c r="D273" s="1">
        <v>11</v>
      </c>
      <c r="E273" s="1">
        <v>3</v>
      </c>
      <c r="F273" s="1">
        <v>5</v>
      </c>
      <c r="G273" s="1">
        <v>8</v>
      </c>
      <c r="H273" s="1">
        <v>7</v>
      </c>
      <c r="I273" s="1">
        <v>7</v>
      </c>
      <c r="J273" s="1">
        <v>8</v>
      </c>
      <c r="K273" s="1">
        <f t="shared" si="51"/>
        <v>30</v>
      </c>
      <c r="L273" s="12">
        <f t="shared" si="48"/>
        <v>0.75</v>
      </c>
      <c r="M273" s="1">
        <v>5</v>
      </c>
      <c r="N273" s="1">
        <v>7</v>
      </c>
      <c r="O273" s="1">
        <v>7</v>
      </c>
      <c r="P273" s="1">
        <v>8</v>
      </c>
      <c r="Q273" s="1">
        <f t="shared" si="52"/>
        <v>27</v>
      </c>
      <c r="R273" s="12">
        <f t="shared" si="49"/>
        <v>0.67500000000000004</v>
      </c>
      <c r="S273" s="1">
        <v>8</v>
      </c>
      <c r="T273" s="1">
        <v>8</v>
      </c>
      <c r="U273" s="1">
        <f t="shared" si="53"/>
        <v>16</v>
      </c>
      <c r="V273" s="12">
        <f t="shared" si="50"/>
        <v>0.8</v>
      </c>
      <c r="Z273" s="1">
        <f t="shared" si="54"/>
        <v>0</v>
      </c>
      <c r="AB273" s="2" t="s">
        <v>1647</v>
      </c>
    </row>
    <row r="274" spans="1:28" x14ac:dyDescent="0.25">
      <c r="A274" s="1" t="s">
        <v>1659</v>
      </c>
      <c r="B274" s="1" t="s">
        <v>576</v>
      </c>
      <c r="C274" s="1" t="s">
        <v>861</v>
      </c>
      <c r="D274" s="1">
        <v>11</v>
      </c>
      <c r="E274" s="1">
        <v>3</v>
      </c>
      <c r="F274" s="1">
        <v>5</v>
      </c>
      <c r="G274" s="1">
        <v>7</v>
      </c>
      <c r="H274" s="1">
        <v>6</v>
      </c>
      <c r="I274" s="1">
        <v>7</v>
      </c>
      <c r="J274" s="1">
        <v>7</v>
      </c>
      <c r="K274" s="1">
        <f t="shared" si="51"/>
        <v>27</v>
      </c>
      <c r="L274" s="12">
        <f t="shared" si="48"/>
        <v>0.67500000000000004</v>
      </c>
      <c r="M274" s="1">
        <v>5</v>
      </c>
      <c r="N274" s="1">
        <v>6</v>
      </c>
      <c r="O274" s="1">
        <v>6</v>
      </c>
      <c r="P274" s="1">
        <v>8</v>
      </c>
      <c r="Q274" s="1">
        <f t="shared" si="52"/>
        <v>25</v>
      </c>
      <c r="R274" s="12">
        <f t="shared" si="49"/>
        <v>0.625</v>
      </c>
      <c r="S274" s="1">
        <v>8</v>
      </c>
      <c r="T274" s="1">
        <v>8</v>
      </c>
      <c r="U274" s="1">
        <f t="shared" si="53"/>
        <v>16</v>
      </c>
      <c r="V274" s="12">
        <f t="shared" si="50"/>
        <v>0.8</v>
      </c>
      <c r="Z274" s="1">
        <f t="shared" si="54"/>
        <v>0</v>
      </c>
      <c r="AB274" s="2" t="s">
        <v>1648</v>
      </c>
    </row>
    <row r="275" spans="1:28" x14ac:dyDescent="0.25">
      <c r="A275" s="1" t="s">
        <v>1659</v>
      </c>
      <c r="B275" s="1" t="s">
        <v>576</v>
      </c>
      <c r="C275" s="1" t="s">
        <v>861</v>
      </c>
      <c r="D275" s="1">
        <v>11</v>
      </c>
      <c r="E275" s="1">
        <v>3</v>
      </c>
      <c r="F275" s="1">
        <v>5</v>
      </c>
      <c r="G275" s="1">
        <v>8</v>
      </c>
      <c r="H275" s="1">
        <v>7</v>
      </c>
      <c r="I275" s="1">
        <v>8</v>
      </c>
      <c r="J275" s="1">
        <v>8</v>
      </c>
      <c r="K275" s="1">
        <f t="shared" si="51"/>
        <v>31</v>
      </c>
      <c r="L275" s="12">
        <f t="shared" si="48"/>
        <v>0.77500000000000002</v>
      </c>
      <c r="M275" s="1">
        <v>7</v>
      </c>
      <c r="N275" s="1">
        <v>7</v>
      </c>
      <c r="O275" s="1">
        <v>7</v>
      </c>
      <c r="P275" s="1">
        <v>8</v>
      </c>
      <c r="Q275" s="1">
        <f t="shared" si="52"/>
        <v>29</v>
      </c>
      <c r="R275" s="12">
        <f t="shared" si="49"/>
        <v>0.72499999999999998</v>
      </c>
      <c r="S275" s="1">
        <v>8</v>
      </c>
      <c r="T275" s="1">
        <v>8</v>
      </c>
      <c r="U275" s="1">
        <f t="shared" si="53"/>
        <v>16</v>
      </c>
      <c r="V275" s="12">
        <f t="shared" si="50"/>
        <v>0.8</v>
      </c>
      <c r="Z275" s="1">
        <f t="shared" si="54"/>
        <v>0</v>
      </c>
      <c r="AB275" s="2" t="s">
        <v>1649</v>
      </c>
    </row>
    <row r="276" spans="1:28" x14ac:dyDescent="0.25">
      <c r="A276" s="1" t="s">
        <v>1659</v>
      </c>
      <c r="B276" s="1" t="s">
        <v>576</v>
      </c>
      <c r="C276" s="1" t="s">
        <v>861</v>
      </c>
      <c r="D276" s="1">
        <v>11</v>
      </c>
      <c r="E276" s="1">
        <v>3</v>
      </c>
      <c r="F276" s="1">
        <v>5</v>
      </c>
      <c r="G276" s="1">
        <v>8</v>
      </c>
      <c r="H276" s="1">
        <v>7</v>
      </c>
      <c r="I276" s="1">
        <v>8</v>
      </c>
      <c r="J276" s="1">
        <v>8</v>
      </c>
      <c r="K276" s="1">
        <f t="shared" si="51"/>
        <v>31</v>
      </c>
      <c r="L276" s="12">
        <f t="shared" si="48"/>
        <v>0.77500000000000002</v>
      </c>
      <c r="M276" s="1">
        <v>7</v>
      </c>
      <c r="N276" s="1">
        <v>7</v>
      </c>
      <c r="O276" s="1">
        <v>7</v>
      </c>
      <c r="P276" s="1">
        <v>8</v>
      </c>
      <c r="Q276" s="1">
        <f t="shared" si="52"/>
        <v>29</v>
      </c>
      <c r="R276" s="12">
        <f t="shared" si="49"/>
        <v>0.72499999999999998</v>
      </c>
      <c r="S276" s="1">
        <v>8</v>
      </c>
      <c r="T276" s="1">
        <v>7</v>
      </c>
      <c r="U276" s="1">
        <f t="shared" si="53"/>
        <v>15</v>
      </c>
      <c r="V276" s="12">
        <f t="shared" si="50"/>
        <v>0.75</v>
      </c>
      <c r="Z276" s="1">
        <f t="shared" si="54"/>
        <v>0</v>
      </c>
      <c r="AB276" s="2" t="s">
        <v>1650</v>
      </c>
    </row>
    <row r="277" spans="1:28" x14ac:dyDescent="0.25">
      <c r="A277" s="1" t="s">
        <v>1659</v>
      </c>
      <c r="B277" s="1" t="s">
        <v>576</v>
      </c>
      <c r="C277" s="1" t="s">
        <v>861</v>
      </c>
      <c r="D277" s="1">
        <v>11</v>
      </c>
      <c r="E277" s="1">
        <v>3</v>
      </c>
      <c r="F277" s="1">
        <v>5</v>
      </c>
      <c r="G277" s="1">
        <v>8</v>
      </c>
      <c r="H277" s="1">
        <v>7</v>
      </c>
      <c r="I277" s="1">
        <v>7</v>
      </c>
      <c r="J277" s="1">
        <v>8</v>
      </c>
      <c r="K277" s="1">
        <f t="shared" si="51"/>
        <v>30</v>
      </c>
      <c r="L277" s="12">
        <f t="shared" si="48"/>
        <v>0.75</v>
      </c>
      <c r="M277" s="1">
        <v>7</v>
      </c>
      <c r="N277" s="1">
        <v>7</v>
      </c>
      <c r="O277" s="1">
        <v>8</v>
      </c>
      <c r="P277" s="1">
        <v>8</v>
      </c>
      <c r="Q277" s="1">
        <f t="shared" si="52"/>
        <v>30</v>
      </c>
      <c r="R277" s="12">
        <f t="shared" si="49"/>
        <v>0.75</v>
      </c>
      <c r="S277" s="1">
        <v>8</v>
      </c>
      <c r="T277" s="1">
        <v>8</v>
      </c>
      <c r="U277" s="1">
        <f t="shared" si="53"/>
        <v>16</v>
      </c>
      <c r="V277" s="12">
        <f t="shared" si="50"/>
        <v>0.8</v>
      </c>
      <c r="Z277" s="1">
        <f t="shared" si="54"/>
        <v>0</v>
      </c>
      <c r="AB277" s="2" t="s">
        <v>1651</v>
      </c>
    </row>
    <row r="278" spans="1:28" x14ac:dyDescent="0.25">
      <c r="A278" s="1" t="s">
        <v>1660</v>
      </c>
      <c r="B278" s="1" t="s">
        <v>35</v>
      </c>
      <c r="C278" s="1" t="s">
        <v>36</v>
      </c>
      <c r="D278" s="1">
        <v>19</v>
      </c>
      <c r="E278" s="1">
        <v>1</v>
      </c>
      <c r="F278" s="1">
        <v>5</v>
      </c>
      <c r="G278" s="1">
        <v>6</v>
      </c>
      <c r="H278" s="1">
        <v>5</v>
      </c>
      <c r="I278" s="1">
        <v>5</v>
      </c>
      <c r="J278" s="1">
        <v>3</v>
      </c>
      <c r="K278" s="1">
        <f t="shared" si="51"/>
        <v>19</v>
      </c>
      <c r="L278" s="12">
        <f t="shared" ref="L278:L285" si="55">K278/35</f>
        <v>0.54285714285714282</v>
      </c>
      <c r="M278" s="1">
        <v>7</v>
      </c>
      <c r="N278" s="1">
        <v>6</v>
      </c>
      <c r="O278" s="1">
        <v>6</v>
      </c>
      <c r="P278" s="1">
        <v>4</v>
      </c>
      <c r="Q278" s="1">
        <f t="shared" si="52"/>
        <v>23</v>
      </c>
      <c r="R278" s="12">
        <f t="shared" ref="R278:R285" si="56">Q278/35</f>
        <v>0.65714285714285714</v>
      </c>
      <c r="S278" s="1">
        <v>6</v>
      </c>
      <c r="T278" s="1">
        <v>4</v>
      </c>
      <c r="U278" s="1">
        <f t="shared" si="53"/>
        <v>10</v>
      </c>
      <c r="V278" s="12">
        <f t="shared" ref="V278:V285" si="57">U278/15</f>
        <v>0.66666666666666663</v>
      </c>
      <c r="W278" s="1">
        <v>3</v>
      </c>
      <c r="X278" s="1">
        <v>3</v>
      </c>
      <c r="Y278" s="1">
        <v>2</v>
      </c>
      <c r="Z278" s="1">
        <f t="shared" si="54"/>
        <v>8</v>
      </c>
      <c r="AA278" s="12">
        <f t="shared" ref="AA278:AA285" si="58">Z278/15</f>
        <v>0.53333333333333333</v>
      </c>
      <c r="AB278" s="2" t="s">
        <v>157</v>
      </c>
    </row>
    <row r="279" spans="1:28" x14ac:dyDescent="0.25">
      <c r="A279" s="1" t="s">
        <v>1660</v>
      </c>
      <c r="B279" s="1" t="s">
        <v>35</v>
      </c>
      <c r="C279" s="1" t="s">
        <v>36</v>
      </c>
      <c r="D279" s="1">
        <v>19</v>
      </c>
      <c r="E279" s="1">
        <v>1</v>
      </c>
      <c r="F279" s="1">
        <v>5</v>
      </c>
      <c r="G279" s="1">
        <v>8</v>
      </c>
      <c r="H279" s="1">
        <v>7</v>
      </c>
      <c r="I279" s="1">
        <v>8</v>
      </c>
      <c r="J279" s="1">
        <v>4</v>
      </c>
      <c r="K279" s="1">
        <f t="shared" si="51"/>
        <v>27</v>
      </c>
      <c r="L279" s="12">
        <f t="shared" si="55"/>
        <v>0.77142857142857146</v>
      </c>
      <c r="M279" s="1">
        <v>8</v>
      </c>
      <c r="N279" s="1">
        <v>7</v>
      </c>
      <c r="O279" s="1">
        <v>5</v>
      </c>
      <c r="P279" s="1">
        <v>4</v>
      </c>
      <c r="Q279" s="1">
        <f t="shared" si="52"/>
        <v>24</v>
      </c>
      <c r="R279" s="12">
        <f t="shared" si="56"/>
        <v>0.68571428571428572</v>
      </c>
      <c r="S279" s="1">
        <v>7</v>
      </c>
      <c r="T279" s="1">
        <v>5</v>
      </c>
      <c r="U279" s="1">
        <f t="shared" si="53"/>
        <v>12</v>
      </c>
      <c r="V279" s="12">
        <f t="shared" si="57"/>
        <v>0.8</v>
      </c>
      <c r="W279" s="1">
        <v>3</v>
      </c>
      <c r="X279" s="1">
        <v>3</v>
      </c>
      <c r="Y279" s="1">
        <v>4</v>
      </c>
      <c r="Z279" s="1">
        <f t="shared" si="54"/>
        <v>10</v>
      </c>
      <c r="AA279" s="12">
        <f t="shared" si="58"/>
        <v>0.66666666666666663</v>
      </c>
      <c r="AB279" s="2" t="s">
        <v>158</v>
      </c>
    </row>
    <row r="280" spans="1:28" x14ac:dyDescent="0.25">
      <c r="A280" s="1" t="s">
        <v>1660</v>
      </c>
      <c r="B280" s="1" t="s">
        <v>35</v>
      </c>
      <c r="C280" s="1" t="s">
        <v>36</v>
      </c>
      <c r="D280" s="1">
        <v>19</v>
      </c>
      <c r="E280" s="1">
        <v>1</v>
      </c>
      <c r="F280" s="1">
        <v>5</v>
      </c>
      <c r="G280" s="1">
        <v>7</v>
      </c>
      <c r="H280" s="1">
        <v>7</v>
      </c>
      <c r="I280" s="1">
        <v>6</v>
      </c>
      <c r="J280" s="1">
        <v>3</v>
      </c>
      <c r="K280" s="1">
        <f t="shared" si="51"/>
        <v>23</v>
      </c>
      <c r="L280" s="12">
        <f t="shared" si="55"/>
        <v>0.65714285714285714</v>
      </c>
      <c r="M280" s="1">
        <v>6</v>
      </c>
      <c r="N280" s="1">
        <v>6</v>
      </c>
      <c r="O280" s="1">
        <v>6</v>
      </c>
      <c r="P280" s="1">
        <v>5</v>
      </c>
      <c r="Q280" s="1">
        <f t="shared" si="52"/>
        <v>23</v>
      </c>
      <c r="R280" s="12">
        <f t="shared" si="56"/>
        <v>0.65714285714285714</v>
      </c>
      <c r="S280" s="1">
        <v>5</v>
      </c>
      <c r="T280" s="1">
        <v>3</v>
      </c>
      <c r="U280" s="1">
        <f t="shared" si="53"/>
        <v>8</v>
      </c>
      <c r="V280" s="12">
        <f t="shared" si="57"/>
        <v>0.53333333333333333</v>
      </c>
      <c r="W280" s="1">
        <v>3</v>
      </c>
      <c r="X280" s="1">
        <v>3</v>
      </c>
      <c r="Y280" s="1">
        <v>3</v>
      </c>
      <c r="Z280" s="1">
        <f t="shared" si="54"/>
        <v>9</v>
      </c>
      <c r="AA280" s="12">
        <f t="shared" si="58"/>
        <v>0.6</v>
      </c>
      <c r="AB280" s="2" t="s">
        <v>159</v>
      </c>
    </row>
    <row r="281" spans="1:28" x14ac:dyDescent="0.25">
      <c r="A281" s="1" t="s">
        <v>1660</v>
      </c>
      <c r="B281" s="1" t="s">
        <v>35</v>
      </c>
      <c r="C281" s="1" t="s">
        <v>36</v>
      </c>
      <c r="D281" s="1">
        <v>19</v>
      </c>
      <c r="E281" s="1">
        <v>1</v>
      </c>
      <c r="F281" s="1">
        <v>5</v>
      </c>
      <c r="G281" s="1">
        <v>5</v>
      </c>
      <c r="H281" s="1">
        <v>5</v>
      </c>
      <c r="I281" s="1">
        <v>6</v>
      </c>
      <c r="J281" s="1">
        <v>3</v>
      </c>
      <c r="K281" s="1">
        <f t="shared" si="51"/>
        <v>19</v>
      </c>
      <c r="L281" s="12">
        <f t="shared" si="55"/>
        <v>0.54285714285714282</v>
      </c>
      <c r="M281" s="1">
        <v>6</v>
      </c>
      <c r="N281" s="1">
        <v>5</v>
      </c>
      <c r="O281" s="1">
        <v>5</v>
      </c>
      <c r="P281" s="1">
        <v>3</v>
      </c>
      <c r="Q281" s="1">
        <f t="shared" si="52"/>
        <v>19</v>
      </c>
      <c r="R281" s="12">
        <f t="shared" si="56"/>
        <v>0.54285714285714282</v>
      </c>
      <c r="S281" s="1">
        <v>6</v>
      </c>
      <c r="T281" s="1">
        <v>3</v>
      </c>
      <c r="U281" s="1">
        <f t="shared" si="53"/>
        <v>9</v>
      </c>
      <c r="V281" s="12">
        <f t="shared" si="57"/>
        <v>0.6</v>
      </c>
      <c r="W281" s="1">
        <v>3</v>
      </c>
      <c r="X281" s="1">
        <v>3</v>
      </c>
      <c r="Y281" s="1">
        <v>3</v>
      </c>
      <c r="Z281" s="1">
        <f t="shared" si="54"/>
        <v>9</v>
      </c>
      <c r="AA281" s="12">
        <f t="shared" si="58"/>
        <v>0.6</v>
      </c>
      <c r="AB281" s="2" t="s">
        <v>160</v>
      </c>
    </row>
    <row r="282" spans="1:28" x14ac:dyDescent="0.25">
      <c r="A282" s="1" t="s">
        <v>1660</v>
      </c>
      <c r="B282" s="1" t="s">
        <v>35</v>
      </c>
      <c r="C282" s="1" t="s">
        <v>36</v>
      </c>
      <c r="D282" s="1">
        <v>19</v>
      </c>
      <c r="E282" s="1">
        <v>1</v>
      </c>
      <c r="F282" s="1">
        <v>5</v>
      </c>
      <c r="G282" s="1">
        <v>7</v>
      </c>
      <c r="H282" s="1">
        <v>7</v>
      </c>
      <c r="I282" s="1">
        <v>7</v>
      </c>
      <c r="J282" s="1">
        <v>3</v>
      </c>
      <c r="K282" s="1">
        <f t="shared" si="51"/>
        <v>24</v>
      </c>
      <c r="L282" s="12">
        <f t="shared" si="55"/>
        <v>0.68571428571428572</v>
      </c>
      <c r="M282" s="1">
        <v>7</v>
      </c>
      <c r="N282" s="1">
        <v>6</v>
      </c>
      <c r="O282" s="1">
        <v>6</v>
      </c>
      <c r="P282" s="1">
        <v>3</v>
      </c>
      <c r="Q282" s="1">
        <f t="shared" si="52"/>
        <v>22</v>
      </c>
      <c r="R282" s="12">
        <f t="shared" si="56"/>
        <v>0.62857142857142856</v>
      </c>
      <c r="S282" s="1">
        <v>7</v>
      </c>
      <c r="T282" s="1">
        <v>3</v>
      </c>
      <c r="U282" s="1">
        <f t="shared" si="53"/>
        <v>10</v>
      </c>
      <c r="V282" s="12">
        <f t="shared" si="57"/>
        <v>0.66666666666666663</v>
      </c>
      <c r="W282" s="1">
        <v>3</v>
      </c>
      <c r="X282" s="1">
        <v>2</v>
      </c>
      <c r="Y282" s="1">
        <v>2</v>
      </c>
      <c r="Z282" s="1">
        <f t="shared" si="54"/>
        <v>7</v>
      </c>
      <c r="AA282" s="12">
        <f t="shared" si="58"/>
        <v>0.46666666666666667</v>
      </c>
      <c r="AB282" s="2" t="s">
        <v>161</v>
      </c>
    </row>
    <row r="283" spans="1:28" x14ac:dyDescent="0.25">
      <c r="A283" s="1" t="s">
        <v>1660</v>
      </c>
      <c r="B283" s="1" t="s">
        <v>35</v>
      </c>
      <c r="C283" s="1" t="s">
        <v>36</v>
      </c>
      <c r="D283" s="1">
        <v>19</v>
      </c>
      <c r="E283" s="1">
        <v>1</v>
      </c>
      <c r="F283" s="1">
        <v>5</v>
      </c>
      <c r="G283" s="1">
        <v>6</v>
      </c>
      <c r="H283" s="1">
        <v>4</v>
      </c>
      <c r="I283" s="1">
        <v>4</v>
      </c>
      <c r="J283" s="1">
        <v>2</v>
      </c>
      <c r="K283" s="1">
        <f t="shared" si="51"/>
        <v>16</v>
      </c>
      <c r="L283" s="12">
        <f t="shared" si="55"/>
        <v>0.45714285714285713</v>
      </c>
      <c r="M283" s="1">
        <v>5</v>
      </c>
      <c r="N283" s="1">
        <v>5</v>
      </c>
      <c r="O283" s="1">
        <v>5</v>
      </c>
      <c r="P283" s="1">
        <v>3</v>
      </c>
      <c r="Q283" s="1">
        <f t="shared" si="52"/>
        <v>18</v>
      </c>
      <c r="R283" s="12">
        <f t="shared" si="56"/>
        <v>0.51428571428571423</v>
      </c>
      <c r="S283" s="1">
        <v>6</v>
      </c>
      <c r="T283" s="1">
        <v>4</v>
      </c>
      <c r="U283" s="1">
        <f t="shared" si="53"/>
        <v>10</v>
      </c>
      <c r="V283" s="12">
        <f t="shared" si="57"/>
        <v>0.66666666666666663</v>
      </c>
      <c r="W283" s="1">
        <v>1</v>
      </c>
      <c r="X283" s="1">
        <v>1</v>
      </c>
      <c r="Y283" s="1">
        <v>2</v>
      </c>
      <c r="Z283" s="1">
        <f t="shared" si="54"/>
        <v>4</v>
      </c>
      <c r="AA283" s="12">
        <f t="shared" si="58"/>
        <v>0.26666666666666666</v>
      </c>
      <c r="AB283" s="2" t="s">
        <v>162</v>
      </c>
    </row>
    <row r="284" spans="1:28" x14ac:dyDescent="0.25">
      <c r="A284" s="1" t="s">
        <v>1660</v>
      </c>
      <c r="B284" s="1" t="s">
        <v>35</v>
      </c>
      <c r="C284" s="1" t="s">
        <v>36</v>
      </c>
      <c r="D284" s="1">
        <v>19</v>
      </c>
      <c r="E284" s="1">
        <v>1</v>
      </c>
      <c r="F284" s="1">
        <v>5</v>
      </c>
      <c r="G284" s="1">
        <v>6</v>
      </c>
      <c r="H284" s="1">
        <v>6</v>
      </c>
      <c r="I284" s="1">
        <v>6</v>
      </c>
      <c r="J284" s="1">
        <v>3</v>
      </c>
      <c r="K284" s="1">
        <f t="shared" si="51"/>
        <v>21</v>
      </c>
      <c r="L284" s="12">
        <f t="shared" si="55"/>
        <v>0.6</v>
      </c>
      <c r="M284" s="1">
        <v>5</v>
      </c>
      <c r="N284" s="1">
        <v>5</v>
      </c>
      <c r="O284" s="1">
        <v>6</v>
      </c>
      <c r="P284" s="1">
        <v>2</v>
      </c>
      <c r="Q284" s="1">
        <f t="shared" si="52"/>
        <v>18</v>
      </c>
      <c r="R284" s="12">
        <f t="shared" si="56"/>
        <v>0.51428571428571423</v>
      </c>
      <c r="S284" s="1">
        <v>5</v>
      </c>
      <c r="T284" s="1">
        <v>4</v>
      </c>
      <c r="U284" s="1">
        <f t="shared" si="53"/>
        <v>9</v>
      </c>
      <c r="V284" s="12">
        <f t="shared" si="57"/>
        <v>0.6</v>
      </c>
      <c r="W284" s="1">
        <v>2</v>
      </c>
      <c r="X284" s="1">
        <v>2</v>
      </c>
      <c r="Y284" s="1">
        <v>3</v>
      </c>
      <c r="Z284" s="1">
        <f t="shared" si="54"/>
        <v>7</v>
      </c>
      <c r="AA284" s="12">
        <f t="shared" si="58"/>
        <v>0.46666666666666667</v>
      </c>
      <c r="AB284" s="2" t="s">
        <v>163</v>
      </c>
    </row>
    <row r="285" spans="1:28" x14ac:dyDescent="0.25">
      <c r="A285" s="1" t="s">
        <v>1660</v>
      </c>
      <c r="B285" s="1" t="s">
        <v>35</v>
      </c>
      <c r="C285" s="1" t="s">
        <v>36</v>
      </c>
      <c r="D285" s="1">
        <v>19</v>
      </c>
      <c r="E285" s="1">
        <v>1</v>
      </c>
      <c r="F285" s="1">
        <v>5</v>
      </c>
      <c r="G285" s="1">
        <v>5</v>
      </c>
      <c r="H285" s="1">
        <v>6</v>
      </c>
      <c r="I285" s="1">
        <v>6</v>
      </c>
      <c r="J285" s="1">
        <v>3</v>
      </c>
      <c r="K285" s="1">
        <f t="shared" si="51"/>
        <v>20</v>
      </c>
      <c r="L285" s="12">
        <f t="shared" si="55"/>
        <v>0.5714285714285714</v>
      </c>
      <c r="M285" s="1">
        <v>6</v>
      </c>
      <c r="N285" s="1">
        <v>7</v>
      </c>
      <c r="O285" s="1">
        <v>6</v>
      </c>
      <c r="P285" s="1">
        <v>3</v>
      </c>
      <c r="Q285" s="1">
        <f t="shared" si="52"/>
        <v>22</v>
      </c>
      <c r="R285" s="12">
        <f t="shared" si="56"/>
        <v>0.62857142857142856</v>
      </c>
      <c r="S285" s="1">
        <v>7</v>
      </c>
      <c r="T285" s="1">
        <v>4</v>
      </c>
      <c r="U285" s="1">
        <f t="shared" si="53"/>
        <v>11</v>
      </c>
      <c r="V285" s="12">
        <f t="shared" si="57"/>
        <v>0.73333333333333328</v>
      </c>
      <c r="W285" s="1">
        <v>2</v>
      </c>
      <c r="X285" s="1">
        <v>2</v>
      </c>
      <c r="Y285" s="1">
        <v>2</v>
      </c>
      <c r="Z285" s="1">
        <f t="shared" si="54"/>
        <v>6</v>
      </c>
      <c r="AA285" s="12">
        <f t="shared" si="58"/>
        <v>0.4</v>
      </c>
      <c r="AB285" s="2" t="s">
        <v>164</v>
      </c>
    </row>
    <row r="286" spans="1:28" x14ac:dyDescent="0.25">
      <c r="A286" s="1" t="s">
        <v>1660</v>
      </c>
      <c r="B286" s="1" t="s">
        <v>35</v>
      </c>
      <c r="C286" s="1" t="s">
        <v>861</v>
      </c>
      <c r="D286" s="1">
        <v>17</v>
      </c>
      <c r="E286" s="1">
        <v>1</v>
      </c>
      <c r="F286" s="1">
        <v>3</v>
      </c>
      <c r="G286" s="1">
        <v>5</v>
      </c>
      <c r="H286" s="1">
        <v>5</v>
      </c>
      <c r="I286" s="1">
        <v>2</v>
      </c>
      <c r="J286" s="1">
        <v>5</v>
      </c>
      <c r="K286" s="1">
        <f t="shared" si="51"/>
        <v>17</v>
      </c>
      <c r="L286" s="12">
        <f t="shared" ref="L286:L310" si="59">K286/40</f>
        <v>0.42499999999999999</v>
      </c>
      <c r="M286" s="1">
        <v>5</v>
      </c>
      <c r="N286" s="1">
        <v>5</v>
      </c>
      <c r="O286" s="1">
        <v>3</v>
      </c>
      <c r="P286" s="1">
        <v>5</v>
      </c>
      <c r="Q286" s="1">
        <f t="shared" si="52"/>
        <v>18</v>
      </c>
      <c r="R286" s="12">
        <f t="shared" ref="R286:R310" si="60">Q286/40</f>
        <v>0.45</v>
      </c>
      <c r="S286" s="1">
        <v>5</v>
      </c>
      <c r="T286" s="1">
        <v>5</v>
      </c>
      <c r="U286" s="1">
        <f t="shared" si="53"/>
        <v>10</v>
      </c>
      <c r="V286" s="12">
        <f t="shared" ref="V286:V310" si="61">U286/20</f>
        <v>0.5</v>
      </c>
      <c r="Z286" s="1">
        <f t="shared" si="54"/>
        <v>0</v>
      </c>
      <c r="AB286" s="2" t="s">
        <v>913</v>
      </c>
    </row>
    <row r="287" spans="1:28" x14ac:dyDescent="0.25">
      <c r="A287" s="1" t="s">
        <v>1660</v>
      </c>
      <c r="B287" s="1" t="s">
        <v>35</v>
      </c>
      <c r="C287" s="1" t="s">
        <v>861</v>
      </c>
      <c r="D287" s="1">
        <v>17</v>
      </c>
      <c r="E287" s="1">
        <v>1</v>
      </c>
      <c r="F287" s="1">
        <v>3</v>
      </c>
      <c r="G287" s="1">
        <v>8</v>
      </c>
      <c r="H287" s="1">
        <v>7</v>
      </c>
      <c r="I287" s="1">
        <v>8</v>
      </c>
      <c r="J287" s="1">
        <v>8</v>
      </c>
      <c r="K287" s="1">
        <f t="shared" si="51"/>
        <v>31</v>
      </c>
      <c r="L287" s="12">
        <f t="shared" si="59"/>
        <v>0.77500000000000002</v>
      </c>
      <c r="M287" s="1">
        <v>8</v>
      </c>
      <c r="N287" s="1">
        <v>8</v>
      </c>
      <c r="O287" s="1">
        <v>8</v>
      </c>
      <c r="P287" s="1">
        <v>9</v>
      </c>
      <c r="Q287" s="1">
        <f t="shared" si="52"/>
        <v>33</v>
      </c>
      <c r="R287" s="12">
        <f t="shared" si="60"/>
        <v>0.82499999999999996</v>
      </c>
      <c r="S287" s="1">
        <v>8</v>
      </c>
      <c r="T287" s="1">
        <v>9</v>
      </c>
      <c r="U287" s="1">
        <f t="shared" si="53"/>
        <v>17</v>
      </c>
      <c r="V287" s="12">
        <f t="shared" si="61"/>
        <v>0.85</v>
      </c>
      <c r="Z287" s="1">
        <f t="shared" si="54"/>
        <v>0</v>
      </c>
      <c r="AB287" s="2" t="s">
        <v>914</v>
      </c>
    </row>
    <row r="288" spans="1:28" x14ac:dyDescent="0.25">
      <c r="A288" s="1" t="s">
        <v>1660</v>
      </c>
      <c r="B288" s="1" t="s">
        <v>35</v>
      </c>
      <c r="C288" s="1" t="s">
        <v>861</v>
      </c>
      <c r="D288" s="1">
        <v>17</v>
      </c>
      <c r="E288" s="1">
        <v>1</v>
      </c>
      <c r="F288" s="1">
        <v>3</v>
      </c>
      <c r="G288" s="1">
        <v>5</v>
      </c>
      <c r="H288" s="1">
        <v>5</v>
      </c>
      <c r="I288" s="1">
        <v>3</v>
      </c>
      <c r="J288" s="1">
        <v>5</v>
      </c>
      <c r="K288" s="1">
        <f t="shared" si="51"/>
        <v>18</v>
      </c>
      <c r="L288" s="12">
        <f t="shared" si="59"/>
        <v>0.45</v>
      </c>
      <c r="M288" s="1">
        <v>5</v>
      </c>
      <c r="N288" s="1">
        <v>5</v>
      </c>
      <c r="O288" s="1">
        <v>3</v>
      </c>
      <c r="P288" s="1">
        <v>5</v>
      </c>
      <c r="Q288" s="1">
        <f t="shared" si="52"/>
        <v>18</v>
      </c>
      <c r="R288" s="12">
        <f t="shared" si="60"/>
        <v>0.45</v>
      </c>
      <c r="S288" s="1">
        <v>4</v>
      </c>
      <c r="T288" s="1">
        <v>4</v>
      </c>
      <c r="U288" s="1">
        <f t="shared" si="53"/>
        <v>8</v>
      </c>
      <c r="V288" s="12">
        <f t="shared" si="61"/>
        <v>0.4</v>
      </c>
      <c r="Z288" s="1">
        <f t="shared" si="54"/>
        <v>0</v>
      </c>
      <c r="AB288" s="2" t="s">
        <v>915</v>
      </c>
    </row>
    <row r="289" spans="1:28" x14ac:dyDescent="0.25">
      <c r="A289" s="1" t="s">
        <v>1660</v>
      </c>
      <c r="B289" s="1" t="s">
        <v>35</v>
      </c>
      <c r="C289" s="1" t="s">
        <v>861</v>
      </c>
      <c r="D289" s="1">
        <v>17</v>
      </c>
      <c r="E289" s="1">
        <v>1</v>
      </c>
      <c r="F289" s="1">
        <v>3</v>
      </c>
      <c r="G289" s="1">
        <v>7</v>
      </c>
      <c r="H289" s="1">
        <v>6</v>
      </c>
      <c r="I289" s="1">
        <v>6</v>
      </c>
      <c r="J289" s="1">
        <v>6</v>
      </c>
      <c r="K289" s="1">
        <f t="shared" si="51"/>
        <v>25</v>
      </c>
      <c r="L289" s="12">
        <f t="shared" si="59"/>
        <v>0.625</v>
      </c>
      <c r="M289" s="1">
        <v>8</v>
      </c>
      <c r="N289" s="1">
        <v>8</v>
      </c>
      <c r="O289" s="1">
        <v>8</v>
      </c>
      <c r="P289" s="1">
        <v>8</v>
      </c>
      <c r="Q289" s="1">
        <f t="shared" si="52"/>
        <v>32</v>
      </c>
      <c r="R289" s="12">
        <f t="shared" si="60"/>
        <v>0.8</v>
      </c>
      <c r="S289" s="1">
        <v>7</v>
      </c>
      <c r="T289" s="1">
        <v>7</v>
      </c>
      <c r="U289" s="1">
        <f t="shared" si="53"/>
        <v>14</v>
      </c>
      <c r="V289" s="12">
        <f t="shared" si="61"/>
        <v>0.7</v>
      </c>
      <c r="Z289" s="1">
        <f t="shared" si="54"/>
        <v>0</v>
      </c>
      <c r="AB289" s="2" t="s">
        <v>916</v>
      </c>
    </row>
    <row r="290" spans="1:28" x14ac:dyDescent="0.25">
      <c r="A290" s="1" t="s">
        <v>1660</v>
      </c>
      <c r="B290" s="1" t="s">
        <v>35</v>
      </c>
      <c r="C290" s="1" t="s">
        <v>861</v>
      </c>
      <c r="D290" s="1">
        <v>17</v>
      </c>
      <c r="E290" s="1">
        <v>1</v>
      </c>
      <c r="F290" s="1">
        <v>3</v>
      </c>
      <c r="G290" s="1">
        <v>8</v>
      </c>
      <c r="H290" s="1">
        <v>8</v>
      </c>
      <c r="I290" s="1">
        <v>8</v>
      </c>
      <c r="J290" s="1">
        <v>7</v>
      </c>
      <c r="K290" s="1">
        <f t="shared" si="51"/>
        <v>31</v>
      </c>
      <c r="L290" s="12">
        <f t="shared" si="59"/>
        <v>0.77500000000000002</v>
      </c>
      <c r="M290" s="1">
        <v>8</v>
      </c>
      <c r="N290" s="1">
        <v>9</v>
      </c>
      <c r="O290" s="1">
        <v>9</v>
      </c>
      <c r="P290" s="1">
        <v>7</v>
      </c>
      <c r="Q290" s="1">
        <f t="shared" si="52"/>
        <v>33</v>
      </c>
      <c r="R290" s="12">
        <f t="shared" si="60"/>
        <v>0.82499999999999996</v>
      </c>
      <c r="S290" s="1">
        <v>8</v>
      </c>
      <c r="T290" s="1">
        <v>8</v>
      </c>
      <c r="U290" s="1">
        <f t="shared" si="53"/>
        <v>16</v>
      </c>
      <c r="V290" s="12">
        <f t="shared" si="61"/>
        <v>0.8</v>
      </c>
      <c r="Z290" s="1">
        <f t="shared" si="54"/>
        <v>0</v>
      </c>
      <c r="AB290" s="2" t="s">
        <v>917</v>
      </c>
    </row>
    <row r="291" spans="1:28" x14ac:dyDescent="0.25">
      <c r="A291" s="1" t="s">
        <v>1660</v>
      </c>
      <c r="B291" s="1" t="s">
        <v>35</v>
      </c>
      <c r="C291" s="1" t="s">
        <v>861</v>
      </c>
      <c r="D291" s="1">
        <v>17</v>
      </c>
      <c r="E291" s="1">
        <v>1</v>
      </c>
      <c r="F291" s="1">
        <v>3</v>
      </c>
      <c r="G291" s="1">
        <v>6</v>
      </c>
      <c r="H291" s="1">
        <v>6</v>
      </c>
      <c r="I291" s="1">
        <v>5</v>
      </c>
      <c r="J291" s="1">
        <v>6</v>
      </c>
      <c r="K291" s="1">
        <f t="shared" si="51"/>
        <v>23</v>
      </c>
      <c r="L291" s="12">
        <f t="shared" si="59"/>
        <v>0.57499999999999996</v>
      </c>
      <c r="M291" s="1">
        <v>8</v>
      </c>
      <c r="N291" s="1">
        <v>7</v>
      </c>
      <c r="O291" s="1">
        <v>7</v>
      </c>
      <c r="P291" s="1">
        <v>6</v>
      </c>
      <c r="Q291" s="1">
        <f t="shared" si="52"/>
        <v>28</v>
      </c>
      <c r="R291" s="12">
        <f t="shared" si="60"/>
        <v>0.7</v>
      </c>
      <c r="S291" s="1">
        <v>8</v>
      </c>
      <c r="T291" s="1">
        <v>6</v>
      </c>
      <c r="U291" s="1">
        <f t="shared" si="53"/>
        <v>14</v>
      </c>
      <c r="V291" s="12">
        <f t="shared" si="61"/>
        <v>0.7</v>
      </c>
      <c r="Z291" s="1">
        <f t="shared" si="54"/>
        <v>0</v>
      </c>
      <c r="AB291" s="2" t="s">
        <v>918</v>
      </c>
    </row>
    <row r="292" spans="1:28" x14ac:dyDescent="0.25">
      <c r="A292" s="1" t="s">
        <v>1660</v>
      </c>
      <c r="B292" s="1" t="s">
        <v>35</v>
      </c>
      <c r="C292" s="1" t="s">
        <v>861</v>
      </c>
      <c r="D292" s="1">
        <v>17</v>
      </c>
      <c r="E292" s="1">
        <v>1</v>
      </c>
      <c r="F292" s="1">
        <v>3</v>
      </c>
      <c r="G292" s="1">
        <v>8</v>
      </c>
      <c r="H292" s="1">
        <v>7</v>
      </c>
      <c r="I292" s="1">
        <v>7</v>
      </c>
      <c r="J292" s="1">
        <v>7</v>
      </c>
      <c r="K292" s="1">
        <f t="shared" si="51"/>
        <v>29</v>
      </c>
      <c r="L292" s="12">
        <f t="shared" si="59"/>
        <v>0.72499999999999998</v>
      </c>
      <c r="M292" s="1">
        <v>8</v>
      </c>
      <c r="N292" s="1">
        <v>8</v>
      </c>
      <c r="O292" s="1">
        <v>6</v>
      </c>
      <c r="P292" s="1">
        <v>8</v>
      </c>
      <c r="Q292" s="1">
        <f t="shared" si="52"/>
        <v>30</v>
      </c>
      <c r="R292" s="12">
        <f t="shared" si="60"/>
        <v>0.75</v>
      </c>
      <c r="S292" s="1">
        <v>7</v>
      </c>
      <c r="T292" s="1">
        <v>6</v>
      </c>
      <c r="U292" s="1">
        <f t="shared" si="53"/>
        <v>13</v>
      </c>
      <c r="V292" s="12">
        <f t="shared" si="61"/>
        <v>0.65</v>
      </c>
      <c r="Z292" s="1">
        <f t="shared" si="54"/>
        <v>0</v>
      </c>
      <c r="AB292" s="2" t="s">
        <v>919</v>
      </c>
    </row>
    <row r="293" spans="1:28" x14ac:dyDescent="0.25">
      <c r="A293" s="1" t="s">
        <v>1660</v>
      </c>
      <c r="B293" s="1" t="s">
        <v>35</v>
      </c>
      <c r="C293" s="1" t="s">
        <v>861</v>
      </c>
      <c r="D293" s="1">
        <v>17</v>
      </c>
      <c r="E293" s="1">
        <v>1</v>
      </c>
      <c r="F293" s="1">
        <v>3</v>
      </c>
      <c r="G293" s="1">
        <v>7</v>
      </c>
      <c r="H293" s="1">
        <v>4</v>
      </c>
      <c r="I293" s="1">
        <v>5</v>
      </c>
      <c r="J293" s="1">
        <v>4</v>
      </c>
      <c r="K293" s="1">
        <f t="shared" si="51"/>
        <v>20</v>
      </c>
      <c r="L293" s="12">
        <f t="shared" si="59"/>
        <v>0.5</v>
      </c>
      <c r="M293" s="1">
        <v>7</v>
      </c>
      <c r="N293" s="1">
        <v>5</v>
      </c>
      <c r="O293" s="1">
        <v>5</v>
      </c>
      <c r="P293" s="1">
        <v>4</v>
      </c>
      <c r="Q293" s="1">
        <f t="shared" si="52"/>
        <v>21</v>
      </c>
      <c r="R293" s="12">
        <f t="shared" si="60"/>
        <v>0.52500000000000002</v>
      </c>
      <c r="S293" s="1">
        <v>6</v>
      </c>
      <c r="T293" s="1">
        <v>3</v>
      </c>
      <c r="U293" s="1">
        <f t="shared" si="53"/>
        <v>9</v>
      </c>
      <c r="V293" s="12">
        <f t="shared" si="61"/>
        <v>0.45</v>
      </c>
      <c r="Z293" s="1">
        <f t="shared" si="54"/>
        <v>0</v>
      </c>
      <c r="AB293" s="2" t="s">
        <v>920</v>
      </c>
    </row>
    <row r="294" spans="1:28" x14ac:dyDescent="0.25">
      <c r="A294" s="1" t="s">
        <v>1660</v>
      </c>
      <c r="B294" s="1" t="s">
        <v>35</v>
      </c>
      <c r="C294" s="1" t="s">
        <v>861</v>
      </c>
      <c r="D294" s="1">
        <v>18</v>
      </c>
      <c r="E294" s="1">
        <v>2</v>
      </c>
      <c r="F294" s="1">
        <v>4</v>
      </c>
      <c r="G294" s="1">
        <v>7</v>
      </c>
      <c r="H294" s="1">
        <v>7</v>
      </c>
      <c r="I294" s="1">
        <v>6</v>
      </c>
      <c r="J294" s="1">
        <v>6</v>
      </c>
      <c r="K294" s="1">
        <f t="shared" si="51"/>
        <v>26</v>
      </c>
      <c r="L294" s="12">
        <f t="shared" si="59"/>
        <v>0.65</v>
      </c>
      <c r="M294" s="1">
        <v>6</v>
      </c>
      <c r="N294" s="1">
        <v>6</v>
      </c>
      <c r="O294" s="1">
        <v>6</v>
      </c>
      <c r="P294" s="1">
        <v>6</v>
      </c>
      <c r="Q294" s="1">
        <f t="shared" si="52"/>
        <v>24</v>
      </c>
      <c r="R294" s="12">
        <f t="shared" si="60"/>
        <v>0.6</v>
      </c>
      <c r="S294" s="1">
        <v>6</v>
      </c>
      <c r="T294" s="1">
        <v>6</v>
      </c>
      <c r="U294" s="1">
        <f t="shared" si="53"/>
        <v>12</v>
      </c>
      <c r="V294" s="12">
        <f t="shared" si="61"/>
        <v>0.6</v>
      </c>
      <c r="Z294" s="1">
        <f t="shared" si="54"/>
        <v>0</v>
      </c>
      <c r="AB294" s="2" t="s">
        <v>1100</v>
      </c>
    </row>
    <row r="295" spans="1:28" x14ac:dyDescent="0.25">
      <c r="A295" s="1" t="s">
        <v>1660</v>
      </c>
      <c r="B295" s="1" t="s">
        <v>35</v>
      </c>
      <c r="C295" s="1" t="s">
        <v>861</v>
      </c>
      <c r="D295" s="1">
        <v>18</v>
      </c>
      <c r="E295" s="1">
        <v>2</v>
      </c>
      <c r="F295" s="1">
        <v>4</v>
      </c>
      <c r="G295" s="1">
        <v>5</v>
      </c>
      <c r="H295" s="1">
        <v>7</v>
      </c>
      <c r="I295" s="1">
        <v>6</v>
      </c>
      <c r="J295" s="1">
        <v>6</v>
      </c>
      <c r="K295" s="1">
        <f t="shared" si="51"/>
        <v>24</v>
      </c>
      <c r="L295" s="12">
        <f t="shared" si="59"/>
        <v>0.6</v>
      </c>
      <c r="M295" s="1">
        <v>6</v>
      </c>
      <c r="N295" s="1">
        <v>6</v>
      </c>
      <c r="O295" s="1">
        <v>6</v>
      </c>
      <c r="P295" s="1">
        <v>5</v>
      </c>
      <c r="Q295" s="1">
        <f t="shared" si="52"/>
        <v>23</v>
      </c>
      <c r="R295" s="12">
        <f t="shared" si="60"/>
        <v>0.57499999999999996</v>
      </c>
      <c r="S295" s="1">
        <v>5</v>
      </c>
      <c r="T295" s="1">
        <v>4</v>
      </c>
      <c r="U295" s="1">
        <f t="shared" si="53"/>
        <v>9</v>
      </c>
      <c r="V295" s="12">
        <f t="shared" si="61"/>
        <v>0.45</v>
      </c>
      <c r="Z295" s="1">
        <f t="shared" si="54"/>
        <v>0</v>
      </c>
      <c r="AB295" s="2" t="s">
        <v>1101</v>
      </c>
    </row>
    <row r="296" spans="1:28" x14ac:dyDescent="0.25">
      <c r="A296" s="1" t="s">
        <v>1660</v>
      </c>
      <c r="B296" s="1" t="s">
        <v>35</v>
      </c>
      <c r="C296" s="1" t="s">
        <v>861</v>
      </c>
      <c r="D296" s="1">
        <v>18</v>
      </c>
      <c r="E296" s="1">
        <v>2</v>
      </c>
      <c r="F296" s="1">
        <v>4</v>
      </c>
      <c r="G296" s="1">
        <v>7</v>
      </c>
      <c r="H296" s="1">
        <v>6</v>
      </c>
      <c r="I296" s="1">
        <v>7</v>
      </c>
      <c r="J296" s="1">
        <v>7</v>
      </c>
      <c r="K296" s="1">
        <f t="shared" si="51"/>
        <v>27</v>
      </c>
      <c r="L296" s="12">
        <f t="shared" si="59"/>
        <v>0.67500000000000004</v>
      </c>
      <c r="M296" s="1">
        <v>7</v>
      </c>
      <c r="N296" s="1">
        <v>7</v>
      </c>
      <c r="O296" s="1">
        <v>7</v>
      </c>
      <c r="P296" s="1">
        <v>7</v>
      </c>
      <c r="Q296" s="1">
        <f t="shared" si="52"/>
        <v>28</v>
      </c>
      <c r="R296" s="12">
        <f t="shared" si="60"/>
        <v>0.7</v>
      </c>
      <c r="S296" s="1">
        <v>4</v>
      </c>
      <c r="T296" s="1">
        <v>6</v>
      </c>
      <c r="U296" s="1">
        <f t="shared" si="53"/>
        <v>10</v>
      </c>
      <c r="V296" s="12">
        <f t="shared" si="61"/>
        <v>0.5</v>
      </c>
      <c r="Z296" s="1">
        <f t="shared" si="54"/>
        <v>0</v>
      </c>
      <c r="AB296" s="2" t="s">
        <v>1102</v>
      </c>
    </row>
    <row r="297" spans="1:28" x14ac:dyDescent="0.25">
      <c r="A297" s="1" t="s">
        <v>1660</v>
      </c>
      <c r="B297" s="1" t="s">
        <v>35</v>
      </c>
      <c r="C297" s="1" t="s">
        <v>861</v>
      </c>
      <c r="D297" s="1">
        <v>18</v>
      </c>
      <c r="E297" s="1">
        <v>2</v>
      </c>
      <c r="F297" s="1">
        <v>4</v>
      </c>
      <c r="G297" s="1">
        <v>9</v>
      </c>
      <c r="H297" s="1">
        <v>9</v>
      </c>
      <c r="I297" s="1">
        <v>8</v>
      </c>
      <c r="J297" s="1">
        <v>8</v>
      </c>
      <c r="K297" s="1">
        <f t="shared" si="51"/>
        <v>34</v>
      </c>
      <c r="L297" s="12">
        <f t="shared" si="59"/>
        <v>0.85</v>
      </c>
      <c r="M297" s="1">
        <v>8</v>
      </c>
      <c r="N297" s="1">
        <v>8</v>
      </c>
      <c r="O297" s="1">
        <v>7</v>
      </c>
      <c r="P297" s="1">
        <v>8</v>
      </c>
      <c r="Q297" s="1">
        <f t="shared" si="52"/>
        <v>31</v>
      </c>
      <c r="R297" s="12">
        <f t="shared" si="60"/>
        <v>0.77500000000000002</v>
      </c>
      <c r="S297" s="1">
        <v>8</v>
      </c>
      <c r="T297" s="1">
        <v>9</v>
      </c>
      <c r="U297" s="1">
        <f t="shared" si="53"/>
        <v>17</v>
      </c>
      <c r="V297" s="12">
        <f t="shared" si="61"/>
        <v>0.85</v>
      </c>
      <c r="Z297" s="1">
        <f t="shared" si="54"/>
        <v>0</v>
      </c>
      <c r="AB297" s="2" t="s">
        <v>1103</v>
      </c>
    </row>
    <row r="298" spans="1:28" x14ac:dyDescent="0.25">
      <c r="A298" s="1" t="s">
        <v>1660</v>
      </c>
      <c r="B298" s="1" t="s">
        <v>35</v>
      </c>
      <c r="C298" s="1" t="s">
        <v>861</v>
      </c>
      <c r="D298" s="1">
        <v>18</v>
      </c>
      <c r="E298" s="1">
        <v>2</v>
      </c>
      <c r="F298" s="1">
        <v>4</v>
      </c>
      <c r="G298" s="1">
        <v>6</v>
      </c>
      <c r="H298" s="1">
        <v>5</v>
      </c>
      <c r="I298" s="1">
        <v>6</v>
      </c>
      <c r="J298" s="1">
        <v>5</v>
      </c>
      <c r="K298" s="1">
        <f t="shared" si="51"/>
        <v>22</v>
      </c>
      <c r="L298" s="12">
        <f t="shared" si="59"/>
        <v>0.55000000000000004</v>
      </c>
      <c r="M298" s="1">
        <v>6</v>
      </c>
      <c r="N298" s="1">
        <v>6</v>
      </c>
      <c r="O298" s="1">
        <v>6</v>
      </c>
      <c r="P298" s="1">
        <v>6</v>
      </c>
      <c r="Q298" s="1">
        <f t="shared" si="52"/>
        <v>24</v>
      </c>
      <c r="R298" s="12">
        <f t="shared" si="60"/>
        <v>0.6</v>
      </c>
      <c r="S298" s="1">
        <v>5</v>
      </c>
      <c r="T298" s="1">
        <v>6</v>
      </c>
      <c r="U298" s="1">
        <f t="shared" si="53"/>
        <v>11</v>
      </c>
      <c r="V298" s="12">
        <f t="shared" si="61"/>
        <v>0.55000000000000004</v>
      </c>
      <c r="Z298" s="1">
        <f t="shared" si="54"/>
        <v>0</v>
      </c>
      <c r="AB298" s="2" t="s">
        <v>1104</v>
      </c>
    </row>
    <row r="299" spans="1:28" x14ac:dyDescent="0.25">
      <c r="A299" s="1" t="s">
        <v>1660</v>
      </c>
      <c r="B299" s="1" t="s">
        <v>35</v>
      </c>
      <c r="C299" s="1" t="s">
        <v>861</v>
      </c>
      <c r="D299" s="1">
        <v>18</v>
      </c>
      <c r="E299" s="1">
        <v>2</v>
      </c>
      <c r="F299" s="1">
        <v>4</v>
      </c>
      <c r="G299" s="1">
        <v>5</v>
      </c>
      <c r="H299" s="1">
        <v>5</v>
      </c>
      <c r="I299" s="1">
        <v>5</v>
      </c>
      <c r="J299" s="1">
        <v>5</v>
      </c>
      <c r="K299" s="1">
        <f t="shared" si="51"/>
        <v>20</v>
      </c>
      <c r="L299" s="12">
        <f t="shared" si="59"/>
        <v>0.5</v>
      </c>
      <c r="M299" s="1">
        <v>5</v>
      </c>
      <c r="N299" s="1">
        <v>5</v>
      </c>
      <c r="O299" s="1">
        <v>4</v>
      </c>
      <c r="P299" s="1">
        <v>5</v>
      </c>
      <c r="Q299" s="1">
        <f t="shared" si="52"/>
        <v>19</v>
      </c>
      <c r="R299" s="12">
        <f t="shared" si="60"/>
        <v>0.47499999999999998</v>
      </c>
      <c r="S299" s="1">
        <v>5</v>
      </c>
      <c r="T299" s="1">
        <v>4</v>
      </c>
      <c r="U299" s="1">
        <f t="shared" si="53"/>
        <v>9</v>
      </c>
      <c r="V299" s="12">
        <f t="shared" si="61"/>
        <v>0.45</v>
      </c>
      <c r="Z299" s="1">
        <f t="shared" si="54"/>
        <v>0</v>
      </c>
      <c r="AB299" s="2" t="s">
        <v>1105</v>
      </c>
    </row>
    <row r="300" spans="1:28" x14ac:dyDescent="0.25">
      <c r="A300" s="1" t="s">
        <v>1660</v>
      </c>
      <c r="B300" s="1" t="s">
        <v>35</v>
      </c>
      <c r="C300" s="1" t="s">
        <v>861</v>
      </c>
      <c r="D300" s="1">
        <v>18</v>
      </c>
      <c r="E300" s="1">
        <v>2</v>
      </c>
      <c r="F300" s="1">
        <v>4</v>
      </c>
      <c r="G300" s="1">
        <v>5</v>
      </c>
      <c r="H300" s="1">
        <v>5</v>
      </c>
      <c r="I300" s="1">
        <v>5</v>
      </c>
      <c r="J300" s="1">
        <v>4</v>
      </c>
      <c r="K300" s="1">
        <f t="shared" si="51"/>
        <v>19</v>
      </c>
      <c r="L300" s="12">
        <f t="shared" si="59"/>
        <v>0.47499999999999998</v>
      </c>
      <c r="M300" s="1">
        <v>5</v>
      </c>
      <c r="N300" s="1">
        <v>5</v>
      </c>
      <c r="O300" s="1">
        <v>5</v>
      </c>
      <c r="P300" s="1">
        <v>5</v>
      </c>
      <c r="Q300" s="1">
        <f t="shared" si="52"/>
        <v>20</v>
      </c>
      <c r="R300" s="12">
        <f t="shared" si="60"/>
        <v>0.5</v>
      </c>
      <c r="S300" s="1">
        <v>6</v>
      </c>
      <c r="T300" s="1">
        <v>6</v>
      </c>
      <c r="U300" s="1">
        <f t="shared" si="53"/>
        <v>12</v>
      </c>
      <c r="V300" s="12">
        <f t="shared" si="61"/>
        <v>0.6</v>
      </c>
      <c r="Z300" s="1">
        <f t="shared" si="54"/>
        <v>0</v>
      </c>
      <c r="AB300" s="2" t="s">
        <v>1106</v>
      </c>
    </row>
    <row r="301" spans="1:28" x14ac:dyDescent="0.25">
      <c r="A301" s="1" t="s">
        <v>1660</v>
      </c>
      <c r="B301" s="1" t="s">
        <v>35</v>
      </c>
      <c r="C301" s="1" t="s">
        <v>861</v>
      </c>
      <c r="D301" s="1">
        <v>18</v>
      </c>
      <c r="E301" s="1">
        <v>2</v>
      </c>
      <c r="F301" s="1">
        <v>4</v>
      </c>
      <c r="G301" s="1">
        <v>6</v>
      </c>
      <c r="H301" s="1">
        <v>6</v>
      </c>
      <c r="I301" s="1">
        <v>6</v>
      </c>
      <c r="J301" s="1">
        <v>6</v>
      </c>
      <c r="K301" s="1">
        <f t="shared" si="51"/>
        <v>24</v>
      </c>
      <c r="L301" s="12">
        <f t="shared" si="59"/>
        <v>0.6</v>
      </c>
      <c r="M301" s="1">
        <v>6</v>
      </c>
      <c r="N301" s="1">
        <v>5</v>
      </c>
      <c r="O301" s="1">
        <v>5</v>
      </c>
      <c r="P301" s="1">
        <v>6</v>
      </c>
      <c r="Q301" s="1">
        <f t="shared" si="52"/>
        <v>22</v>
      </c>
      <c r="R301" s="12">
        <f t="shared" si="60"/>
        <v>0.55000000000000004</v>
      </c>
      <c r="S301" s="1">
        <v>6</v>
      </c>
      <c r="T301" s="1">
        <v>5</v>
      </c>
      <c r="U301" s="1">
        <f t="shared" si="53"/>
        <v>11</v>
      </c>
      <c r="V301" s="12">
        <f t="shared" si="61"/>
        <v>0.55000000000000004</v>
      </c>
      <c r="Z301" s="1">
        <f t="shared" si="54"/>
        <v>0</v>
      </c>
      <c r="AB301" s="2" t="s">
        <v>1107</v>
      </c>
    </row>
    <row r="302" spans="1:28" x14ac:dyDescent="0.25">
      <c r="A302" s="1" t="s">
        <v>1660</v>
      </c>
      <c r="B302" s="1" t="s">
        <v>35</v>
      </c>
      <c r="C302" s="1" t="s">
        <v>861</v>
      </c>
      <c r="D302" s="1">
        <v>4</v>
      </c>
      <c r="E302" s="1">
        <v>3</v>
      </c>
      <c r="F302" s="1">
        <v>5</v>
      </c>
      <c r="G302" s="1">
        <v>7</v>
      </c>
      <c r="H302" s="1">
        <v>7</v>
      </c>
      <c r="I302" s="1">
        <v>6</v>
      </c>
      <c r="J302" s="1">
        <v>7</v>
      </c>
      <c r="K302" s="1">
        <f t="shared" si="51"/>
        <v>27</v>
      </c>
      <c r="L302" s="12">
        <f t="shared" si="59"/>
        <v>0.67500000000000004</v>
      </c>
      <c r="M302" s="1">
        <v>6</v>
      </c>
      <c r="N302" s="1">
        <v>4</v>
      </c>
      <c r="O302" s="1">
        <v>5</v>
      </c>
      <c r="P302" s="1">
        <v>6</v>
      </c>
      <c r="Q302" s="1">
        <f t="shared" si="52"/>
        <v>21</v>
      </c>
      <c r="R302" s="12">
        <f t="shared" si="60"/>
        <v>0.52500000000000002</v>
      </c>
      <c r="S302" s="1">
        <v>6</v>
      </c>
      <c r="T302" s="1">
        <v>6</v>
      </c>
      <c r="U302" s="1">
        <f t="shared" si="53"/>
        <v>12</v>
      </c>
      <c r="V302" s="12">
        <f t="shared" si="61"/>
        <v>0.6</v>
      </c>
      <c r="Z302" s="1">
        <f t="shared" si="54"/>
        <v>0</v>
      </c>
      <c r="AB302" s="2" t="s">
        <v>1303</v>
      </c>
    </row>
    <row r="303" spans="1:28" x14ac:dyDescent="0.25">
      <c r="A303" s="1" t="s">
        <v>1660</v>
      </c>
      <c r="B303" s="1" t="s">
        <v>35</v>
      </c>
      <c r="C303" s="1" t="s">
        <v>861</v>
      </c>
      <c r="D303" s="1">
        <v>4</v>
      </c>
      <c r="E303" s="1">
        <v>3</v>
      </c>
      <c r="F303" s="1">
        <v>5</v>
      </c>
      <c r="G303" s="1">
        <v>5</v>
      </c>
      <c r="H303" s="1">
        <v>5</v>
      </c>
      <c r="I303" s="1">
        <v>5</v>
      </c>
      <c r="J303" s="1">
        <v>5</v>
      </c>
      <c r="K303" s="1">
        <f t="shared" si="51"/>
        <v>20</v>
      </c>
      <c r="L303" s="12">
        <f t="shared" si="59"/>
        <v>0.5</v>
      </c>
      <c r="M303" s="1">
        <v>6</v>
      </c>
      <c r="N303" s="1">
        <v>6</v>
      </c>
      <c r="O303" s="1">
        <v>6</v>
      </c>
      <c r="P303" s="1">
        <v>7</v>
      </c>
      <c r="Q303" s="1">
        <f t="shared" si="52"/>
        <v>25</v>
      </c>
      <c r="R303" s="12">
        <f t="shared" si="60"/>
        <v>0.625</v>
      </c>
      <c r="S303" s="1">
        <v>6</v>
      </c>
      <c r="T303" s="1">
        <v>7</v>
      </c>
      <c r="U303" s="1">
        <f t="shared" si="53"/>
        <v>13</v>
      </c>
      <c r="V303" s="12">
        <f t="shared" si="61"/>
        <v>0.65</v>
      </c>
      <c r="Z303" s="1">
        <f t="shared" si="54"/>
        <v>0</v>
      </c>
      <c r="AB303" s="2" t="s">
        <v>1304</v>
      </c>
    </row>
    <row r="304" spans="1:28" x14ac:dyDescent="0.25">
      <c r="A304" s="1" t="s">
        <v>1660</v>
      </c>
      <c r="B304" s="1" t="s">
        <v>35</v>
      </c>
      <c r="C304" s="1" t="s">
        <v>861</v>
      </c>
      <c r="D304" s="1">
        <v>4</v>
      </c>
      <c r="E304" s="1">
        <v>3</v>
      </c>
      <c r="F304" s="1">
        <v>5</v>
      </c>
      <c r="G304" s="1">
        <v>5</v>
      </c>
      <c r="H304" s="1">
        <v>4</v>
      </c>
      <c r="I304" s="1">
        <v>5</v>
      </c>
      <c r="J304" s="1">
        <v>5</v>
      </c>
      <c r="K304" s="1">
        <f t="shared" si="51"/>
        <v>19</v>
      </c>
      <c r="L304" s="12">
        <f t="shared" si="59"/>
        <v>0.47499999999999998</v>
      </c>
      <c r="M304" s="1">
        <v>6</v>
      </c>
      <c r="N304" s="1">
        <v>5</v>
      </c>
      <c r="O304" s="1">
        <v>6</v>
      </c>
      <c r="P304" s="1">
        <v>6</v>
      </c>
      <c r="Q304" s="1">
        <f t="shared" si="52"/>
        <v>23</v>
      </c>
      <c r="R304" s="12">
        <f t="shared" si="60"/>
        <v>0.57499999999999996</v>
      </c>
      <c r="S304" s="1">
        <v>6</v>
      </c>
      <c r="T304" s="1">
        <v>5</v>
      </c>
      <c r="U304" s="1">
        <f t="shared" si="53"/>
        <v>11</v>
      </c>
      <c r="V304" s="12">
        <f t="shared" si="61"/>
        <v>0.55000000000000004</v>
      </c>
      <c r="Z304" s="1">
        <f t="shared" si="54"/>
        <v>0</v>
      </c>
      <c r="AB304" s="2" t="s">
        <v>1305</v>
      </c>
    </row>
    <row r="305" spans="1:28" x14ac:dyDescent="0.25">
      <c r="A305" s="1" t="s">
        <v>1660</v>
      </c>
      <c r="B305" s="1" t="s">
        <v>35</v>
      </c>
      <c r="C305" s="1" t="s">
        <v>861</v>
      </c>
      <c r="D305" s="1">
        <v>4</v>
      </c>
      <c r="E305" s="1">
        <v>3</v>
      </c>
      <c r="F305" s="1">
        <v>5</v>
      </c>
      <c r="G305" s="1">
        <v>6</v>
      </c>
      <c r="H305" s="1">
        <v>5</v>
      </c>
      <c r="I305" s="1">
        <v>5</v>
      </c>
      <c r="J305" s="1">
        <v>6</v>
      </c>
      <c r="K305" s="1">
        <f t="shared" si="51"/>
        <v>22</v>
      </c>
      <c r="L305" s="12">
        <f t="shared" si="59"/>
        <v>0.55000000000000004</v>
      </c>
      <c r="M305" s="1">
        <v>5</v>
      </c>
      <c r="N305" s="1">
        <v>4</v>
      </c>
      <c r="O305" s="1">
        <v>5</v>
      </c>
      <c r="P305" s="1">
        <v>5</v>
      </c>
      <c r="Q305" s="1">
        <f t="shared" si="52"/>
        <v>19</v>
      </c>
      <c r="R305" s="12">
        <f t="shared" si="60"/>
        <v>0.47499999999999998</v>
      </c>
      <c r="S305" s="1">
        <v>6</v>
      </c>
      <c r="T305" s="1">
        <v>5</v>
      </c>
      <c r="U305" s="1">
        <f t="shared" si="53"/>
        <v>11</v>
      </c>
      <c r="V305" s="12">
        <f t="shared" si="61"/>
        <v>0.55000000000000004</v>
      </c>
      <c r="Z305" s="1">
        <f t="shared" si="54"/>
        <v>0</v>
      </c>
      <c r="AB305" s="2" t="s">
        <v>1306</v>
      </c>
    </row>
    <row r="306" spans="1:28" x14ac:dyDescent="0.25">
      <c r="A306" s="1" t="s">
        <v>1660</v>
      </c>
      <c r="B306" s="1" t="s">
        <v>35</v>
      </c>
      <c r="C306" s="1" t="s">
        <v>861</v>
      </c>
      <c r="D306" s="1">
        <v>4</v>
      </c>
      <c r="E306" s="1">
        <v>3</v>
      </c>
      <c r="F306" s="1">
        <v>5</v>
      </c>
      <c r="G306" s="1">
        <v>7</v>
      </c>
      <c r="H306" s="1">
        <v>7</v>
      </c>
      <c r="I306" s="1">
        <v>6</v>
      </c>
      <c r="J306" s="1">
        <v>6</v>
      </c>
      <c r="K306" s="1">
        <f t="shared" si="51"/>
        <v>26</v>
      </c>
      <c r="L306" s="12">
        <f t="shared" si="59"/>
        <v>0.65</v>
      </c>
      <c r="M306" s="1">
        <v>5</v>
      </c>
      <c r="N306" s="1">
        <v>5</v>
      </c>
      <c r="O306" s="1">
        <v>6</v>
      </c>
      <c r="P306" s="1">
        <v>5</v>
      </c>
      <c r="Q306" s="1">
        <f t="shared" si="52"/>
        <v>21</v>
      </c>
      <c r="R306" s="12">
        <f t="shared" si="60"/>
        <v>0.52500000000000002</v>
      </c>
      <c r="S306" s="1">
        <v>6</v>
      </c>
      <c r="T306" s="1">
        <v>6</v>
      </c>
      <c r="U306" s="1">
        <f t="shared" si="53"/>
        <v>12</v>
      </c>
      <c r="V306" s="12">
        <f t="shared" si="61"/>
        <v>0.6</v>
      </c>
      <c r="Z306" s="1">
        <f t="shared" si="54"/>
        <v>0</v>
      </c>
      <c r="AB306" s="2" t="s">
        <v>1307</v>
      </c>
    </row>
    <row r="307" spans="1:28" x14ac:dyDescent="0.25">
      <c r="A307" s="1" t="s">
        <v>1660</v>
      </c>
      <c r="B307" s="1" t="s">
        <v>35</v>
      </c>
      <c r="C307" s="1" t="s">
        <v>861</v>
      </c>
      <c r="D307" s="1">
        <v>4</v>
      </c>
      <c r="E307" s="1">
        <v>3</v>
      </c>
      <c r="F307" s="1">
        <v>5</v>
      </c>
      <c r="G307" s="1">
        <v>7</v>
      </c>
      <c r="H307" s="1">
        <v>7</v>
      </c>
      <c r="I307" s="1">
        <v>6</v>
      </c>
      <c r="J307" s="1">
        <v>7</v>
      </c>
      <c r="K307" s="1">
        <f t="shared" si="51"/>
        <v>27</v>
      </c>
      <c r="L307" s="12">
        <f t="shared" si="59"/>
        <v>0.67500000000000004</v>
      </c>
      <c r="M307" s="1">
        <v>6</v>
      </c>
      <c r="N307" s="1">
        <v>5</v>
      </c>
      <c r="O307" s="1">
        <v>5</v>
      </c>
      <c r="P307" s="1">
        <v>6</v>
      </c>
      <c r="Q307" s="1">
        <f t="shared" si="52"/>
        <v>22</v>
      </c>
      <c r="R307" s="12">
        <f t="shared" si="60"/>
        <v>0.55000000000000004</v>
      </c>
      <c r="S307" s="1">
        <v>6</v>
      </c>
      <c r="T307" s="1">
        <v>6</v>
      </c>
      <c r="U307" s="1">
        <f t="shared" si="53"/>
        <v>12</v>
      </c>
      <c r="V307" s="12">
        <f t="shared" si="61"/>
        <v>0.6</v>
      </c>
      <c r="Z307" s="1">
        <f t="shared" si="54"/>
        <v>0</v>
      </c>
      <c r="AB307" s="2" t="s">
        <v>1308</v>
      </c>
    </row>
    <row r="308" spans="1:28" x14ac:dyDescent="0.25">
      <c r="A308" s="1" t="s">
        <v>1660</v>
      </c>
      <c r="B308" s="1" t="s">
        <v>35</v>
      </c>
      <c r="C308" s="1" t="s">
        <v>861</v>
      </c>
      <c r="D308" s="1">
        <v>4</v>
      </c>
      <c r="E308" s="1">
        <v>3</v>
      </c>
      <c r="F308" s="1">
        <v>5</v>
      </c>
      <c r="G308" s="1">
        <v>7</v>
      </c>
      <c r="H308" s="1">
        <v>7</v>
      </c>
      <c r="I308" s="1">
        <v>7</v>
      </c>
      <c r="J308" s="1">
        <v>7</v>
      </c>
      <c r="K308" s="1">
        <f t="shared" si="51"/>
        <v>28</v>
      </c>
      <c r="L308" s="12">
        <f t="shared" si="59"/>
        <v>0.7</v>
      </c>
      <c r="M308" s="1">
        <v>7</v>
      </c>
      <c r="N308" s="1">
        <v>7</v>
      </c>
      <c r="O308" s="1">
        <v>6</v>
      </c>
      <c r="P308" s="1">
        <v>7</v>
      </c>
      <c r="Q308" s="1">
        <f t="shared" si="52"/>
        <v>27</v>
      </c>
      <c r="R308" s="12">
        <f t="shared" si="60"/>
        <v>0.67500000000000004</v>
      </c>
      <c r="S308" s="1">
        <v>7</v>
      </c>
      <c r="T308" s="1">
        <v>7</v>
      </c>
      <c r="U308" s="1">
        <f t="shared" si="53"/>
        <v>14</v>
      </c>
      <c r="V308" s="12">
        <f t="shared" si="61"/>
        <v>0.7</v>
      </c>
      <c r="Z308" s="1">
        <f t="shared" si="54"/>
        <v>0</v>
      </c>
      <c r="AB308" s="2" t="s">
        <v>1309</v>
      </c>
    </row>
    <row r="309" spans="1:28" x14ac:dyDescent="0.25">
      <c r="A309" s="1" t="s">
        <v>1660</v>
      </c>
      <c r="B309" s="1" t="s">
        <v>35</v>
      </c>
      <c r="C309" s="1" t="s">
        <v>861</v>
      </c>
      <c r="D309" s="1">
        <v>4</v>
      </c>
      <c r="E309" s="1">
        <v>3</v>
      </c>
      <c r="F309" s="1">
        <v>5</v>
      </c>
      <c r="G309" s="1">
        <v>8</v>
      </c>
      <c r="H309" s="1">
        <v>8</v>
      </c>
      <c r="I309" s="1">
        <v>7</v>
      </c>
      <c r="J309" s="1">
        <v>7</v>
      </c>
      <c r="K309" s="1">
        <f t="shared" si="51"/>
        <v>30</v>
      </c>
      <c r="L309" s="12">
        <f t="shared" si="59"/>
        <v>0.75</v>
      </c>
      <c r="M309" s="1">
        <v>7</v>
      </c>
      <c r="N309" s="1">
        <v>7</v>
      </c>
      <c r="O309" s="1">
        <v>7</v>
      </c>
      <c r="P309" s="1">
        <v>7</v>
      </c>
      <c r="Q309" s="1">
        <f t="shared" si="52"/>
        <v>28</v>
      </c>
      <c r="R309" s="12">
        <f t="shared" si="60"/>
        <v>0.7</v>
      </c>
      <c r="S309" s="1">
        <v>8</v>
      </c>
      <c r="T309" s="1">
        <v>8</v>
      </c>
      <c r="U309" s="1">
        <f t="shared" si="53"/>
        <v>16</v>
      </c>
      <c r="V309" s="12">
        <f t="shared" si="61"/>
        <v>0.8</v>
      </c>
      <c r="Z309" s="1">
        <f t="shared" si="54"/>
        <v>0</v>
      </c>
      <c r="AB309" s="2" t="s">
        <v>1310</v>
      </c>
    </row>
    <row r="310" spans="1:28" x14ac:dyDescent="0.25">
      <c r="A310" s="1" t="s">
        <v>1660</v>
      </c>
      <c r="B310" s="1" t="s">
        <v>35</v>
      </c>
      <c r="C310" s="1" t="s">
        <v>861</v>
      </c>
      <c r="D310" s="1">
        <v>4</v>
      </c>
      <c r="E310" s="1">
        <v>3</v>
      </c>
      <c r="F310" s="1">
        <v>5</v>
      </c>
      <c r="G310" s="1">
        <v>6</v>
      </c>
      <c r="H310" s="1">
        <v>5</v>
      </c>
      <c r="I310" s="1">
        <v>5</v>
      </c>
      <c r="J310" s="1">
        <v>5</v>
      </c>
      <c r="K310" s="1">
        <f t="shared" si="51"/>
        <v>21</v>
      </c>
      <c r="L310" s="12">
        <f t="shared" si="59"/>
        <v>0.52500000000000002</v>
      </c>
      <c r="M310" s="1">
        <v>6</v>
      </c>
      <c r="N310" s="1">
        <v>5</v>
      </c>
      <c r="O310" s="1">
        <v>5</v>
      </c>
      <c r="P310" s="1">
        <v>5</v>
      </c>
      <c r="Q310" s="1">
        <f t="shared" si="52"/>
        <v>21</v>
      </c>
      <c r="R310" s="12">
        <f t="shared" si="60"/>
        <v>0.52500000000000002</v>
      </c>
      <c r="S310" s="1">
        <v>6</v>
      </c>
      <c r="T310" s="1">
        <v>6</v>
      </c>
      <c r="U310" s="1">
        <f t="shared" si="53"/>
        <v>12</v>
      </c>
      <c r="V310" s="12">
        <f t="shared" si="61"/>
        <v>0.6</v>
      </c>
      <c r="Z310" s="1">
        <f t="shared" si="54"/>
        <v>0</v>
      </c>
      <c r="AB310" s="2" t="s">
        <v>1311</v>
      </c>
    </row>
    <row r="311" spans="1:28" x14ac:dyDescent="0.25">
      <c r="A311" s="1" t="s">
        <v>1661</v>
      </c>
      <c r="B311" s="1" t="s">
        <v>35</v>
      </c>
      <c r="C311" s="1" t="s">
        <v>36</v>
      </c>
      <c r="D311" s="1">
        <v>5</v>
      </c>
      <c r="E311" s="1">
        <v>3</v>
      </c>
      <c r="F311" s="1">
        <v>5</v>
      </c>
      <c r="G311" s="1">
        <v>8</v>
      </c>
      <c r="H311" s="1">
        <v>9</v>
      </c>
      <c r="I311" s="1">
        <v>8</v>
      </c>
      <c r="J311" s="1">
        <v>4</v>
      </c>
      <c r="K311" s="1">
        <f t="shared" si="51"/>
        <v>29</v>
      </c>
      <c r="L311" s="12">
        <f t="shared" ref="L311:L325" si="62">K311/35</f>
        <v>0.82857142857142863</v>
      </c>
      <c r="M311" s="1">
        <v>9</v>
      </c>
      <c r="N311" s="1">
        <v>9</v>
      </c>
      <c r="O311" s="1">
        <v>8</v>
      </c>
      <c r="P311" s="1">
        <v>4</v>
      </c>
      <c r="Q311" s="1">
        <f t="shared" si="52"/>
        <v>30</v>
      </c>
      <c r="R311" s="12">
        <f t="shared" ref="R311:R325" si="63">Q311/35</f>
        <v>0.8571428571428571</v>
      </c>
      <c r="S311" s="1">
        <v>8</v>
      </c>
      <c r="T311" s="1">
        <v>4</v>
      </c>
      <c r="U311" s="1">
        <f t="shared" si="53"/>
        <v>12</v>
      </c>
      <c r="V311" s="12">
        <f t="shared" ref="V311:V325" si="64">U311/15</f>
        <v>0.8</v>
      </c>
      <c r="W311" s="1">
        <v>4</v>
      </c>
      <c r="X311" s="1">
        <v>4</v>
      </c>
      <c r="Y311" s="1">
        <v>4</v>
      </c>
      <c r="Z311" s="1">
        <f t="shared" si="54"/>
        <v>12</v>
      </c>
      <c r="AA311" s="12">
        <f t="shared" ref="AA311:AA325" si="65">Z311/15</f>
        <v>0.8</v>
      </c>
      <c r="AB311" s="2" t="s">
        <v>527</v>
      </c>
    </row>
    <row r="312" spans="1:28" x14ac:dyDescent="0.25">
      <c r="A312" s="1" t="s">
        <v>1661</v>
      </c>
      <c r="B312" s="1" t="s">
        <v>35</v>
      </c>
      <c r="C312" s="1" t="s">
        <v>36</v>
      </c>
      <c r="D312" s="1">
        <v>5</v>
      </c>
      <c r="E312" s="1">
        <v>3</v>
      </c>
      <c r="F312" s="1">
        <v>5</v>
      </c>
      <c r="G312" s="1">
        <v>9</v>
      </c>
      <c r="H312" s="1">
        <v>6</v>
      </c>
      <c r="I312" s="1">
        <v>7</v>
      </c>
      <c r="J312" s="1">
        <v>4</v>
      </c>
      <c r="K312" s="1">
        <f t="shared" si="51"/>
        <v>26</v>
      </c>
      <c r="L312" s="12">
        <f t="shared" si="62"/>
        <v>0.74285714285714288</v>
      </c>
      <c r="M312" s="1">
        <v>9</v>
      </c>
      <c r="N312" s="1">
        <v>8</v>
      </c>
      <c r="O312" s="1">
        <v>8</v>
      </c>
      <c r="P312" s="1">
        <v>4</v>
      </c>
      <c r="Q312" s="1">
        <f t="shared" si="52"/>
        <v>29</v>
      </c>
      <c r="R312" s="12">
        <f t="shared" si="63"/>
        <v>0.82857142857142863</v>
      </c>
      <c r="S312" s="1">
        <v>9</v>
      </c>
      <c r="T312" s="1">
        <v>4</v>
      </c>
      <c r="U312" s="1">
        <f t="shared" si="53"/>
        <v>13</v>
      </c>
      <c r="V312" s="12">
        <f t="shared" si="64"/>
        <v>0.8666666666666667</v>
      </c>
      <c r="W312" s="1">
        <v>5</v>
      </c>
      <c r="X312" s="1">
        <v>5</v>
      </c>
      <c r="Y312" s="1">
        <v>5</v>
      </c>
      <c r="Z312" s="1">
        <f t="shared" si="54"/>
        <v>15</v>
      </c>
      <c r="AA312" s="12">
        <f t="shared" si="65"/>
        <v>1</v>
      </c>
      <c r="AB312" s="2" t="s">
        <v>528</v>
      </c>
    </row>
    <row r="313" spans="1:28" x14ac:dyDescent="0.25">
      <c r="A313" s="1" t="s">
        <v>1661</v>
      </c>
      <c r="B313" s="1" t="s">
        <v>35</v>
      </c>
      <c r="C313" s="1" t="s">
        <v>36</v>
      </c>
      <c r="D313" s="1">
        <v>5</v>
      </c>
      <c r="E313" s="1">
        <v>3</v>
      </c>
      <c r="F313" s="1">
        <v>5</v>
      </c>
      <c r="G313" s="1">
        <v>9</v>
      </c>
      <c r="H313" s="1">
        <v>8</v>
      </c>
      <c r="I313" s="1">
        <v>8</v>
      </c>
      <c r="J313" s="1">
        <v>4</v>
      </c>
      <c r="K313" s="1">
        <f t="shared" si="51"/>
        <v>29</v>
      </c>
      <c r="L313" s="12">
        <f t="shared" si="62"/>
        <v>0.82857142857142863</v>
      </c>
      <c r="M313" s="1">
        <v>10</v>
      </c>
      <c r="N313" s="1">
        <v>9</v>
      </c>
      <c r="O313" s="1">
        <v>9</v>
      </c>
      <c r="P313" s="1">
        <v>5</v>
      </c>
      <c r="Q313" s="1">
        <f t="shared" si="52"/>
        <v>33</v>
      </c>
      <c r="R313" s="12">
        <f t="shared" si="63"/>
        <v>0.94285714285714284</v>
      </c>
      <c r="S313" s="1">
        <v>9</v>
      </c>
      <c r="T313" s="1">
        <v>4</v>
      </c>
      <c r="U313" s="1">
        <f t="shared" si="53"/>
        <v>13</v>
      </c>
      <c r="V313" s="12">
        <f t="shared" si="64"/>
        <v>0.8666666666666667</v>
      </c>
      <c r="W313" s="1">
        <v>5</v>
      </c>
      <c r="X313" s="1">
        <v>5</v>
      </c>
      <c r="Y313" s="1">
        <v>4</v>
      </c>
      <c r="Z313" s="1">
        <f t="shared" si="54"/>
        <v>14</v>
      </c>
      <c r="AA313" s="12">
        <f t="shared" si="65"/>
        <v>0.93333333333333335</v>
      </c>
      <c r="AB313" s="2" t="s">
        <v>529</v>
      </c>
    </row>
    <row r="314" spans="1:28" x14ac:dyDescent="0.25">
      <c r="A314" s="1" t="s">
        <v>1661</v>
      </c>
      <c r="B314" s="1" t="s">
        <v>35</v>
      </c>
      <c r="C314" s="1" t="s">
        <v>36</v>
      </c>
      <c r="D314" s="1">
        <v>5</v>
      </c>
      <c r="E314" s="1">
        <v>3</v>
      </c>
      <c r="F314" s="1">
        <v>5</v>
      </c>
      <c r="G314" s="1">
        <v>10</v>
      </c>
      <c r="H314" s="1">
        <v>10</v>
      </c>
      <c r="I314" s="1">
        <v>9</v>
      </c>
      <c r="J314" s="1">
        <v>5</v>
      </c>
      <c r="K314" s="1">
        <f t="shared" si="51"/>
        <v>34</v>
      </c>
      <c r="L314" s="12">
        <f t="shared" si="62"/>
        <v>0.97142857142857142</v>
      </c>
      <c r="M314" s="1">
        <v>9</v>
      </c>
      <c r="N314" s="1">
        <v>9</v>
      </c>
      <c r="O314" s="1">
        <v>8</v>
      </c>
      <c r="P314" s="1">
        <v>4</v>
      </c>
      <c r="Q314" s="1">
        <f t="shared" si="52"/>
        <v>30</v>
      </c>
      <c r="R314" s="12">
        <f t="shared" si="63"/>
        <v>0.8571428571428571</v>
      </c>
      <c r="S314" s="1">
        <v>9</v>
      </c>
      <c r="T314" s="1">
        <v>5</v>
      </c>
      <c r="U314" s="1">
        <f t="shared" si="53"/>
        <v>14</v>
      </c>
      <c r="V314" s="12">
        <f t="shared" si="64"/>
        <v>0.93333333333333335</v>
      </c>
      <c r="W314" s="1">
        <v>5</v>
      </c>
      <c r="X314" s="1">
        <v>5</v>
      </c>
      <c r="Y314" s="1">
        <v>5</v>
      </c>
      <c r="Z314" s="1">
        <f t="shared" si="54"/>
        <v>15</v>
      </c>
      <c r="AA314" s="12">
        <f t="shared" si="65"/>
        <v>1</v>
      </c>
      <c r="AB314" s="2" t="s">
        <v>530</v>
      </c>
    </row>
    <row r="315" spans="1:28" x14ac:dyDescent="0.25">
      <c r="A315" s="1" t="s">
        <v>1661</v>
      </c>
      <c r="B315" s="1" t="s">
        <v>35</v>
      </c>
      <c r="C315" s="1" t="s">
        <v>36</v>
      </c>
      <c r="D315" s="1">
        <v>5</v>
      </c>
      <c r="E315" s="1">
        <v>3</v>
      </c>
      <c r="F315" s="1">
        <v>5</v>
      </c>
      <c r="G315" s="1">
        <v>8</v>
      </c>
      <c r="H315" s="1">
        <v>8</v>
      </c>
      <c r="I315" s="1">
        <v>9</v>
      </c>
      <c r="J315" s="1">
        <v>5</v>
      </c>
      <c r="K315" s="1">
        <f t="shared" si="51"/>
        <v>30</v>
      </c>
      <c r="L315" s="12">
        <f t="shared" si="62"/>
        <v>0.8571428571428571</v>
      </c>
      <c r="M315" s="1">
        <v>9</v>
      </c>
      <c r="N315" s="1">
        <v>8</v>
      </c>
      <c r="O315" s="1">
        <v>9</v>
      </c>
      <c r="P315" s="1">
        <v>4</v>
      </c>
      <c r="Q315" s="1">
        <f t="shared" si="52"/>
        <v>30</v>
      </c>
      <c r="R315" s="12">
        <f t="shared" si="63"/>
        <v>0.8571428571428571</v>
      </c>
      <c r="S315" s="1">
        <v>9</v>
      </c>
      <c r="T315" s="1">
        <v>4</v>
      </c>
      <c r="U315" s="1">
        <f t="shared" si="53"/>
        <v>13</v>
      </c>
      <c r="V315" s="12">
        <f t="shared" si="64"/>
        <v>0.8666666666666667</v>
      </c>
      <c r="W315" s="1">
        <v>4</v>
      </c>
      <c r="X315" s="1">
        <v>5</v>
      </c>
      <c r="Y315" s="1">
        <v>5</v>
      </c>
      <c r="Z315" s="1">
        <f t="shared" si="54"/>
        <v>14</v>
      </c>
      <c r="AA315" s="12">
        <f t="shared" si="65"/>
        <v>0.93333333333333335</v>
      </c>
      <c r="AB315" s="2" t="s">
        <v>531</v>
      </c>
    </row>
    <row r="316" spans="1:28" x14ac:dyDescent="0.25">
      <c r="A316" s="1" t="s">
        <v>1661</v>
      </c>
      <c r="B316" s="1" t="s">
        <v>35</v>
      </c>
      <c r="C316" s="1" t="s">
        <v>36</v>
      </c>
      <c r="D316" s="1">
        <v>5</v>
      </c>
      <c r="E316" s="1">
        <v>3</v>
      </c>
      <c r="F316" s="1">
        <v>5</v>
      </c>
      <c r="G316" s="1">
        <v>10</v>
      </c>
      <c r="H316" s="1">
        <v>10</v>
      </c>
      <c r="I316" s="1">
        <v>10</v>
      </c>
      <c r="J316" s="1">
        <v>5</v>
      </c>
      <c r="K316" s="1">
        <f t="shared" si="51"/>
        <v>35</v>
      </c>
      <c r="L316" s="12">
        <f t="shared" si="62"/>
        <v>1</v>
      </c>
      <c r="M316" s="1">
        <v>9</v>
      </c>
      <c r="N316" s="1">
        <v>9</v>
      </c>
      <c r="O316" s="1">
        <v>9</v>
      </c>
      <c r="P316" s="1">
        <v>4</v>
      </c>
      <c r="Q316" s="1">
        <f t="shared" si="52"/>
        <v>31</v>
      </c>
      <c r="R316" s="12">
        <f t="shared" si="63"/>
        <v>0.88571428571428568</v>
      </c>
      <c r="S316" s="1">
        <v>9</v>
      </c>
      <c r="T316" s="1">
        <v>5</v>
      </c>
      <c r="U316" s="1">
        <f t="shared" si="53"/>
        <v>14</v>
      </c>
      <c r="V316" s="12">
        <f t="shared" si="64"/>
        <v>0.93333333333333335</v>
      </c>
      <c r="W316" s="1">
        <v>5</v>
      </c>
      <c r="X316" s="1">
        <v>4</v>
      </c>
      <c r="Y316" s="1">
        <v>4</v>
      </c>
      <c r="Z316" s="1">
        <f t="shared" si="54"/>
        <v>13</v>
      </c>
      <c r="AA316" s="12">
        <f t="shared" si="65"/>
        <v>0.8666666666666667</v>
      </c>
      <c r="AB316" s="2" t="s">
        <v>532</v>
      </c>
    </row>
    <row r="317" spans="1:28" x14ac:dyDescent="0.25">
      <c r="A317" s="1" t="s">
        <v>1661</v>
      </c>
      <c r="B317" s="1" t="s">
        <v>35</v>
      </c>
      <c r="C317" s="1" t="s">
        <v>36</v>
      </c>
      <c r="D317" s="1">
        <v>5</v>
      </c>
      <c r="E317" s="1">
        <v>3</v>
      </c>
      <c r="F317" s="1">
        <v>5</v>
      </c>
      <c r="G317" s="1">
        <v>10</v>
      </c>
      <c r="H317" s="1">
        <v>10</v>
      </c>
      <c r="I317" s="1">
        <v>10</v>
      </c>
      <c r="J317" s="1">
        <v>5</v>
      </c>
      <c r="K317" s="1">
        <f t="shared" si="51"/>
        <v>35</v>
      </c>
      <c r="L317" s="12">
        <f t="shared" si="62"/>
        <v>1</v>
      </c>
      <c r="M317" s="1">
        <v>10</v>
      </c>
      <c r="N317" s="1">
        <v>9</v>
      </c>
      <c r="O317" s="1">
        <v>10</v>
      </c>
      <c r="P317" s="1">
        <v>4</v>
      </c>
      <c r="Q317" s="1">
        <f t="shared" si="52"/>
        <v>33</v>
      </c>
      <c r="R317" s="12">
        <f t="shared" si="63"/>
        <v>0.94285714285714284</v>
      </c>
      <c r="S317" s="1">
        <v>9</v>
      </c>
      <c r="T317" s="1">
        <v>5</v>
      </c>
      <c r="U317" s="1">
        <f t="shared" si="53"/>
        <v>14</v>
      </c>
      <c r="V317" s="12">
        <f t="shared" si="64"/>
        <v>0.93333333333333335</v>
      </c>
      <c r="W317" s="1">
        <v>5</v>
      </c>
      <c r="X317" s="1">
        <v>3</v>
      </c>
      <c r="Y317" s="1">
        <v>4</v>
      </c>
      <c r="Z317" s="1">
        <f t="shared" si="54"/>
        <v>12</v>
      </c>
      <c r="AA317" s="12">
        <f t="shared" si="65"/>
        <v>0.8</v>
      </c>
      <c r="AB317" s="2" t="s">
        <v>533</v>
      </c>
    </row>
    <row r="318" spans="1:28" x14ac:dyDescent="0.25">
      <c r="A318" s="1" t="s">
        <v>1661</v>
      </c>
      <c r="B318" s="1" t="s">
        <v>35</v>
      </c>
      <c r="C318" s="1" t="s">
        <v>36</v>
      </c>
      <c r="D318" s="1">
        <v>5</v>
      </c>
      <c r="E318" s="1">
        <v>3</v>
      </c>
      <c r="F318" s="1">
        <v>5</v>
      </c>
      <c r="G318" s="1">
        <v>10</v>
      </c>
      <c r="H318" s="1">
        <v>10</v>
      </c>
      <c r="I318" s="1">
        <v>10</v>
      </c>
      <c r="J318" s="1">
        <v>5</v>
      </c>
      <c r="K318" s="1">
        <f t="shared" si="51"/>
        <v>35</v>
      </c>
      <c r="L318" s="12">
        <f t="shared" si="62"/>
        <v>1</v>
      </c>
      <c r="M318" s="1">
        <v>10</v>
      </c>
      <c r="N318" s="1">
        <v>9</v>
      </c>
      <c r="O318" s="1">
        <v>8</v>
      </c>
      <c r="P318" s="1">
        <v>4</v>
      </c>
      <c r="Q318" s="1">
        <f t="shared" si="52"/>
        <v>31</v>
      </c>
      <c r="R318" s="12">
        <f t="shared" si="63"/>
        <v>0.88571428571428568</v>
      </c>
      <c r="S318" s="1">
        <v>8</v>
      </c>
      <c r="T318" s="1">
        <v>5</v>
      </c>
      <c r="U318" s="1">
        <f t="shared" si="53"/>
        <v>13</v>
      </c>
      <c r="V318" s="12">
        <f t="shared" si="64"/>
        <v>0.8666666666666667</v>
      </c>
      <c r="W318" s="1">
        <v>5</v>
      </c>
      <c r="X318" s="1">
        <v>3</v>
      </c>
      <c r="Y318" s="1">
        <v>4</v>
      </c>
      <c r="Z318" s="1">
        <f t="shared" si="54"/>
        <v>12</v>
      </c>
      <c r="AA318" s="12">
        <f t="shared" si="65"/>
        <v>0.8</v>
      </c>
      <c r="AB318" s="2" t="s">
        <v>534</v>
      </c>
    </row>
    <row r="319" spans="1:28" x14ac:dyDescent="0.25">
      <c r="A319" s="1" t="s">
        <v>1661</v>
      </c>
      <c r="B319" s="1" t="s">
        <v>576</v>
      </c>
      <c r="C319" s="1" t="s">
        <v>36</v>
      </c>
      <c r="D319" s="1">
        <v>12</v>
      </c>
      <c r="E319" s="1">
        <v>3</v>
      </c>
      <c r="F319" s="1">
        <v>3</v>
      </c>
      <c r="G319" s="1">
        <v>8</v>
      </c>
      <c r="H319" s="1">
        <v>8</v>
      </c>
      <c r="I319" s="1">
        <v>8</v>
      </c>
      <c r="J319" s="1">
        <v>4</v>
      </c>
      <c r="K319" s="1">
        <f t="shared" si="51"/>
        <v>28</v>
      </c>
      <c r="L319" s="12">
        <f t="shared" si="62"/>
        <v>0.8</v>
      </c>
      <c r="M319" s="1">
        <v>8</v>
      </c>
      <c r="N319" s="1">
        <v>6</v>
      </c>
      <c r="O319" s="1">
        <v>7</v>
      </c>
      <c r="P319" s="1">
        <v>4</v>
      </c>
      <c r="Q319" s="1">
        <f t="shared" si="52"/>
        <v>25</v>
      </c>
      <c r="R319" s="12">
        <f t="shared" si="63"/>
        <v>0.7142857142857143</v>
      </c>
      <c r="S319" s="1">
        <v>8</v>
      </c>
      <c r="T319" s="1">
        <v>4</v>
      </c>
      <c r="U319" s="1">
        <f t="shared" si="53"/>
        <v>12</v>
      </c>
      <c r="V319" s="12">
        <f t="shared" si="64"/>
        <v>0.8</v>
      </c>
      <c r="W319" s="1">
        <v>4</v>
      </c>
      <c r="X319" s="1">
        <v>3</v>
      </c>
      <c r="Y319" s="1">
        <v>3</v>
      </c>
      <c r="Z319" s="1">
        <f t="shared" si="54"/>
        <v>10</v>
      </c>
      <c r="AA319" s="12">
        <f t="shared" si="65"/>
        <v>0.66666666666666663</v>
      </c>
      <c r="AB319" s="2" t="s">
        <v>804</v>
      </c>
    </row>
    <row r="320" spans="1:28" x14ac:dyDescent="0.25">
      <c r="A320" s="1" t="s">
        <v>1661</v>
      </c>
      <c r="B320" s="1" t="s">
        <v>576</v>
      </c>
      <c r="C320" s="1" t="s">
        <v>36</v>
      </c>
      <c r="D320" s="1">
        <v>12</v>
      </c>
      <c r="E320" s="1">
        <v>3</v>
      </c>
      <c r="F320" s="1">
        <v>3</v>
      </c>
      <c r="G320" s="1">
        <v>8</v>
      </c>
      <c r="H320" s="1">
        <v>9</v>
      </c>
      <c r="I320" s="1">
        <v>9</v>
      </c>
      <c r="J320" s="1">
        <v>5</v>
      </c>
      <c r="K320" s="1">
        <f t="shared" si="51"/>
        <v>31</v>
      </c>
      <c r="L320" s="12">
        <f t="shared" si="62"/>
        <v>0.88571428571428568</v>
      </c>
      <c r="M320" s="1">
        <v>7</v>
      </c>
      <c r="N320" s="1">
        <v>6</v>
      </c>
      <c r="O320" s="1">
        <v>6</v>
      </c>
      <c r="P320" s="1">
        <v>4</v>
      </c>
      <c r="Q320" s="1">
        <f t="shared" si="52"/>
        <v>23</v>
      </c>
      <c r="R320" s="12">
        <f t="shared" si="63"/>
        <v>0.65714285714285714</v>
      </c>
      <c r="S320" s="1">
        <v>4</v>
      </c>
      <c r="T320" s="1">
        <v>3</v>
      </c>
      <c r="U320" s="1">
        <f t="shared" si="53"/>
        <v>7</v>
      </c>
      <c r="V320" s="12">
        <f t="shared" si="64"/>
        <v>0.46666666666666667</v>
      </c>
      <c r="W320" s="1">
        <v>4</v>
      </c>
      <c r="X320" s="1">
        <v>4</v>
      </c>
      <c r="Y320" s="1">
        <v>5</v>
      </c>
      <c r="Z320" s="1">
        <f t="shared" si="54"/>
        <v>13</v>
      </c>
      <c r="AA320" s="12">
        <f t="shared" si="65"/>
        <v>0.8666666666666667</v>
      </c>
      <c r="AB320" s="2" t="s">
        <v>805</v>
      </c>
    </row>
    <row r="321" spans="1:28" x14ac:dyDescent="0.25">
      <c r="A321" s="1" t="s">
        <v>1661</v>
      </c>
      <c r="B321" s="1" t="s">
        <v>576</v>
      </c>
      <c r="C321" s="1" t="s">
        <v>36</v>
      </c>
      <c r="D321" s="1">
        <v>12</v>
      </c>
      <c r="E321" s="1">
        <v>3</v>
      </c>
      <c r="F321" s="1">
        <v>3</v>
      </c>
      <c r="G321" s="1">
        <v>7</v>
      </c>
      <c r="H321" s="1">
        <v>7</v>
      </c>
      <c r="I321" s="1">
        <v>7</v>
      </c>
      <c r="J321" s="1">
        <v>3</v>
      </c>
      <c r="K321" s="1">
        <f t="shared" si="51"/>
        <v>24</v>
      </c>
      <c r="L321" s="12">
        <f t="shared" si="62"/>
        <v>0.68571428571428572</v>
      </c>
      <c r="M321" s="1">
        <v>6</v>
      </c>
      <c r="N321" s="1">
        <v>7</v>
      </c>
      <c r="O321" s="1">
        <v>7</v>
      </c>
      <c r="P321" s="1">
        <v>4</v>
      </c>
      <c r="Q321" s="1">
        <f t="shared" si="52"/>
        <v>24</v>
      </c>
      <c r="R321" s="12">
        <f t="shared" si="63"/>
        <v>0.68571428571428572</v>
      </c>
      <c r="S321" s="1">
        <v>8</v>
      </c>
      <c r="T321" s="1">
        <v>4</v>
      </c>
      <c r="U321" s="1">
        <f t="shared" si="53"/>
        <v>12</v>
      </c>
      <c r="V321" s="12">
        <f t="shared" si="64"/>
        <v>0.8</v>
      </c>
      <c r="W321" s="1">
        <v>4</v>
      </c>
      <c r="X321" s="1">
        <v>5</v>
      </c>
      <c r="Y321" s="1">
        <v>5</v>
      </c>
      <c r="Z321" s="1">
        <f t="shared" si="54"/>
        <v>14</v>
      </c>
      <c r="AA321" s="12">
        <f t="shared" si="65"/>
        <v>0.93333333333333335</v>
      </c>
      <c r="AB321" s="2" t="s">
        <v>806</v>
      </c>
    </row>
    <row r="322" spans="1:28" x14ac:dyDescent="0.25">
      <c r="A322" s="1" t="s">
        <v>1661</v>
      </c>
      <c r="B322" s="1" t="s">
        <v>576</v>
      </c>
      <c r="C322" s="1" t="s">
        <v>36</v>
      </c>
      <c r="D322" s="1">
        <v>12</v>
      </c>
      <c r="E322" s="1">
        <v>3</v>
      </c>
      <c r="F322" s="1">
        <v>3</v>
      </c>
      <c r="G322" s="1">
        <v>8</v>
      </c>
      <c r="H322" s="1">
        <v>9</v>
      </c>
      <c r="I322" s="1">
        <v>9</v>
      </c>
      <c r="J322" s="1">
        <v>4</v>
      </c>
      <c r="K322" s="1">
        <f t="shared" si="51"/>
        <v>30</v>
      </c>
      <c r="L322" s="12">
        <f t="shared" si="62"/>
        <v>0.8571428571428571</v>
      </c>
      <c r="M322" s="1">
        <v>8</v>
      </c>
      <c r="N322" s="1">
        <v>8</v>
      </c>
      <c r="O322" s="1">
        <v>8</v>
      </c>
      <c r="P322" s="1">
        <v>4</v>
      </c>
      <c r="Q322" s="1">
        <f t="shared" si="52"/>
        <v>28</v>
      </c>
      <c r="R322" s="12">
        <f t="shared" si="63"/>
        <v>0.8</v>
      </c>
      <c r="S322" s="1">
        <v>7</v>
      </c>
      <c r="T322" s="1">
        <v>4</v>
      </c>
      <c r="U322" s="1">
        <f t="shared" si="53"/>
        <v>11</v>
      </c>
      <c r="V322" s="12">
        <f t="shared" si="64"/>
        <v>0.73333333333333328</v>
      </c>
      <c r="W322" s="1">
        <v>4</v>
      </c>
      <c r="X322" s="1">
        <v>3</v>
      </c>
      <c r="Y322" s="1">
        <v>3</v>
      </c>
      <c r="Z322" s="1">
        <f t="shared" si="54"/>
        <v>10</v>
      </c>
      <c r="AA322" s="12">
        <f t="shared" si="65"/>
        <v>0.66666666666666663</v>
      </c>
      <c r="AB322" s="2" t="s">
        <v>807</v>
      </c>
    </row>
    <row r="323" spans="1:28" x14ac:dyDescent="0.25">
      <c r="A323" s="1" t="s">
        <v>1661</v>
      </c>
      <c r="B323" s="1" t="s">
        <v>576</v>
      </c>
      <c r="C323" s="1" t="s">
        <v>36</v>
      </c>
      <c r="D323" s="1">
        <v>12</v>
      </c>
      <c r="E323" s="1">
        <v>3</v>
      </c>
      <c r="F323" s="1">
        <v>3</v>
      </c>
      <c r="G323" s="1">
        <v>7</v>
      </c>
      <c r="H323" s="1">
        <v>8</v>
      </c>
      <c r="I323" s="1">
        <v>7</v>
      </c>
      <c r="J323" s="1">
        <v>4</v>
      </c>
      <c r="K323" s="1">
        <f t="shared" ref="K323:K386" si="66">SUM(G323:J323)</f>
        <v>26</v>
      </c>
      <c r="L323" s="12">
        <f t="shared" si="62"/>
        <v>0.74285714285714288</v>
      </c>
      <c r="M323" s="1">
        <v>8</v>
      </c>
      <c r="N323" s="1">
        <v>8</v>
      </c>
      <c r="O323" s="1">
        <v>8</v>
      </c>
      <c r="P323" s="1">
        <v>4</v>
      </c>
      <c r="Q323" s="1">
        <f t="shared" ref="Q323:Q386" si="67">SUM(M323:P323)</f>
        <v>28</v>
      </c>
      <c r="R323" s="12">
        <f t="shared" si="63"/>
        <v>0.8</v>
      </c>
      <c r="S323" s="1">
        <v>8</v>
      </c>
      <c r="T323" s="1">
        <v>4</v>
      </c>
      <c r="U323" s="1">
        <f t="shared" ref="U323:U386" si="68">SUM(S323:T323)</f>
        <v>12</v>
      </c>
      <c r="V323" s="12">
        <f t="shared" si="64"/>
        <v>0.8</v>
      </c>
      <c r="W323" s="1">
        <v>4</v>
      </c>
      <c r="X323" s="1">
        <v>4</v>
      </c>
      <c r="Y323" s="1">
        <v>4</v>
      </c>
      <c r="Z323" s="1">
        <f t="shared" ref="Z323:Z386" si="69">SUM(W323:Y323)</f>
        <v>12</v>
      </c>
      <c r="AA323" s="12">
        <f t="shared" si="65"/>
        <v>0.8</v>
      </c>
      <c r="AB323" s="2" t="s">
        <v>808</v>
      </c>
    </row>
    <row r="324" spans="1:28" x14ac:dyDescent="0.25">
      <c r="A324" s="1" t="s">
        <v>1661</v>
      </c>
      <c r="B324" s="1" t="s">
        <v>576</v>
      </c>
      <c r="C324" s="1" t="s">
        <v>36</v>
      </c>
      <c r="D324" s="1">
        <v>12</v>
      </c>
      <c r="E324" s="1">
        <v>3</v>
      </c>
      <c r="F324" s="1">
        <v>3</v>
      </c>
      <c r="G324" s="1">
        <v>8</v>
      </c>
      <c r="H324" s="1">
        <v>8</v>
      </c>
      <c r="I324" s="1">
        <v>7</v>
      </c>
      <c r="J324" s="1">
        <v>4</v>
      </c>
      <c r="K324" s="1">
        <f t="shared" si="66"/>
        <v>27</v>
      </c>
      <c r="L324" s="12">
        <f t="shared" si="62"/>
        <v>0.77142857142857146</v>
      </c>
      <c r="M324" s="1">
        <v>8</v>
      </c>
      <c r="N324" s="1">
        <v>8</v>
      </c>
      <c r="O324" s="1">
        <v>8</v>
      </c>
      <c r="P324" s="1">
        <v>4</v>
      </c>
      <c r="Q324" s="1">
        <f t="shared" si="67"/>
        <v>28</v>
      </c>
      <c r="R324" s="12">
        <f t="shared" si="63"/>
        <v>0.8</v>
      </c>
      <c r="S324" s="1">
        <v>8</v>
      </c>
      <c r="T324" s="1">
        <v>4</v>
      </c>
      <c r="U324" s="1">
        <f t="shared" si="68"/>
        <v>12</v>
      </c>
      <c r="V324" s="12">
        <f t="shared" si="64"/>
        <v>0.8</v>
      </c>
      <c r="W324" s="1">
        <v>4</v>
      </c>
      <c r="X324" s="1">
        <v>4</v>
      </c>
      <c r="Y324" s="1">
        <v>4</v>
      </c>
      <c r="Z324" s="1">
        <f t="shared" si="69"/>
        <v>12</v>
      </c>
      <c r="AA324" s="12">
        <f t="shared" si="65"/>
        <v>0.8</v>
      </c>
      <c r="AB324" s="2" t="s">
        <v>809</v>
      </c>
    </row>
    <row r="325" spans="1:28" x14ac:dyDescent="0.25">
      <c r="A325" s="1" t="s">
        <v>1661</v>
      </c>
      <c r="B325" s="1" t="s">
        <v>576</v>
      </c>
      <c r="C325" s="1" t="s">
        <v>36</v>
      </c>
      <c r="D325" s="1">
        <v>12</v>
      </c>
      <c r="E325" s="1">
        <v>3</v>
      </c>
      <c r="F325" s="1">
        <v>3</v>
      </c>
      <c r="G325" s="1">
        <v>8</v>
      </c>
      <c r="H325" s="1">
        <v>8</v>
      </c>
      <c r="I325" s="1">
        <v>8</v>
      </c>
      <c r="J325" s="1">
        <v>4</v>
      </c>
      <c r="K325" s="1">
        <f t="shared" si="66"/>
        <v>28</v>
      </c>
      <c r="L325" s="12">
        <f t="shared" si="62"/>
        <v>0.8</v>
      </c>
      <c r="M325" s="1">
        <v>9</v>
      </c>
      <c r="N325" s="1">
        <v>9</v>
      </c>
      <c r="O325" s="1">
        <v>4</v>
      </c>
      <c r="P325" s="1">
        <v>3</v>
      </c>
      <c r="Q325" s="1">
        <f t="shared" si="67"/>
        <v>25</v>
      </c>
      <c r="R325" s="12">
        <f t="shared" si="63"/>
        <v>0.7142857142857143</v>
      </c>
      <c r="S325" s="1">
        <v>7</v>
      </c>
      <c r="T325" s="1">
        <v>4</v>
      </c>
      <c r="U325" s="1">
        <f t="shared" si="68"/>
        <v>11</v>
      </c>
      <c r="V325" s="12">
        <f t="shared" si="64"/>
        <v>0.73333333333333328</v>
      </c>
      <c r="W325" s="1">
        <v>4</v>
      </c>
      <c r="X325" s="1">
        <v>4</v>
      </c>
      <c r="Y325" s="1">
        <v>4</v>
      </c>
      <c r="Z325" s="1">
        <f t="shared" si="69"/>
        <v>12</v>
      </c>
      <c r="AA325" s="12">
        <f t="shared" si="65"/>
        <v>0.8</v>
      </c>
      <c r="AB325" s="2" t="s">
        <v>810</v>
      </c>
    </row>
    <row r="326" spans="1:28" x14ac:dyDescent="0.25">
      <c r="A326" s="1" t="s">
        <v>1661</v>
      </c>
      <c r="B326" s="1" t="s">
        <v>35</v>
      </c>
      <c r="C326" s="1" t="s">
        <v>861</v>
      </c>
      <c r="D326" s="1">
        <v>18</v>
      </c>
      <c r="E326" s="1">
        <v>2</v>
      </c>
      <c r="F326" s="1">
        <v>5</v>
      </c>
      <c r="G326" s="1">
        <v>7</v>
      </c>
      <c r="H326" s="1">
        <v>7</v>
      </c>
      <c r="I326" s="1">
        <v>7</v>
      </c>
      <c r="J326" s="1">
        <v>7</v>
      </c>
      <c r="K326" s="1">
        <f t="shared" si="66"/>
        <v>28</v>
      </c>
      <c r="L326" s="12">
        <f t="shared" ref="L326:L339" si="70">K326/40</f>
        <v>0.7</v>
      </c>
      <c r="M326" s="1">
        <v>7</v>
      </c>
      <c r="N326" s="1">
        <v>6</v>
      </c>
      <c r="O326" s="1">
        <v>6</v>
      </c>
      <c r="P326" s="1">
        <v>8</v>
      </c>
      <c r="Q326" s="1">
        <f t="shared" si="67"/>
        <v>27</v>
      </c>
      <c r="R326" s="12">
        <f t="shared" ref="R326:R339" si="71">Q326/40</f>
        <v>0.67500000000000004</v>
      </c>
      <c r="S326" s="1">
        <v>7</v>
      </c>
      <c r="T326" s="1">
        <v>8</v>
      </c>
      <c r="U326" s="1">
        <f t="shared" si="68"/>
        <v>15</v>
      </c>
      <c r="V326" s="12">
        <f t="shared" ref="V326:V339" si="72">U326/20</f>
        <v>0.75</v>
      </c>
      <c r="Z326" s="1">
        <f t="shared" si="69"/>
        <v>0</v>
      </c>
      <c r="AB326" s="2" t="s">
        <v>1132</v>
      </c>
    </row>
    <row r="327" spans="1:28" x14ac:dyDescent="0.25">
      <c r="A327" s="1" t="s">
        <v>1661</v>
      </c>
      <c r="B327" s="1" t="s">
        <v>35</v>
      </c>
      <c r="C327" s="1" t="s">
        <v>861</v>
      </c>
      <c r="D327" s="1">
        <v>18</v>
      </c>
      <c r="E327" s="1">
        <v>2</v>
      </c>
      <c r="F327" s="1">
        <v>5</v>
      </c>
      <c r="G327" s="1">
        <v>9</v>
      </c>
      <c r="H327" s="1">
        <v>8</v>
      </c>
      <c r="I327" s="1">
        <v>7</v>
      </c>
      <c r="J327" s="1">
        <v>8</v>
      </c>
      <c r="K327" s="1">
        <f t="shared" si="66"/>
        <v>32</v>
      </c>
      <c r="L327" s="12">
        <f t="shared" si="70"/>
        <v>0.8</v>
      </c>
      <c r="M327" s="1">
        <v>9</v>
      </c>
      <c r="N327" s="1">
        <v>8</v>
      </c>
      <c r="O327" s="1">
        <v>8</v>
      </c>
      <c r="P327" s="1">
        <v>9</v>
      </c>
      <c r="Q327" s="1">
        <f t="shared" si="67"/>
        <v>34</v>
      </c>
      <c r="R327" s="12">
        <f t="shared" si="71"/>
        <v>0.85</v>
      </c>
      <c r="S327" s="1">
        <v>9</v>
      </c>
      <c r="T327" s="1">
        <v>10</v>
      </c>
      <c r="U327" s="1">
        <f t="shared" si="68"/>
        <v>19</v>
      </c>
      <c r="V327" s="12">
        <f t="shared" si="72"/>
        <v>0.95</v>
      </c>
      <c r="Z327" s="1">
        <f t="shared" si="69"/>
        <v>0</v>
      </c>
      <c r="AB327" s="2" t="s">
        <v>1133</v>
      </c>
    </row>
    <row r="328" spans="1:28" x14ac:dyDescent="0.25">
      <c r="A328" s="1" t="s">
        <v>1661</v>
      </c>
      <c r="B328" s="1" t="s">
        <v>35</v>
      </c>
      <c r="C328" s="1" t="s">
        <v>861</v>
      </c>
      <c r="D328" s="1">
        <v>18</v>
      </c>
      <c r="E328" s="1">
        <v>2</v>
      </c>
      <c r="F328" s="1">
        <v>5</v>
      </c>
      <c r="G328" s="1">
        <v>8</v>
      </c>
      <c r="H328" s="1">
        <v>7</v>
      </c>
      <c r="I328" s="1">
        <v>6</v>
      </c>
      <c r="J328" s="1">
        <v>7</v>
      </c>
      <c r="K328" s="1">
        <f t="shared" si="66"/>
        <v>28</v>
      </c>
      <c r="L328" s="12">
        <f t="shared" si="70"/>
        <v>0.7</v>
      </c>
      <c r="M328" s="1">
        <v>7</v>
      </c>
      <c r="N328" s="1">
        <v>7</v>
      </c>
      <c r="O328" s="1">
        <v>7</v>
      </c>
      <c r="P328" s="1">
        <v>8</v>
      </c>
      <c r="Q328" s="1">
        <f t="shared" si="67"/>
        <v>29</v>
      </c>
      <c r="R328" s="12">
        <f t="shared" si="71"/>
        <v>0.72499999999999998</v>
      </c>
      <c r="S328" s="1">
        <v>8</v>
      </c>
      <c r="T328" s="1">
        <v>7</v>
      </c>
      <c r="U328" s="1">
        <f t="shared" si="68"/>
        <v>15</v>
      </c>
      <c r="V328" s="12">
        <f t="shared" si="72"/>
        <v>0.75</v>
      </c>
      <c r="Z328" s="1">
        <f t="shared" si="69"/>
        <v>0</v>
      </c>
      <c r="AB328" s="2" t="s">
        <v>1134</v>
      </c>
    </row>
    <row r="329" spans="1:28" x14ac:dyDescent="0.25">
      <c r="A329" s="1" t="s">
        <v>1661</v>
      </c>
      <c r="B329" s="1" t="s">
        <v>35</v>
      </c>
      <c r="C329" s="1" t="s">
        <v>861</v>
      </c>
      <c r="D329" s="1">
        <v>18</v>
      </c>
      <c r="E329" s="1">
        <v>2</v>
      </c>
      <c r="F329" s="1">
        <v>5</v>
      </c>
      <c r="G329" s="1">
        <v>8</v>
      </c>
      <c r="H329" s="1">
        <v>8</v>
      </c>
      <c r="I329" s="1">
        <v>9</v>
      </c>
      <c r="J329" s="1">
        <v>9</v>
      </c>
      <c r="K329" s="1">
        <f t="shared" si="66"/>
        <v>34</v>
      </c>
      <c r="L329" s="12">
        <f t="shared" si="70"/>
        <v>0.85</v>
      </c>
      <c r="M329" s="1">
        <v>8</v>
      </c>
      <c r="N329" s="1">
        <v>9</v>
      </c>
      <c r="O329" s="1">
        <v>9</v>
      </c>
      <c r="P329" s="1">
        <v>9</v>
      </c>
      <c r="Q329" s="1">
        <f t="shared" si="67"/>
        <v>35</v>
      </c>
      <c r="R329" s="12">
        <f t="shared" si="71"/>
        <v>0.875</v>
      </c>
      <c r="S329" s="1">
        <v>9</v>
      </c>
      <c r="T329" s="1">
        <v>8</v>
      </c>
      <c r="U329" s="1">
        <f t="shared" si="68"/>
        <v>17</v>
      </c>
      <c r="V329" s="12">
        <f t="shared" si="72"/>
        <v>0.85</v>
      </c>
      <c r="Z329" s="1">
        <f t="shared" si="69"/>
        <v>0</v>
      </c>
      <c r="AB329" s="2" t="s">
        <v>1135</v>
      </c>
    </row>
    <row r="330" spans="1:28" x14ac:dyDescent="0.25">
      <c r="A330" s="1" t="s">
        <v>1661</v>
      </c>
      <c r="B330" s="1" t="s">
        <v>35</v>
      </c>
      <c r="C330" s="1" t="s">
        <v>861</v>
      </c>
      <c r="D330" s="1">
        <v>18</v>
      </c>
      <c r="E330" s="1">
        <v>2</v>
      </c>
      <c r="F330" s="1">
        <v>5</v>
      </c>
      <c r="G330" s="1">
        <v>6</v>
      </c>
      <c r="H330" s="1">
        <v>7</v>
      </c>
      <c r="I330" s="1">
        <v>6</v>
      </c>
      <c r="J330" s="1">
        <v>7</v>
      </c>
      <c r="K330" s="1">
        <f t="shared" si="66"/>
        <v>26</v>
      </c>
      <c r="L330" s="12">
        <f t="shared" si="70"/>
        <v>0.65</v>
      </c>
      <c r="M330" s="1">
        <v>8</v>
      </c>
      <c r="N330" s="1">
        <v>8</v>
      </c>
      <c r="O330" s="1">
        <v>8</v>
      </c>
      <c r="P330" s="1">
        <v>7</v>
      </c>
      <c r="Q330" s="1">
        <f t="shared" si="67"/>
        <v>31</v>
      </c>
      <c r="R330" s="12">
        <f t="shared" si="71"/>
        <v>0.77500000000000002</v>
      </c>
      <c r="S330" s="1">
        <v>6</v>
      </c>
      <c r="T330" s="1">
        <v>7</v>
      </c>
      <c r="U330" s="1">
        <f t="shared" si="68"/>
        <v>13</v>
      </c>
      <c r="V330" s="12">
        <f t="shared" si="72"/>
        <v>0.65</v>
      </c>
      <c r="Z330" s="1">
        <f t="shared" si="69"/>
        <v>0</v>
      </c>
      <c r="AB330" s="2" t="s">
        <v>1136</v>
      </c>
    </row>
    <row r="331" spans="1:28" x14ac:dyDescent="0.25">
      <c r="A331" s="1" t="s">
        <v>1661</v>
      </c>
      <c r="B331" s="1" t="s">
        <v>35</v>
      </c>
      <c r="C331" s="1" t="s">
        <v>861</v>
      </c>
      <c r="D331" s="1">
        <v>18</v>
      </c>
      <c r="E331" s="1">
        <v>2</v>
      </c>
      <c r="F331" s="1">
        <v>5</v>
      </c>
      <c r="G331" s="1">
        <v>7</v>
      </c>
      <c r="H331" s="1">
        <v>7</v>
      </c>
      <c r="I331" s="1">
        <v>6</v>
      </c>
      <c r="J331" s="1">
        <v>7</v>
      </c>
      <c r="K331" s="1">
        <f t="shared" si="66"/>
        <v>27</v>
      </c>
      <c r="L331" s="12">
        <f t="shared" si="70"/>
        <v>0.67500000000000004</v>
      </c>
      <c r="M331" s="1">
        <v>7</v>
      </c>
      <c r="N331" s="1">
        <v>9</v>
      </c>
      <c r="O331" s="1">
        <v>8</v>
      </c>
      <c r="P331" s="1">
        <v>8</v>
      </c>
      <c r="Q331" s="1">
        <f t="shared" si="67"/>
        <v>32</v>
      </c>
      <c r="R331" s="12">
        <f t="shared" si="71"/>
        <v>0.8</v>
      </c>
      <c r="S331" s="1">
        <v>8</v>
      </c>
      <c r="T331" s="1">
        <v>9</v>
      </c>
      <c r="U331" s="1">
        <f t="shared" si="68"/>
        <v>17</v>
      </c>
      <c r="V331" s="12">
        <f t="shared" si="72"/>
        <v>0.85</v>
      </c>
      <c r="Z331" s="1">
        <f t="shared" si="69"/>
        <v>0</v>
      </c>
      <c r="AB331" s="2" t="s">
        <v>1137</v>
      </c>
    </row>
    <row r="332" spans="1:28" x14ac:dyDescent="0.25">
      <c r="A332" s="1" t="s">
        <v>1661</v>
      </c>
      <c r="B332" s="1" t="s">
        <v>35</v>
      </c>
      <c r="C332" s="1" t="s">
        <v>861</v>
      </c>
      <c r="D332" s="1">
        <v>18</v>
      </c>
      <c r="E332" s="1">
        <v>2</v>
      </c>
      <c r="F332" s="1">
        <v>5</v>
      </c>
      <c r="G332" s="1">
        <v>7</v>
      </c>
      <c r="H332" s="1">
        <v>7</v>
      </c>
      <c r="I332" s="1">
        <v>6</v>
      </c>
      <c r="J332" s="1">
        <v>8</v>
      </c>
      <c r="K332" s="1">
        <f t="shared" si="66"/>
        <v>28</v>
      </c>
      <c r="L332" s="12">
        <f t="shared" si="70"/>
        <v>0.7</v>
      </c>
      <c r="M332" s="1">
        <v>7</v>
      </c>
      <c r="N332" s="1">
        <v>8</v>
      </c>
      <c r="O332" s="1">
        <v>9</v>
      </c>
      <c r="P332" s="1">
        <v>8</v>
      </c>
      <c r="Q332" s="1">
        <f t="shared" si="67"/>
        <v>32</v>
      </c>
      <c r="R332" s="12">
        <f t="shared" si="71"/>
        <v>0.8</v>
      </c>
      <c r="S332" s="1">
        <v>7</v>
      </c>
      <c r="T332" s="1">
        <v>7</v>
      </c>
      <c r="U332" s="1">
        <f t="shared" si="68"/>
        <v>14</v>
      </c>
      <c r="V332" s="12">
        <f t="shared" si="72"/>
        <v>0.7</v>
      </c>
      <c r="Z332" s="1">
        <f t="shared" si="69"/>
        <v>0</v>
      </c>
      <c r="AB332" s="2" t="s">
        <v>1138</v>
      </c>
    </row>
    <row r="333" spans="1:28" x14ac:dyDescent="0.25">
      <c r="A333" s="1" t="s">
        <v>1661</v>
      </c>
      <c r="B333" s="1" t="s">
        <v>35</v>
      </c>
      <c r="C333" s="1" t="s">
        <v>861</v>
      </c>
      <c r="D333" s="1">
        <v>18</v>
      </c>
      <c r="E333" s="1">
        <v>2</v>
      </c>
      <c r="F333" s="1">
        <v>5</v>
      </c>
      <c r="G333" s="1">
        <v>9</v>
      </c>
      <c r="H333" s="1">
        <v>9</v>
      </c>
      <c r="I333" s="1">
        <v>9</v>
      </c>
      <c r="J333" s="1">
        <v>9</v>
      </c>
      <c r="K333" s="1">
        <f t="shared" si="66"/>
        <v>36</v>
      </c>
      <c r="L333" s="12">
        <f t="shared" si="70"/>
        <v>0.9</v>
      </c>
      <c r="M333" s="1">
        <v>9</v>
      </c>
      <c r="N333" s="1">
        <v>9</v>
      </c>
      <c r="O333" s="1">
        <v>10</v>
      </c>
      <c r="P333" s="1">
        <v>9</v>
      </c>
      <c r="Q333" s="1">
        <f t="shared" si="67"/>
        <v>37</v>
      </c>
      <c r="R333" s="12">
        <f t="shared" si="71"/>
        <v>0.92500000000000004</v>
      </c>
      <c r="S333" s="1">
        <v>7</v>
      </c>
      <c r="T333" s="1">
        <v>9</v>
      </c>
      <c r="U333" s="1">
        <f t="shared" si="68"/>
        <v>16</v>
      </c>
      <c r="V333" s="12">
        <f t="shared" si="72"/>
        <v>0.8</v>
      </c>
      <c r="Z333" s="1">
        <f t="shared" si="69"/>
        <v>0</v>
      </c>
      <c r="AB333" s="2" t="s">
        <v>1139</v>
      </c>
    </row>
    <row r="334" spans="1:28" x14ac:dyDescent="0.25">
      <c r="A334" s="1" t="s">
        <v>1661</v>
      </c>
      <c r="B334" s="1" t="s">
        <v>576</v>
      </c>
      <c r="C334" s="1" t="s">
        <v>861</v>
      </c>
      <c r="D334" s="1">
        <v>24</v>
      </c>
      <c r="E334" s="1">
        <v>1</v>
      </c>
      <c r="F334" s="1">
        <v>4</v>
      </c>
      <c r="G334" s="1">
        <v>9</v>
      </c>
      <c r="H334" s="1">
        <v>8</v>
      </c>
      <c r="I334" s="1">
        <v>9</v>
      </c>
      <c r="J334" s="1">
        <v>8</v>
      </c>
      <c r="K334" s="1">
        <f t="shared" si="66"/>
        <v>34</v>
      </c>
      <c r="L334" s="12">
        <f t="shared" si="70"/>
        <v>0.85</v>
      </c>
      <c r="M334" s="1">
        <v>9</v>
      </c>
      <c r="N334" s="1">
        <v>9</v>
      </c>
      <c r="O334" s="1">
        <v>10</v>
      </c>
      <c r="P334" s="1">
        <v>9</v>
      </c>
      <c r="Q334" s="1">
        <f t="shared" si="67"/>
        <v>37</v>
      </c>
      <c r="R334" s="12">
        <f t="shared" si="71"/>
        <v>0.92500000000000004</v>
      </c>
      <c r="S334" s="1">
        <v>9</v>
      </c>
      <c r="T334" s="1">
        <v>9</v>
      </c>
      <c r="U334" s="1">
        <f t="shared" si="68"/>
        <v>18</v>
      </c>
      <c r="V334" s="12">
        <f t="shared" si="72"/>
        <v>0.9</v>
      </c>
      <c r="Z334" s="1">
        <f t="shared" si="69"/>
        <v>0</v>
      </c>
      <c r="AB334" s="2" t="s">
        <v>1427</v>
      </c>
    </row>
    <row r="335" spans="1:28" x14ac:dyDescent="0.25">
      <c r="A335" s="1" t="s">
        <v>1661</v>
      </c>
      <c r="B335" s="1" t="s">
        <v>576</v>
      </c>
      <c r="C335" s="1" t="s">
        <v>861</v>
      </c>
      <c r="D335" s="1">
        <v>24</v>
      </c>
      <c r="E335" s="1">
        <v>1</v>
      </c>
      <c r="F335" s="1">
        <v>4</v>
      </c>
      <c r="G335" s="1">
        <v>10</v>
      </c>
      <c r="H335" s="1">
        <v>9</v>
      </c>
      <c r="I335" s="1">
        <v>9</v>
      </c>
      <c r="J335" s="1">
        <v>9</v>
      </c>
      <c r="K335" s="1">
        <f t="shared" si="66"/>
        <v>37</v>
      </c>
      <c r="L335" s="12">
        <f t="shared" si="70"/>
        <v>0.92500000000000004</v>
      </c>
      <c r="M335" s="1">
        <v>10</v>
      </c>
      <c r="N335" s="1">
        <v>9</v>
      </c>
      <c r="O335" s="1">
        <v>10</v>
      </c>
      <c r="P335" s="1">
        <v>9</v>
      </c>
      <c r="Q335" s="1">
        <f t="shared" si="67"/>
        <v>38</v>
      </c>
      <c r="R335" s="12">
        <f t="shared" si="71"/>
        <v>0.95</v>
      </c>
      <c r="S335" s="1">
        <v>9</v>
      </c>
      <c r="T335" s="1">
        <v>9</v>
      </c>
      <c r="U335" s="1">
        <f t="shared" si="68"/>
        <v>18</v>
      </c>
      <c r="V335" s="12">
        <f t="shared" si="72"/>
        <v>0.9</v>
      </c>
      <c r="Z335" s="1">
        <f t="shared" si="69"/>
        <v>0</v>
      </c>
      <c r="AB335" s="2" t="s">
        <v>1428</v>
      </c>
    </row>
    <row r="336" spans="1:28" x14ac:dyDescent="0.25">
      <c r="A336" s="1" t="s">
        <v>1661</v>
      </c>
      <c r="B336" s="1" t="s">
        <v>576</v>
      </c>
      <c r="C336" s="1" t="s">
        <v>861</v>
      </c>
      <c r="D336" s="1">
        <v>24</v>
      </c>
      <c r="E336" s="1">
        <v>1</v>
      </c>
      <c r="F336" s="1">
        <v>4</v>
      </c>
      <c r="G336" s="1">
        <v>9</v>
      </c>
      <c r="H336" s="1">
        <v>10</v>
      </c>
      <c r="I336" s="1">
        <v>9</v>
      </c>
      <c r="J336" s="1">
        <v>10</v>
      </c>
      <c r="K336" s="1">
        <f t="shared" si="66"/>
        <v>38</v>
      </c>
      <c r="L336" s="12">
        <f t="shared" si="70"/>
        <v>0.95</v>
      </c>
      <c r="M336" s="1">
        <v>8</v>
      </c>
      <c r="N336" s="1">
        <v>9</v>
      </c>
      <c r="O336" s="1">
        <v>9</v>
      </c>
      <c r="P336" s="1">
        <v>8</v>
      </c>
      <c r="Q336" s="1">
        <f t="shared" si="67"/>
        <v>34</v>
      </c>
      <c r="R336" s="12">
        <f t="shared" si="71"/>
        <v>0.85</v>
      </c>
      <c r="S336" s="1">
        <v>8</v>
      </c>
      <c r="T336" s="1">
        <v>9</v>
      </c>
      <c r="U336" s="1">
        <f t="shared" si="68"/>
        <v>17</v>
      </c>
      <c r="V336" s="12">
        <f t="shared" si="72"/>
        <v>0.85</v>
      </c>
      <c r="Z336" s="1">
        <f t="shared" si="69"/>
        <v>0</v>
      </c>
      <c r="AB336" s="2" t="s">
        <v>1429</v>
      </c>
    </row>
    <row r="337" spans="1:28" x14ac:dyDescent="0.25">
      <c r="A337" s="1" t="s">
        <v>1661</v>
      </c>
      <c r="B337" s="1" t="s">
        <v>576</v>
      </c>
      <c r="C337" s="1" t="s">
        <v>861</v>
      </c>
      <c r="D337" s="1">
        <v>24</v>
      </c>
      <c r="E337" s="1">
        <v>1</v>
      </c>
      <c r="F337" s="1">
        <v>4</v>
      </c>
      <c r="G337" s="1">
        <v>8</v>
      </c>
      <c r="H337" s="1">
        <v>7</v>
      </c>
      <c r="I337" s="1">
        <v>8</v>
      </c>
      <c r="J337" s="1">
        <v>9</v>
      </c>
      <c r="K337" s="1">
        <f t="shared" si="66"/>
        <v>32</v>
      </c>
      <c r="L337" s="12">
        <f t="shared" si="70"/>
        <v>0.8</v>
      </c>
      <c r="M337" s="1">
        <v>9</v>
      </c>
      <c r="N337" s="1">
        <v>8</v>
      </c>
      <c r="O337" s="1">
        <v>8</v>
      </c>
      <c r="P337" s="1">
        <v>9</v>
      </c>
      <c r="Q337" s="1">
        <f t="shared" si="67"/>
        <v>34</v>
      </c>
      <c r="R337" s="12">
        <f t="shared" si="71"/>
        <v>0.85</v>
      </c>
      <c r="S337" s="1">
        <v>9</v>
      </c>
      <c r="T337" s="1">
        <v>9</v>
      </c>
      <c r="U337" s="1">
        <f t="shared" si="68"/>
        <v>18</v>
      </c>
      <c r="V337" s="12">
        <f t="shared" si="72"/>
        <v>0.9</v>
      </c>
      <c r="Z337" s="1">
        <f t="shared" si="69"/>
        <v>0</v>
      </c>
      <c r="AB337" s="2" t="s">
        <v>1430</v>
      </c>
    </row>
    <row r="338" spans="1:28" x14ac:dyDescent="0.25">
      <c r="A338" s="1" t="s">
        <v>1661</v>
      </c>
      <c r="B338" s="1" t="s">
        <v>576</v>
      </c>
      <c r="C338" s="1" t="s">
        <v>861</v>
      </c>
      <c r="D338" s="1">
        <v>24</v>
      </c>
      <c r="E338" s="1">
        <v>1</v>
      </c>
      <c r="F338" s="1">
        <v>4</v>
      </c>
      <c r="G338" s="1">
        <v>10</v>
      </c>
      <c r="H338" s="1">
        <v>8</v>
      </c>
      <c r="I338" s="1">
        <v>9</v>
      </c>
      <c r="J338" s="1">
        <v>9</v>
      </c>
      <c r="K338" s="1">
        <f t="shared" si="66"/>
        <v>36</v>
      </c>
      <c r="L338" s="12">
        <f t="shared" si="70"/>
        <v>0.9</v>
      </c>
      <c r="M338" s="1">
        <v>9</v>
      </c>
      <c r="N338" s="1">
        <v>8</v>
      </c>
      <c r="O338" s="1">
        <v>9</v>
      </c>
      <c r="P338" s="1">
        <v>9</v>
      </c>
      <c r="Q338" s="1">
        <f t="shared" si="67"/>
        <v>35</v>
      </c>
      <c r="R338" s="12">
        <f t="shared" si="71"/>
        <v>0.875</v>
      </c>
      <c r="S338" s="1">
        <v>10</v>
      </c>
      <c r="T338" s="1">
        <v>9</v>
      </c>
      <c r="U338" s="1">
        <f t="shared" si="68"/>
        <v>19</v>
      </c>
      <c r="V338" s="12">
        <f t="shared" si="72"/>
        <v>0.95</v>
      </c>
      <c r="Z338" s="1">
        <f t="shared" si="69"/>
        <v>0</v>
      </c>
      <c r="AB338" s="2" t="s">
        <v>1431</v>
      </c>
    </row>
    <row r="339" spans="1:28" x14ac:dyDescent="0.25">
      <c r="A339" s="1" t="s">
        <v>1661</v>
      </c>
      <c r="B339" s="1" t="s">
        <v>576</v>
      </c>
      <c r="C339" s="1" t="s">
        <v>861</v>
      </c>
      <c r="D339" s="1">
        <v>24</v>
      </c>
      <c r="E339" s="1">
        <v>1</v>
      </c>
      <c r="F339" s="1">
        <v>4</v>
      </c>
      <c r="G339" s="1">
        <v>9</v>
      </c>
      <c r="H339" s="1">
        <v>7</v>
      </c>
      <c r="I339" s="1">
        <v>8</v>
      </c>
      <c r="J339" s="1">
        <v>8</v>
      </c>
      <c r="K339" s="1">
        <f t="shared" si="66"/>
        <v>32</v>
      </c>
      <c r="L339" s="12">
        <f t="shared" si="70"/>
        <v>0.8</v>
      </c>
      <c r="M339" s="1">
        <v>9</v>
      </c>
      <c r="N339" s="1">
        <v>9</v>
      </c>
      <c r="O339" s="1">
        <v>8</v>
      </c>
      <c r="P339" s="1">
        <v>9</v>
      </c>
      <c r="Q339" s="1">
        <f t="shared" si="67"/>
        <v>35</v>
      </c>
      <c r="R339" s="12">
        <f t="shared" si="71"/>
        <v>0.875</v>
      </c>
      <c r="S339" s="1">
        <v>8</v>
      </c>
      <c r="T339" s="1">
        <v>9</v>
      </c>
      <c r="U339" s="1">
        <f t="shared" si="68"/>
        <v>17</v>
      </c>
      <c r="V339" s="12">
        <f t="shared" si="72"/>
        <v>0.85</v>
      </c>
      <c r="Z339" s="1">
        <f t="shared" si="69"/>
        <v>0</v>
      </c>
      <c r="AB339" s="2" t="s">
        <v>1432</v>
      </c>
    </row>
    <row r="340" spans="1:28" x14ac:dyDescent="0.25">
      <c r="A340" s="1" t="s">
        <v>1664</v>
      </c>
      <c r="B340" s="1" t="s">
        <v>35</v>
      </c>
      <c r="C340" s="1" t="s">
        <v>36</v>
      </c>
      <c r="D340" s="1">
        <v>19</v>
      </c>
      <c r="E340" s="1">
        <v>1</v>
      </c>
      <c r="F340" s="1">
        <v>4</v>
      </c>
      <c r="G340" s="1">
        <v>8</v>
      </c>
      <c r="H340" s="1">
        <v>5</v>
      </c>
      <c r="I340" s="1">
        <v>6</v>
      </c>
      <c r="J340" s="1">
        <v>3</v>
      </c>
      <c r="K340" s="1">
        <f t="shared" si="66"/>
        <v>22</v>
      </c>
      <c r="L340" s="12">
        <f t="shared" ref="L340:L375" si="73">K340/35</f>
        <v>0.62857142857142856</v>
      </c>
      <c r="M340" s="1">
        <v>7</v>
      </c>
      <c r="N340" s="1">
        <v>5</v>
      </c>
      <c r="O340" s="1">
        <v>6</v>
      </c>
      <c r="P340" s="1">
        <v>3</v>
      </c>
      <c r="Q340" s="1">
        <f t="shared" si="67"/>
        <v>21</v>
      </c>
      <c r="R340" s="12">
        <f t="shared" ref="R340:R375" si="74">Q340/35</f>
        <v>0.6</v>
      </c>
      <c r="S340" s="1">
        <v>3</v>
      </c>
      <c r="T340" s="1">
        <v>2</v>
      </c>
      <c r="U340" s="1">
        <f t="shared" si="68"/>
        <v>5</v>
      </c>
      <c r="V340" s="12">
        <f t="shared" ref="V340:V375" si="75">U340/15</f>
        <v>0.33333333333333331</v>
      </c>
      <c r="W340" s="1">
        <v>4</v>
      </c>
      <c r="X340" s="1">
        <v>3</v>
      </c>
      <c r="Y340" s="1">
        <v>3</v>
      </c>
      <c r="Z340" s="1">
        <f t="shared" si="69"/>
        <v>10</v>
      </c>
      <c r="AA340" s="12">
        <f t="shared" ref="AA340:AA375" si="76">Z340/15</f>
        <v>0.66666666666666663</v>
      </c>
      <c r="AB340" s="2" t="s">
        <v>130</v>
      </c>
    </row>
    <row r="341" spans="1:28" x14ac:dyDescent="0.25">
      <c r="A341" s="1" t="s">
        <v>1664</v>
      </c>
      <c r="B341" s="1" t="s">
        <v>35</v>
      </c>
      <c r="C341" s="1" t="s">
        <v>36</v>
      </c>
      <c r="D341" s="1">
        <v>19</v>
      </c>
      <c r="E341" s="1">
        <v>1</v>
      </c>
      <c r="F341" s="1">
        <v>4</v>
      </c>
      <c r="G341" s="1">
        <v>6</v>
      </c>
      <c r="H341" s="1">
        <v>7</v>
      </c>
      <c r="I341" s="1">
        <v>7</v>
      </c>
      <c r="J341" s="1">
        <v>3</v>
      </c>
      <c r="K341" s="1">
        <f t="shared" si="66"/>
        <v>23</v>
      </c>
      <c r="L341" s="12">
        <f t="shared" si="73"/>
        <v>0.65714285714285714</v>
      </c>
      <c r="M341" s="1">
        <v>8</v>
      </c>
      <c r="N341" s="1">
        <v>7</v>
      </c>
      <c r="O341" s="1">
        <v>6</v>
      </c>
      <c r="P341" s="1">
        <v>3</v>
      </c>
      <c r="Q341" s="1">
        <f t="shared" si="67"/>
        <v>24</v>
      </c>
      <c r="R341" s="12">
        <f t="shared" si="74"/>
        <v>0.68571428571428572</v>
      </c>
      <c r="S341" s="1">
        <v>4</v>
      </c>
      <c r="T341" s="1">
        <v>3</v>
      </c>
      <c r="U341" s="1">
        <f t="shared" si="68"/>
        <v>7</v>
      </c>
      <c r="V341" s="12">
        <f t="shared" si="75"/>
        <v>0.46666666666666667</v>
      </c>
      <c r="W341" s="1">
        <v>3</v>
      </c>
      <c r="X341" s="1">
        <v>3</v>
      </c>
      <c r="Y341" s="1">
        <v>3</v>
      </c>
      <c r="Z341" s="1">
        <f t="shared" si="69"/>
        <v>9</v>
      </c>
      <c r="AA341" s="12">
        <f t="shared" si="76"/>
        <v>0.6</v>
      </c>
      <c r="AB341" s="2" t="s">
        <v>131</v>
      </c>
    </row>
    <row r="342" spans="1:28" x14ac:dyDescent="0.25">
      <c r="A342" s="1" t="s">
        <v>1664</v>
      </c>
      <c r="B342" s="1" t="s">
        <v>35</v>
      </c>
      <c r="C342" s="1" t="s">
        <v>36</v>
      </c>
      <c r="D342" s="1">
        <v>19</v>
      </c>
      <c r="E342" s="1">
        <v>1</v>
      </c>
      <c r="F342" s="1">
        <v>4</v>
      </c>
      <c r="G342" s="1">
        <v>7</v>
      </c>
      <c r="H342" s="1">
        <v>6</v>
      </c>
      <c r="I342" s="1">
        <v>7</v>
      </c>
      <c r="J342" s="1">
        <v>3</v>
      </c>
      <c r="K342" s="1">
        <f t="shared" si="66"/>
        <v>23</v>
      </c>
      <c r="L342" s="12">
        <f t="shared" si="73"/>
        <v>0.65714285714285714</v>
      </c>
      <c r="M342" s="1">
        <v>8</v>
      </c>
      <c r="N342" s="1">
        <v>7</v>
      </c>
      <c r="O342" s="1">
        <v>6</v>
      </c>
      <c r="P342" s="1">
        <v>3</v>
      </c>
      <c r="Q342" s="1">
        <f t="shared" si="67"/>
        <v>24</v>
      </c>
      <c r="R342" s="12">
        <f t="shared" si="74"/>
        <v>0.68571428571428572</v>
      </c>
      <c r="S342" s="1">
        <v>5</v>
      </c>
      <c r="T342" s="1">
        <v>3</v>
      </c>
      <c r="U342" s="1">
        <f t="shared" si="68"/>
        <v>8</v>
      </c>
      <c r="V342" s="12">
        <f t="shared" si="75"/>
        <v>0.53333333333333333</v>
      </c>
      <c r="W342" s="1">
        <v>4</v>
      </c>
      <c r="X342" s="1">
        <v>4</v>
      </c>
      <c r="Y342" s="1">
        <v>4</v>
      </c>
      <c r="Z342" s="1">
        <f t="shared" si="69"/>
        <v>12</v>
      </c>
      <c r="AA342" s="12">
        <f t="shared" si="76"/>
        <v>0.8</v>
      </c>
      <c r="AB342" s="2" t="s">
        <v>132</v>
      </c>
    </row>
    <row r="343" spans="1:28" x14ac:dyDescent="0.25">
      <c r="A343" s="1" t="s">
        <v>1664</v>
      </c>
      <c r="B343" s="1" t="s">
        <v>35</v>
      </c>
      <c r="C343" s="1" t="s">
        <v>36</v>
      </c>
      <c r="D343" s="1">
        <v>19</v>
      </c>
      <c r="E343" s="1">
        <v>1</v>
      </c>
      <c r="F343" s="1">
        <v>4</v>
      </c>
      <c r="G343" s="1">
        <v>9</v>
      </c>
      <c r="H343" s="1">
        <v>9</v>
      </c>
      <c r="I343" s="1">
        <v>8</v>
      </c>
      <c r="J343" s="1">
        <v>4</v>
      </c>
      <c r="K343" s="1">
        <f t="shared" si="66"/>
        <v>30</v>
      </c>
      <c r="L343" s="12">
        <f t="shared" si="73"/>
        <v>0.8571428571428571</v>
      </c>
      <c r="M343" s="1">
        <v>10</v>
      </c>
      <c r="N343" s="1">
        <v>8</v>
      </c>
      <c r="O343" s="1">
        <v>8</v>
      </c>
      <c r="P343" s="1">
        <v>4</v>
      </c>
      <c r="Q343" s="1">
        <f t="shared" si="67"/>
        <v>30</v>
      </c>
      <c r="R343" s="12">
        <f t="shared" si="74"/>
        <v>0.8571428571428571</v>
      </c>
      <c r="S343" s="1">
        <v>8</v>
      </c>
      <c r="T343" s="1">
        <v>4</v>
      </c>
      <c r="U343" s="1">
        <f t="shared" si="68"/>
        <v>12</v>
      </c>
      <c r="V343" s="12">
        <f t="shared" si="75"/>
        <v>0.8</v>
      </c>
      <c r="W343" s="1">
        <v>4</v>
      </c>
      <c r="X343" s="1">
        <v>5</v>
      </c>
      <c r="Y343" s="1">
        <v>5</v>
      </c>
      <c r="Z343" s="1">
        <f t="shared" si="69"/>
        <v>14</v>
      </c>
      <c r="AA343" s="12">
        <f t="shared" si="76"/>
        <v>0.93333333333333335</v>
      </c>
      <c r="AB343" s="2" t="s">
        <v>133</v>
      </c>
    </row>
    <row r="344" spans="1:28" x14ac:dyDescent="0.25">
      <c r="A344" s="1" t="s">
        <v>1664</v>
      </c>
      <c r="B344" s="1" t="s">
        <v>35</v>
      </c>
      <c r="C344" s="1" t="s">
        <v>36</v>
      </c>
      <c r="D344" s="1">
        <v>19</v>
      </c>
      <c r="E344" s="1">
        <v>1</v>
      </c>
      <c r="F344" s="1">
        <v>4</v>
      </c>
      <c r="G344" s="1">
        <v>8</v>
      </c>
      <c r="H344" s="1">
        <v>7</v>
      </c>
      <c r="I344" s="1">
        <v>7</v>
      </c>
      <c r="J344" s="1">
        <v>4</v>
      </c>
      <c r="K344" s="1">
        <f t="shared" si="66"/>
        <v>26</v>
      </c>
      <c r="L344" s="12">
        <f t="shared" si="73"/>
        <v>0.74285714285714288</v>
      </c>
      <c r="M344" s="1">
        <v>7</v>
      </c>
      <c r="N344" s="1">
        <v>7</v>
      </c>
      <c r="O344" s="1">
        <v>6</v>
      </c>
      <c r="P344" s="1">
        <v>3</v>
      </c>
      <c r="Q344" s="1">
        <f t="shared" si="67"/>
        <v>23</v>
      </c>
      <c r="R344" s="12">
        <f t="shared" si="74"/>
        <v>0.65714285714285714</v>
      </c>
      <c r="S344" s="1">
        <v>5</v>
      </c>
      <c r="T344" s="1">
        <v>2</v>
      </c>
      <c r="U344" s="1">
        <f t="shared" si="68"/>
        <v>7</v>
      </c>
      <c r="V344" s="12">
        <f t="shared" si="75"/>
        <v>0.46666666666666667</v>
      </c>
      <c r="W344" s="1">
        <v>3</v>
      </c>
      <c r="X344" s="1">
        <v>2</v>
      </c>
      <c r="Y344" s="1">
        <v>3</v>
      </c>
      <c r="Z344" s="1">
        <f t="shared" si="69"/>
        <v>8</v>
      </c>
      <c r="AA344" s="12">
        <f t="shared" si="76"/>
        <v>0.53333333333333333</v>
      </c>
      <c r="AB344" s="2" t="s">
        <v>134</v>
      </c>
    </row>
    <row r="345" spans="1:28" x14ac:dyDescent="0.25">
      <c r="A345" s="1" t="s">
        <v>1664</v>
      </c>
      <c r="B345" s="1" t="s">
        <v>35</v>
      </c>
      <c r="C345" s="1" t="s">
        <v>36</v>
      </c>
      <c r="D345" s="1">
        <v>19</v>
      </c>
      <c r="E345" s="1">
        <v>1</v>
      </c>
      <c r="F345" s="1">
        <v>4</v>
      </c>
      <c r="G345" s="1">
        <v>10</v>
      </c>
      <c r="H345" s="1">
        <v>10</v>
      </c>
      <c r="I345" s="1">
        <v>9</v>
      </c>
      <c r="J345" s="1">
        <v>5</v>
      </c>
      <c r="K345" s="1">
        <f t="shared" si="66"/>
        <v>34</v>
      </c>
      <c r="L345" s="12">
        <f t="shared" si="73"/>
        <v>0.97142857142857142</v>
      </c>
      <c r="M345" s="1">
        <v>10</v>
      </c>
      <c r="N345" s="1">
        <v>9</v>
      </c>
      <c r="O345" s="1">
        <v>8</v>
      </c>
      <c r="P345" s="1">
        <v>4</v>
      </c>
      <c r="Q345" s="1">
        <f t="shared" si="67"/>
        <v>31</v>
      </c>
      <c r="R345" s="12">
        <f t="shared" si="74"/>
        <v>0.88571428571428568</v>
      </c>
      <c r="S345" s="1">
        <v>5</v>
      </c>
      <c r="T345" s="1">
        <v>4</v>
      </c>
      <c r="U345" s="1">
        <f t="shared" si="68"/>
        <v>9</v>
      </c>
      <c r="V345" s="12">
        <f t="shared" si="75"/>
        <v>0.6</v>
      </c>
      <c r="W345" s="1">
        <v>5</v>
      </c>
      <c r="X345" s="1">
        <v>4</v>
      </c>
      <c r="Y345" s="1">
        <v>4</v>
      </c>
      <c r="Z345" s="1">
        <f t="shared" si="69"/>
        <v>13</v>
      </c>
      <c r="AA345" s="12">
        <f t="shared" si="76"/>
        <v>0.8666666666666667</v>
      </c>
      <c r="AB345" s="2" t="s">
        <v>135</v>
      </c>
    </row>
    <row r="346" spans="1:28" x14ac:dyDescent="0.25">
      <c r="A346" s="1" t="s">
        <v>1664</v>
      </c>
      <c r="B346" s="1" t="s">
        <v>35</v>
      </c>
      <c r="C346" s="1" t="s">
        <v>36</v>
      </c>
      <c r="D346" s="1">
        <v>19</v>
      </c>
      <c r="E346" s="1">
        <v>1</v>
      </c>
      <c r="F346" s="1">
        <v>4</v>
      </c>
      <c r="G346" s="1">
        <v>10</v>
      </c>
      <c r="H346" s="1">
        <v>10</v>
      </c>
      <c r="I346" s="1">
        <v>9</v>
      </c>
      <c r="J346" s="1">
        <v>4</v>
      </c>
      <c r="K346" s="1">
        <f t="shared" si="66"/>
        <v>33</v>
      </c>
      <c r="L346" s="12">
        <f t="shared" si="73"/>
        <v>0.94285714285714284</v>
      </c>
      <c r="M346" s="1">
        <v>10</v>
      </c>
      <c r="N346" s="1">
        <v>9</v>
      </c>
      <c r="O346" s="1">
        <v>7</v>
      </c>
      <c r="P346" s="1">
        <v>4</v>
      </c>
      <c r="Q346" s="1">
        <f t="shared" si="67"/>
        <v>30</v>
      </c>
      <c r="R346" s="12">
        <f t="shared" si="74"/>
        <v>0.8571428571428571</v>
      </c>
      <c r="S346" s="1">
        <v>5</v>
      </c>
      <c r="T346" s="1">
        <v>4</v>
      </c>
      <c r="U346" s="1">
        <f t="shared" si="68"/>
        <v>9</v>
      </c>
      <c r="V346" s="12">
        <f t="shared" si="75"/>
        <v>0.6</v>
      </c>
      <c r="W346" s="1">
        <v>4</v>
      </c>
      <c r="X346" s="1">
        <v>3</v>
      </c>
      <c r="Y346" s="1">
        <v>3</v>
      </c>
      <c r="Z346" s="1">
        <f t="shared" si="69"/>
        <v>10</v>
      </c>
      <c r="AA346" s="12">
        <f t="shared" si="76"/>
        <v>0.66666666666666663</v>
      </c>
      <c r="AB346" s="2" t="s">
        <v>136</v>
      </c>
    </row>
    <row r="347" spans="1:28" x14ac:dyDescent="0.25">
      <c r="A347" s="1" t="s">
        <v>1664</v>
      </c>
      <c r="B347" s="1" t="s">
        <v>35</v>
      </c>
      <c r="C347" s="1" t="s">
        <v>36</v>
      </c>
      <c r="D347" s="1">
        <v>19</v>
      </c>
      <c r="E347" s="1">
        <v>1</v>
      </c>
      <c r="F347" s="1">
        <v>4</v>
      </c>
      <c r="G347" s="1">
        <v>10</v>
      </c>
      <c r="H347" s="1">
        <v>5</v>
      </c>
      <c r="I347" s="1">
        <v>8</v>
      </c>
      <c r="J347" s="1">
        <v>4</v>
      </c>
      <c r="K347" s="1">
        <f t="shared" si="66"/>
        <v>27</v>
      </c>
      <c r="L347" s="12">
        <f t="shared" si="73"/>
        <v>0.77142857142857146</v>
      </c>
      <c r="M347" s="1">
        <v>8</v>
      </c>
      <c r="N347" s="1">
        <v>8</v>
      </c>
      <c r="O347" s="1">
        <v>9</v>
      </c>
      <c r="P347" s="1">
        <v>3</v>
      </c>
      <c r="Q347" s="1">
        <f t="shared" si="67"/>
        <v>28</v>
      </c>
      <c r="R347" s="12">
        <f t="shared" si="74"/>
        <v>0.8</v>
      </c>
      <c r="S347" s="1">
        <v>5</v>
      </c>
      <c r="T347" s="1">
        <v>4</v>
      </c>
      <c r="U347" s="1">
        <f t="shared" si="68"/>
        <v>9</v>
      </c>
      <c r="V347" s="12">
        <f t="shared" si="75"/>
        <v>0.6</v>
      </c>
      <c r="W347" s="1">
        <v>4</v>
      </c>
      <c r="X347" s="1">
        <v>4</v>
      </c>
      <c r="Y347" s="1">
        <v>4</v>
      </c>
      <c r="Z347" s="1">
        <f t="shared" si="69"/>
        <v>12</v>
      </c>
      <c r="AA347" s="12">
        <f t="shared" si="76"/>
        <v>0.8</v>
      </c>
      <c r="AB347" s="2" t="s">
        <v>137</v>
      </c>
    </row>
    <row r="348" spans="1:28" x14ac:dyDescent="0.25">
      <c r="A348" s="1" t="s">
        <v>1664</v>
      </c>
      <c r="B348" s="1" t="s">
        <v>35</v>
      </c>
      <c r="C348" s="1" t="s">
        <v>36</v>
      </c>
      <c r="D348" s="1">
        <v>20</v>
      </c>
      <c r="E348" s="1">
        <v>2</v>
      </c>
      <c r="F348" s="1">
        <v>3</v>
      </c>
      <c r="G348" s="1">
        <v>8</v>
      </c>
      <c r="H348" s="1">
        <v>8</v>
      </c>
      <c r="I348" s="1">
        <v>7</v>
      </c>
      <c r="J348" s="1">
        <v>4</v>
      </c>
      <c r="K348" s="1">
        <f t="shared" si="66"/>
        <v>27</v>
      </c>
      <c r="L348" s="12">
        <f t="shared" si="73"/>
        <v>0.77142857142857146</v>
      </c>
      <c r="M348" s="1">
        <v>9</v>
      </c>
      <c r="N348" s="1">
        <v>7</v>
      </c>
      <c r="O348" s="1">
        <v>7</v>
      </c>
      <c r="P348" s="1">
        <v>3</v>
      </c>
      <c r="Q348" s="1">
        <f t="shared" si="67"/>
        <v>26</v>
      </c>
      <c r="R348" s="12">
        <f t="shared" si="74"/>
        <v>0.74285714285714288</v>
      </c>
      <c r="S348" s="1">
        <v>7</v>
      </c>
      <c r="T348" s="1">
        <v>3</v>
      </c>
      <c r="U348" s="1">
        <f t="shared" si="68"/>
        <v>10</v>
      </c>
      <c r="V348" s="12">
        <f t="shared" si="75"/>
        <v>0.66666666666666663</v>
      </c>
      <c r="W348" s="1">
        <v>3</v>
      </c>
      <c r="X348" s="1">
        <v>4</v>
      </c>
      <c r="Y348" s="1">
        <v>3</v>
      </c>
      <c r="Z348" s="1">
        <f t="shared" si="69"/>
        <v>10</v>
      </c>
      <c r="AA348" s="12">
        <f t="shared" si="76"/>
        <v>0.66666666666666663</v>
      </c>
      <c r="AB348" s="2" t="s">
        <v>308</v>
      </c>
    </row>
    <row r="349" spans="1:28" x14ac:dyDescent="0.25">
      <c r="A349" s="1" t="s">
        <v>1664</v>
      </c>
      <c r="B349" s="1" t="s">
        <v>35</v>
      </c>
      <c r="C349" s="1" t="s">
        <v>36</v>
      </c>
      <c r="D349" s="1">
        <v>20</v>
      </c>
      <c r="E349" s="1">
        <v>2</v>
      </c>
      <c r="F349" s="1">
        <v>3</v>
      </c>
      <c r="G349" s="1">
        <v>7</v>
      </c>
      <c r="H349" s="1">
        <v>9</v>
      </c>
      <c r="I349" s="1">
        <v>8</v>
      </c>
      <c r="J349" s="1">
        <v>4</v>
      </c>
      <c r="K349" s="1">
        <f t="shared" si="66"/>
        <v>28</v>
      </c>
      <c r="L349" s="12">
        <f t="shared" si="73"/>
        <v>0.8</v>
      </c>
      <c r="M349" s="1">
        <v>7</v>
      </c>
      <c r="N349" s="1">
        <v>7</v>
      </c>
      <c r="O349" s="1">
        <v>7</v>
      </c>
      <c r="P349" s="1">
        <v>4</v>
      </c>
      <c r="Q349" s="1">
        <f t="shared" si="67"/>
        <v>25</v>
      </c>
      <c r="R349" s="12">
        <f t="shared" si="74"/>
        <v>0.7142857142857143</v>
      </c>
      <c r="S349" s="1">
        <v>7</v>
      </c>
      <c r="T349" s="1">
        <v>4</v>
      </c>
      <c r="U349" s="1">
        <f t="shared" si="68"/>
        <v>11</v>
      </c>
      <c r="V349" s="12">
        <f t="shared" si="75"/>
        <v>0.73333333333333328</v>
      </c>
      <c r="W349" s="1">
        <v>3</v>
      </c>
      <c r="X349" s="1">
        <v>4</v>
      </c>
      <c r="Y349" s="1">
        <v>4</v>
      </c>
      <c r="Z349" s="1">
        <f t="shared" si="69"/>
        <v>11</v>
      </c>
      <c r="AA349" s="12">
        <f t="shared" si="76"/>
        <v>0.73333333333333328</v>
      </c>
      <c r="AB349" s="2" t="s">
        <v>309</v>
      </c>
    </row>
    <row r="350" spans="1:28" x14ac:dyDescent="0.25">
      <c r="A350" s="1" t="s">
        <v>1664</v>
      </c>
      <c r="B350" s="1" t="s">
        <v>35</v>
      </c>
      <c r="C350" s="1" t="s">
        <v>36</v>
      </c>
      <c r="D350" s="1">
        <v>20</v>
      </c>
      <c r="E350" s="1">
        <v>2</v>
      </c>
      <c r="F350" s="1">
        <v>3</v>
      </c>
      <c r="G350" s="1">
        <v>6</v>
      </c>
      <c r="H350" s="1">
        <v>5</v>
      </c>
      <c r="I350" s="1">
        <v>5</v>
      </c>
      <c r="J350" s="1">
        <v>2</v>
      </c>
      <c r="K350" s="1">
        <f t="shared" si="66"/>
        <v>18</v>
      </c>
      <c r="L350" s="12">
        <f t="shared" si="73"/>
        <v>0.51428571428571423</v>
      </c>
      <c r="M350" s="1">
        <v>6</v>
      </c>
      <c r="N350" s="1">
        <v>6</v>
      </c>
      <c r="O350" s="1">
        <v>6</v>
      </c>
      <c r="P350" s="1">
        <v>3</v>
      </c>
      <c r="Q350" s="1">
        <f t="shared" si="67"/>
        <v>21</v>
      </c>
      <c r="R350" s="12">
        <f t="shared" si="74"/>
        <v>0.6</v>
      </c>
      <c r="S350" s="1">
        <v>6</v>
      </c>
      <c r="T350" s="1">
        <v>4</v>
      </c>
      <c r="U350" s="1">
        <f t="shared" si="68"/>
        <v>10</v>
      </c>
      <c r="V350" s="12">
        <f t="shared" si="75"/>
        <v>0.66666666666666663</v>
      </c>
      <c r="W350" s="1">
        <v>3</v>
      </c>
      <c r="X350" s="1">
        <v>3</v>
      </c>
      <c r="Y350" s="1">
        <v>4</v>
      </c>
      <c r="Z350" s="1">
        <f t="shared" si="69"/>
        <v>10</v>
      </c>
      <c r="AA350" s="12">
        <f t="shared" si="76"/>
        <v>0.66666666666666663</v>
      </c>
      <c r="AB350" s="2" t="s">
        <v>310</v>
      </c>
    </row>
    <row r="351" spans="1:28" x14ac:dyDescent="0.25">
      <c r="A351" s="1" t="s">
        <v>1664</v>
      </c>
      <c r="B351" s="1" t="s">
        <v>35</v>
      </c>
      <c r="C351" s="1" t="s">
        <v>36</v>
      </c>
      <c r="D351" s="1">
        <v>20</v>
      </c>
      <c r="E351" s="1">
        <v>2</v>
      </c>
      <c r="F351" s="1">
        <v>3</v>
      </c>
      <c r="G351" s="1">
        <v>7</v>
      </c>
      <c r="H351" s="1">
        <v>6</v>
      </c>
      <c r="I351" s="1">
        <v>7</v>
      </c>
      <c r="J351" s="1">
        <v>3</v>
      </c>
      <c r="K351" s="1">
        <f t="shared" si="66"/>
        <v>23</v>
      </c>
      <c r="L351" s="12">
        <f t="shared" si="73"/>
        <v>0.65714285714285714</v>
      </c>
      <c r="M351" s="1">
        <v>6</v>
      </c>
      <c r="N351" s="1">
        <v>6</v>
      </c>
      <c r="O351" s="1">
        <v>7</v>
      </c>
      <c r="P351" s="1">
        <v>4</v>
      </c>
      <c r="Q351" s="1">
        <f t="shared" si="67"/>
        <v>23</v>
      </c>
      <c r="R351" s="12">
        <f t="shared" si="74"/>
        <v>0.65714285714285714</v>
      </c>
      <c r="S351" s="1">
        <v>8</v>
      </c>
      <c r="T351" s="1">
        <v>4</v>
      </c>
      <c r="U351" s="1">
        <f t="shared" si="68"/>
        <v>12</v>
      </c>
      <c r="V351" s="12">
        <f t="shared" si="75"/>
        <v>0.8</v>
      </c>
      <c r="W351" s="1">
        <v>4</v>
      </c>
      <c r="X351" s="1">
        <v>4</v>
      </c>
      <c r="Y351" s="1">
        <v>4</v>
      </c>
      <c r="Z351" s="1">
        <f t="shared" si="69"/>
        <v>12</v>
      </c>
      <c r="AA351" s="12">
        <f t="shared" si="76"/>
        <v>0.8</v>
      </c>
      <c r="AB351" s="2" t="s">
        <v>311</v>
      </c>
    </row>
    <row r="352" spans="1:28" x14ac:dyDescent="0.25">
      <c r="A352" s="1" t="s">
        <v>1664</v>
      </c>
      <c r="B352" s="1" t="s">
        <v>35</v>
      </c>
      <c r="C352" s="1" t="s">
        <v>36</v>
      </c>
      <c r="D352" s="1">
        <v>20</v>
      </c>
      <c r="E352" s="1">
        <v>2</v>
      </c>
      <c r="F352" s="1">
        <v>3</v>
      </c>
      <c r="G352" s="1">
        <v>7</v>
      </c>
      <c r="H352" s="1">
        <v>8</v>
      </c>
      <c r="I352" s="1">
        <v>7</v>
      </c>
      <c r="J352" s="1">
        <v>4</v>
      </c>
      <c r="K352" s="1">
        <f t="shared" si="66"/>
        <v>26</v>
      </c>
      <c r="L352" s="12">
        <f t="shared" si="73"/>
        <v>0.74285714285714288</v>
      </c>
      <c r="M352" s="1">
        <v>7</v>
      </c>
      <c r="N352" s="1">
        <v>8</v>
      </c>
      <c r="O352" s="1">
        <v>7</v>
      </c>
      <c r="P352" s="1">
        <v>3</v>
      </c>
      <c r="Q352" s="1">
        <f t="shared" si="67"/>
        <v>25</v>
      </c>
      <c r="R352" s="12">
        <f t="shared" si="74"/>
        <v>0.7142857142857143</v>
      </c>
      <c r="S352" s="1">
        <v>7</v>
      </c>
      <c r="T352" s="1">
        <v>4</v>
      </c>
      <c r="U352" s="1">
        <f t="shared" si="68"/>
        <v>11</v>
      </c>
      <c r="V352" s="12">
        <f t="shared" si="75"/>
        <v>0.73333333333333328</v>
      </c>
      <c r="W352" s="1">
        <v>4</v>
      </c>
      <c r="X352" s="1">
        <v>3</v>
      </c>
      <c r="Y352" s="1">
        <v>4</v>
      </c>
      <c r="Z352" s="1">
        <f t="shared" si="69"/>
        <v>11</v>
      </c>
      <c r="AA352" s="12">
        <f t="shared" si="76"/>
        <v>0.73333333333333328</v>
      </c>
      <c r="AB352" s="2" t="s">
        <v>312</v>
      </c>
    </row>
    <row r="353" spans="1:28" x14ac:dyDescent="0.25">
      <c r="A353" s="1" t="s">
        <v>1664</v>
      </c>
      <c r="B353" s="1" t="s">
        <v>35</v>
      </c>
      <c r="C353" s="1" t="s">
        <v>36</v>
      </c>
      <c r="D353" s="1">
        <v>20</v>
      </c>
      <c r="E353" s="1">
        <v>2</v>
      </c>
      <c r="F353" s="1">
        <v>3</v>
      </c>
      <c r="G353" s="1">
        <v>9</v>
      </c>
      <c r="H353" s="1">
        <v>7</v>
      </c>
      <c r="I353" s="1">
        <v>8</v>
      </c>
      <c r="J353" s="1">
        <v>4</v>
      </c>
      <c r="K353" s="1">
        <f t="shared" si="66"/>
        <v>28</v>
      </c>
      <c r="L353" s="12">
        <f t="shared" si="73"/>
        <v>0.8</v>
      </c>
      <c r="M353" s="1">
        <v>9</v>
      </c>
      <c r="N353" s="1">
        <v>8</v>
      </c>
      <c r="O353" s="1">
        <v>8</v>
      </c>
      <c r="P353" s="1">
        <v>4</v>
      </c>
      <c r="Q353" s="1">
        <f t="shared" si="67"/>
        <v>29</v>
      </c>
      <c r="R353" s="12">
        <f t="shared" si="74"/>
        <v>0.82857142857142863</v>
      </c>
      <c r="S353" s="1">
        <v>7</v>
      </c>
      <c r="T353" s="1">
        <v>2</v>
      </c>
      <c r="U353" s="1">
        <f t="shared" si="68"/>
        <v>9</v>
      </c>
      <c r="V353" s="12">
        <f t="shared" si="75"/>
        <v>0.6</v>
      </c>
      <c r="W353" s="1">
        <v>3</v>
      </c>
      <c r="X353" s="1">
        <v>3</v>
      </c>
      <c r="Y353" s="1">
        <v>2</v>
      </c>
      <c r="Z353" s="1">
        <f t="shared" si="69"/>
        <v>8</v>
      </c>
      <c r="AA353" s="12">
        <f t="shared" si="76"/>
        <v>0.53333333333333333</v>
      </c>
      <c r="AB353" s="2" t="s">
        <v>313</v>
      </c>
    </row>
    <row r="354" spans="1:28" x14ac:dyDescent="0.25">
      <c r="A354" s="1" t="s">
        <v>1664</v>
      </c>
      <c r="B354" s="1" t="s">
        <v>35</v>
      </c>
      <c r="C354" s="1" t="s">
        <v>36</v>
      </c>
      <c r="D354" s="1">
        <v>20</v>
      </c>
      <c r="E354" s="1">
        <v>2</v>
      </c>
      <c r="F354" s="1">
        <v>3</v>
      </c>
      <c r="G354" s="1">
        <v>8</v>
      </c>
      <c r="H354" s="1">
        <v>8</v>
      </c>
      <c r="I354" s="1">
        <v>7</v>
      </c>
      <c r="J354" s="1">
        <v>3</v>
      </c>
      <c r="K354" s="1">
        <f t="shared" si="66"/>
        <v>26</v>
      </c>
      <c r="L354" s="12">
        <f t="shared" si="73"/>
        <v>0.74285714285714288</v>
      </c>
      <c r="M354" s="1">
        <v>7</v>
      </c>
      <c r="N354" s="1">
        <v>8</v>
      </c>
      <c r="O354" s="1">
        <v>7</v>
      </c>
      <c r="P354" s="1">
        <v>4</v>
      </c>
      <c r="Q354" s="1">
        <f t="shared" si="67"/>
        <v>26</v>
      </c>
      <c r="R354" s="12">
        <f t="shared" si="74"/>
        <v>0.74285714285714288</v>
      </c>
      <c r="S354" s="1">
        <v>8</v>
      </c>
      <c r="T354" s="1">
        <v>4</v>
      </c>
      <c r="U354" s="1">
        <f t="shared" si="68"/>
        <v>12</v>
      </c>
      <c r="V354" s="12">
        <f t="shared" si="75"/>
        <v>0.8</v>
      </c>
      <c r="W354" s="1">
        <v>3</v>
      </c>
      <c r="X354" s="1">
        <v>3</v>
      </c>
      <c r="Y354" s="1">
        <v>4</v>
      </c>
      <c r="Z354" s="1">
        <f t="shared" si="69"/>
        <v>10</v>
      </c>
      <c r="AA354" s="12">
        <f t="shared" si="76"/>
        <v>0.66666666666666663</v>
      </c>
      <c r="AB354" s="2" t="s">
        <v>314</v>
      </c>
    </row>
    <row r="355" spans="1:28" x14ac:dyDescent="0.25">
      <c r="A355" s="1" t="s">
        <v>1664</v>
      </c>
      <c r="B355" s="1" t="s">
        <v>35</v>
      </c>
      <c r="C355" s="1" t="s">
        <v>36</v>
      </c>
      <c r="D355" s="1">
        <v>20</v>
      </c>
      <c r="E355" s="1">
        <v>2</v>
      </c>
      <c r="F355" s="1">
        <v>3</v>
      </c>
      <c r="G355" s="1">
        <v>9</v>
      </c>
      <c r="H355" s="1">
        <v>8</v>
      </c>
      <c r="I355" s="1">
        <v>7</v>
      </c>
      <c r="J355" s="1">
        <v>4</v>
      </c>
      <c r="K355" s="1">
        <f t="shared" si="66"/>
        <v>28</v>
      </c>
      <c r="L355" s="12">
        <f t="shared" si="73"/>
        <v>0.8</v>
      </c>
      <c r="M355" s="1">
        <v>7</v>
      </c>
      <c r="N355" s="1">
        <v>8</v>
      </c>
      <c r="O355" s="1">
        <v>8</v>
      </c>
      <c r="P355" s="1">
        <v>4</v>
      </c>
      <c r="Q355" s="1">
        <f t="shared" si="67"/>
        <v>27</v>
      </c>
      <c r="R355" s="12">
        <f t="shared" si="74"/>
        <v>0.77142857142857146</v>
      </c>
      <c r="S355" s="1">
        <v>8</v>
      </c>
      <c r="T355" s="1">
        <v>4</v>
      </c>
      <c r="U355" s="1">
        <f t="shared" si="68"/>
        <v>12</v>
      </c>
      <c r="V355" s="12">
        <f t="shared" si="75"/>
        <v>0.8</v>
      </c>
      <c r="W355" s="1">
        <v>3</v>
      </c>
      <c r="X355" s="1">
        <v>3</v>
      </c>
      <c r="Y355" s="1">
        <v>3</v>
      </c>
      <c r="Z355" s="1">
        <f t="shared" si="69"/>
        <v>9</v>
      </c>
      <c r="AA355" s="12">
        <f t="shared" si="76"/>
        <v>0.6</v>
      </c>
      <c r="AB355" s="2" t="s">
        <v>315</v>
      </c>
    </row>
    <row r="356" spans="1:28" x14ac:dyDescent="0.25">
      <c r="A356" s="1" t="s">
        <v>1665</v>
      </c>
      <c r="B356" s="1" t="s">
        <v>576</v>
      </c>
      <c r="C356" s="1" t="s">
        <v>36</v>
      </c>
      <c r="D356" s="1">
        <v>26</v>
      </c>
      <c r="E356" s="1">
        <v>1</v>
      </c>
      <c r="F356" s="1">
        <v>1</v>
      </c>
      <c r="G356" s="1">
        <v>9</v>
      </c>
      <c r="H356" s="1">
        <v>10</v>
      </c>
      <c r="I356" s="1">
        <v>8</v>
      </c>
      <c r="J356" s="1">
        <v>4</v>
      </c>
      <c r="K356" s="1">
        <f t="shared" si="66"/>
        <v>31</v>
      </c>
      <c r="L356" s="12">
        <f t="shared" si="73"/>
        <v>0.88571428571428568</v>
      </c>
      <c r="M356" s="1">
        <v>9</v>
      </c>
      <c r="N356" s="1">
        <v>7</v>
      </c>
      <c r="O356" s="1">
        <v>10</v>
      </c>
      <c r="P356" s="1">
        <v>4</v>
      </c>
      <c r="Q356" s="1">
        <f t="shared" si="67"/>
        <v>30</v>
      </c>
      <c r="R356" s="12">
        <f t="shared" si="74"/>
        <v>0.8571428571428571</v>
      </c>
      <c r="S356" s="1">
        <v>10</v>
      </c>
      <c r="T356" s="1">
        <v>1</v>
      </c>
      <c r="U356" s="1">
        <f t="shared" si="68"/>
        <v>11</v>
      </c>
      <c r="V356" s="12">
        <f t="shared" si="75"/>
        <v>0.73333333333333328</v>
      </c>
      <c r="W356" s="1">
        <v>5</v>
      </c>
      <c r="X356" s="1">
        <v>5</v>
      </c>
      <c r="Y356" s="1">
        <v>4</v>
      </c>
      <c r="Z356" s="1">
        <f t="shared" si="69"/>
        <v>14</v>
      </c>
      <c r="AA356" s="12">
        <f t="shared" si="76"/>
        <v>0.93333333333333335</v>
      </c>
      <c r="AB356" s="2" t="s">
        <v>584</v>
      </c>
    </row>
    <row r="357" spans="1:28" x14ac:dyDescent="0.25">
      <c r="A357" s="1" t="s">
        <v>1665</v>
      </c>
      <c r="B357" s="1" t="s">
        <v>576</v>
      </c>
      <c r="C357" s="1" t="s">
        <v>36</v>
      </c>
      <c r="D357" s="1">
        <v>26</v>
      </c>
      <c r="E357" s="1">
        <v>1</v>
      </c>
      <c r="F357" s="1">
        <v>1</v>
      </c>
      <c r="G357" s="1">
        <v>9</v>
      </c>
      <c r="H357" s="1">
        <v>7</v>
      </c>
      <c r="I357" s="1">
        <v>8</v>
      </c>
      <c r="J357" s="1">
        <v>3</v>
      </c>
      <c r="K357" s="1">
        <f t="shared" si="66"/>
        <v>27</v>
      </c>
      <c r="L357" s="12">
        <f t="shared" si="73"/>
        <v>0.77142857142857146</v>
      </c>
      <c r="M357" s="1">
        <v>9</v>
      </c>
      <c r="N357" s="1">
        <v>8</v>
      </c>
      <c r="O357" s="1">
        <v>8</v>
      </c>
      <c r="P357" s="1">
        <v>2</v>
      </c>
      <c r="Q357" s="1">
        <f t="shared" si="67"/>
        <v>27</v>
      </c>
      <c r="R357" s="12">
        <f t="shared" si="74"/>
        <v>0.77142857142857146</v>
      </c>
      <c r="S357" s="1">
        <v>10</v>
      </c>
      <c r="T357" s="1">
        <v>5</v>
      </c>
      <c r="U357" s="1">
        <f t="shared" si="68"/>
        <v>15</v>
      </c>
      <c r="V357" s="12">
        <f t="shared" si="75"/>
        <v>1</v>
      </c>
      <c r="W357" s="1">
        <v>5</v>
      </c>
      <c r="X357" s="1">
        <v>3</v>
      </c>
      <c r="Y357" s="1">
        <v>5</v>
      </c>
      <c r="Z357" s="1">
        <f t="shared" si="69"/>
        <v>13</v>
      </c>
      <c r="AA357" s="12">
        <f t="shared" si="76"/>
        <v>0.8666666666666667</v>
      </c>
      <c r="AB357" s="2" t="s">
        <v>585</v>
      </c>
    </row>
    <row r="358" spans="1:28" x14ac:dyDescent="0.25">
      <c r="A358" s="1" t="s">
        <v>1665</v>
      </c>
      <c r="B358" s="1" t="s">
        <v>576</v>
      </c>
      <c r="C358" s="1" t="s">
        <v>36</v>
      </c>
      <c r="D358" s="1">
        <v>26</v>
      </c>
      <c r="E358" s="1">
        <v>1</v>
      </c>
      <c r="F358" s="1">
        <v>1</v>
      </c>
      <c r="G358" s="1">
        <v>10</v>
      </c>
      <c r="H358" s="1">
        <v>10</v>
      </c>
      <c r="I358" s="1">
        <v>9</v>
      </c>
      <c r="J358" s="1">
        <v>5</v>
      </c>
      <c r="K358" s="1">
        <f t="shared" si="66"/>
        <v>34</v>
      </c>
      <c r="L358" s="12">
        <f t="shared" si="73"/>
        <v>0.97142857142857142</v>
      </c>
      <c r="M358" s="1">
        <v>10</v>
      </c>
      <c r="N358" s="1">
        <v>7</v>
      </c>
      <c r="O358" s="1">
        <v>8</v>
      </c>
      <c r="P358" s="1">
        <v>4</v>
      </c>
      <c r="Q358" s="1">
        <f t="shared" si="67"/>
        <v>29</v>
      </c>
      <c r="R358" s="12">
        <f t="shared" si="74"/>
        <v>0.82857142857142863</v>
      </c>
      <c r="S358" s="1">
        <v>10</v>
      </c>
      <c r="T358" s="1">
        <v>5</v>
      </c>
      <c r="U358" s="1">
        <f t="shared" si="68"/>
        <v>15</v>
      </c>
      <c r="V358" s="12">
        <f t="shared" si="75"/>
        <v>1</v>
      </c>
      <c r="W358" s="1">
        <v>5</v>
      </c>
      <c r="X358" s="1">
        <v>5</v>
      </c>
      <c r="Y358" s="1">
        <v>5</v>
      </c>
      <c r="Z358" s="1">
        <f t="shared" si="69"/>
        <v>15</v>
      </c>
      <c r="AA358" s="12">
        <f t="shared" si="76"/>
        <v>1</v>
      </c>
      <c r="AB358" s="2" t="s">
        <v>586</v>
      </c>
    </row>
    <row r="359" spans="1:28" x14ac:dyDescent="0.25">
      <c r="A359" s="1" t="s">
        <v>1665</v>
      </c>
      <c r="B359" s="1" t="s">
        <v>576</v>
      </c>
      <c r="C359" s="1" t="s">
        <v>36</v>
      </c>
      <c r="D359" s="1">
        <v>26</v>
      </c>
      <c r="E359" s="1">
        <v>1</v>
      </c>
      <c r="F359" s="1">
        <v>1</v>
      </c>
      <c r="G359" s="1">
        <v>8</v>
      </c>
      <c r="H359" s="1">
        <v>6</v>
      </c>
      <c r="I359" s="1">
        <v>7</v>
      </c>
      <c r="J359" s="1">
        <v>2</v>
      </c>
      <c r="K359" s="1">
        <f t="shared" si="66"/>
        <v>23</v>
      </c>
      <c r="L359" s="12">
        <f t="shared" si="73"/>
        <v>0.65714285714285714</v>
      </c>
      <c r="M359" s="1">
        <v>10</v>
      </c>
      <c r="N359" s="1">
        <v>9</v>
      </c>
      <c r="O359" s="1">
        <v>10</v>
      </c>
      <c r="P359" s="1">
        <v>5</v>
      </c>
      <c r="Q359" s="1">
        <f t="shared" si="67"/>
        <v>34</v>
      </c>
      <c r="R359" s="12">
        <f t="shared" si="74"/>
        <v>0.97142857142857142</v>
      </c>
      <c r="S359" s="1">
        <v>9</v>
      </c>
      <c r="T359" s="1">
        <v>5</v>
      </c>
      <c r="U359" s="1">
        <f t="shared" si="68"/>
        <v>14</v>
      </c>
      <c r="V359" s="12">
        <f t="shared" si="75"/>
        <v>0.93333333333333335</v>
      </c>
      <c r="W359" s="1">
        <v>5</v>
      </c>
      <c r="X359" s="1">
        <v>5</v>
      </c>
      <c r="Y359" s="1">
        <v>3</v>
      </c>
      <c r="Z359" s="1">
        <f t="shared" si="69"/>
        <v>13</v>
      </c>
      <c r="AA359" s="12">
        <f t="shared" si="76"/>
        <v>0.8666666666666667</v>
      </c>
      <c r="AB359" s="2" t="s">
        <v>587</v>
      </c>
    </row>
    <row r="360" spans="1:28" x14ac:dyDescent="0.25">
      <c r="A360" s="1" t="s">
        <v>1665</v>
      </c>
      <c r="B360" s="1" t="s">
        <v>576</v>
      </c>
      <c r="C360" s="1" t="s">
        <v>36</v>
      </c>
      <c r="D360" s="1">
        <v>26</v>
      </c>
      <c r="E360" s="1">
        <v>1</v>
      </c>
      <c r="F360" s="1">
        <v>1</v>
      </c>
      <c r="G360" s="1">
        <v>10</v>
      </c>
      <c r="H360" s="1">
        <v>9</v>
      </c>
      <c r="I360" s="1">
        <v>8</v>
      </c>
      <c r="J360" s="1">
        <v>5</v>
      </c>
      <c r="K360" s="1">
        <f t="shared" si="66"/>
        <v>32</v>
      </c>
      <c r="L360" s="12">
        <f t="shared" si="73"/>
        <v>0.91428571428571426</v>
      </c>
      <c r="M360" s="1">
        <v>9</v>
      </c>
      <c r="N360" s="1">
        <v>6</v>
      </c>
      <c r="O360" s="1">
        <v>10</v>
      </c>
      <c r="P360" s="1">
        <v>5</v>
      </c>
      <c r="Q360" s="1">
        <f t="shared" si="67"/>
        <v>30</v>
      </c>
      <c r="R360" s="12">
        <f t="shared" si="74"/>
        <v>0.8571428571428571</v>
      </c>
      <c r="S360" s="1">
        <v>10</v>
      </c>
      <c r="T360" s="1">
        <v>5</v>
      </c>
      <c r="U360" s="1">
        <f t="shared" si="68"/>
        <v>15</v>
      </c>
      <c r="V360" s="12">
        <f t="shared" si="75"/>
        <v>1</v>
      </c>
      <c r="W360" s="1">
        <v>5</v>
      </c>
      <c r="X360" s="1">
        <v>2</v>
      </c>
      <c r="Y360" s="1">
        <v>2</v>
      </c>
      <c r="Z360" s="1">
        <f t="shared" si="69"/>
        <v>9</v>
      </c>
      <c r="AA360" s="12">
        <f t="shared" si="76"/>
        <v>0.6</v>
      </c>
      <c r="AB360" s="2" t="s">
        <v>588</v>
      </c>
    </row>
    <row r="361" spans="1:28" x14ac:dyDescent="0.25">
      <c r="A361" s="1" t="s">
        <v>1665</v>
      </c>
      <c r="B361" s="1" t="s">
        <v>576</v>
      </c>
      <c r="C361" s="1" t="s">
        <v>36</v>
      </c>
      <c r="D361" s="1">
        <v>26</v>
      </c>
      <c r="E361" s="1">
        <v>1</v>
      </c>
      <c r="F361" s="1">
        <v>1</v>
      </c>
      <c r="G361" s="1">
        <v>10</v>
      </c>
      <c r="H361" s="1">
        <v>9</v>
      </c>
      <c r="I361" s="1">
        <v>10</v>
      </c>
      <c r="J361" s="1">
        <v>5</v>
      </c>
      <c r="K361" s="1">
        <f t="shared" si="66"/>
        <v>34</v>
      </c>
      <c r="L361" s="12">
        <f t="shared" si="73"/>
        <v>0.97142857142857142</v>
      </c>
      <c r="M361" s="1">
        <v>8</v>
      </c>
      <c r="N361" s="1">
        <v>6</v>
      </c>
      <c r="O361" s="1">
        <v>10</v>
      </c>
      <c r="P361" s="1">
        <v>3</v>
      </c>
      <c r="Q361" s="1">
        <f t="shared" si="67"/>
        <v>27</v>
      </c>
      <c r="R361" s="12">
        <f t="shared" si="74"/>
        <v>0.77142857142857146</v>
      </c>
      <c r="S361" s="1">
        <v>8</v>
      </c>
      <c r="T361" s="1">
        <v>5</v>
      </c>
      <c r="U361" s="1">
        <f t="shared" si="68"/>
        <v>13</v>
      </c>
      <c r="V361" s="12">
        <f t="shared" si="75"/>
        <v>0.8666666666666667</v>
      </c>
      <c r="W361" s="1">
        <v>5</v>
      </c>
      <c r="X361" s="1">
        <v>3</v>
      </c>
      <c r="Y361" s="1">
        <v>5</v>
      </c>
      <c r="Z361" s="1">
        <f t="shared" si="69"/>
        <v>13</v>
      </c>
      <c r="AA361" s="12">
        <f t="shared" si="76"/>
        <v>0.8666666666666667</v>
      </c>
      <c r="AB361" s="2" t="s">
        <v>589</v>
      </c>
    </row>
    <row r="362" spans="1:28" x14ac:dyDescent="0.25">
      <c r="A362" s="1" t="s">
        <v>1666</v>
      </c>
      <c r="B362" s="1" t="s">
        <v>35</v>
      </c>
      <c r="C362" s="1" t="s">
        <v>36</v>
      </c>
      <c r="D362" s="1">
        <v>20</v>
      </c>
      <c r="E362" s="1">
        <v>2</v>
      </c>
      <c r="F362" s="1">
        <v>3</v>
      </c>
      <c r="G362" s="1">
        <v>7</v>
      </c>
      <c r="H362" s="1">
        <v>5</v>
      </c>
      <c r="I362" s="1">
        <v>7</v>
      </c>
      <c r="J362" s="1">
        <v>2</v>
      </c>
      <c r="K362" s="1">
        <f t="shared" si="66"/>
        <v>21</v>
      </c>
      <c r="L362" s="12">
        <f t="shared" si="73"/>
        <v>0.6</v>
      </c>
      <c r="M362" s="1">
        <v>7</v>
      </c>
      <c r="N362" s="1">
        <v>8</v>
      </c>
      <c r="O362" s="1">
        <v>6</v>
      </c>
      <c r="P362" s="1">
        <v>3</v>
      </c>
      <c r="Q362" s="1">
        <f t="shared" si="67"/>
        <v>24</v>
      </c>
      <c r="R362" s="12">
        <f t="shared" si="74"/>
        <v>0.68571428571428572</v>
      </c>
      <c r="S362" s="1">
        <v>7</v>
      </c>
      <c r="T362" s="1">
        <v>3</v>
      </c>
      <c r="U362" s="1">
        <f t="shared" si="68"/>
        <v>10</v>
      </c>
      <c r="V362" s="12">
        <f t="shared" si="75"/>
        <v>0.66666666666666663</v>
      </c>
      <c r="W362" s="1">
        <v>3</v>
      </c>
      <c r="X362" s="1">
        <v>2</v>
      </c>
      <c r="Y362" s="1">
        <v>2</v>
      </c>
      <c r="Z362" s="1">
        <f t="shared" si="69"/>
        <v>7</v>
      </c>
      <c r="AA362" s="12">
        <f t="shared" si="76"/>
        <v>0.46666666666666667</v>
      </c>
      <c r="AB362" s="2" t="s">
        <v>317</v>
      </c>
    </row>
    <row r="363" spans="1:28" x14ac:dyDescent="0.25">
      <c r="A363" s="1" t="s">
        <v>1666</v>
      </c>
      <c r="B363" s="1" t="s">
        <v>35</v>
      </c>
      <c r="C363" s="1" t="s">
        <v>36</v>
      </c>
      <c r="D363" s="1">
        <v>20</v>
      </c>
      <c r="E363" s="1">
        <v>2</v>
      </c>
      <c r="F363" s="1">
        <v>3</v>
      </c>
      <c r="G363" s="1">
        <v>5</v>
      </c>
      <c r="H363" s="1">
        <v>8</v>
      </c>
      <c r="I363" s="1">
        <v>6</v>
      </c>
      <c r="J363" s="1">
        <v>4</v>
      </c>
      <c r="K363" s="1">
        <f t="shared" si="66"/>
        <v>23</v>
      </c>
      <c r="L363" s="12">
        <f t="shared" si="73"/>
        <v>0.65714285714285714</v>
      </c>
      <c r="M363" s="1">
        <v>6</v>
      </c>
      <c r="N363" s="1">
        <v>6</v>
      </c>
      <c r="O363" s="1">
        <v>6</v>
      </c>
      <c r="P363" s="1">
        <v>3</v>
      </c>
      <c r="Q363" s="1">
        <f t="shared" si="67"/>
        <v>21</v>
      </c>
      <c r="R363" s="12">
        <f t="shared" si="74"/>
        <v>0.6</v>
      </c>
      <c r="S363" s="1">
        <v>7</v>
      </c>
      <c r="T363" s="1">
        <v>3</v>
      </c>
      <c r="U363" s="1">
        <f t="shared" si="68"/>
        <v>10</v>
      </c>
      <c r="V363" s="12">
        <f t="shared" si="75"/>
        <v>0.66666666666666663</v>
      </c>
      <c r="W363" s="1">
        <v>4</v>
      </c>
      <c r="X363" s="1">
        <v>3</v>
      </c>
      <c r="Y363" s="1">
        <v>3</v>
      </c>
      <c r="Z363" s="1">
        <f t="shared" si="69"/>
        <v>10</v>
      </c>
      <c r="AA363" s="12">
        <f t="shared" si="76"/>
        <v>0.66666666666666663</v>
      </c>
      <c r="AB363" s="2" t="s">
        <v>318</v>
      </c>
    </row>
    <row r="364" spans="1:28" x14ac:dyDescent="0.25">
      <c r="A364" s="1" t="s">
        <v>1666</v>
      </c>
      <c r="B364" s="1" t="s">
        <v>35</v>
      </c>
      <c r="C364" s="1" t="s">
        <v>36</v>
      </c>
      <c r="D364" s="1">
        <v>20</v>
      </c>
      <c r="E364" s="1">
        <v>2</v>
      </c>
      <c r="F364" s="1">
        <v>3</v>
      </c>
      <c r="G364" s="1">
        <v>4</v>
      </c>
      <c r="H364" s="1">
        <v>6</v>
      </c>
      <c r="I364" s="1">
        <v>4</v>
      </c>
      <c r="J364" s="1">
        <v>3</v>
      </c>
      <c r="K364" s="1">
        <f t="shared" si="66"/>
        <v>17</v>
      </c>
      <c r="L364" s="12">
        <f t="shared" si="73"/>
        <v>0.48571428571428571</v>
      </c>
      <c r="M364" s="1">
        <v>7</v>
      </c>
      <c r="N364" s="1">
        <v>6</v>
      </c>
      <c r="O364" s="1">
        <v>6</v>
      </c>
      <c r="P364" s="1">
        <v>3</v>
      </c>
      <c r="Q364" s="1">
        <f t="shared" si="67"/>
        <v>22</v>
      </c>
      <c r="R364" s="12">
        <f t="shared" si="74"/>
        <v>0.62857142857142856</v>
      </c>
      <c r="S364" s="1">
        <v>7</v>
      </c>
      <c r="T364" s="1">
        <v>4</v>
      </c>
      <c r="U364" s="1">
        <f t="shared" si="68"/>
        <v>11</v>
      </c>
      <c r="V364" s="12">
        <f t="shared" si="75"/>
        <v>0.73333333333333328</v>
      </c>
      <c r="W364" s="1">
        <v>4</v>
      </c>
      <c r="X364" s="1">
        <v>3</v>
      </c>
      <c r="Y364" s="1">
        <v>3</v>
      </c>
      <c r="Z364" s="1">
        <f t="shared" si="69"/>
        <v>10</v>
      </c>
      <c r="AA364" s="12">
        <f t="shared" si="76"/>
        <v>0.66666666666666663</v>
      </c>
      <c r="AB364" s="2" t="s">
        <v>319</v>
      </c>
    </row>
    <row r="365" spans="1:28" x14ac:dyDescent="0.25">
      <c r="A365" s="1" t="s">
        <v>1666</v>
      </c>
      <c r="B365" s="1" t="s">
        <v>35</v>
      </c>
      <c r="C365" s="1" t="s">
        <v>36</v>
      </c>
      <c r="D365" s="1">
        <v>20</v>
      </c>
      <c r="E365" s="1">
        <v>2</v>
      </c>
      <c r="F365" s="1">
        <v>3</v>
      </c>
      <c r="G365" s="1">
        <v>7</v>
      </c>
      <c r="H365" s="1">
        <v>6</v>
      </c>
      <c r="I365" s="1">
        <v>6</v>
      </c>
      <c r="J365" s="1">
        <v>3</v>
      </c>
      <c r="K365" s="1">
        <f t="shared" si="66"/>
        <v>22</v>
      </c>
      <c r="L365" s="12">
        <f t="shared" si="73"/>
        <v>0.62857142857142856</v>
      </c>
      <c r="M365" s="1">
        <v>8</v>
      </c>
      <c r="N365" s="1">
        <v>8</v>
      </c>
      <c r="O365" s="1">
        <v>8</v>
      </c>
      <c r="P365" s="1">
        <v>4</v>
      </c>
      <c r="Q365" s="1">
        <f t="shared" si="67"/>
        <v>28</v>
      </c>
      <c r="R365" s="12">
        <f t="shared" si="74"/>
        <v>0.8</v>
      </c>
      <c r="S365" s="1">
        <v>8</v>
      </c>
      <c r="T365" s="1">
        <v>4</v>
      </c>
      <c r="U365" s="1">
        <f t="shared" si="68"/>
        <v>12</v>
      </c>
      <c r="V365" s="12">
        <f t="shared" si="75"/>
        <v>0.8</v>
      </c>
      <c r="W365" s="1">
        <v>4</v>
      </c>
      <c r="X365" s="1">
        <v>3</v>
      </c>
      <c r="Y365" s="1">
        <v>3</v>
      </c>
      <c r="Z365" s="1">
        <f t="shared" si="69"/>
        <v>10</v>
      </c>
      <c r="AA365" s="12">
        <f t="shared" si="76"/>
        <v>0.66666666666666663</v>
      </c>
      <c r="AB365" s="2" t="s">
        <v>320</v>
      </c>
    </row>
    <row r="366" spans="1:28" x14ac:dyDescent="0.25">
      <c r="A366" s="1" t="s">
        <v>1666</v>
      </c>
      <c r="B366" s="1" t="s">
        <v>35</v>
      </c>
      <c r="C366" s="1" t="s">
        <v>36</v>
      </c>
      <c r="D366" s="1">
        <v>20</v>
      </c>
      <c r="E366" s="1">
        <v>2</v>
      </c>
      <c r="F366" s="1">
        <v>3</v>
      </c>
      <c r="G366" s="1">
        <v>7</v>
      </c>
      <c r="H366" s="1">
        <v>6</v>
      </c>
      <c r="I366" s="1">
        <v>6</v>
      </c>
      <c r="J366" s="1">
        <v>4</v>
      </c>
      <c r="K366" s="1">
        <f t="shared" si="66"/>
        <v>23</v>
      </c>
      <c r="L366" s="12">
        <f t="shared" si="73"/>
        <v>0.65714285714285714</v>
      </c>
      <c r="M366" s="1">
        <v>7</v>
      </c>
      <c r="N366" s="1">
        <v>6</v>
      </c>
      <c r="O366" s="1">
        <v>6</v>
      </c>
      <c r="P366" s="1">
        <v>3</v>
      </c>
      <c r="Q366" s="1">
        <f t="shared" si="67"/>
        <v>22</v>
      </c>
      <c r="R366" s="12">
        <f t="shared" si="74"/>
        <v>0.62857142857142856</v>
      </c>
      <c r="S366" s="1">
        <v>6</v>
      </c>
      <c r="T366" s="1">
        <v>4</v>
      </c>
      <c r="U366" s="1">
        <f t="shared" si="68"/>
        <v>10</v>
      </c>
      <c r="V366" s="12">
        <f t="shared" si="75"/>
        <v>0.66666666666666663</v>
      </c>
      <c r="W366" s="1">
        <v>4</v>
      </c>
      <c r="X366" s="1">
        <v>4</v>
      </c>
      <c r="Y366" s="1">
        <v>4</v>
      </c>
      <c r="Z366" s="1">
        <f t="shared" si="69"/>
        <v>12</v>
      </c>
      <c r="AA366" s="12">
        <f t="shared" si="76"/>
        <v>0.8</v>
      </c>
      <c r="AB366" s="2" t="s">
        <v>321</v>
      </c>
    </row>
    <row r="367" spans="1:28" x14ac:dyDescent="0.25">
      <c r="A367" s="1" t="s">
        <v>1666</v>
      </c>
      <c r="B367" s="1" t="s">
        <v>35</v>
      </c>
      <c r="C367" s="1" t="s">
        <v>36</v>
      </c>
      <c r="D367" s="1">
        <v>20</v>
      </c>
      <c r="E367" s="1">
        <v>2</v>
      </c>
      <c r="F367" s="1">
        <v>3</v>
      </c>
      <c r="G367" s="1">
        <v>8</v>
      </c>
      <c r="H367" s="1">
        <v>7</v>
      </c>
      <c r="I367" s="1">
        <v>7</v>
      </c>
      <c r="J367" s="1">
        <v>3</v>
      </c>
      <c r="K367" s="1">
        <f t="shared" si="66"/>
        <v>25</v>
      </c>
      <c r="L367" s="12">
        <f t="shared" si="73"/>
        <v>0.7142857142857143</v>
      </c>
      <c r="M367" s="1">
        <v>7</v>
      </c>
      <c r="N367" s="1">
        <v>7</v>
      </c>
      <c r="O367" s="1">
        <v>6</v>
      </c>
      <c r="P367" s="1">
        <v>3</v>
      </c>
      <c r="Q367" s="1">
        <f t="shared" si="67"/>
        <v>23</v>
      </c>
      <c r="R367" s="12">
        <f t="shared" si="74"/>
        <v>0.65714285714285714</v>
      </c>
      <c r="S367" s="1">
        <v>6</v>
      </c>
      <c r="T367" s="1">
        <v>3</v>
      </c>
      <c r="U367" s="1">
        <f t="shared" si="68"/>
        <v>9</v>
      </c>
      <c r="V367" s="12">
        <f t="shared" si="75"/>
        <v>0.6</v>
      </c>
      <c r="W367" s="1">
        <v>4</v>
      </c>
      <c r="X367" s="1">
        <v>2</v>
      </c>
      <c r="Y367" s="1">
        <v>2</v>
      </c>
      <c r="Z367" s="1">
        <f t="shared" si="69"/>
        <v>8</v>
      </c>
      <c r="AA367" s="12">
        <f t="shared" si="76"/>
        <v>0.53333333333333333</v>
      </c>
      <c r="AB367" s="2" t="s">
        <v>322</v>
      </c>
    </row>
    <row r="368" spans="1:28" x14ac:dyDescent="0.25">
      <c r="A368" s="1" t="s">
        <v>1666</v>
      </c>
      <c r="B368" s="1" t="s">
        <v>35</v>
      </c>
      <c r="C368" s="1" t="s">
        <v>36</v>
      </c>
      <c r="D368" s="1">
        <v>20</v>
      </c>
      <c r="E368" s="1">
        <v>2</v>
      </c>
      <c r="F368" s="1">
        <v>3</v>
      </c>
      <c r="G368" s="1">
        <v>7</v>
      </c>
      <c r="H368" s="1">
        <v>6</v>
      </c>
      <c r="I368" s="1">
        <v>6</v>
      </c>
      <c r="J368" s="1">
        <v>3</v>
      </c>
      <c r="K368" s="1">
        <f t="shared" si="66"/>
        <v>22</v>
      </c>
      <c r="L368" s="12">
        <f t="shared" si="73"/>
        <v>0.62857142857142856</v>
      </c>
      <c r="M368" s="1">
        <v>6</v>
      </c>
      <c r="N368" s="1">
        <v>5</v>
      </c>
      <c r="O368" s="1">
        <v>5</v>
      </c>
      <c r="P368" s="1">
        <v>2</v>
      </c>
      <c r="Q368" s="1">
        <f t="shared" si="67"/>
        <v>18</v>
      </c>
      <c r="R368" s="12">
        <f t="shared" si="74"/>
        <v>0.51428571428571423</v>
      </c>
      <c r="S368" s="1">
        <v>2</v>
      </c>
      <c r="T368" s="1">
        <v>2</v>
      </c>
      <c r="U368" s="1">
        <f t="shared" si="68"/>
        <v>4</v>
      </c>
      <c r="V368" s="12">
        <f t="shared" si="75"/>
        <v>0.26666666666666666</v>
      </c>
      <c r="W368" s="1">
        <v>2</v>
      </c>
      <c r="X368" s="1">
        <v>2</v>
      </c>
      <c r="Y368" s="1">
        <v>3</v>
      </c>
      <c r="Z368" s="1">
        <f t="shared" si="69"/>
        <v>7</v>
      </c>
      <c r="AA368" s="12">
        <f t="shared" si="76"/>
        <v>0.46666666666666667</v>
      </c>
      <c r="AB368" s="2" t="s">
        <v>323</v>
      </c>
    </row>
    <row r="369" spans="1:28" x14ac:dyDescent="0.25">
      <c r="A369" s="1" t="s">
        <v>1666</v>
      </c>
      <c r="B369" s="1" t="s">
        <v>35</v>
      </c>
      <c r="C369" s="1" t="s">
        <v>36</v>
      </c>
      <c r="D369" s="1">
        <v>20</v>
      </c>
      <c r="E369" s="1">
        <v>2</v>
      </c>
      <c r="F369" s="1">
        <v>3</v>
      </c>
      <c r="G369" s="1">
        <v>8</v>
      </c>
      <c r="H369" s="1">
        <v>9</v>
      </c>
      <c r="I369" s="1">
        <v>8</v>
      </c>
      <c r="J369" s="1">
        <v>4</v>
      </c>
      <c r="K369" s="1">
        <f t="shared" si="66"/>
        <v>29</v>
      </c>
      <c r="L369" s="12">
        <f t="shared" si="73"/>
        <v>0.82857142857142863</v>
      </c>
      <c r="M369" s="1">
        <v>8</v>
      </c>
      <c r="N369" s="1">
        <v>9</v>
      </c>
      <c r="O369" s="1">
        <v>8</v>
      </c>
      <c r="P369" s="1">
        <v>3</v>
      </c>
      <c r="Q369" s="1">
        <f t="shared" si="67"/>
        <v>28</v>
      </c>
      <c r="R369" s="12">
        <f t="shared" si="74"/>
        <v>0.8</v>
      </c>
      <c r="S369" s="1">
        <v>8</v>
      </c>
      <c r="T369" s="1">
        <v>4</v>
      </c>
      <c r="U369" s="1">
        <f t="shared" si="68"/>
        <v>12</v>
      </c>
      <c r="V369" s="12">
        <f t="shared" si="75"/>
        <v>0.8</v>
      </c>
      <c r="W369" s="1">
        <v>2</v>
      </c>
      <c r="X369" s="1">
        <v>2</v>
      </c>
      <c r="Y369" s="1">
        <v>2</v>
      </c>
      <c r="Z369" s="1">
        <f t="shared" si="69"/>
        <v>6</v>
      </c>
      <c r="AA369" s="12">
        <f t="shared" si="76"/>
        <v>0.4</v>
      </c>
      <c r="AB369" s="2" t="s">
        <v>324</v>
      </c>
    </row>
    <row r="370" spans="1:28" x14ac:dyDescent="0.25">
      <c r="A370" s="1" t="s">
        <v>1666</v>
      </c>
      <c r="B370" s="1" t="s">
        <v>576</v>
      </c>
      <c r="C370" s="1" t="s">
        <v>36</v>
      </c>
      <c r="D370" s="1">
        <v>27</v>
      </c>
      <c r="E370" s="1">
        <v>2</v>
      </c>
      <c r="F370" s="1">
        <v>1</v>
      </c>
      <c r="G370" s="1">
        <v>8</v>
      </c>
      <c r="H370" s="1">
        <v>8</v>
      </c>
      <c r="I370" s="1">
        <v>7</v>
      </c>
      <c r="J370" s="1">
        <v>3</v>
      </c>
      <c r="K370" s="1">
        <f t="shared" si="66"/>
        <v>26</v>
      </c>
      <c r="L370" s="12">
        <f t="shared" si="73"/>
        <v>0.74285714285714288</v>
      </c>
      <c r="M370" s="1">
        <v>8</v>
      </c>
      <c r="N370" s="1">
        <v>8</v>
      </c>
      <c r="O370" s="1">
        <v>8</v>
      </c>
      <c r="P370" s="1">
        <v>4</v>
      </c>
      <c r="Q370" s="1">
        <f t="shared" si="67"/>
        <v>28</v>
      </c>
      <c r="R370" s="12">
        <f t="shared" si="74"/>
        <v>0.8</v>
      </c>
      <c r="S370" s="1">
        <v>9</v>
      </c>
      <c r="T370" s="1">
        <v>3</v>
      </c>
      <c r="U370" s="1">
        <f t="shared" si="68"/>
        <v>12</v>
      </c>
      <c r="V370" s="12">
        <f t="shared" si="75"/>
        <v>0.8</v>
      </c>
      <c r="W370" s="1">
        <v>3</v>
      </c>
      <c r="X370" s="1">
        <v>2</v>
      </c>
      <c r="Y370" s="1">
        <v>2</v>
      </c>
      <c r="Z370" s="1">
        <f t="shared" si="69"/>
        <v>7</v>
      </c>
      <c r="AA370" s="12">
        <f t="shared" si="76"/>
        <v>0.46666666666666667</v>
      </c>
      <c r="AB370" s="2" t="s">
        <v>671</v>
      </c>
    </row>
    <row r="371" spans="1:28" x14ac:dyDescent="0.25">
      <c r="A371" s="1" t="s">
        <v>1666</v>
      </c>
      <c r="B371" s="1" t="s">
        <v>576</v>
      </c>
      <c r="C371" s="1" t="s">
        <v>36</v>
      </c>
      <c r="D371" s="1">
        <v>27</v>
      </c>
      <c r="E371" s="1">
        <v>2</v>
      </c>
      <c r="F371" s="1">
        <v>1</v>
      </c>
      <c r="G371" s="1">
        <v>8</v>
      </c>
      <c r="H371" s="1">
        <v>7</v>
      </c>
      <c r="I371" s="1">
        <v>9</v>
      </c>
      <c r="J371" s="1">
        <v>4</v>
      </c>
      <c r="K371" s="1">
        <f t="shared" si="66"/>
        <v>28</v>
      </c>
      <c r="L371" s="12">
        <f t="shared" si="73"/>
        <v>0.8</v>
      </c>
      <c r="M371" s="1">
        <v>8</v>
      </c>
      <c r="N371" s="1">
        <v>9</v>
      </c>
      <c r="O371" s="1">
        <v>9</v>
      </c>
      <c r="P371" s="1">
        <v>4</v>
      </c>
      <c r="Q371" s="1">
        <f t="shared" si="67"/>
        <v>30</v>
      </c>
      <c r="R371" s="12">
        <f t="shared" si="74"/>
        <v>0.8571428571428571</v>
      </c>
      <c r="S371" s="1">
        <v>9</v>
      </c>
      <c r="T371" s="1">
        <v>3</v>
      </c>
      <c r="U371" s="1">
        <f t="shared" si="68"/>
        <v>12</v>
      </c>
      <c r="V371" s="12">
        <f t="shared" si="75"/>
        <v>0.8</v>
      </c>
      <c r="W371" s="1">
        <v>5</v>
      </c>
      <c r="X371" s="1">
        <v>5</v>
      </c>
      <c r="Y371" s="1">
        <v>4</v>
      </c>
      <c r="Z371" s="1">
        <f t="shared" si="69"/>
        <v>14</v>
      </c>
      <c r="AA371" s="12">
        <f t="shared" si="76"/>
        <v>0.93333333333333335</v>
      </c>
      <c r="AB371" s="2" t="s">
        <v>672</v>
      </c>
    </row>
    <row r="372" spans="1:28" x14ac:dyDescent="0.25">
      <c r="A372" s="1" t="s">
        <v>1666</v>
      </c>
      <c r="B372" s="1" t="s">
        <v>576</v>
      </c>
      <c r="C372" s="1" t="s">
        <v>36</v>
      </c>
      <c r="D372" s="1">
        <v>27</v>
      </c>
      <c r="E372" s="1">
        <v>2</v>
      </c>
      <c r="F372" s="1">
        <v>1</v>
      </c>
      <c r="G372" s="1">
        <v>7</v>
      </c>
      <c r="H372" s="1">
        <v>8</v>
      </c>
      <c r="I372" s="1">
        <v>7</v>
      </c>
      <c r="J372" s="1">
        <v>3</v>
      </c>
      <c r="K372" s="1">
        <f t="shared" si="66"/>
        <v>25</v>
      </c>
      <c r="L372" s="12">
        <f t="shared" si="73"/>
        <v>0.7142857142857143</v>
      </c>
      <c r="M372" s="1">
        <v>9</v>
      </c>
      <c r="N372" s="1">
        <v>9</v>
      </c>
      <c r="O372" s="1">
        <v>8</v>
      </c>
      <c r="P372" s="1">
        <v>4</v>
      </c>
      <c r="Q372" s="1">
        <f t="shared" si="67"/>
        <v>30</v>
      </c>
      <c r="R372" s="12">
        <f t="shared" si="74"/>
        <v>0.8571428571428571</v>
      </c>
      <c r="S372" s="1">
        <v>7</v>
      </c>
      <c r="T372" s="1">
        <v>4</v>
      </c>
      <c r="U372" s="1">
        <f t="shared" si="68"/>
        <v>11</v>
      </c>
      <c r="V372" s="12">
        <f t="shared" si="75"/>
        <v>0.73333333333333328</v>
      </c>
      <c r="W372" s="1">
        <v>3</v>
      </c>
      <c r="X372" s="1">
        <v>3</v>
      </c>
      <c r="Y372" s="1">
        <v>2</v>
      </c>
      <c r="Z372" s="1">
        <f t="shared" si="69"/>
        <v>8</v>
      </c>
      <c r="AA372" s="12">
        <f t="shared" si="76"/>
        <v>0.53333333333333333</v>
      </c>
      <c r="AB372" s="2" t="s">
        <v>673</v>
      </c>
    </row>
    <row r="373" spans="1:28" x14ac:dyDescent="0.25">
      <c r="A373" s="1" t="s">
        <v>1666</v>
      </c>
      <c r="B373" s="1" t="s">
        <v>576</v>
      </c>
      <c r="C373" s="1" t="s">
        <v>36</v>
      </c>
      <c r="D373" s="1">
        <v>27</v>
      </c>
      <c r="E373" s="1">
        <v>2</v>
      </c>
      <c r="F373" s="1">
        <v>1</v>
      </c>
      <c r="G373" s="1">
        <v>8</v>
      </c>
      <c r="H373" s="1">
        <v>8</v>
      </c>
      <c r="I373" s="1">
        <v>9</v>
      </c>
      <c r="J373" s="1">
        <v>4</v>
      </c>
      <c r="K373" s="1">
        <f t="shared" si="66"/>
        <v>29</v>
      </c>
      <c r="L373" s="12">
        <f t="shared" si="73"/>
        <v>0.82857142857142863</v>
      </c>
      <c r="M373" s="1">
        <v>9</v>
      </c>
      <c r="N373" s="1">
        <v>9</v>
      </c>
      <c r="O373" s="1">
        <v>10</v>
      </c>
      <c r="P373" s="1">
        <v>4</v>
      </c>
      <c r="Q373" s="1">
        <f t="shared" si="67"/>
        <v>32</v>
      </c>
      <c r="R373" s="12">
        <f t="shared" si="74"/>
        <v>0.91428571428571426</v>
      </c>
      <c r="S373" s="1">
        <v>9</v>
      </c>
      <c r="T373" s="1">
        <v>4</v>
      </c>
      <c r="U373" s="1">
        <f t="shared" si="68"/>
        <v>13</v>
      </c>
      <c r="V373" s="12">
        <f t="shared" si="75"/>
        <v>0.8666666666666667</v>
      </c>
      <c r="W373" s="1">
        <v>5</v>
      </c>
      <c r="X373" s="1">
        <v>5</v>
      </c>
      <c r="Y373" s="1">
        <v>5</v>
      </c>
      <c r="Z373" s="1">
        <f t="shared" si="69"/>
        <v>15</v>
      </c>
      <c r="AA373" s="12">
        <f t="shared" si="76"/>
        <v>1</v>
      </c>
      <c r="AB373" s="2" t="s">
        <v>674</v>
      </c>
    </row>
    <row r="374" spans="1:28" x14ac:dyDescent="0.25">
      <c r="A374" s="1" t="s">
        <v>1666</v>
      </c>
      <c r="B374" s="1" t="s">
        <v>576</v>
      </c>
      <c r="C374" s="1" t="s">
        <v>36</v>
      </c>
      <c r="D374" s="1">
        <v>27</v>
      </c>
      <c r="E374" s="1">
        <v>2</v>
      </c>
      <c r="F374" s="1">
        <v>1</v>
      </c>
      <c r="G374" s="1">
        <v>8</v>
      </c>
      <c r="H374" s="1">
        <v>6</v>
      </c>
      <c r="I374" s="1">
        <v>6</v>
      </c>
      <c r="J374" s="1">
        <v>3</v>
      </c>
      <c r="K374" s="1">
        <f t="shared" si="66"/>
        <v>23</v>
      </c>
      <c r="L374" s="12">
        <f t="shared" si="73"/>
        <v>0.65714285714285714</v>
      </c>
      <c r="M374" s="1">
        <v>7</v>
      </c>
      <c r="N374" s="1">
        <v>7</v>
      </c>
      <c r="O374" s="1">
        <v>6</v>
      </c>
      <c r="P374" s="1">
        <v>3</v>
      </c>
      <c r="Q374" s="1">
        <f t="shared" si="67"/>
        <v>23</v>
      </c>
      <c r="R374" s="12">
        <f t="shared" si="74"/>
        <v>0.65714285714285714</v>
      </c>
      <c r="S374" s="1">
        <v>7</v>
      </c>
      <c r="T374" s="1">
        <v>4</v>
      </c>
      <c r="U374" s="1">
        <f t="shared" si="68"/>
        <v>11</v>
      </c>
      <c r="V374" s="12">
        <f t="shared" si="75"/>
        <v>0.73333333333333328</v>
      </c>
      <c r="W374" s="1">
        <v>4</v>
      </c>
      <c r="X374" s="1">
        <v>3</v>
      </c>
      <c r="Y374" s="1">
        <v>3</v>
      </c>
      <c r="Z374" s="1">
        <f t="shared" si="69"/>
        <v>10</v>
      </c>
      <c r="AA374" s="12">
        <f t="shared" si="76"/>
        <v>0.66666666666666663</v>
      </c>
      <c r="AB374" s="2" t="s">
        <v>675</v>
      </c>
    </row>
    <row r="375" spans="1:28" x14ac:dyDescent="0.25">
      <c r="A375" s="1" t="s">
        <v>1666</v>
      </c>
      <c r="B375" s="1" t="s">
        <v>576</v>
      </c>
      <c r="C375" s="1" t="s">
        <v>36</v>
      </c>
      <c r="D375" s="1">
        <v>27</v>
      </c>
      <c r="E375" s="1">
        <v>2</v>
      </c>
      <c r="F375" s="1">
        <v>1</v>
      </c>
      <c r="G375" s="1">
        <v>6</v>
      </c>
      <c r="H375" s="1">
        <v>5</v>
      </c>
      <c r="I375" s="1">
        <v>4</v>
      </c>
      <c r="J375" s="1">
        <v>2</v>
      </c>
      <c r="K375" s="1">
        <f t="shared" si="66"/>
        <v>17</v>
      </c>
      <c r="L375" s="12">
        <f t="shared" si="73"/>
        <v>0.48571428571428571</v>
      </c>
      <c r="M375" s="1">
        <v>6</v>
      </c>
      <c r="N375" s="1">
        <v>7</v>
      </c>
      <c r="O375" s="1">
        <v>4</v>
      </c>
      <c r="P375" s="1">
        <v>2</v>
      </c>
      <c r="Q375" s="1">
        <f t="shared" si="67"/>
        <v>19</v>
      </c>
      <c r="R375" s="12">
        <f t="shared" si="74"/>
        <v>0.54285714285714282</v>
      </c>
      <c r="S375" s="1">
        <v>4</v>
      </c>
      <c r="T375" s="1">
        <v>3</v>
      </c>
      <c r="U375" s="1">
        <f t="shared" si="68"/>
        <v>7</v>
      </c>
      <c r="V375" s="12">
        <f t="shared" si="75"/>
        <v>0.46666666666666667</v>
      </c>
      <c r="W375" s="1">
        <v>4</v>
      </c>
      <c r="X375" s="1">
        <v>3</v>
      </c>
      <c r="Y375" s="1">
        <v>2</v>
      </c>
      <c r="Z375" s="1">
        <f t="shared" si="69"/>
        <v>9</v>
      </c>
      <c r="AA375" s="12">
        <f t="shared" si="76"/>
        <v>0.6</v>
      </c>
      <c r="AB375" s="2" t="s">
        <v>676</v>
      </c>
    </row>
    <row r="376" spans="1:28" x14ac:dyDescent="0.25">
      <c r="A376" s="1" t="s">
        <v>1666</v>
      </c>
      <c r="B376" s="1" t="s">
        <v>35</v>
      </c>
      <c r="C376" s="1" t="s">
        <v>861</v>
      </c>
      <c r="D376" s="1">
        <v>17</v>
      </c>
      <c r="E376" s="1">
        <v>1</v>
      </c>
      <c r="F376" s="1">
        <v>2</v>
      </c>
      <c r="G376" s="1">
        <v>9</v>
      </c>
      <c r="H376" s="1">
        <v>8</v>
      </c>
      <c r="I376" s="1">
        <v>9</v>
      </c>
      <c r="J376" s="1">
        <v>8</v>
      </c>
      <c r="K376" s="1">
        <f t="shared" si="66"/>
        <v>34</v>
      </c>
      <c r="L376" s="12">
        <f t="shared" ref="L376:L404" si="77">K376/40</f>
        <v>0.85</v>
      </c>
      <c r="M376" s="1">
        <v>8</v>
      </c>
      <c r="N376" s="1">
        <v>8</v>
      </c>
      <c r="O376" s="1">
        <v>9</v>
      </c>
      <c r="P376" s="1">
        <v>8</v>
      </c>
      <c r="Q376" s="1">
        <f t="shared" si="67"/>
        <v>33</v>
      </c>
      <c r="R376" s="12">
        <f t="shared" ref="R376:R404" si="78">Q376/40</f>
        <v>0.82499999999999996</v>
      </c>
      <c r="S376" s="1">
        <v>9</v>
      </c>
      <c r="T376" s="1">
        <v>8</v>
      </c>
      <c r="U376" s="1">
        <f t="shared" si="68"/>
        <v>17</v>
      </c>
      <c r="V376" s="12">
        <f t="shared" ref="V376:V404" si="79">U376/20</f>
        <v>0.85</v>
      </c>
      <c r="Z376" s="1">
        <f t="shared" si="69"/>
        <v>0</v>
      </c>
      <c r="AB376" s="2" t="s">
        <v>889</v>
      </c>
    </row>
    <row r="377" spans="1:28" x14ac:dyDescent="0.25">
      <c r="A377" s="1" t="s">
        <v>1666</v>
      </c>
      <c r="B377" s="1" t="s">
        <v>35</v>
      </c>
      <c r="C377" s="1" t="s">
        <v>861</v>
      </c>
      <c r="D377" s="1">
        <v>17</v>
      </c>
      <c r="E377" s="1">
        <v>1</v>
      </c>
      <c r="F377" s="1">
        <v>2</v>
      </c>
      <c r="G377" s="1">
        <v>7</v>
      </c>
      <c r="H377" s="1">
        <v>8</v>
      </c>
      <c r="I377" s="1">
        <v>7</v>
      </c>
      <c r="J377" s="1">
        <v>8</v>
      </c>
      <c r="K377" s="1">
        <f t="shared" si="66"/>
        <v>30</v>
      </c>
      <c r="L377" s="12">
        <f t="shared" si="77"/>
        <v>0.75</v>
      </c>
      <c r="M377" s="1">
        <v>8</v>
      </c>
      <c r="N377" s="1">
        <v>7</v>
      </c>
      <c r="O377" s="1">
        <v>7</v>
      </c>
      <c r="P377" s="1">
        <v>7</v>
      </c>
      <c r="Q377" s="1">
        <f t="shared" si="67"/>
        <v>29</v>
      </c>
      <c r="R377" s="12">
        <f t="shared" si="78"/>
        <v>0.72499999999999998</v>
      </c>
      <c r="S377" s="1">
        <v>6</v>
      </c>
      <c r="T377" s="1">
        <v>9</v>
      </c>
      <c r="U377" s="1">
        <f t="shared" si="68"/>
        <v>15</v>
      </c>
      <c r="V377" s="12">
        <f t="shared" si="79"/>
        <v>0.75</v>
      </c>
      <c r="Z377" s="1">
        <f t="shared" si="69"/>
        <v>0</v>
      </c>
      <c r="AB377" s="2" t="s">
        <v>890</v>
      </c>
    </row>
    <row r="378" spans="1:28" x14ac:dyDescent="0.25">
      <c r="A378" s="1" t="s">
        <v>1666</v>
      </c>
      <c r="B378" s="1" t="s">
        <v>35</v>
      </c>
      <c r="C378" s="1" t="s">
        <v>861</v>
      </c>
      <c r="D378" s="1">
        <v>17</v>
      </c>
      <c r="E378" s="1">
        <v>1</v>
      </c>
      <c r="F378" s="1">
        <v>2</v>
      </c>
      <c r="G378" s="1">
        <v>4</v>
      </c>
      <c r="H378" s="1">
        <v>5</v>
      </c>
      <c r="I378" s="1">
        <v>4</v>
      </c>
      <c r="J378" s="1">
        <v>3</v>
      </c>
      <c r="K378" s="1">
        <f t="shared" si="66"/>
        <v>16</v>
      </c>
      <c r="L378" s="12">
        <f t="shared" si="77"/>
        <v>0.4</v>
      </c>
      <c r="M378" s="1">
        <v>6</v>
      </c>
      <c r="N378" s="1">
        <v>4</v>
      </c>
      <c r="O378" s="1">
        <v>3</v>
      </c>
      <c r="P378" s="1">
        <v>4</v>
      </c>
      <c r="Q378" s="1">
        <f t="shared" si="67"/>
        <v>17</v>
      </c>
      <c r="R378" s="12">
        <f t="shared" si="78"/>
        <v>0.42499999999999999</v>
      </c>
      <c r="S378" s="1">
        <v>3</v>
      </c>
      <c r="T378" s="1">
        <v>3</v>
      </c>
      <c r="U378" s="1">
        <f t="shared" si="68"/>
        <v>6</v>
      </c>
      <c r="V378" s="12">
        <f t="shared" si="79"/>
        <v>0.3</v>
      </c>
      <c r="Z378" s="1">
        <f t="shared" si="69"/>
        <v>0</v>
      </c>
      <c r="AB378" s="2" t="s">
        <v>891</v>
      </c>
    </row>
    <row r="379" spans="1:28" x14ac:dyDescent="0.25">
      <c r="A379" s="1" t="s">
        <v>1666</v>
      </c>
      <c r="B379" s="1" t="s">
        <v>35</v>
      </c>
      <c r="C379" s="1" t="s">
        <v>861</v>
      </c>
      <c r="D379" s="1">
        <v>17</v>
      </c>
      <c r="E379" s="1">
        <v>1</v>
      </c>
      <c r="F379" s="1">
        <v>2</v>
      </c>
      <c r="G379" s="1">
        <v>7</v>
      </c>
      <c r="H379" s="1">
        <v>6</v>
      </c>
      <c r="I379" s="1">
        <v>5</v>
      </c>
      <c r="J379" s="1">
        <v>6</v>
      </c>
      <c r="K379" s="1">
        <f t="shared" si="66"/>
        <v>24</v>
      </c>
      <c r="L379" s="12">
        <f t="shared" si="77"/>
        <v>0.6</v>
      </c>
      <c r="M379" s="1">
        <v>5</v>
      </c>
      <c r="N379" s="1">
        <v>5</v>
      </c>
      <c r="O379" s="1">
        <v>4</v>
      </c>
      <c r="P379" s="1">
        <v>5</v>
      </c>
      <c r="Q379" s="1">
        <f t="shared" si="67"/>
        <v>19</v>
      </c>
      <c r="R379" s="12">
        <f t="shared" si="78"/>
        <v>0.47499999999999998</v>
      </c>
      <c r="S379" s="1">
        <v>4</v>
      </c>
      <c r="T379" s="1">
        <v>5</v>
      </c>
      <c r="U379" s="1">
        <f t="shared" si="68"/>
        <v>9</v>
      </c>
      <c r="V379" s="12">
        <f t="shared" si="79"/>
        <v>0.45</v>
      </c>
      <c r="Z379" s="1">
        <f t="shared" si="69"/>
        <v>0</v>
      </c>
      <c r="AB379" s="2" t="s">
        <v>892</v>
      </c>
    </row>
    <row r="380" spans="1:28" x14ac:dyDescent="0.25">
      <c r="A380" s="1" t="s">
        <v>1666</v>
      </c>
      <c r="B380" s="1" t="s">
        <v>35</v>
      </c>
      <c r="C380" s="1" t="s">
        <v>861</v>
      </c>
      <c r="D380" s="1">
        <v>17</v>
      </c>
      <c r="E380" s="1">
        <v>1</v>
      </c>
      <c r="F380" s="1">
        <v>2</v>
      </c>
      <c r="G380" s="1">
        <v>8</v>
      </c>
      <c r="H380" s="1">
        <v>8</v>
      </c>
      <c r="I380" s="1">
        <v>7</v>
      </c>
      <c r="J380" s="1">
        <v>7</v>
      </c>
      <c r="K380" s="1">
        <f t="shared" si="66"/>
        <v>30</v>
      </c>
      <c r="L380" s="12">
        <f t="shared" si="77"/>
        <v>0.75</v>
      </c>
      <c r="M380" s="1">
        <v>8</v>
      </c>
      <c r="N380" s="1">
        <v>7</v>
      </c>
      <c r="O380" s="1">
        <v>7</v>
      </c>
      <c r="P380" s="1">
        <v>7</v>
      </c>
      <c r="Q380" s="1">
        <f t="shared" si="67"/>
        <v>29</v>
      </c>
      <c r="R380" s="12">
        <f t="shared" si="78"/>
        <v>0.72499999999999998</v>
      </c>
      <c r="S380" s="1">
        <v>8</v>
      </c>
      <c r="T380" s="1">
        <v>9</v>
      </c>
      <c r="U380" s="1">
        <f t="shared" si="68"/>
        <v>17</v>
      </c>
      <c r="V380" s="12">
        <f t="shared" si="79"/>
        <v>0.85</v>
      </c>
      <c r="Z380" s="1">
        <f t="shared" si="69"/>
        <v>0</v>
      </c>
      <c r="AB380" s="2" t="s">
        <v>893</v>
      </c>
    </row>
    <row r="381" spans="1:28" x14ac:dyDescent="0.25">
      <c r="A381" s="1" t="s">
        <v>1666</v>
      </c>
      <c r="B381" s="1" t="s">
        <v>35</v>
      </c>
      <c r="C381" s="1" t="s">
        <v>861</v>
      </c>
      <c r="D381" s="1">
        <v>17</v>
      </c>
      <c r="E381" s="1">
        <v>1</v>
      </c>
      <c r="F381" s="1">
        <v>2</v>
      </c>
      <c r="G381" s="1">
        <v>7</v>
      </c>
      <c r="H381" s="1">
        <v>4</v>
      </c>
      <c r="I381" s="1">
        <v>4</v>
      </c>
      <c r="J381" s="1">
        <v>5</v>
      </c>
      <c r="K381" s="1">
        <f t="shared" si="66"/>
        <v>20</v>
      </c>
      <c r="L381" s="12">
        <f t="shared" si="77"/>
        <v>0.5</v>
      </c>
      <c r="M381" s="1">
        <v>6</v>
      </c>
      <c r="N381" s="1">
        <v>6</v>
      </c>
      <c r="O381" s="1">
        <v>5</v>
      </c>
      <c r="P381" s="1">
        <v>6</v>
      </c>
      <c r="Q381" s="1">
        <f t="shared" si="67"/>
        <v>23</v>
      </c>
      <c r="R381" s="12">
        <f t="shared" si="78"/>
        <v>0.57499999999999996</v>
      </c>
      <c r="S381" s="1">
        <v>6</v>
      </c>
      <c r="T381" s="1">
        <v>4</v>
      </c>
      <c r="U381" s="1">
        <f t="shared" si="68"/>
        <v>10</v>
      </c>
      <c r="V381" s="12">
        <f t="shared" si="79"/>
        <v>0.5</v>
      </c>
      <c r="Z381" s="1">
        <f t="shared" si="69"/>
        <v>0</v>
      </c>
      <c r="AB381" s="2" t="s">
        <v>894</v>
      </c>
    </row>
    <row r="382" spans="1:28" x14ac:dyDescent="0.25">
      <c r="A382" s="1" t="s">
        <v>1666</v>
      </c>
      <c r="B382" s="1" t="s">
        <v>35</v>
      </c>
      <c r="C382" s="1" t="s">
        <v>861</v>
      </c>
      <c r="D382" s="1">
        <v>17</v>
      </c>
      <c r="E382" s="1">
        <v>1</v>
      </c>
      <c r="F382" s="1">
        <v>2</v>
      </c>
      <c r="G382" s="1">
        <v>6</v>
      </c>
      <c r="H382" s="1">
        <v>7</v>
      </c>
      <c r="I382" s="1">
        <v>4</v>
      </c>
      <c r="J382" s="1">
        <v>7</v>
      </c>
      <c r="K382" s="1">
        <f t="shared" si="66"/>
        <v>24</v>
      </c>
      <c r="L382" s="12">
        <f t="shared" si="77"/>
        <v>0.6</v>
      </c>
      <c r="M382" s="1">
        <v>7</v>
      </c>
      <c r="N382" s="1">
        <v>6</v>
      </c>
      <c r="O382" s="1">
        <v>4</v>
      </c>
      <c r="P382" s="1">
        <v>4</v>
      </c>
      <c r="Q382" s="1">
        <f t="shared" si="67"/>
        <v>21</v>
      </c>
      <c r="R382" s="12">
        <f t="shared" si="78"/>
        <v>0.52500000000000002</v>
      </c>
      <c r="S382" s="1">
        <v>5</v>
      </c>
      <c r="T382" s="1">
        <v>6</v>
      </c>
      <c r="U382" s="1">
        <f t="shared" si="68"/>
        <v>11</v>
      </c>
      <c r="V382" s="12">
        <f t="shared" si="79"/>
        <v>0.55000000000000004</v>
      </c>
      <c r="Z382" s="1">
        <f t="shared" si="69"/>
        <v>0</v>
      </c>
      <c r="AB382" s="2" t="s">
        <v>895</v>
      </c>
    </row>
    <row r="383" spans="1:28" x14ac:dyDescent="0.25">
      <c r="A383" s="1" t="s">
        <v>1666</v>
      </c>
      <c r="B383" s="1" t="s">
        <v>35</v>
      </c>
      <c r="C383" s="1" t="s">
        <v>861</v>
      </c>
      <c r="D383" s="1">
        <v>17</v>
      </c>
      <c r="E383" s="1">
        <v>1</v>
      </c>
      <c r="F383" s="1">
        <v>2</v>
      </c>
      <c r="G383" s="1">
        <v>5</v>
      </c>
      <c r="H383" s="1">
        <v>4</v>
      </c>
      <c r="I383" s="1">
        <v>4</v>
      </c>
      <c r="J383" s="1">
        <v>6</v>
      </c>
      <c r="K383" s="1">
        <f t="shared" si="66"/>
        <v>19</v>
      </c>
      <c r="L383" s="12">
        <f t="shared" si="77"/>
        <v>0.47499999999999998</v>
      </c>
      <c r="M383" s="1">
        <v>7</v>
      </c>
      <c r="N383" s="1">
        <v>6</v>
      </c>
      <c r="O383" s="1">
        <v>5</v>
      </c>
      <c r="P383" s="1">
        <v>5</v>
      </c>
      <c r="Q383" s="1">
        <f t="shared" si="67"/>
        <v>23</v>
      </c>
      <c r="R383" s="12">
        <f t="shared" si="78"/>
        <v>0.57499999999999996</v>
      </c>
      <c r="S383" s="1">
        <v>5</v>
      </c>
      <c r="T383" s="1">
        <v>4</v>
      </c>
      <c r="U383" s="1">
        <f t="shared" si="68"/>
        <v>9</v>
      </c>
      <c r="V383" s="12">
        <f t="shared" si="79"/>
        <v>0.45</v>
      </c>
      <c r="Z383" s="1">
        <f t="shared" si="69"/>
        <v>0</v>
      </c>
      <c r="AB383" s="2" t="s">
        <v>896</v>
      </c>
    </row>
    <row r="384" spans="1:28" x14ac:dyDescent="0.25">
      <c r="A384" s="1" t="s">
        <v>1666</v>
      </c>
      <c r="B384" s="1" t="s">
        <v>35</v>
      </c>
      <c r="C384" s="1" t="s">
        <v>861</v>
      </c>
      <c r="D384" s="1">
        <v>18</v>
      </c>
      <c r="E384" s="1">
        <v>2</v>
      </c>
      <c r="F384" s="1">
        <v>7</v>
      </c>
      <c r="G384" s="1">
        <v>8</v>
      </c>
      <c r="H384" s="1">
        <v>7</v>
      </c>
      <c r="I384" s="1">
        <v>8</v>
      </c>
      <c r="J384" s="1">
        <v>8</v>
      </c>
      <c r="K384" s="1">
        <f t="shared" si="66"/>
        <v>31</v>
      </c>
      <c r="L384" s="12">
        <f t="shared" si="77"/>
        <v>0.77500000000000002</v>
      </c>
      <c r="M384" s="1">
        <v>7</v>
      </c>
      <c r="N384" s="1">
        <v>7</v>
      </c>
      <c r="O384" s="1">
        <v>7</v>
      </c>
      <c r="P384" s="1">
        <v>8</v>
      </c>
      <c r="Q384" s="1">
        <f t="shared" si="67"/>
        <v>29</v>
      </c>
      <c r="R384" s="12">
        <f t="shared" si="78"/>
        <v>0.72499999999999998</v>
      </c>
      <c r="S384" s="1">
        <v>8</v>
      </c>
      <c r="T384" s="1">
        <v>9</v>
      </c>
      <c r="U384" s="1">
        <f t="shared" si="68"/>
        <v>17</v>
      </c>
      <c r="V384" s="12">
        <f t="shared" si="79"/>
        <v>0.85</v>
      </c>
      <c r="Z384" s="1">
        <f t="shared" si="69"/>
        <v>0</v>
      </c>
      <c r="AB384" s="2" t="s">
        <v>1172</v>
      </c>
    </row>
    <row r="385" spans="1:28" x14ac:dyDescent="0.25">
      <c r="A385" s="1" t="s">
        <v>1666</v>
      </c>
      <c r="B385" s="1" t="s">
        <v>35</v>
      </c>
      <c r="C385" s="1" t="s">
        <v>861</v>
      </c>
      <c r="D385" s="1">
        <v>18</v>
      </c>
      <c r="E385" s="1">
        <v>2</v>
      </c>
      <c r="F385" s="1">
        <v>7</v>
      </c>
      <c r="G385" s="1">
        <v>4</v>
      </c>
      <c r="H385" s="1">
        <v>4</v>
      </c>
      <c r="I385" s="1">
        <v>4</v>
      </c>
      <c r="J385" s="1">
        <v>3</v>
      </c>
      <c r="K385" s="1">
        <f t="shared" si="66"/>
        <v>15</v>
      </c>
      <c r="L385" s="12">
        <f t="shared" si="77"/>
        <v>0.375</v>
      </c>
      <c r="M385" s="1">
        <v>3</v>
      </c>
      <c r="N385" s="1">
        <v>3</v>
      </c>
      <c r="O385" s="1">
        <v>3</v>
      </c>
      <c r="P385" s="1">
        <v>4</v>
      </c>
      <c r="Q385" s="1">
        <f t="shared" si="67"/>
        <v>13</v>
      </c>
      <c r="R385" s="12">
        <f t="shared" si="78"/>
        <v>0.32500000000000001</v>
      </c>
      <c r="S385" s="1">
        <v>3</v>
      </c>
      <c r="T385" s="1">
        <v>4</v>
      </c>
      <c r="U385" s="1">
        <f t="shared" si="68"/>
        <v>7</v>
      </c>
      <c r="V385" s="12">
        <f t="shared" si="79"/>
        <v>0.35</v>
      </c>
      <c r="Z385" s="1">
        <f t="shared" si="69"/>
        <v>0</v>
      </c>
      <c r="AB385" s="2" t="s">
        <v>1173</v>
      </c>
    </row>
    <row r="386" spans="1:28" x14ac:dyDescent="0.25">
      <c r="A386" s="1" t="s">
        <v>1666</v>
      </c>
      <c r="B386" s="1" t="s">
        <v>35</v>
      </c>
      <c r="C386" s="1" t="s">
        <v>861</v>
      </c>
      <c r="D386" s="1">
        <v>18</v>
      </c>
      <c r="E386" s="1">
        <v>2</v>
      </c>
      <c r="F386" s="1">
        <v>7</v>
      </c>
      <c r="G386" s="1">
        <v>7</v>
      </c>
      <c r="H386" s="1">
        <v>7</v>
      </c>
      <c r="I386" s="1">
        <v>7</v>
      </c>
      <c r="J386" s="1">
        <v>6</v>
      </c>
      <c r="K386" s="1">
        <f t="shared" si="66"/>
        <v>27</v>
      </c>
      <c r="L386" s="12">
        <f t="shared" si="77"/>
        <v>0.67500000000000004</v>
      </c>
      <c r="M386" s="1">
        <v>7</v>
      </c>
      <c r="N386" s="1">
        <v>6</v>
      </c>
      <c r="O386" s="1">
        <v>6</v>
      </c>
      <c r="P386" s="1">
        <v>7</v>
      </c>
      <c r="Q386" s="1">
        <f t="shared" si="67"/>
        <v>26</v>
      </c>
      <c r="R386" s="12">
        <f t="shared" si="78"/>
        <v>0.65</v>
      </c>
      <c r="S386" s="1">
        <v>7</v>
      </c>
      <c r="T386" s="1">
        <v>7</v>
      </c>
      <c r="U386" s="1">
        <f t="shared" si="68"/>
        <v>14</v>
      </c>
      <c r="V386" s="12">
        <f t="shared" si="79"/>
        <v>0.7</v>
      </c>
      <c r="Z386" s="1">
        <f t="shared" si="69"/>
        <v>0</v>
      </c>
      <c r="AB386" s="2" t="s">
        <v>1174</v>
      </c>
    </row>
    <row r="387" spans="1:28" x14ac:dyDescent="0.25">
      <c r="A387" s="1" t="s">
        <v>1666</v>
      </c>
      <c r="B387" s="1" t="s">
        <v>35</v>
      </c>
      <c r="C387" s="1" t="s">
        <v>861</v>
      </c>
      <c r="D387" s="1">
        <v>18</v>
      </c>
      <c r="E387" s="1">
        <v>2</v>
      </c>
      <c r="F387" s="1">
        <v>7</v>
      </c>
      <c r="G387" s="1">
        <v>4</v>
      </c>
      <c r="H387" s="1">
        <v>4</v>
      </c>
      <c r="I387" s="1">
        <v>4</v>
      </c>
      <c r="J387" s="1">
        <v>3</v>
      </c>
      <c r="K387" s="1">
        <f t="shared" ref="K387:K450" si="80">SUM(G387:J387)</f>
        <v>15</v>
      </c>
      <c r="L387" s="12">
        <f t="shared" si="77"/>
        <v>0.375</v>
      </c>
      <c r="M387" s="1">
        <v>4</v>
      </c>
      <c r="N387" s="1">
        <v>4</v>
      </c>
      <c r="O387" s="1">
        <v>4</v>
      </c>
      <c r="P387" s="1">
        <v>3</v>
      </c>
      <c r="Q387" s="1">
        <f t="shared" ref="Q387:Q450" si="81">SUM(M387:P387)</f>
        <v>15</v>
      </c>
      <c r="R387" s="12">
        <f t="shared" si="78"/>
        <v>0.375</v>
      </c>
      <c r="S387" s="1">
        <v>3</v>
      </c>
      <c r="T387" s="1">
        <v>3</v>
      </c>
      <c r="U387" s="1">
        <f t="shared" ref="U387:U450" si="82">SUM(S387:T387)</f>
        <v>6</v>
      </c>
      <c r="V387" s="12">
        <f t="shared" si="79"/>
        <v>0.3</v>
      </c>
      <c r="Z387" s="1">
        <f t="shared" ref="Z387:Z450" si="83">SUM(W387:Y387)</f>
        <v>0</v>
      </c>
      <c r="AB387" s="2" t="s">
        <v>1175</v>
      </c>
    </row>
    <row r="388" spans="1:28" x14ac:dyDescent="0.25">
      <c r="A388" s="1" t="s">
        <v>1666</v>
      </c>
      <c r="B388" s="1" t="s">
        <v>35</v>
      </c>
      <c r="C388" s="1" t="s">
        <v>861</v>
      </c>
      <c r="D388" s="1">
        <v>18</v>
      </c>
      <c r="E388" s="1">
        <v>2</v>
      </c>
      <c r="F388" s="1">
        <v>7</v>
      </c>
      <c r="G388" s="1">
        <v>7</v>
      </c>
      <c r="H388" s="1">
        <v>7</v>
      </c>
      <c r="I388" s="1">
        <v>6</v>
      </c>
      <c r="J388" s="1">
        <v>7</v>
      </c>
      <c r="K388" s="1">
        <f t="shared" si="80"/>
        <v>27</v>
      </c>
      <c r="L388" s="12">
        <f t="shared" si="77"/>
        <v>0.67500000000000004</v>
      </c>
      <c r="M388" s="1">
        <v>7</v>
      </c>
      <c r="N388" s="1">
        <v>7</v>
      </c>
      <c r="O388" s="1">
        <v>7</v>
      </c>
      <c r="P388" s="1">
        <v>7</v>
      </c>
      <c r="Q388" s="1">
        <f t="shared" si="81"/>
        <v>28</v>
      </c>
      <c r="R388" s="12">
        <f t="shared" si="78"/>
        <v>0.7</v>
      </c>
      <c r="S388" s="1">
        <v>8</v>
      </c>
      <c r="T388" s="1">
        <v>7</v>
      </c>
      <c r="U388" s="1">
        <f t="shared" si="82"/>
        <v>15</v>
      </c>
      <c r="V388" s="12">
        <f t="shared" si="79"/>
        <v>0.75</v>
      </c>
      <c r="Z388" s="1">
        <f t="shared" si="83"/>
        <v>0</v>
      </c>
      <c r="AB388" s="2" t="s">
        <v>1176</v>
      </c>
    </row>
    <row r="389" spans="1:28" x14ac:dyDescent="0.25">
      <c r="A389" s="1" t="s">
        <v>1666</v>
      </c>
      <c r="B389" s="1" t="s">
        <v>35</v>
      </c>
      <c r="C389" s="1" t="s">
        <v>861</v>
      </c>
      <c r="D389" s="1">
        <v>18</v>
      </c>
      <c r="E389" s="1">
        <v>2</v>
      </c>
      <c r="F389" s="1">
        <v>7</v>
      </c>
      <c r="G389" s="1">
        <v>7</v>
      </c>
      <c r="H389" s="1">
        <v>4</v>
      </c>
      <c r="I389" s="1">
        <v>5</v>
      </c>
      <c r="J389" s="1">
        <v>4</v>
      </c>
      <c r="K389" s="1">
        <f t="shared" si="80"/>
        <v>20</v>
      </c>
      <c r="L389" s="12">
        <f t="shared" si="77"/>
        <v>0.5</v>
      </c>
      <c r="M389" s="1">
        <v>5</v>
      </c>
      <c r="N389" s="1">
        <v>5</v>
      </c>
      <c r="O389" s="1">
        <v>4</v>
      </c>
      <c r="P389" s="1">
        <v>5</v>
      </c>
      <c r="Q389" s="1">
        <f t="shared" si="81"/>
        <v>19</v>
      </c>
      <c r="R389" s="12">
        <f t="shared" si="78"/>
        <v>0.47499999999999998</v>
      </c>
      <c r="S389" s="1">
        <v>6</v>
      </c>
      <c r="T389" s="1">
        <v>5</v>
      </c>
      <c r="U389" s="1">
        <f t="shared" si="82"/>
        <v>11</v>
      </c>
      <c r="V389" s="12">
        <f t="shared" si="79"/>
        <v>0.55000000000000004</v>
      </c>
      <c r="Z389" s="1">
        <f t="shared" si="83"/>
        <v>0</v>
      </c>
      <c r="AB389" s="2" t="s">
        <v>1177</v>
      </c>
    </row>
    <row r="390" spans="1:28" x14ac:dyDescent="0.25">
      <c r="A390" s="1" t="s">
        <v>1666</v>
      </c>
      <c r="B390" s="1" t="s">
        <v>35</v>
      </c>
      <c r="C390" s="1" t="s">
        <v>861</v>
      </c>
      <c r="D390" s="1">
        <v>18</v>
      </c>
      <c r="E390" s="1">
        <v>2</v>
      </c>
      <c r="F390" s="1">
        <v>7</v>
      </c>
      <c r="G390" s="1">
        <v>6</v>
      </c>
      <c r="H390" s="1">
        <v>4</v>
      </c>
      <c r="I390" s="1">
        <v>4</v>
      </c>
      <c r="J390" s="1">
        <v>4</v>
      </c>
      <c r="K390" s="1">
        <f t="shared" si="80"/>
        <v>18</v>
      </c>
      <c r="L390" s="12">
        <f t="shared" si="77"/>
        <v>0.45</v>
      </c>
      <c r="M390" s="1">
        <v>7</v>
      </c>
      <c r="N390" s="1">
        <v>7</v>
      </c>
      <c r="O390" s="1">
        <v>5</v>
      </c>
      <c r="P390" s="1">
        <v>4</v>
      </c>
      <c r="Q390" s="1">
        <f t="shared" si="81"/>
        <v>23</v>
      </c>
      <c r="R390" s="12">
        <f t="shared" si="78"/>
        <v>0.57499999999999996</v>
      </c>
      <c r="S390" s="1">
        <v>7</v>
      </c>
      <c r="T390" s="1">
        <v>8</v>
      </c>
      <c r="U390" s="1">
        <f t="shared" si="82"/>
        <v>15</v>
      </c>
      <c r="V390" s="12">
        <f t="shared" si="79"/>
        <v>0.75</v>
      </c>
      <c r="Z390" s="1">
        <f t="shared" si="83"/>
        <v>0</v>
      </c>
      <c r="AB390" s="2" t="s">
        <v>1178</v>
      </c>
    </row>
    <row r="391" spans="1:28" x14ac:dyDescent="0.25">
      <c r="A391" s="1" t="s">
        <v>1666</v>
      </c>
      <c r="B391" s="1" t="s">
        <v>35</v>
      </c>
      <c r="C391" s="1" t="s">
        <v>861</v>
      </c>
      <c r="D391" s="1">
        <v>18</v>
      </c>
      <c r="E391" s="1">
        <v>2</v>
      </c>
      <c r="F391" s="1">
        <v>7</v>
      </c>
      <c r="G391" s="1">
        <v>8</v>
      </c>
      <c r="H391" s="1">
        <v>7</v>
      </c>
      <c r="I391" s="1">
        <v>7</v>
      </c>
      <c r="J391" s="1">
        <v>6</v>
      </c>
      <c r="K391" s="1">
        <f t="shared" si="80"/>
        <v>28</v>
      </c>
      <c r="L391" s="12">
        <f t="shared" si="77"/>
        <v>0.7</v>
      </c>
      <c r="M391" s="1">
        <v>8</v>
      </c>
      <c r="N391" s="1">
        <v>8</v>
      </c>
      <c r="O391" s="1">
        <v>6</v>
      </c>
      <c r="P391" s="1">
        <v>6</v>
      </c>
      <c r="Q391" s="1">
        <f t="shared" si="81"/>
        <v>28</v>
      </c>
      <c r="R391" s="12">
        <f t="shared" si="78"/>
        <v>0.7</v>
      </c>
      <c r="S391" s="1">
        <v>6</v>
      </c>
      <c r="T391" s="1">
        <v>7</v>
      </c>
      <c r="U391" s="1">
        <f t="shared" si="82"/>
        <v>13</v>
      </c>
      <c r="V391" s="12">
        <f t="shared" si="79"/>
        <v>0.65</v>
      </c>
      <c r="Z391" s="1">
        <f t="shared" si="83"/>
        <v>0</v>
      </c>
      <c r="AB391" s="2" t="s">
        <v>1179</v>
      </c>
    </row>
    <row r="392" spans="1:28" x14ac:dyDescent="0.25">
      <c r="A392" s="1" t="s">
        <v>1666</v>
      </c>
      <c r="B392" s="1" t="s">
        <v>576</v>
      </c>
      <c r="C392" s="1" t="s">
        <v>861</v>
      </c>
      <c r="D392" s="1">
        <v>25</v>
      </c>
      <c r="E392" s="1">
        <v>2</v>
      </c>
      <c r="F392" s="1">
        <v>2</v>
      </c>
      <c r="G392" s="1">
        <v>7</v>
      </c>
      <c r="H392" s="1">
        <v>7</v>
      </c>
      <c r="I392" s="1">
        <v>6</v>
      </c>
      <c r="J392" s="1">
        <v>5</v>
      </c>
      <c r="K392" s="1">
        <f t="shared" si="80"/>
        <v>25</v>
      </c>
      <c r="L392" s="12">
        <f t="shared" si="77"/>
        <v>0.625</v>
      </c>
      <c r="M392" s="1">
        <v>6</v>
      </c>
      <c r="N392" s="1">
        <v>5</v>
      </c>
      <c r="O392" s="1">
        <v>5</v>
      </c>
      <c r="P392" s="1">
        <v>5</v>
      </c>
      <c r="Q392" s="1">
        <f t="shared" si="81"/>
        <v>21</v>
      </c>
      <c r="R392" s="12">
        <f t="shared" si="78"/>
        <v>0.52500000000000002</v>
      </c>
      <c r="S392" s="1">
        <v>6</v>
      </c>
      <c r="T392" s="1">
        <v>5</v>
      </c>
      <c r="U392" s="1">
        <f t="shared" si="82"/>
        <v>11</v>
      </c>
      <c r="V392" s="12">
        <f t="shared" si="79"/>
        <v>0.55000000000000004</v>
      </c>
      <c r="Z392" s="1">
        <f t="shared" si="83"/>
        <v>0</v>
      </c>
      <c r="AB392" s="2" t="s">
        <v>1469</v>
      </c>
    </row>
    <row r="393" spans="1:28" x14ac:dyDescent="0.25">
      <c r="A393" s="1" t="s">
        <v>1666</v>
      </c>
      <c r="B393" s="1" t="s">
        <v>576</v>
      </c>
      <c r="C393" s="1" t="s">
        <v>861</v>
      </c>
      <c r="D393" s="1">
        <v>25</v>
      </c>
      <c r="E393" s="1">
        <v>2</v>
      </c>
      <c r="F393" s="1">
        <v>2</v>
      </c>
      <c r="G393" s="1">
        <v>8</v>
      </c>
      <c r="H393" s="1">
        <v>8</v>
      </c>
      <c r="I393" s="1">
        <v>7</v>
      </c>
      <c r="J393" s="1">
        <v>8</v>
      </c>
      <c r="K393" s="1">
        <f t="shared" si="80"/>
        <v>31</v>
      </c>
      <c r="L393" s="12">
        <f t="shared" si="77"/>
        <v>0.77500000000000002</v>
      </c>
      <c r="M393" s="1">
        <v>9</v>
      </c>
      <c r="N393" s="1">
        <v>8</v>
      </c>
      <c r="O393" s="1">
        <v>8</v>
      </c>
      <c r="P393" s="1">
        <v>8</v>
      </c>
      <c r="Q393" s="1">
        <f t="shared" si="81"/>
        <v>33</v>
      </c>
      <c r="R393" s="12">
        <f t="shared" si="78"/>
        <v>0.82499999999999996</v>
      </c>
      <c r="S393" s="1">
        <v>8</v>
      </c>
      <c r="T393" s="1">
        <v>8</v>
      </c>
      <c r="U393" s="1">
        <f t="shared" si="82"/>
        <v>16</v>
      </c>
      <c r="V393" s="12">
        <f t="shared" si="79"/>
        <v>0.8</v>
      </c>
      <c r="Z393" s="1">
        <f t="shared" si="83"/>
        <v>0</v>
      </c>
      <c r="AB393" s="2" t="s">
        <v>1470</v>
      </c>
    </row>
    <row r="394" spans="1:28" x14ac:dyDescent="0.25">
      <c r="A394" s="1" t="s">
        <v>1666</v>
      </c>
      <c r="B394" s="1" t="s">
        <v>576</v>
      </c>
      <c r="C394" s="1" t="s">
        <v>861</v>
      </c>
      <c r="D394" s="1">
        <v>25</v>
      </c>
      <c r="E394" s="1">
        <v>2</v>
      </c>
      <c r="F394" s="1">
        <v>2</v>
      </c>
      <c r="G394" s="1">
        <v>8</v>
      </c>
      <c r="H394" s="1">
        <v>7</v>
      </c>
      <c r="I394" s="1">
        <v>7</v>
      </c>
      <c r="J394" s="1">
        <v>9</v>
      </c>
      <c r="K394" s="1">
        <f t="shared" si="80"/>
        <v>31</v>
      </c>
      <c r="L394" s="12">
        <f t="shared" si="77"/>
        <v>0.77500000000000002</v>
      </c>
      <c r="M394" s="1">
        <v>7</v>
      </c>
      <c r="N394" s="1">
        <v>6</v>
      </c>
      <c r="O394" s="1">
        <v>6</v>
      </c>
      <c r="P394" s="1">
        <v>8</v>
      </c>
      <c r="Q394" s="1">
        <f t="shared" si="81"/>
        <v>27</v>
      </c>
      <c r="R394" s="12">
        <f t="shared" si="78"/>
        <v>0.67500000000000004</v>
      </c>
      <c r="S394" s="1">
        <v>9</v>
      </c>
      <c r="T394" s="1">
        <v>9</v>
      </c>
      <c r="U394" s="1">
        <f t="shared" si="82"/>
        <v>18</v>
      </c>
      <c r="V394" s="12">
        <f t="shared" si="79"/>
        <v>0.9</v>
      </c>
      <c r="Z394" s="1">
        <f t="shared" si="83"/>
        <v>0</v>
      </c>
      <c r="AB394" s="2" t="s">
        <v>1471</v>
      </c>
    </row>
    <row r="395" spans="1:28" x14ac:dyDescent="0.25">
      <c r="A395" s="1" t="s">
        <v>1666</v>
      </c>
      <c r="B395" s="1" t="s">
        <v>576</v>
      </c>
      <c r="C395" s="1" t="s">
        <v>861</v>
      </c>
      <c r="D395" s="1">
        <v>25</v>
      </c>
      <c r="E395" s="1">
        <v>2</v>
      </c>
      <c r="F395" s="1">
        <v>2</v>
      </c>
      <c r="G395" s="1">
        <v>9</v>
      </c>
      <c r="H395" s="1">
        <v>8</v>
      </c>
      <c r="I395" s="1">
        <v>8</v>
      </c>
      <c r="J395" s="1">
        <v>9</v>
      </c>
      <c r="K395" s="1">
        <f t="shared" si="80"/>
        <v>34</v>
      </c>
      <c r="L395" s="12">
        <f t="shared" si="77"/>
        <v>0.85</v>
      </c>
      <c r="M395" s="1">
        <v>9</v>
      </c>
      <c r="N395" s="1">
        <v>8</v>
      </c>
      <c r="O395" s="1">
        <v>8</v>
      </c>
      <c r="P395" s="1">
        <v>9</v>
      </c>
      <c r="Q395" s="1">
        <f t="shared" si="81"/>
        <v>34</v>
      </c>
      <c r="R395" s="12">
        <f t="shared" si="78"/>
        <v>0.85</v>
      </c>
      <c r="S395" s="1">
        <v>8</v>
      </c>
      <c r="T395" s="1">
        <v>9</v>
      </c>
      <c r="U395" s="1">
        <f t="shared" si="82"/>
        <v>17</v>
      </c>
      <c r="V395" s="12">
        <f t="shared" si="79"/>
        <v>0.85</v>
      </c>
      <c r="Z395" s="1">
        <f t="shared" si="83"/>
        <v>0</v>
      </c>
      <c r="AB395" s="2" t="s">
        <v>1472</v>
      </c>
    </row>
    <row r="396" spans="1:28" x14ac:dyDescent="0.25">
      <c r="A396" s="1" t="s">
        <v>1666</v>
      </c>
      <c r="B396" s="1" t="s">
        <v>576</v>
      </c>
      <c r="C396" s="1" t="s">
        <v>861</v>
      </c>
      <c r="D396" s="1">
        <v>25</v>
      </c>
      <c r="E396" s="1">
        <v>2</v>
      </c>
      <c r="F396" s="1">
        <v>2</v>
      </c>
      <c r="G396" s="1">
        <v>7</v>
      </c>
      <c r="H396" s="1">
        <v>7</v>
      </c>
      <c r="I396" s="1">
        <v>7</v>
      </c>
      <c r="J396" s="1">
        <v>8</v>
      </c>
      <c r="K396" s="1">
        <f t="shared" si="80"/>
        <v>29</v>
      </c>
      <c r="L396" s="12">
        <f t="shared" si="77"/>
        <v>0.72499999999999998</v>
      </c>
      <c r="M396" s="1">
        <v>8</v>
      </c>
      <c r="N396" s="1">
        <v>7</v>
      </c>
      <c r="O396" s="1">
        <v>6</v>
      </c>
      <c r="P396" s="1">
        <v>8</v>
      </c>
      <c r="Q396" s="1">
        <f t="shared" si="81"/>
        <v>29</v>
      </c>
      <c r="R396" s="12">
        <f t="shared" si="78"/>
        <v>0.72499999999999998</v>
      </c>
      <c r="S396" s="1">
        <v>8</v>
      </c>
      <c r="T396" s="1">
        <v>8</v>
      </c>
      <c r="U396" s="1">
        <f t="shared" si="82"/>
        <v>16</v>
      </c>
      <c r="V396" s="12">
        <f t="shared" si="79"/>
        <v>0.8</v>
      </c>
      <c r="Z396" s="1">
        <f t="shared" si="83"/>
        <v>0</v>
      </c>
      <c r="AB396" s="2" t="s">
        <v>1473</v>
      </c>
    </row>
    <row r="397" spans="1:28" x14ac:dyDescent="0.25">
      <c r="A397" s="1" t="s">
        <v>1666</v>
      </c>
      <c r="B397" s="1" t="s">
        <v>576</v>
      </c>
      <c r="C397" s="1" t="s">
        <v>861</v>
      </c>
      <c r="D397" s="1">
        <v>25</v>
      </c>
      <c r="E397" s="1">
        <v>2</v>
      </c>
      <c r="F397" s="1">
        <v>2</v>
      </c>
      <c r="G397" s="1">
        <v>8</v>
      </c>
      <c r="H397" s="1">
        <v>7</v>
      </c>
      <c r="I397" s="1">
        <v>7</v>
      </c>
      <c r="J397" s="1">
        <v>8</v>
      </c>
      <c r="K397" s="1">
        <f t="shared" si="80"/>
        <v>30</v>
      </c>
      <c r="L397" s="12">
        <f t="shared" si="77"/>
        <v>0.75</v>
      </c>
      <c r="M397" s="1">
        <v>7</v>
      </c>
      <c r="N397" s="1">
        <v>7</v>
      </c>
      <c r="O397" s="1">
        <v>6</v>
      </c>
      <c r="P397" s="1">
        <v>7</v>
      </c>
      <c r="Q397" s="1">
        <f t="shared" si="81"/>
        <v>27</v>
      </c>
      <c r="R397" s="12">
        <f t="shared" si="78"/>
        <v>0.67500000000000004</v>
      </c>
      <c r="S397" s="1">
        <v>6</v>
      </c>
      <c r="T397" s="1">
        <v>7</v>
      </c>
      <c r="U397" s="1">
        <f t="shared" si="82"/>
        <v>13</v>
      </c>
      <c r="V397" s="12">
        <f t="shared" si="79"/>
        <v>0.65</v>
      </c>
      <c r="Z397" s="1">
        <f t="shared" si="83"/>
        <v>0</v>
      </c>
      <c r="AB397" s="2" t="s">
        <v>1474</v>
      </c>
    </row>
    <row r="398" spans="1:28" x14ac:dyDescent="0.25">
      <c r="A398" s="1" t="s">
        <v>1666</v>
      </c>
      <c r="B398" s="1" t="s">
        <v>576</v>
      </c>
      <c r="C398" s="1" t="s">
        <v>861</v>
      </c>
      <c r="D398" s="1">
        <v>11</v>
      </c>
      <c r="E398" s="1">
        <v>3</v>
      </c>
      <c r="F398" s="1">
        <v>3</v>
      </c>
      <c r="G398" s="1">
        <v>8</v>
      </c>
      <c r="H398" s="1">
        <v>8</v>
      </c>
      <c r="I398" s="1">
        <v>7</v>
      </c>
      <c r="J398" s="1">
        <v>7</v>
      </c>
      <c r="K398" s="1">
        <f t="shared" si="80"/>
        <v>30</v>
      </c>
      <c r="L398" s="12">
        <f t="shared" si="77"/>
        <v>0.75</v>
      </c>
      <c r="M398" s="1">
        <v>8</v>
      </c>
      <c r="N398" s="1">
        <v>6</v>
      </c>
      <c r="O398" s="1">
        <v>6</v>
      </c>
      <c r="P398" s="1">
        <v>8</v>
      </c>
      <c r="Q398" s="1">
        <f t="shared" si="81"/>
        <v>28</v>
      </c>
      <c r="R398" s="12">
        <f t="shared" si="78"/>
        <v>0.7</v>
      </c>
      <c r="S398" s="1">
        <v>8</v>
      </c>
      <c r="T398" s="1">
        <v>6</v>
      </c>
      <c r="U398" s="1">
        <f t="shared" si="82"/>
        <v>14</v>
      </c>
      <c r="V398" s="12">
        <f t="shared" si="79"/>
        <v>0.7</v>
      </c>
      <c r="Z398" s="1">
        <f t="shared" si="83"/>
        <v>0</v>
      </c>
      <c r="AB398" s="2" t="s">
        <v>1589</v>
      </c>
    </row>
    <row r="399" spans="1:28" x14ac:dyDescent="0.25">
      <c r="A399" s="1" t="s">
        <v>1666</v>
      </c>
      <c r="B399" s="1" t="s">
        <v>576</v>
      </c>
      <c r="C399" s="1" t="s">
        <v>861</v>
      </c>
      <c r="D399" s="1">
        <v>11</v>
      </c>
      <c r="E399" s="1">
        <v>3</v>
      </c>
      <c r="F399" s="1">
        <v>3</v>
      </c>
      <c r="G399" s="1">
        <v>7</v>
      </c>
      <c r="H399" s="1">
        <v>6</v>
      </c>
      <c r="I399" s="1">
        <v>5</v>
      </c>
      <c r="J399" s="1">
        <v>5</v>
      </c>
      <c r="K399" s="1">
        <f t="shared" si="80"/>
        <v>23</v>
      </c>
      <c r="L399" s="12">
        <f t="shared" si="77"/>
        <v>0.57499999999999996</v>
      </c>
      <c r="M399" s="1">
        <v>7</v>
      </c>
      <c r="N399" s="1">
        <v>6</v>
      </c>
      <c r="O399" s="1">
        <v>6</v>
      </c>
      <c r="P399" s="1">
        <v>7</v>
      </c>
      <c r="Q399" s="1">
        <f t="shared" si="81"/>
        <v>26</v>
      </c>
      <c r="R399" s="12">
        <f t="shared" si="78"/>
        <v>0.65</v>
      </c>
      <c r="S399" s="1">
        <v>6</v>
      </c>
      <c r="T399" s="1">
        <v>7</v>
      </c>
      <c r="U399" s="1">
        <f t="shared" si="82"/>
        <v>13</v>
      </c>
      <c r="V399" s="12">
        <f t="shared" si="79"/>
        <v>0.65</v>
      </c>
      <c r="Z399" s="1">
        <f t="shared" si="83"/>
        <v>0</v>
      </c>
      <c r="AB399" s="2" t="s">
        <v>1590</v>
      </c>
    </row>
    <row r="400" spans="1:28" x14ac:dyDescent="0.25">
      <c r="A400" s="1" t="s">
        <v>1666</v>
      </c>
      <c r="B400" s="1" t="s">
        <v>576</v>
      </c>
      <c r="C400" s="1" t="s">
        <v>861</v>
      </c>
      <c r="D400" s="1">
        <v>11</v>
      </c>
      <c r="E400" s="1">
        <v>3</v>
      </c>
      <c r="F400" s="1">
        <v>3</v>
      </c>
      <c r="G400" s="1">
        <v>8</v>
      </c>
      <c r="H400" s="1">
        <v>8</v>
      </c>
      <c r="I400" s="1">
        <v>8</v>
      </c>
      <c r="J400" s="1">
        <v>8</v>
      </c>
      <c r="K400" s="1">
        <f t="shared" si="80"/>
        <v>32</v>
      </c>
      <c r="L400" s="12">
        <f t="shared" si="77"/>
        <v>0.8</v>
      </c>
      <c r="M400" s="1">
        <v>9</v>
      </c>
      <c r="N400" s="1">
        <v>9</v>
      </c>
      <c r="O400" s="1">
        <v>7</v>
      </c>
      <c r="P400" s="1">
        <v>8</v>
      </c>
      <c r="Q400" s="1">
        <f t="shared" si="81"/>
        <v>33</v>
      </c>
      <c r="R400" s="12">
        <f t="shared" si="78"/>
        <v>0.82499999999999996</v>
      </c>
      <c r="S400" s="1">
        <v>7</v>
      </c>
      <c r="T400" s="1">
        <v>7</v>
      </c>
      <c r="U400" s="1">
        <f t="shared" si="82"/>
        <v>14</v>
      </c>
      <c r="V400" s="12">
        <f t="shared" si="79"/>
        <v>0.7</v>
      </c>
      <c r="Z400" s="1">
        <f t="shared" si="83"/>
        <v>0</v>
      </c>
      <c r="AB400" s="2" t="s">
        <v>1591</v>
      </c>
    </row>
    <row r="401" spans="1:28" x14ac:dyDescent="0.25">
      <c r="A401" s="1" t="s">
        <v>1666</v>
      </c>
      <c r="B401" s="1" t="s">
        <v>576</v>
      </c>
      <c r="C401" s="1" t="s">
        <v>861</v>
      </c>
      <c r="D401" s="1">
        <v>11</v>
      </c>
      <c r="E401" s="1">
        <v>3</v>
      </c>
      <c r="F401" s="1">
        <v>3</v>
      </c>
      <c r="G401" s="1">
        <v>8</v>
      </c>
      <c r="H401" s="1">
        <v>6</v>
      </c>
      <c r="I401" s="1">
        <v>7</v>
      </c>
      <c r="J401" s="1">
        <v>4</v>
      </c>
      <c r="K401" s="1">
        <f t="shared" si="80"/>
        <v>25</v>
      </c>
      <c r="L401" s="12">
        <f t="shared" si="77"/>
        <v>0.625</v>
      </c>
      <c r="M401" s="1">
        <v>6</v>
      </c>
      <c r="N401" s="1">
        <v>5</v>
      </c>
      <c r="O401" s="1">
        <v>4</v>
      </c>
      <c r="P401" s="1">
        <v>5</v>
      </c>
      <c r="Q401" s="1">
        <f t="shared" si="81"/>
        <v>20</v>
      </c>
      <c r="R401" s="12">
        <f t="shared" si="78"/>
        <v>0.5</v>
      </c>
      <c r="S401" s="1">
        <v>5</v>
      </c>
      <c r="T401" s="1">
        <v>5</v>
      </c>
      <c r="U401" s="1">
        <f t="shared" si="82"/>
        <v>10</v>
      </c>
      <c r="V401" s="12">
        <f t="shared" si="79"/>
        <v>0.5</v>
      </c>
      <c r="Z401" s="1">
        <f t="shared" si="83"/>
        <v>0</v>
      </c>
      <c r="AB401" s="2" t="s">
        <v>1592</v>
      </c>
    </row>
    <row r="402" spans="1:28" x14ac:dyDescent="0.25">
      <c r="A402" s="1" t="s">
        <v>1666</v>
      </c>
      <c r="B402" s="1" t="s">
        <v>576</v>
      </c>
      <c r="C402" s="1" t="s">
        <v>861</v>
      </c>
      <c r="D402" s="1">
        <v>11</v>
      </c>
      <c r="E402" s="1">
        <v>3</v>
      </c>
      <c r="F402" s="1">
        <v>3</v>
      </c>
      <c r="G402" s="1">
        <v>6</v>
      </c>
      <c r="H402" s="1">
        <v>5</v>
      </c>
      <c r="I402" s="1">
        <v>5</v>
      </c>
      <c r="J402" s="1">
        <v>5</v>
      </c>
      <c r="K402" s="1">
        <f t="shared" si="80"/>
        <v>21</v>
      </c>
      <c r="L402" s="12">
        <f t="shared" si="77"/>
        <v>0.52500000000000002</v>
      </c>
      <c r="M402" s="1">
        <v>6</v>
      </c>
      <c r="N402" s="1">
        <v>6</v>
      </c>
      <c r="O402" s="1">
        <v>4</v>
      </c>
      <c r="P402" s="1">
        <v>6</v>
      </c>
      <c r="Q402" s="1">
        <f t="shared" si="81"/>
        <v>22</v>
      </c>
      <c r="R402" s="12">
        <f t="shared" si="78"/>
        <v>0.55000000000000004</v>
      </c>
      <c r="S402" s="1">
        <v>7</v>
      </c>
      <c r="T402" s="1">
        <v>5</v>
      </c>
      <c r="U402" s="1">
        <f t="shared" si="82"/>
        <v>12</v>
      </c>
      <c r="V402" s="12">
        <f t="shared" si="79"/>
        <v>0.6</v>
      </c>
      <c r="Z402" s="1">
        <f t="shared" si="83"/>
        <v>0</v>
      </c>
      <c r="AB402" s="2" t="s">
        <v>1593</v>
      </c>
    </row>
    <row r="403" spans="1:28" x14ac:dyDescent="0.25">
      <c r="A403" s="1" t="s">
        <v>1666</v>
      </c>
      <c r="B403" s="1" t="s">
        <v>576</v>
      </c>
      <c r="C403" s="1" t="s">
        <v>861</v>
      </c>
      <c r="D403" s="1">
        <v>11</v>
      </c>
      <c r="E403" s="1">
        <v>3</v>
      </c>
      <c r="F403" s="1">
        <v>3</v>
      </c>
      <c r="G403" s="1">
        <v>9</v>
      </c>
      <c r="H403" s="1">
        <v>8</v>
      </c>
      <c r="I403" s="1">
        <v>7</v>
      </c>
      <c r="J403" s="1">
        <v>7</v>
      </c>
      <c r="K403" s="1">
        <f t="shared" si="80"/>
        <v>31</v>
      </c>
      <c r="L403" s="12">
        <f t="shared" si="77"/>
        <v>0.77500000000000002</v>
      </c>
      <c r="M403" s="1">
        <v>9</v>
      </c>
      <c r="N403" s="1">
        <v>9</v>
      </c>
      <c r="O403" s="1">
        <v>8</v>
      </c>
      <c r="P403" s="1">
        <v>8</v>
      </c>
      <c r="Q403" s="1">
        <f t="shared" si="81"/>
        <v>34</v>
      </c>
      <c r="R403" s="12">
        <f t="shared" si="78"/>
        <v>0.85</v>
      </c>
      <c r="S403" s="1">
        <v>7</v>
      </c>
      <c r="T403" s="1">
        <v>6</v>
      </c>
      <c r="U403" s="1">
        <f t="shared" si="82"/>
        <v>13</v>
      </c>
      <c r="V403" s="12">
        <f t="shared" si="79"/>
        <v>0.65</v>
      </c>
      <c r="Z403" s="1">
        <f t="shared" si="83"/>
        <v>0</v>
      </c>
      <c r="AB403" s="2" t="s">
        <v>1594</v>
      </c>
    </row>
    <row r="404" spans="1:28" x14ac:dyDescent="0.25">
      <c r="A404" s="1" t="s">
        <v>1666</v>
      </c>
      <c r="B404" s="1" t="s">
        <v>576</v>
      </c>
      <c r="C404" s="1" t="s">
        <v>861</v>
      </c>
      <c r="D404" s="1">
        <v>11</v>
      </c>
      <c r="E404" s="1">
        <v>3</v>
      </c>
      <c r="F404" s="1">
        <v>3</v>
      </c>
      <c r="G404" s="1">
        <v>9</v>
      </c>
      <c r="H404" s="1">
        <v>8</v>
      </c>
      <c r="I404" s="1">
        <v>7</v>
      </c>
      <c r="J404" s="1">
        <v>8</v>
      </c>
      <c r="K404" s="1">
        <f t="shared" si="80"/>
        <v>32</v>
      </c>
      <c r="L404" s="12">
        <f t="shared" si="77"/>
        <v>0.8</v>
      </c>
      <c r="M404" s="1">
        <v>7</v>
      </c>
      <c r="N404" s="1">
        <v>7</v>
      </c>
      <c r="O404" s="1">
        <v>7</v>
      </c>
      <c r="P404" s="1">
        <v>8</v>
      </c>
      <c r="Q404" s="1">
        <f t="shared" si="81"/>
        <v>29</v>
      </c>
      <c r="R404" s="12">
        <f t="shared" si="78"/>
        <v>0.72499999999999998</v>
      </c>
      <c r="S404" s="1">
        <v>8</v>
      </c>
      <c r="T404" s="1">
        <v>9</v>
      </c>
      <c r="U404" s="1">
        <f t="shared" si="82"/>
        <v>17</v>
      </c>
      <c r="V404" s="12">
        <f t="shared" si="79"/>
        <v>0.85</v>
      </c>
      <c r="Z404" s="1">
        <f t="shared" si="83"/>
        <v>0</v>
      </c>
      <c r="AB404" s="2" t="s">
        <v>1595</v>
      </c>
    </row>
    <row r="405" spans="1:28" x14ac:dyDescent="0.25">
      <c r="A405" s="1" t="s">
        <v>1667</v>
      </c>
      <c r="B405" s="1" t="s">
        <v>35</v>
      </c>
      <c r="C405" s="1" t="s">
        <v>36</v>
      </c>
      <c r="D405" s="1">
        <v>19</v>
      </c>
      <c r="E405" s="1">
        <v>1</v>
      </c>
      <c r="F405" s="1">
        <v>2</v>
      </c>
      <c r="G405" s="1">
        <v>7</v>
      </c>
      <c r="H405" s="1">
        <v>6</v>
      </c>
      <c r="I405" s="1">
        <v>7</v>
      </c>
      <c r="J405" s="1">
        <v>4</v>
      </c>
      <c r="K405" s="1">
        <f t="shared" si="80"/>
        <v>24</v>
      </c>
      <c r="L405" s="12">
        <f t="shared" ref="L405:L425" si="84">K405/35</f>
        <v>0.68571428571428572</v>
      </c>
      <c r="M405" s="1">
        <v>7</v>
      </c>
      <c r="N405" s="1">
        <v>6</v>
      </c>
      <c r="O405" s="1">
        <v>7</v>
      </c>
      <c r="P405" s="1">
        <v>3</v>
      </c>
      <c r="Q405" s="1">
        <f t="shared" si="81"/>
        <v>23</v>
      </c>
      <c r="R405" s="12">
        <f t="shared" ref="R405:R425" si="85">Q405/35</f>
        <v>0.65714285714285714</v>
      </c>
      <c r="S405" s="1">
        <v>6</v>
      </c>
      <c r="T405" s="1">
        <v>5</v>
      </c>
      <c r="U405" s="1">
        <f t="shared" si="82"/>
        <v>11</v>
      </c>
      <c r="V405" s="12">
        <f t="shared" ref="V405:V425" si="86">U405/15</f>
        <v>0.73333333333333328</v>
      </c>
      <c r="W405" s="1">
        <v>4</v>
      </c>
      <c r="X405" s="1">
        <v>3</v>
      </c>
      <c r="Y405" s="1">
        <v>3</v>
      </c>
      <c r="Z405" s="1">
        <f t="shared" si="83"/>
        <v>10</v>
      </c>
      <c r="AA405" s="12">
        <f t="shared" ref="AA405:AA425" si="87">Z405/15</f>
        <v>0.66666666666666663</v>
      </c>
      <c r="AB405" s="2" t="s">
        <v>67</v>
      </c>
    </row>
    <row r="406" spans="1:28" x14ac:dyDescent="0.25">
      <c r="A406" s="1" t="s">
        <v>1667</v>
      </c>
      <c r="B406" s="1" t="s">
        <v>35</v>
      </c>
      <c r="C406" s="1" t="s">
        <v>36</v>
      </c>
      <c r="D406" s="1">
        <v>19</v>
      </c>
      <c r="E406" s="1">
        <v>1</v>
      </c>
      <c r="F406" s="1">
        <v>2</v>
      </c>
      <c r="G406" s="1">
        <v>4</v>
      </c>
      <c r="H406" s="1">
        <v>3</v>
      </c>
      <c r="I406" s="1">
        <v>3</v>
      </c>
      <c r="J406" s="1">
        <v>3</v>
      </c>
      <c r="K406" s="1">
        <f t="shared" si="80"/>
        <v>13</v>
      </c>
      <c r="L406" s="12">
        <f t="shared" si="84"/>
        <v>0.37142857142857144</v>
      </c>
      <c r="M406" s="1">
        <v>4</v>
      </c>
      <c r="N406" s="1">
        <v>4</v>
      </c>
      <c r="O406" s="1">
        <v>4</v>
      </c>
      <c r="P406" s="1">
        <v>3</v>
      </c>
      <c r="Q406" s="1">
        <f t="shared" si="81"/>
        <v>15</v>
      </c>
      <c r="R406" s="12">
        <f t="shared" si="85"/>
        <v>0.42857142857142855</v>
      </c>
      <c r="S406" s="1">
        <v>4</v>
      </c>
      <c r="T406" s="1">
        <v>5</v>
      </c>
      <c r="U406" s="1">
        <f t="shared" si="82"/>
        <v>9</v>
      </c>
      <c r="V406" s="12">
        <f t="shared" si="86"/>
        <v>0.6</v>
      </c>
      <c r="W406" s="1">
        <v>4</v>
      </c>
      <c r="X406" s="1">
        <v>2</v>
      </c>
      <c r="Y406" s="1">
        <v>3</v>
      </c>
      <c r="Z406" s="1">
        <f t="shared" si="83"/>
        <v>9</v>
      </c>
      <c r="AA406" s="12">
        <f t="shared" si="87"/>
        <v>0.6</v>
      </c>
      <c r="AB406" s="2" t="s">
        <v>68</v>
      </c>
    </row>
    <row r="407" spans="1:28" x14ac:dyDescent="0.25">
      <c r="A407" s="1" t="s">
        <v>1667</v>
      </c>
      <c r="B407" s="1" t="s">
        <v>35</v>
      </c>
      <c r="C407" s="1" t="s">
        <v>36</v>
      </c>
      <c r="D407" s="1">
        <v>19</v>
      </c>
      <c r="E407" s="1">
        <v>1</v>
      </c>
      <c r="F407" s="1">
        <v>2</v>
      </c>
      <c r="G407" s="1">
        <v>8</v>
      </c>
      <c r="H407" s="1">
        <v>9</v>
      </c>
      <c r="I407" s="1">
        <v>9</v>
      </c>
      <c r="J407" s="1">
        <v>5</v>
      </c>
      <c r="K407" s="1">
        <f t="shared" si="80"/>
        <v>31</v>
      </c>
      <c r="L407" s="12">
        <f t="shared" si="84"/>
        <v>0.88571428571428568</v>
      </c>
      <c r="M407" s="1">
        <v>9</v>
      </c>
      <c r="N407" s="1">
        <v>8</v>
      </c>
      <c r="O407" s="1">
        <v>8</v>
      </c>
      <c r="P407" s="1">
        <v>5</v>
      </c>
      <c r="Q407" s="1">
        <f t="shared" si="81"/>
        <v>30</v>
      </c>
      <c r="R407" s="12">
        <f t="shared" si="85"/>
        <v>0.8571428571428571</v>
      </c>
      <c r="S407" s="1">
        <v>8</v>
      </c>
      <c r="T407" s="1">
        <v>5</v>
      </c>
      <c r="U407" s="1">
        <f t="shared" si="82"/>
        <v>13</v>
      </c>
      <c r="V407" s="12">
        <f t="shared" si="86"/>
        <v>0.8666666666666667</v>
      </c>
      <c r="W407" s="1">
        <v>5</v>
      </c>
      <c r="X407" s="1">
        <v>4</v>
      </c>
      <c r="Y407" s="1">
        <v>5</v>
      </c>
      <c r="Z407" s="1">
        <f t="shared" si="83"/>
        <v>14</v>
      </c>
      <c r="AA407" s="12">
        <f t="shared" si="87"/>
        <v>0.93333333333333335</v>
      </c>
      <c r="AB407" s="2" t="s">
        <v>69</v>
      </c>
    </row>
    <row r="408" spans="1:28" x14ac:dyDescent="0.25">
      <c r="A408" s="1" t="s">
        <v>1667</v>
      </c>
      <c r="B408" s="1" t="s">
        <v>35</v>
      </c>
      <c r="C408" s="1" t="s">
        <v>36</v>
      </c>
      <c r="D408" s="1">
        <v>19</v>
      </c>
      <c r="E408" s="1">
        <v>1</v>
      </c>
      <c r="F408" s="1">
        <v>2</v>
      </c>
      <c r="G408" s="1">
        <v>7</v>
      </c>
      <c r="H408" s="1">
        <v>6</v>
      </c>
      <c r="I408" s="1">
        <v>6</v>
      </c>
      <c r="J408" s="1">
        <v>4</v>
      </c>
      <c r="K408" s="1">
        <f t="shared" si="80"/>
        <v>23</v>
      </c>
      <c r="L408" s="12">
        <f t="shared" si="84"/>
        <v>0.65714285714285714</v>
      </c>
      <c r="M408" s="1">
        <v>7</v>
      </c>
      <c r="N408" s="1">
        <v>7</v>
      </c>
      <c r="O408" s="1">
        <v>6</v>
      </c>
      <c r="P408" s="1">
        <v>4</v>
      </c>
      <c r="Q408" s="1">
        <f t="shared" si="81"/>
        <v>24</v>
      </c>
      <c r="R408" s="12">
        <f t="shared" si="85"/>
        <v>0.68571428571428572</v>
      </c>
      <c r="S408" s="1">
        <v>7</v>
      </c>
      <c r="T408" s="1">
        <v>3</v>
      </c>
      <c r="U408" s="1">
        <f t="shared" si="82"/>
        <v>10</v>
      </c>
      <c r="V408" s="12">
        <f t="shared" si="86"/>
        <v>0.66666666666666663</v>
      </c>
      <c r="W408" s="1">
        <v>5</v>
      </c>
      <c r="X408" s="1">
        <v>4</v>
      </c>
      <c r="Y408" s="1">
        <v>3</v>
      </c>
      <c r="Z408" s="1">
        <f t="shared" si="83"/>
        <v>12</v>
      </c>
      <c r="AA408" s="12">
        <f t="shared" si="87"/>
        <v>0.8</v>
      </c>
      <c r="AB408" s="2" t="s">
        <v>70</v>
      </c>
    </row>
    <row r="409" spans="1:28" x14ac:dyDescent="0.25">
      <c r="A409" s="1" t="s">
        <v>1667</v>
      </c>
      <c r="B409" s="1" t="s">
        <v>35</v>
      </c>
      <c r="C409" s="1" t="s">
        <v>36</v>
      </c>
      <c r="D409" s="1">
        <v>19</v>
      </c>
      <c r="E409" s="1">
        <v>1</v>
      </c>
      <c r="F409" s="1">
        <v>2</v>
      </c>
      <c r="G409" s="1">
        <v>6</v>
      </c>
      <c r="H409" s="1">
        <v>7</v>
      </c>
      <c r="I409" s="1">
        <v>6</v>
      </c>
      <c r="J409" s="1">
        <v>4</v>
      </c>
      <c r="K409" s="1">
        <f t="shared" si="80"/>
        <v>23</v>
      </c>
      <c r="L409" s="12">
        <f t="shared" si="84"/>
        <v>0.65714285714285714</v>
      </c>
      <c r="M409" s="1">
        <v>7</v>
      </c>
      <c r="N409" s="1">
        <v>6</v>
      </c>
      <c r="O409" s="1">
        <v>5</v>
      </c>
      <c r="P409" s="1">
        <v>3</v>
      </c>
      <c r="Q409" s="1">
        <f t="shared" si="81"/>
        <v>21</v>
      </c>
      <c r="R409" s="12">
        <f t="shared" si="85"/>
        <v>0.6</v>
      </c>
      <c r="S409" s="1">
        <v>5</v>
      </c>
      <c r="T409" s="1">
        <v>4</v>
      </c>
      <c r="U409" s="1">
        <f t="shared" si="82"/>
        <v>9</v>
      </c>
      <c r="V409" s="12">
        <f t="shared" si="86"/>
        <v>0.6</v>
      </c>
      <c r="W409" s="1">
        <v>3</v>
      </c>
      <c r="X409" s="1">
        <v>2</v>
      </c>
      <c r="Y409" s="1">
        <v>3</v>
      </c>
      <c r="Z409" s="1">
        <f t="shared" si="83"/>
        <v>8</v>
      </c>
      <c r="AA409" s="12">
        <f t="shared" si="87"/>
        <v>0.53333333333333333</v>
      </c>
      <c r="AB409" s="2" t="s">
        <v>71</v>
      </c>
    </row>
    <row r="410" spans="1:28" x14ac:dyDescent="0.25">
      <c r="A410" s="1" t="s">
        <v>1667</v>
      </c>
      <c r="B410" s="1" t="s">
        <v>35</v>
      </c>
      <c r="C410" s="1" t="s">
        <v>36</v>
      </c>
      <c r="D410" s="1">
        <v>19</v>
      </c>
      <c r="E410" s="1">
        <v>1</v>
      </c>
      <c r="F410" s="1">
        <v>2</v>
      </c>
      <c r="G410" s="1">
        <v>4</v>
      </c>
      <c r="H410" s="1">
        <v>3</v>
      </c>
      <c r="I410" s="1">
        <v>2</v>
      </c>
      <c r="J410" s="1">
        <v>2</v>
      </c>
      <c r="K410" s="1">
        <f t="shared" si="80"/>
        <v>11</v>
      </c>
      <c r="L410" s="12">
        <f t="shared" si="84"/>
        <v>0.31428571428571428</v>
      </c>
      <c r="M410" s="1">
        <v>4</v>
      </c>
      <c r="N410" s="1">
        <v>3</v>
      </c>
      <c r="O410" s="1">
        <v>2</v>
      </c>
      <c r="P410" s="1">
        <v>2</v>
      </c>
      <c r="Q410" s="1">
        <f t="shared" si="81"/>
        <v>11</v>
      </c>
      <c r="R410" s="12">
        <f t="shared" si="85"/>
        <v>0.31428571428571428</v>
      </c>
      <c r="S410" s="1">
        <v>4</v>
      </c>
      <c r="T410" s="1">
        <v>2</v>
      </c>
      <c r="U410" s="1">
        <f t="shared" si="82"/>
        <v>6</v>
      </c>
      <c r="V410" s="12">
        <f t="shared" si="86"/>
        <v>0.4</v>
      </c>
      <c r="W410" s="1">
        <v>2</v>
      </c>
      <c r="X410" s="1">
        <v>2</v>
      </c>
      <c r="Y410" s="1">
        <v>2</v>
      </c>
      <c r="Z410" s="1">
        <f t="shared" si="83"/>
        <v>6</v>
      </c>
      <c r="AA410" s="12">
        <f t="shared" si="87"/>
        <v>0.4</v>
      </c>
      <c r="AB410" s="2" t="s">
        <v>72</v>
      </c>
    </row>
    <row r="411" spans="1:28" x14ac:dyDescent="0.25">
      <c r="A411" s="1" t="s">
        <v>1667</v>
      </c>
      <c r="B411" s="1" t="s">
        <v>35</v>
      </c>
      <c r="C411" s="1" t="s">
        <v>36</v>
      </c>
      <c r="D411" s="1">
        <v>19</v>
      </c>
      <c r="E411" s="1">
        <v>1</v>
      </c>
      <c r="F411" s="1">
        <v>2</v>
      </c>
      <c r="G411" s="1">
        <v>3</v>
      </c>
      <c r="H411" s="1">
        <v>3</v>
      </c>
      <c r="I411" s="1">
        <v>2</v>
      </c>
      <c r="J411" s="1">
        <v>2</v>
      </c>
      <c r="K411" s="1">
        <f t="shared" si="80"/>
        <v>10</v>
      </c>
      <c r="L411" s="12">
        <f t="shared" si="84"/>
        <v>0.2857142857142857</v>
      </c>
      <c r="M411" s="1">
        <v>2</v>
      </c>
      <c r="N411" s="1">
        <v>2</v>
      </c>
      <c r="O411" s="1">
        <v>2</v>
      </c>
      <c r="P411" s="1">
        <v>2</v>
      </c>
      <c r="Q411" s="1">
        <f t="shared" si="81"/>
        <v>8</v>
      </c>
      <c r="R411" s="12">
        <f t="shared" si="85"/>
        <v>0.22857142857142856</v>
      </c>
      <c r="S411" s="1">
        <v>3</v>
      </c>
      <c r="T411" s="1">
        <v>2</v>
      </c>
      <c r="U411" s="1">
        <f t="shared" si="82"/>
        <v>5</v>
      </c>
      <c r="V411" s="12">
        <f t="shared" si="86"/>
        <v>0.33333333333333331</v>
      </c>
      <c r="W411" s="1">
        <v>2</v>
      </c>
      <c r="X411" s="1">
        <v>3</v>
      </c>
      <c r="Y411" s="1">
        <v>3</v>
      </c>
      <c r="Z411" s="1">
        <f t="shared" si="83"/>
        <v>8</v>
      </c>
      <c r="AA411" s="12">
        <f t="shared" si="87"/>
        <v>0.53333333333333333</v>
      </c>
      <c r="AB411" s="2" t="s">
        <v>73</v>
      </c>
    </row>
    <row r="412" spans="1:28" x14ac:dyDescent="0.25">
      <c r="A412" s="1" t="s">
        <v>1667</v>
      </c>
      <c r="B412" s="1" t="s">
        <v>35</v>
      </c>
      <c r="C412" s="1" t="s">
        <v>36</v>
      </c>
      <c r="D412" s="1">
        <v>19</v>
      </c>
      <c r="E412" s="1">
        <v>1</v>
      </c>
      <c r="F412" s="1">
        <v>2</v>
      </c>
      <c r="G412" s="1">
        <v>7</v>
      </c>
      <c r="H412" s="1">
        <v>8</v>
      </c>
      <c r="I412" s="1">
        <v>8</v>
      </c>
      <c r="J412" s="1">
        <v>5</v>
      </c>
      <c r="K412" s="1">
        <f t="shared" si="80"/>
        <v>28</v>
      </c>
      <c r="L412" s="12">
        <f t="shared" si="84"/>
        <v>0.8</v>
      </c>
      <c r="M412" s="1">
        <v>9</v>
      </c>
      <c r="N412" s="1">
        <v>7</v>
      </c>
      <c r="O412" s="1">
        <v>7</v>
      </c>
      <c r="P412" s="1">
        <v>4</v>
      </c>
      <c r="Q412" s="1">
        <f t="shared" si="81"/>
        <v>27</v>
      </c>
      <c r="R412" s="12">
        <f t="shared" si="85"/>
        <v>0.77142857142857146</v>
      </c>
      <c r="S412" s="1">
        <v>7</v>
      </c>
      <c r="T412" s="1">
        <v>4</v>
      </c>
      <c r="U412" s="1">
        <f t="shared" si="82"/>
        <v>11</v>
      </c>
      <c r="V412" s="12">
        <f t="shared" si="86"/>
        <v>0.73333333333333328</v>
      </c>
      <c r="W412" s="1">
        <v>5</v>
      </c>
      <c r="X412" s="1">
        <v>5</v>
      </c>
      <c r="Y412" s="1">
        <v>5</v>
      </c>
      <c r="Z412" s="1">
        <f t="shared" si="83"/>
        <v>15</v>
      </c>
      <c r="AA412" s="12">
        <f t="shared" si="87"/>
        <v>1</v>
      </c>
      <c r="AB412" s="2" t="s">
        <v>74</v>
      </c>
    </row>
    <row r="413" spans="1:28" x14ac:dyDescent="0.25">
      <c r="A413" s="1" t="s">
        <v>1667</v>
      </c>
      <c r="B413" s="1" t="s">
        <v>35</v>
      </c>
      <c r="C413" s="1" t="s">
        <v>36</v>
      </c>
      <c r="D413" s="1">
        <v>20</v>
      </c>
      <c r="E413" s="1">
        <v>2</v>
      </c>
      <c r="F413" s="1">
        <v>6</v>
      </c>
      <c r="G413" s="1">
        <v>6</v>
      </c>
      <c r="H413" s="1">
        <v>6</v>
      </c>
      <c r="I413" s="1">
        <v>6</v>
      </c>
      <c r="J413" s="1">
        <v>5</v>
      </c>
      <c r="K413" s="1">
        <f t="shared" si="80"/>
        <v>23</v>
      </c>
      <c r="L413" s="12">
        <f t="shared" si="84"/>
        <v>0.65714285714285714</v>
      </c>
      <c r="M413" s="1">
        <v>6</v>
      </c>
      <c r="N413" s="1">
        <v>5</v>
      </c>
      <c r="O413" s="1">
        <v>5</v>
      </c>
      <c r="P413" s="1">
        <v>4</v>
      </c>
      <c r="Q413" s="1">
        <f t="shared" si="81"/>
        <v>20</v>
      </c>
      <c r="R413" s="12">
        <f t="shared" si="85"/>
        <v>0.5714285714285714</v>
      </c>
      <c r="S413" s="1">
        <v>5</v>
      </c>
      <c r="T413" s="1">
        <v>5</v>
      </c>
      <c r="U413" s="1">
        <f t="shared" si="82"/>
        <v>10</v>
      </c>
      <c r="V413" s="12">
        <f t="shared" si="86"/>
        <v>0.66666666666666663</v>
      </c>
      <c r="W413" s="1">
        <v>4</v>
      </c>
      <c r="X413" s="1">
        <v>4</v>
      </c>
      <c r="Y413" s="1">
        <v>5</v>
      </c>
      <c r="Z413" s="1">
        <f t="shared" si="83"/>
        <v>13</v>
      </c>
      <c r="AA413" s="12">
        <f t="shared" si="87"/>
        <v>0.8666666666666667</v>
      </c>
      <c r="AB413" s="2" t="s">
        <v>373</v>
      </c>
    </row>
    <row r="414" spans="1:28" x14ac:dyDescent="0.25">
      <c r="A414" s="1" t="s">
        <v>1667</v>
      </c>
      <c r="B414" s="1" t="s">
        <v>35</v>
      </c>
      <c r="C414" s="1" t="s">
        <v>36</v>
      </c>
      <c r="D414" s="1">
        <v>20</v>
      </c>
      <c r="E414" s="1">
        <v>2</v>
      </c>
      <c r="F414" s="1">
        <v>6</v>
      </c>
      <c r="G414" s="1">
        <v>4</v>
      </c>
      <c r="H414" s="1">
        <v>4</v>
      </c>
      <c r="I414" s="1">
        <v>3</v>
      </c>
      <c r="J414" s="1">
        <v>3</v>
      </c>
      <c r="K414" s="1">
        <f t="shared" si="80"/>
        <v>14</v>
      </c>
      <c r="L414" s="12">
        <f t="shared" si="84"/>
        <v>0.4</v>
      </c>
      <c r="M414" s="1">
        <v>4</v>
      </c>
      <c r="N414" s="1">
        <v>3</v>
      </c>
      <c r="O414" s="1">
        <v>3</v>
      </c>
      <c r="P414" s="1">
        <v>3</v>
      </c>
      <c r="Q414" s="1">
        <f t="shared" si="81"/>
        <v>13</v>
      </c>
      <c r="R414" s="12">
        <f t="shared" si="85"/>
        <v>0.37142857142857144</v>
      </c>
      <c r="S414" s="1">
        <v>3</v>
      </c>
      <c r="T414" s="1">
        <v>3</v>
      </c>
      <c r="U414" s="1">
        <f t="shared" si="82"/>
        <v>6</v>
      </c>
      <c r="V414" s="12">
        <f t="shared" si="86"/>
        <v>0.4</v>
      </c>
      <c r="W414" s="1">
        <v>3</v>
      </c>
      <c r="X414" s="1">
        <v>2</v>
      </c>
      <c r="Y414" s="1">
        <v>3</v>
      </c>
      <c r="Z414" s="1">
        <f t="shared" si="83"/>
        <v>8</v>
      </c>
      <c r="AA414" s="12">
        <f t="shared" si="87"/>
        <v>0.53333333333333333</v>
      </c>
      <c r="AB414" s="2" t="s">
        <v>374</v>
      </c>
    </row>
    <row r="415" spans="1:28" x14ac:dyDescent="0.25">
      <c r="A415" s="1" t="s">
        <v>1667</v>
      </c>
      <c r="B415" s="1" t="s">
        <v>35</v>
      </c>
      <c r="C415" s="1" t="s">
        <v>36</v>
      </c>
      <c r="D415" s="1">
        <v>20</v>
      </c>
      <c r="E415" s="1">
        <v>2</v>
      </c>
      <c r="F415" s="1">
        <v>6</v>
      </c>
      <c r="G415" s="1">
        <v>7</v>
      </c>
      <c r="H415" s="1">
        <v>8</v>
      </c>
      <c r="I415" s="1">
        <v>9</v>
      </c>
      <c r="J415" s="1">
        <v>5</v>
      </c>
      <c r="K415" s="1">
        <f t="shared" si="80"/>
        <v>29</v>
      </c>
      <c r="L415" s="12">
        <f t="shared" si="84"/>
        <v>0.82857142857142863</v>
      </c>
      <c r="M415" s="1">
        <v>8</v>
      </c>
      <c r="N415" s="1">
        <v>7</v>
      </c>
      <c r="O415" s="1">
        <v>6</v>
      </c>
      <c r="P415" s="1">
        <v>4</v>
      </c>
      <c r="Q415" s="1">
        <f t="shared" si="81"/>
        <v>25</v>
      </c>
      <c r="R415" s="12">
        <f t="shared" si="85"/>
        <v>0.7142857142857143</v>
      </c>
      <c r="S415" s="1">
        <v>8</v>
      </c>
      <c r="T415" s="1">
        <v>5</v>
      </c>
      <c r="U415" s="1">
        <f t="shared" si="82"/>
        <v>13</v>
      </c>
      <c r="V415" s="12">
        <f t="shared" si="86"/>
        <v>0.8666666666666667</v>
      </c>
      <c r="W415" s="1">
        <v>5</v>
      </c>
      <c r="X415" s="1">
        <v>4</v>
      </c>
      <c r="Y415" s="1">
        <v>4</v>
      </c>
      <c r="Z415" s="1">
        <f t="shared" si="83"/>
        <v>13</v>
      </c>
      <c r="AA415" s="12">
        <f t="shared" si="87"/>
        <v>0.8666666666666667</v>
      </c>
      <c r="AB415" s="2" t="s">
        <v>375</v>
      </c>
    </row>
    <row r="416" spans="1:28" x14ac:dyDescent="0.25">
      <c r="A416" s="1" t="s">
        <v>1667</v>
      </c>
      <c r="B416" s="1" t="s">
        <v>35</v>
      </c>
      <c r="C416" s="1" t="s">
        <v>36</v>
      </c>
      <c r="D416" s="1">
        <v>20</v>
      </c>
      <c r="E416" s="1">
        <v>2</v>
      </c>
      <c r="F416" s="1">
        <v>6</v>
      </c>
      <c r="G416" s="1">
        <v>8</v>
      </c>
      <c r="H416" s="1">
        <v>9</v>
      </c>
      <c r="I416" s="1">
        <v>9</v>
      </c>
      <c r="J416" s="1">
        <v>5</v>
      </c>
      <c r="K416" s="1">
        <f t="shared" si="80"/>
        <v>31</v>
      </c>
      <c r="L416" s="12">
        <f t="shared" si="84"/>
        <v>0.88571428571428568</v>
      </c>
      <c r="M416" s="1">
        <v>8</v>
      </c>
      <c r="N416" s="1">
        <v>9</v>
      </c>
      <c r="O416" s="1">
        <v>8</v>
      </c>
      <c r="P416" s="1">
        <v>5</v>
      </c>
      <c r="Q416" s="1">
        <f t="shared" si="81"/>
        <v>30</v>
      </c>
      <c r="R416" s="12">
        <f t="shared" si="85"/>
        <v>0.8571428571428571</v>
      </c>
      <c r="S416" s="1">
        <v>9</v>
      </c>
      <c r="T416" s="1">
        <v>5</v>
      </c>
      <c r="U416" s="1">
        <f t="shared" si="82"/>
        <v>14</v>
      </c>
      <c r="V416" s="12">
        <f t="shared" si="86"/>
        <v>0.93333333333333335</v>
      </c>
      <c r="W416" s="1">
        <v>5</v>
      </c>
      <c r="X416" s="1">
        <v>2</v>
      </c>
      <c r="Y416" s="1">
        <v>3</v>
      </c>
      <c r="Z416" s="1">
        <f t="shared" si="83"/>
        <v>10</v>
      </c>
      <c r="AA416" s="12">
        <f t="shared" si="87"/>
        <v>0.66666666666666663</v>
      </c>
      <c r="AB416" s="2" t="s">
        <v>376</v>
      </c>
    </row>
    <row r="417" spans="1:28" x14ac:dyDescent="0.25">
      <c r="A417" s="1" t="s">
        <v>1667</v>
      </c>
      <c r="B417" s="1" t="s">
        <v>35</v>
      </c>
      <c r="C417" s="1" t="s">
        <v>36</v>
      </c>
      <c r="D417" s="1">
        <v>20</v>
      </c>
      <c r="E417" s="1">
        <v>2</v>
      </c>
      <c r="F417" s="1">
        <v>6</v>
      </c>
      <c r="G417" s="1">
        <v>6</v>
      </c>
      <c r="H417" s="1">
        <v>5</v>
      </c>
      <c r="I417" s="1">
        <v>6</v>
      </c>
      <c r="J417" s="1">
        <v>4</v>
      </c>
      <c r="K417" s="1">
        <f t="shared" si="80"/>
        <v>21</v>
      </c>
      <c r="L417" s="12">
        <f t="shared" si="84"/>
        <v>0.6</v>
      </c>
      <c r="M417" s="1">
        <v>6</v>
      </c>
      <c r="N417" s="1">
        <v>5</v>
      </c>
      <c r="O417" s="1">
        <v>5</v>
      </c>
      <c r="P417" s="1">
        <v>4</v>
      </c>
      <c r="Q417" s="1">
        <f t="shared" si="81"/>
        <v>20</v>
      </c>
      <c r="R417" s="12">
        <f t="shared" si="85"/>
        <v>0.5714285714285714</v>
      </c>
      <c r="S417" s="1">
        <v>6</v>
      </c>
      <c r="T417" s="1">
        <v>3</v>
      </c>
      <c r="U417" s="1">
        <f t="shared" si="82"/>
        <v>9</v>
      </c>
      <c r="V417" s="12">
        <f t="shared" si="86"/>
        <v>0.6</v>
      </c>
      <c r="W417" s="1">
        <v>4</v>
      </c>
      <c r="X417" s="1">
        <v>3</v>
      </c>
      <c r="Y417" s="1">
        <v>3</v>
      </c>
      <c r="Z417" s="1">
        <f t="shared" si="83"/>
        <v>10</v>
      </c>
      <c r="AA417" s="12">
        <f t="shared" si="87"/>
        <v>0.66666666666666663</v>
      </c>
      <c r="AB417" s="2" t="s">
        <v>377</v>
      </c>
    </row>
    <row r="418" spans="1:28" x14ac:dyDescent="0.25">
      <c r="A418" s="1" t="s">
        <v>1667</v>
      </c>
      <c r="B418" s="1" t="s">
        <v>35</v>
      </c>
      <c r="C418" s="1" t="s">
        <v>36</v>
      </c>
      <c r="D418" s="1">
        <v>20</v>
      </c>
      <c r="E418" s="1">
        <v>2</v>
      </c>
      <c r="F418" s="1">
        <v>6</v>
      </c>
      <c r="G418" s="1">
        <v>5</v>
      </c>
      <c r="H418" s="1">
        <v>4</v>
      </c>
      <c r="I418" s="1">
        <v>4</v>
      </c>
      <c r="J418" s="1">
        <v>3</v>
      </c>
      <c r="K418" s="1">
        <f t="shared" si="80"/>
        <v>16</v>
      </c>
      <c r="L418" s="12">
        <f t="shared" si="84"/>
        <v>0.45714285714285713</v>
      </c>
      <c r="M418" s="1">
        <v>4</v>
      </c>
      <c r="N418" s="1">
        <v>4</v>
      </c>
      <c r="O418" s="1">
        <v>4</v>
      </c>
      <c r="P418" s="1">
        <v>3</v>
      </c>
      <c r="Q418" s="1">
        <f t="shared" si="81"/>
        <v>15</v>
      </c>
      <c r="R418" s="12">
        <f t="shared" si="85"/>
        <v>0.42857142857142855</v>
      </c>
      <c r="S418" s="1">
        <v>5</v>
      </c>
      <c r="T418" s="1">
        <v>2</v>
      </c>
      <c r="U418" s="1">
        <f t="shared" si="82"/>
        <v>7</v>
      </c>
      <c r="V418" s="12">
        <f t="shared" si="86"/>
        <v>0.46666666666666667</v>
      </c>
      <c r="W418" s="1">
        <v>3</v>
      </c>
      <c r="X418" s="1">
        <v>2</v>
      </c>
      <c r="Y418" s="1">
        <v>3</v>
      </c>
      <c r="Z418" s="1">
        <f t="shared" si="83"/>
        <v>8</v>
      </c>
      <c r="AA418" s="12">
        <f t="shared" si="87"/>
        <v>0.53333333333333333</v>
      </c>
      <c r="AB418" s="2" t="s">
        <v>378</v>
      </c>
    </row>
    <row r="419" spans="1:28" x14ac:dyDescent="0.25">
      <c r="A419" s="1" t="s">
        <v>1667</v>
      </c>
      <c r="B419" s="1" t="s">
        <v>35</v>
      </c>
      <c r="C419" s="1" t="s">
        <v>36</v>
      </c>
      <c r="D419" s="1">
        <v>20</v>
      </c>
      <c r="E419" s="1">
        <v>2</v>
      </c>
      <c r="F419" s="1">
        <v>6</v>
      </c>
      <c r="G419" s="1">
        <v>4</v>
      </c>
      <c r="H419" s="1">
        <v>3</v>
      </c>
      <c r="I419" s="1">
        <v>3</v>
      </c>
      <c r="J419" s="1">
        <v>2</v>
      </c>
      <c r="K419" s="1">
        <f t="shared" si="80"/>
        <v>12</v>
      </c>
      <c r="L419" s="12">
        <f t="shared" si="84"/>
        <v>0.34285714285714286</v>
      </c>
      <c r="M419" s="1">
        <v>6</v>
      </c>
      <c r="N419" s="1">
        <v>6</v>
      </c>
      <c r="O419" s="1">
        <v>4</v>
      </c>
      <c r="P419" s="1">
        <v>4</v>
      </c>
      <c r="Q419" s="1">
        <f t="shared" si="81"/>
        <v>20</v>
      </c>
      <c r="R419" s="12">
        <f t="shared" si="85"/>
        <v>0.5714285714285714</v>
      </c>
      <c r="S419" s="1">
        <v>4</v>
      </c>
      <c r="T419" s="1">
        <v>3</v>
      </c>
      <c r="U419" s="1">
        <f t="shared" si="82"/>
        <v>7</v>
      </c>
      <c r="V419" s="12">
        <f t="shared" si="86"/>
        <v>0.46666666666666667</v>
      </c>
      <c r="W419" s="1">
        <v>3</v>
      </c>
      <c r="X419" s="1">
        <v>2</v>
      </c>
      <c r="Y419" s="1">
        <v>2</v>
      </c>
      <c r="Z419" s="1">
        <f t="shared" si="83"/>
        <v>7</v>
      </c>
      <c r="AA419" s="12">
        <f t="shared" si="87"/>
        <v>0.46666666666666667</v>
      </c>
      <c r="AB419" s="2" t="s">
        <v>379</v>
      </c>
    </row>
    <row r="420" spans="1:28" x14ac:dyDescent="0.25">
      <c r="A420" s="1" t="s">
        <v>1667</v>
      </c>
      <c r="B420" s="1" t="s">
        <v>35</v>
      </c>
      <c r="C420" s="1" t="s">
        <v>36</v>
      </c>
      <c r="D420" s="1">
        <v>20</v>
      </c>
      <c r="E420" s="1">
        <v>2</v>
      </c>
      <c r="F420" s="1">
        <v>6</v>
      </c>
      <c r="G420" s="1">
        <v>6</v>
      </c>
      <c r="H420" s="1">
        <v>5</v>
      </c>
      <c r="I420" s="1">
        <v>6</v>
      </c>
      <c r="J420" s="1">
        <v>3</v>
      </c>
      <c r="K420" s="1">
        <f t="shared" si="80"/>
        <v>20</v>
      </c>
      <c r="L420" s="12">
        <f t="shared" si="84"/>
        <v>0.5714285714285714</v>
      </c>
      <c r="M420" s="1">
        <v>7</v>
      </c>
      <c r="N420" s="1">
        <v>6</v>
      </c>
      <c r="O420" s="1">
        <v>6</v>
      </c>
      <c r="P420" s="1">
        <v>4</v>
      </c>
      <c r="Q420" s="1">
        <f t="shared" si="81"/>
        <v>23</v>
      </c>
      <c r="R420" s="12">
        <f t="shared" si="85"/>
        <v>0.65714285714285714</v>
      </c>
      <c r="S420" s="1">
        <v>6</v>
      </c>
      <c r="T420" s="1">
        <v>4</v>
      </c>
      <c r="U420" s="1">
        <f t="shared" si="82"/>
        <v>10</v>
      </c>
      <c r="V420" s="12">
        <f t="shared" si="86"/>
        <v>0.66666666666666663</v>
      </c>
      <c r="W420" s="1">
        <v>4</v>
      </c>
      <c r="X420" s="1">
        <v>4</v>
      </c>
      <c r="Y420" s="1">
        <v>4</v>
      </c>
      <c r="Z420" s="1">
        <f t="shared" si="83"/>
        <v>12</v>
      </c>
      <c r="AA420" s="12">
        <f t="shared" si="87"/>
        <v>0.8</v>
      </c>
      <c r="AB420" s="2" t="s">
        <v>380</v>
      </c>
    </row>
    <row r="421" spans="1:28" x14ac:dyDescent="0.25">
      <c r="A421" s="1" t="s">
        <v>1667</v>
      </c>
      <c r="B421" s="1" t="s">
        <v>576</v>
      </c>
      <c r="C421" s="1" t="s">
        <v>36</v>
      </c>
      <c r="D421" s="1">
        <v>27</v>
      </c>
      <c r="E421" s="1">
        <v>2</v>
      </c>
      <c r="F421" s="1">
        <v>5</v>
      </c>
      <c r="G421" s="1">
        <v>6</v>
      </c>
      <c r="H421" s="1">
        <v>5</v>
      </c>
      <c r="I421" s="1">
        <v>6</v>
      </c>
      <c r="J421" s="1">
        <v>4</v>
      </c>
      <c r="K421" s="1">
        <f t="shared" si="80"/>
        <v>21</v>
      </c>
      <c r="L421" s="12">
        <f t="shared" si="84"/>
        <v>0.6</v>
      </c>
      <c r="M421" s="1">
        <v>7</v>
      </c>
      <c r="N421" s="1">
        <v>6</v>
      </c>
      <c r="O421" s="1">
        <v>5</v>
      </c>
      <c r="P421" s="1">
        <v>4</v>
      </c>
      <c r="Q421" s="1">
        <f t="shared" si="81"/>
        <v>22</v>
      </c>
      <c r="R421" s="12">
        <f t="shared" si="85"/>
        <v>0.62857142857142856</v>
      </c>
      <c r="S421" s="1">
        <v>7</v>
      </c>
      <c r="T421" s="1">
        <v>4</v>
      </c>
      <c r="U421" s="1">
        <f t="shared" si="82"/>
        <v>11</v>
      </c>
      <c r="V421" s="12">
        <f t="shared" si="86"/>
        <v>0.73333333333333328</v>
      </c>
      <c r="W421" s="1">
        <v>5</v>
      </c>
      <c r="X421" s="1">
        <v>5</v>
      </c>
      <c r="Y421" s="1">
        <v>5</v>
      </c>
      <c r="Z421" s="1">
        <f t="shared" si="83"/>
        <v>15</v>
      </c>
      <c r="AA421" s="12">
        <f t="shared" si="87"/>
        <v>1</v>
      </c>
      <c r="AB421" s="2" t="s">
        <v>737</v>
      </c>
    </row>
    <row r="422" spans="1:28" x14ac:dyDescent="0.25">
      <c r="A422" s="1" t="s">
        <v>1667</v>
      </c>
      <c r="B422" s="1" t="s">
        <v>576</v>
      </c>
      <c r="C422" s="1" t="s">
        <v>36</v>
      </c>
      <c r="D422" s="1">
        <v>27</v>
      </c>
      <c r="E422" s="1">
        <v>2</v>
      </c>
      <c r="F422" s="1">
        <v>5</v>
      </c>
      <c r="G422" s="1">
        <v>7</v>
      </c>
      <c r="H422" s="1">
        <v>7</v>
      </c>
      <c r="I422" s="1">
        <v>8</v>
      </c>
      <c r="J422" s="1">
        <v>5</v>
      </c>
      <c r="K422" s="1">
        <f t="shared" si="80"/>
        <v>27</v>
      </c>
      <c r="L422" s="12">
        <f t="shared" si="84"/>
        <v>0.77142857142857146</v>
      </c>
      <c r="M422" s="1">
        <v>7</v>
      </c>
      <c r="N422" s="1">
        <v>8</v>
      </c>
      <c r="O422" s="1">
        <v>8</v>
      </c>
      <c r="P422" s="1">
        <v>5</v>
      </c>
      <c r="Q422" s="1">
        <f t="shared" si="81"/>
        <v>28</v>
      </c>
      <c r="R422" s="12">
        <f t="shared" si="85"/>
        <v>0.8</v>
      </c>
      <c r="S422" s="1">
        <v>8</v>
      </c>
      <c r="T422" s="1">
        <v>5</v>
      </c>
      <c r="U422" s="1">
        <f t="shared" si="82"/>
        <v>13</v>
      </c>
      <c r="V422" s="12">
        <f t="shared" si="86"/>
        <v>0.8666666666666667</v>
      </c>
      <c r="W422" s="1">
        <v>5</v>
      </c>
      <c r="X422" s="1">
        <v>5</v>
      </c>
      <c r="Y422" s="1">
        <v>5</v>
      </c>
      <c r="Z422" s="1">
        <f t="shared" si="83"/>
        <v>15</v>
      </c>
      <c r="AA422" s="12">
        <f t="shared" si="87"/>
        <v>1</v>
      </c>
      <c r="AB422" s="2" t="s">
        <v>738</v>
      </c>
    </row>
    <row r="423" spans="1:28" x14ac:dyDescent="0.25">
      <c r="A423" s="1" t="s">
        <v>1667</v>
      </c>
      <c r="B423" s="1" t="s">
        <v>576</v>
      </c>
      <c r="C423" s="1" t="s">
        <v>36</v>
      </c>
      <c r="D423" s="1">
        <v>27</v>
      </c>
      <c r="E423" s="1">
        <v>2</v>
      </c>
      <c r="F423" s="1">
        <v>5</v>
      </c>
      <c r="G423" s="1">
        <v>6</v>
      </c>
      <c r="H423" s="1">
        <v>6</v>
      </c>
      <c r="I423" s="1">
        <v>5</v>
      </c>
      <c r="J423" s="1">
        <v>4</v>
      </c>
      <c r="K423" s="1">
        <f t="shared" si="80"/>
        <v>21</v>
      </c>
      <c r="L423" s="12">
        <f t="shared" si="84"/>
        <v>0.6</v>
      </c>
      <c r="M423" s="1">
        <v>6</v>
      </c>
      <c r="N423" s="1">
        <v>6</v>
      </c>
      <c r="O423" s="1">
        <v>6</v>
      </c>
      <c r="P423" s="1">
        <v>3</v>
      </c>
      <c r="Q423" s="1">
        <f t="shared" si="81"/>
        <v>21</v>
      </c>
      <c r="R423" s="12">
        <f t="shared" si="85"/>
        <v>0.6</v>
      </c>
      <c r="S423" s="1">
        <v>6</v>
      </c>
      <c r="T423" s="1">
        <v>4</v>
      </c>
      <c r="U423" s="1">
        <f t="shared" si="82"/>
        <v>10</v>
      </c>
      <c r="V423" s="12">
        <f t="shared" si="86"/>
        <v>0.66666666666666663</v>
      </c>
      <c r="W423" s="1">
        <v>5</v>
      </c>
      <c r="X423" s="1">
        <v>4</v>
      </c>
      <c r="Y423" s="1">
        <v>4</v>
      </c>
      <c r="Z423" s="1">
        <f t="shared" si="83"/>
        <v>13</v>
      </c>
      <c r="AA423" s="12">
        <f t="shared" si="87"/>
        <v>0.8666666666666667</v>
      </c>
      <c r="AB423" s="2" t="s">
        <v>739</v>
      </c>
    </row>
    <row r="424" spans="1:28" x14ac:dyDescent="0.25">
      <c r="A424" s="1" t="s">
        <v>1667</v>
      </c>
      <c r="B424" s="1" t="s">
        <v>576</v>
      </c>
      <c r="C424" s="1" t="s">
        <v>36</v>
      </c>
      <c r="D424" s="1">
        <v>27</v>
      </c>
      <c r="E424" s="1">
        <v>2</v>
      </c>
      <c r="F424" s="1">
        <v>5</v>
      </c>
      <c r="G424" s="1">
        <v>6</v>
      </c>
      <c r="H424" s="1">
        <v>5</v>
      </c>
      <c r="I424" s="1">
        <v>6</v>
      </c>
      <c r="J424" s="1">
        <v>4</v>
      </c>
      <c r="K424" s="1">
        <f t="shared" si="80"/>
        <v>21</v>
      </c>
      <c r="L424" s="12">
        <f t="shared" si="84"/>
        <v>0.6</v>
      </c>
      <c r="M424" s="1">
        <v>5</v>
      </c>
      <c r="N424" s="1">
        <v>5</v>
      </c>
      <c r="O424" s="1">
        <v>5</v>
      </c>
      <c r="P424" s="1">
        <v>3</v>
      </c>
      <c r="Q424" s="1">
        <f t="shared" si="81"/>
        <v>18</v>
      </c>
      <c r="R424" s="12">
        <f t="shared" si="85"/>
        <v>0.51428571428571423</v>
      </c>
      <c r="S424" s="1">
        <v>5</v>
      </c>
      <c r="T424" s="1">
        <v>4</v>
      </c>
      <c r="U424" s="1">
        <f t="shared" si="82"/>
        <v>9</v>
      </c>
      <c r="V424" s="12">
        <f t="shared" si="86"/>
        <v>0.6</v>
      </c>
      <c r="W424" s="1">
        <v>5</v>
      </c>
      <c r="X424" s="1">
        <v>4</v>
      </c>
      <c r="Y424" s="1">
        <v>4</v>
      </c>
      <c r="Z424" s="1">
        <f t="shared" si="83"/>
        <v>13</v>
      </c>
      <c r="AA424" s="12">
        <f t="shared" si="87"/>
        <v>0.8666666666666667</v>
      </c>
      <c r="AB424" s="2" t="s">
        <v>740</v>
      </c>
    </row>
    <row r="425" spans="1:28" x14ac:dyDescent="0.25">
      <c r="A425" s="1" t="s">
        <v>1667</v>
      </c>
      <c r="B425" s="1" t="s">
        <v>576</v>
      </c>
      <c r="C425" s="1" t="s">
        <v>36</v>
      </c>
      <c r="D425" s="1">
        <v>27</v>
      </c>
      <c r="E425" s="1">
        <v>2</v>
      </c>
      <c r="F425" s="1">
        <v>5</v>
      </c>
      <c r="G425" s="1">
        <v>6</v>
      </c>
      <c r="H425" s="1">
        <v>6</v>
      </c>
      <c r="I425" s="1">
        <v>7</v>
      </c>
      <c r="J425" s="1">
        <v>4</v>
      </c>
      <c r="K425" s="1">
        <f t="shared" si="80"/>
        <v>23</v>
      </c>
      <c r="L425" s="12">
        <f t="shared" si="84"/>
        <v>0.65714285714285714</v>
      </c>
      <c r="M425" s="1">
        <v>6</v>
      </c>
      <c r="N425" s="1">
        <v>6</v>
      </c>
      <c r="O425" s="1">
        <v>6</v>
      </c>
      <c r="P425" s="1">
        <v>3</v>
      </c>
      <c r="Q425" s="1">
        <f t="shared" si="81"/>
        <v>21</v>
      </c>
      <c r="R425" s="12">
        <f t="shared" si="85"/>
        <v>0.6</v>
      </c>
      <c r="S425" s="1">
        <v>5</v>
      </c>
      <c r="T425" s="1">
        <v>3</v>
      </c>
      <c r="U425" s="1">
        <f t="shared" si="82"/>
        <v>8</v>
      </c>
      <c r="V425" s="12">
        <f t="shared" si="86"/>
        <v>0.53333333333333333</v>
      </c>
      <c r="W425" s="1">
        <v>5</v>
      </c>
      <c r="X425" s="1">
        <v>4</v>
      </c>
      <c r="Y425" s="1">
        <v>4</v>
      </c>
      <c r="Z425" s="1">
        <f t="shared" si="83"/>
        <v>13</v>
      </c>
      <c r="AA425" s="12">
        <f t="shared" si="87"/>
        <v>0.8666666666666667</v>
      </c>
      <c r="AB425" s="2" t="s">
        <v>741</v>
      </c>
    </row>
    <row r="426" spans="1:28" x14ac:dyDescent="0.25">
      <c r="A426" s="1" t="s">
        <v>1667</v>
      </c>
      <c r="B426" s="1" t="s">
        <v>35</v>
      </c>
      <c r="C426" s="1" t="s">
        <v>861</v>
      </c>
      <c r="D426" s="1">
        <v>17</v>
      </c>
      <c r="E426" s="1">
        <v>1</v>
      </c>
      <c r="F426" s="1">
        <v>5</v>
      </c>
      <c r="G426" s="1">
        <v>7</v>
      </c>
      <c r="H426" s="1">
        <v>7</v>
      </c>
      <c r="I426" s="1">
        <v>7</v>
      </c>
      <c r="J426" s="1">
        <v>6</v>
      </c>
      <c r="K426" s="1">
        <f t="shared" si="80"/>
        <v>27</v>
      </c>
      <c r="L426" s="12">
        <f t="shared" ref="L426:L470" si="88">K426/40</f>
        <v>0.67500000000000004</v>
      </c>
      <c r="M426" s="1">
        <v>6</v>
      </c>
      <c r="N426" s="1">
        <v>4</v>
      </c>
      <c r="O426" s="1">
        <v>6</v>
      </c>
      <c r="P426" s="1">
        <v>5</v>
      </c>
      <c r="Q426" s="1">
        <f t="shared" si="81"/>
        <v>21</v>
      </c>
      <c r="R426" s="12">
        <f t="shared" ref="R426:R470" si="89">Q426/40</f>
        <v>0.52500000000000002</v>
      </c>
      <c r="S426" s="1">
        <v>6</v>
      </c>
      <c r="T426" s="1">
        <v>6</v>
      </c>
      <c r="U426" s="1">
        <f t="shared" si="82"/>
        <v>12</v>
      </c>
      <c r="V426" s="12">
        <f t="shared" ref="V426:V470" si="90">U426/20</f>
        <v>0.6</v>
      </c>
      <c r="Z426" s="1">
        <f t="shared" si="83"/>
        <v>0</v>
      </c>
      <c r="AB426" s="2" t="s">
        <v>962</v>
      </c>
    </row>
    <row r="427" spans="1:28" x14ac:dyDescent="0.25">
      <c r="A427" s="1" t="s">
        <v>1667</v>
      </c>
      <c r="B427" s="1" t="s">
        <v>35</v>
      </c>
      <c r="C427" s="1" t="s">
        <v>861</v>
      </c>
      <c r="D427" s="1">
        <v>17</v>
      </c>
      <c r="E427" s="1">
        <v>1</v>
      </c>
      <c r="F427" s="1">
        <v>5</v>
      </c>
      <c r="G427" s="1">
        <v>6</v>
      </c>
      <c r="H427" s="1">
        <v>3</v>
      </c>
      <c r="I427" s="1">
        <v>3</v>
      </c>
      <c r="J427" s="1">
        <v>4</v>
      </c>
      <c r="K427" s="1">
        <f t="shared" si="80"/>
        <v>16</v>
      </c>
      <c r="L427" s="12">
        <f t="shared" si="88"/>
        <v>0.4</v>
      </c>
      <c r="M427" s="1">
        <v>4</v>
      </c>
      <c r="N427" s="1">
        <v>3</v>
      </c>
      <c r="O427" s="1">
        <v>3</v>
      </c>
      <c r="P427" s="1">
        <v>3</v>
      </c>
      <c r="Q427" s="1">
        <f t="shared" si="81"/>
        <v>13</v>
      </c>
      <c r="R427" s="12">
        <f t="shared" si="89"/>
        <v>0.32500000000000001</v>
      </c>
      <c r="S427" s="1">
        <v>3</v>
      </c>
      <c r="T427" s="1">
        <v>3</v>
      </c>
      <c r="U427" s="1">
        <f t="shared" si="82"/>
        <v>6</v>
      </c>
      <c r="V427" s="12">
        <f t="shared" si="90"/>
        <v>0.3</v>
      </c>
      <c r="Z427" s="1">
        <f t="shared" si="83"/>
        <v>0</v>
      </c>
      <c r="AB427" s="2" t="s">
        <v>963</v>
      </c>
    </row>
    <row r="428" spans="1:28" x14ac:dyDescent="0.25">
      <c r="A428" s="1" t="s">
        <v>1667</v>
      </c>
      <c r="B428" s="1" t="s">
        <v>35</v>
      </c>
      <c r="C428" s="1" t="s">
        <v>861</v>
      </c>
      <c r="D428" s="1">
        <v>17</v>
      </c>
      <c r="E428" s="1">
        <v>1</v>
      </c>
      <c r="F428" s="1">
        <v>5</v>
      </c>
      <c r="G428" s="1">
        <v>4</v>
      </c>
      <c r="H428" s="1">
        <v>4</v>
      </c>
      <c r="I428" s="1">
        <v>4</v>
      </c>
      <c r="J428" s="1">
        <v>3</v>
      </c>
      <c r="K428" s="1">
        <f t="shared" si="80"/>
        <v>15</v>
      </c>
      <c r="L428" s="12">
        <f t="shared" si="88"/>
        <v>0.375</v>
      </c>
      <c r="M428" s="1">
        <v>6</v>
      </c>
      <c r="N428" s="1">
        <v>5</v>
      </c>
      <c r="O428" s="1">
        <v>5</v>
      </c>
      <c r="P428" s="1">
        <v>5</v>
      </c>
      <c r="Q428" s="1">
        <f t="shared" si="81"/>
        <v>21</v>
      </c>
      <c r="R428" s="12">
        <f t="shared" si="89"/>
        <v>0.52500000000000002</v>
      </c>
      <c r="S428" s="1">
        <v>5</v>
      </c>
      <c r="T428" s="1">
        <v>5</v>
      </c>
      <c r="U428" s="1">
        <f t="shared" si="82"/>
        <v>10</v>
      </c>
      <c r="V428" s="12">
        <f t="shared" si="90"/>
        <v>0.5</v>
      </c>
      <c r="Z428" s="1">
        <f t="shared" si="83"/>
        <v>0</v>
      </c>
      <c r="AB428" s="2" t="s">
        <v>964</v>
      </c>
    </row>
    <row r="429" spans="1:28" x14ac:dyDescent="0.25">
      <c r="A429" s="1" t="s">
        <v>1667</v>
      </c>
      <c r="B429" s="1" t="s">
        <v>35</v>
      </c>
      <c r="C429" s="1" t="s">
        <v>861</v>
      </c>
      <c r="D429" s="1">
        <v>17</v>
      </c>
      <c r="E429" s="1">
        <v>1</v>
      </c>
      <c r="F429" s="1">
        <v>5</v>
      </c>
      <c r="G429" s="1">
        <v>3</v>
      </c>
      <c r="H429" s="1">
        <v>3</v>
      </c>
      <c r="I429" s="1">
        <v>3</v>
      </c>
      <c r="J429" s="1">
        <v>3</v>
      </c>
      <c r="K429" s="1">
        <f t="shared" si="80"/>
        <v>12</v>
      </c>
      <c r="L429" s="12">
        <f t="shared" si="88"/>
        <v>0.3</v>
      </c>
      <c r="M429" s="1">
        <v>3</v>
      </c>
      <c r="N429" s="1">
        <v>3</v>
      </c>
      <c r="O429" s="1">
        <v>3</v>
      </c>
      <c r="P429" s="1">
        <v>3</v>
      </c>
      <c r="Q429" s="1">
        <f t="shared" si="81"/>
        <v>12</v>
      </c>
      <c r="R429" s="12">
        <f t="shared" si="89"/>
        <v>0.3</v>
      </c>
      <c r="S429" s="1">
        <v>3</v>
      </c>
      <c r="T429" s="1">
        <v>2</v>
      </c>
      <c r="U429" s="1">
        <f t="shared" si="82"/>
        <v>5</v>
      </c>
      <c r="V429" s="12">
        <f t="shared" si="90"/>
        <v>0.25</v>
      </c>
      <c r="Z429" s="1">
        <f t="shared" si="83"/>
        <v>0</v>
      </c>
      <c r="AB429" s="2" t="s">
        <v>965</v>
      </c>
    </row>
    <row r="430" spans="1:28" x14ac:dyDescent="0.25">
      <c r="A430" s="1" t="s">
        <v>1667</v>
      </c>
      <c r="B430" s="1" t="s">
        <v>35</v>
      </c>
      <c r="C430" s="1" t="s">
        <v>861</v>
      </c>
      <c r="D430" s="1">
        <v>17</v>
      </c>
      <c r="E430" s="1">
        <v>1</v>
      </c>
      <c r="F430" s="1">
        <v>5</v>
      </c>
      <c r="G430" s="1">
        <v>5</v>
      </c>
      <c r="H430" s="1">
        <v>4</v>
      </c>
      <c r="I430" s="1">
        <v>4</v>
      </c>
      <c r="J430" s="1">
        <v>4</v>
      </c>
      <c r="K430" s="1">
        <f t="shared" si="80"/>
        <v>17</v>
      </c>
      <c r="L430" s="12">
        <f t="shared" si="88"/>
        <v>0.42499999999999999</v>
      </c>
      <c r="M430" s="1">
        <v>6</v>
      </c>
      <c r="N430" s="1">
        <v>5</v>
      </c>
      <c r="O430" s="1">
        <v>5</v>
      </c>
      <c r="P430" s="1">
        <v>4</v>
      </c>
      <c r="Q430" s="1">
        <f t="shared" si="81"/>
        <v>20</v>
      </c>
      <c r="R430" s="12">
        <f t="shared" si="89"/>
        <v>0.5</v>
      </c>
      <c r="S430" s="1">
        <v>5</v>
      </c>
      <c r="T430" s="1">
        <v>5</v>
      </c>
      <c r="U430" s="1">
        <f t="shared" si="82"/>
        <v>10</v>
      </c>
      <c r="V430" s="12">
        <f t="shared" si="90"/>
        <v>0.5</v>
      </c>
      <c r="Z430" s="1">
        <f t="shared" si="83"/>
        <v>0</v>
      </c>
      <c r="AB430" s="2" t="s">
        <v>966</v>
      </c>
    </row>
    <row r="431" spans="1:28" x14ac:dyDescent="0.25">
      <c r="A431" s="1" t="s">
        <v>1667</v>
      </c>
      <c r="B431" s="1" t="s">
        <v>35</v>
      </c>
      <c r="C431" s="1" t="s">
        <v>861</v>
      </c>
      <c r="D431" s="1">
        <v>17</v>
      </c>
      <c r="E431" s="1">
        <v>1</v>
      </c>
      <c r="F431" s="1">
        <v>5</v>
      </c>
      <c r="G431" s="1">
        <v>3</v>
      </c>
      <c r="H431" s="1">
        <v>2</v>
      </c>
      <c r="I431" s="1">
        <v>3</v>
      </c>
      <c r="J431" s="1">
        <v>2</v>
      </c>
      <c r="K431" s="1">
        <f t="shared" si="80"/>
        <v>10</v>
      </c>
      <c r="L431" s="12">
        <f t="shared" si="88"/>
        <v>0.25</v>
      </c>
      <c r="M431" s="1">
        <v>5</v>
      </c>
      <c r="N431" s="1">
        <v>4</v>
      </c>
      <c r="O431" s="1">
        <v>3</v>
      </c>
      <c r="P431" s="1">
        <v>5</v>
      </c>
      <c r="Q431" s="1">
        <f t="shared" si="81"/>
        <v>17</v>
      </c>
      <c r="R431" s="12">
        <f t="shared" si="89"/>
        <v>0.42499999999999999</v>
      </c>
      <c r="S431" s="1">
        <v>4</v>
      </c>
      <c r="T431" s="1">
        <v>4</v>
      </c>
      <c r="U431" s="1">
        <f t="shared" si="82"/>
        <v>8</v>
      </c>
      <c r="V431" s="12">
        <f t="shared" si="90"/>
        <v>0.4</v>
      </c>
      <c r="Z431" s="1">
        <f t="shared" si="83"/>
        <v>0</v>
      </c>
      <c r="AB431" s="2" t="s">
        <v>967</v>
      </c>
    </row>
    <row r="432" spans="1:28" x14ac:dyDescent="0.25">
      <c r="A432" s="1" t="s">
        <v>1667</v>
      </c>
      <c r="B432" s="1" t="s">
        <v>35</v>
      </c>
      <c r="C432" s="1" t="s">
        <v>861</v>
      </c>
      <c r="D432" s="1">
        <v>17</v>
      </c>
      <c r="E432" s="1">
        <v>1</v>
      </c>
      <c r="F432" s="1">
        <v>5</v>
      </c>
      <c r="G432" s="1">
        <v>6</v>
      </c>
      <c r="H432" s="1">
        <v>4</v>
      </c>
      <c r="I432" s="1">
        <v>4</v>
      </c>
      <c r="J432" s="1">
        <v>6</v>
      </c>
      <c r="K432" s="1">
        <f t="shared" si="80"/>
        <v>20</v>
      </c>
      <c r="L432" s="12">
        <f t="shared" si="88"/>
        <v>0.5</v>
      </c>
      <c r="M432" s="1">
        <v>6</v>
      </c>
      <c r="N432" s="1">
        <v>6</v>
      </c>
      <c r="O432" s="1">
        <v>6</v>
      </c>
      <c r="P432" s="1">
        <v>5</v>
      </c>
      <c r="Q432" s="1">
        <f t="shared" si="81"/>
        <v>23</v>
      </c>
      <c r="R432" s="12">
        <f t="shared" si="89"/>
        <v>0.57499999999999996</v>
      </c>
      <c r="S432" s="1">
        <v>5</v>
      </c>
      <c r="T432" s="1">
        <v>6</v>
      </c>
      <c r="U432" s="1">
        <f t="shared" si="82"/>
        <v>11</v>
      </c>
      <c r="V432" s="12">
        <f t="shared" si="90"/>
        <v>0.55000000000000004</v>
      </c>
      <c r="Z432" s="1">
        <f t="shared" si="83"/>
        <v>0</v>
      </c>
      <c r="AB432" s="2" t="s">
        <v>968</v>
      </c>
    </row>
    <row r="433" spans="1:28" x14ac:dyDescent="0.25">
      <c r="A433" s="1" t="s">
        <v>1667</v>
      </c>
      <c r="B433" s="1" t="s">
        <v>35</v>
      </c>
      <c r="C433" s="1" t="s">
        <v>861</v>
      </c>
      <c r="D433" s="1">
        <v>17</v>
      </c>
      <c r="E433" s="1">
        <v>1</v>
      </c>
      <c r="F433" s="1">
        <v>5</v>
      </c>
      <c r="G433" s="1">
        <v>6</v>
      </c>
      <c r="H433" s="1">
        <v>6</v>
      </c>
      <c r="I433" s="1">
        <v>7</v>
      </c>
      <c r="J433" s="1">
        <v>7</v>
      </c>
      <c r="K433" s="1">
        <f t="shared" si="80"/>
        <v>26</v>
      </c>
      <c r="L433" s="12">
        <f t="shared" si="88"/>
        <v>0.65</v>
      </c>
      <c r="M433" s="1">
        <v>8</v>
      </c>
      <c r="N433" s="1">
        <v>7</v>
      </c>
      <c r="O433" s="1">
        <v>7</v>
      </c>
      <c r="P433" s="1">
        <v>7</v>
      </c>
      <c r="Q433" s="1">
        <f t="shared" si="81"/>
        <v>29</v>
      </c>
      <c r="R433" s="12">
        <f t="shared" si="89"/>
        <v>0.72499999999999998</v>
      </c>
      <c r="S433" s="1">
        <v>7</v>
      </c>
      <c r="T433" s="1">
        <v>8</v>
      </c>
      <c r="U433" s="1">
        <f t="shared" si="82"/>
        <v>15</v>
      </c>
      <c r="V433" s="12">
        <f t="shared" si="90"/>
        <v>0.75</v>
      </c>
      <c r="Z433" s="1">
        <f t="shared" si="83"/>
        <v>0</v>
      </c>
      <c r="AB433" s="2" t="s">
        <v>969</v>
      </c>
    </row>
    <row r="434" spans="1:28" x14ac:dyDescent="0.25">
      <c r="A434" s="1" t="s">
        <v>1667</v>
      </c>
      <c r="B434" s="1" t="s">
        <v>35</v>
      </c>
      <c r="C434" s="1" t="s">
        <v>861</v>
      </c>
      <c r="D434" s="1">
        <v>18</v>
      </c>
      <c r="E434" s="1">
        <v>2</v>
      </c>
      <c r="F434" s="1">
        <v>2</v>
      </c>
      <c r="G434" s="1">
        <v>4</v>
      </c>
      <c r="H434" s="1">
        <v>3</v>
      </c>
      <c r="I434" s="1">
        <v>4</v>
      </c>
      <c r="J434" s="1">
        <v>4</v>
      </c>
      <c r="K434" s="1">
        <f t="shared" si="80"/>
        <v>15</v>
      </c>
      <c r="L434" s="12">
        <f t="shared" si="88"/>
        <v>0.375</v>
      </c>
      <c r="M434" s="1">
        <v>4</v>
      </c>
      <c r="N434" s="1">
        <v>3</v>
      </c>
      <c r="O434" s="1">
        <v>3</v>
      </c>
      <c r="P434" s="1">
        <v>3</v>
      </c>
      <c r="Q434" s="1">
        <f t="shared" si="81"/>
        <v>13</v>
      </c>
      <c r="R434" s="12">
        <f t="shared" si="89"/>
        <v>0.32500000000000001</v>
      </c>
      <c r="S434" s="1">
        <v>4</v>
      </c>
      <c r="T434" s="1">
        <v>3</v>
      </c>
      <c r="U434" s="1">
        <f t="shared" si="82"/>
        <v>7</v>
      </c>
      <c r="V434" s="12">
        <f t="shared" si="90"/>
        <v>0.35</v>
      </c>
      <c r="Z434" s="1">
        <f t="shared" si="83"/>
        <v>0</v>
      </c>
      <c r="AB434" s="2" t="s">
        <v>1060</v>
      </c>
    </row>
    <row r="435" spans="1:28" x14ac:dyDescent="0.25">
      <c r="A435" s="1" t="s">
        <v>1667</v>
      </c>
      <c r="B435" s="1" t="s">
        <v>35</v>
      </c>
      <c r="C435" s="1" t="s">
        <v>861</v>
      </c>
      <c r="D435" s="1">
        <v>18</v>
      </c>
      <c r="E435" s="1">
        <v>2</v>
      </c>
      <c r="F435" s="1">
        <v>2</v>
      </c>
      <c r="G435" s="1">
        <v>3</v>
      </c>
      <c r="H435" s="1">
        <v>3</v>
      </c>
      <c r="I435" s="1">
        <v>4</v>
      </c>
      <c r="J435" s="1">
        <v>4</v>
      </c>
      <c r="K435" s="1">
        <f t="shared" si="80"/>
        <v>14</v>
      </c>
      <c r="L435" s="12">
        <f t="shared" si="88"/>
        <v>0.35</v>
      </c>
      <c r="M435" s="1">
        <v>3</v>
      </c>
      <c r="N435" s="1">
        <v>3</v>
      </c>
      <c r="O435" s="1">
        <v>3</v>
      </c>
      <c r="P435" s="1">
        <v>3</v>
      </c>
      <c r="Q435" s="1">
        <f t="shared" si="81"/>
        <v>12</v>
      </c>
      <c r="R435" s="12">
        <f t="shared" si="89"/>
        <v>0.3</v>
      </c>
      <c r="S435" s="1">
        <v>4</v>
      </c>
      <c r="T435" s="1">
        <v>2</v>
      </c>
      <c r="U435" s="1">
        <f t="shared" si="82"/>
        <v>6</v>
      </c>
      <c r="V435" s="12">
        <f t="shared" si="90"/>
        <v>0.3</v>
      </c>
      <c r="Z435" s="1">
        <f t="shared" si="83"/>
        <v>0</v>
      </c>
      <c r="AB435" s="2" t="s">
        <v>1061</v>
      </c>
    </row>
    <row r="436" spans="1:28" x14ac:dyDescent="0.25">
      <c r="A436" s="1" t="s">
        <v>1667</v>
      </c>
      <c r="B436" s="1" t="s">
        <v>35</v>
      </c>
      <c r="C436" s="1" t="s">
        <v>861</v>
      </c>
      <c r="D436" s="1">
        <v>18</v>
      </c>
      <c r="E436" s="1">
        <v>2</v>
      </c>
      <c r="F436" s="1">
        <v>2</v>
      </c>
      <c r="G436" s="1">
        <v>4</v>
      </c>
      <c r="H436" s="1">
        <v>4</v>
      </c>
      <c r="I436" s="1">
        <v>4</v>
      </c>
      <c r="J436" s="1">
        <v>4</v>
      </c>
      <c r="K436" s="1">
        <f t="shared" si="80"/>
        <v>16</v>
      </c>
      <c r="L436" s="12">
        <f t="shared" si="88"/>
        <v>0.4</v>
      </c>
      <c r="M436" s="1">
        <v>5</v>
      </c>
      <c r="N436" s="1">
        <v>4</v>
      </c>
      <c r="O436" s="1">
        <v>4</v>
      </c>
      <c r="P436" s="1">
        <v>4</v>
      </c>
      <c r="Q436" s="1">
        <f t="shared" si="81"/>
        <v>17</v>
      </c>
      <c r="R436" s="12">
        <f t="shared" si="89"/>
        <v>0.42499999999999999</v>
      </c>
      <c r="S436" s="1">
        <v>3</v>
      </c>
      <c r="T436" s="1">
        <v>3</v>
      </c>
      <c r="U436" s="1">
        <f t="shared" si="82"/>
        <v>6</v>
      </c>
      <c r="V436" s="12">
        <f t="shared" si="90"/>
        <v>0.3</v>
      </c>
      <c r="Z436" s="1">
        <f t="shared" si="83"/>
        <v>0</v>
      </c>
      <c r="AB436" s="2" t="s">
        <v>1062</v>
      </c>
    </row>
    <row r="437" spans="1:28" x14ac:dyDescent="0.25">
      <c r="A437" s="1" t="s">
        <v>1667</v>
      </c>
      <c r="B437" s="1" t="s">
        <v>35</v>
      </c>
      <c r="C437" s="1" t="s">
        <v>861</v>
      </c>
      <c r="D437" s="1">
        <v>18</v>
      </c>
      <c r="E437" s="1">
        <v>2</v>
      </c>
      <c r="F437" s="1">
        <v>2</v>
      </c>
      <c r="G437" s="1">
        <v>4</v>
      </c>
      <c r="H437" s="1">
        <v>4</v>
      </c>
      <c r="I437" s="1">
        <v>4</v>
      </c>
      <c r="J437" s="1">
        <v>4</v>
      </c>
      <c r="K437" s="1">
        <f t="shared" si="80"/>
        <v>16</v>
      </c>
      <c r="L437" s="12">
        <f t="shared" si="88"/>
        <v>0.4</v>
      </c>
      <c r="M437" s="1">
        <v>6</v>
      </c>
      <c r="N437" s="1">
        <v>5</v>
      </c>
      <c r="O437" s="1">
        <v>4</v>
      </c>
      <c r="P437" s="1">
        <v>3</v>
      </c>
      <c r="Q437" s="1">
        <f t="shared" si="81"/>
        <v>18</v>
      </c>
      <c r="R437" s="12">
        <f t="shared" si="89"/>
        <v>0.45</v>
      </c>
      <c r="S437" s="1">
        <v>4</v>
      </c>
      <c r="T437" s="1">
        <v>5</v>
      </c>
      <c r="U437" s="1">
        <f t="shared" si="82"/>
        <v>9</v>
      </c>
      <c r="V437" s="12">
        <f t="shared" si="90"/>
        <v>0.45</v>
      </c>
      <c r="Z437" s="1">
        <f t="shared" si="83"/>
        <v>0</v>
      </c>
      <c r="AB437" s="2" t="s">
        <v>1063</v>
      </c>
    </row>
    <row r="438" spans="1:28" x14ac:dyDescent="0.25">
      <c r="A438" s="1" t="s">
        <v>1667</v>
      </c>
      <c r="B438" s="1" t="s">
        <v>35</v>
      </c>
      <c r="C438" s="1" t="s">
        <v>861</v>
      </c>
      <c r="D438" s="1">
        <v>18</v>
      </c>
      <c r="E438" s="1">
        <v>2</v>
      </c>
      <c r="F438" s="1">
        <v>2</v>
      </c>
      <c r="G438" s="1">
        <v>4</v>
      </c>
      <c r="H438" s="1">
        <v>3</v>
      </c>
      <c r="I438" s="1">
        <v>4</v>
      </c>
      <c r="J438" s="1">
        <v>3</v>
      </c>
      <c r="K438" s="1">
        <f t="shared" si="80"/>
        <v>14</v>
      </c>
      <c r="L438" s="12">
        <f t="shared" si="88"/>
        <v>0.35</v>
      </c>
      <c r="M438" s="1">
        <v>4</v>
      </c>
      <c r="N438" s="1">
        <v>4</v>
      </c>
      <c r="O438" s="1">
        <v>3</v>
      </c>
      <c r="P438" s="1">
        <v>3</v>
      </c>
      <c r="Q438" s="1">
        <f t="shared" si="81"/>
        <v>14</v>
      </c>
      <c r="R438" s="12">
        <f t="shared" si="89"/>
        <v>0.35</v>
      </c>
      <c r="S438" s="1">
        <v>3</v>
      </c>
      <c r="T438" s="1">
        <v>4</v>
      </c>
      <c r="U438" s="1">
        <f t="shared" si="82"/>
        <v>7</v>
      </c>
      <c r="V438" s="12">
        <f t="shared" si="90"/>
        <v>0.35</v>
      </c>
      <c r="Z438" s="1">
        <f t="shared" si="83"/>
        <v>0</v>
      </c>
      <c r="AB438" s="2" t="s">
        <v>1064</v>
      </c>
    </row>
    <row r="439" spans="1:28" x14ac:dyDescent="0.25">
      <c r="A439" s="1" t="s">
        <v>1667</v>
      </c>
      <c r="B439" s="1" t="s">
        <v>35</v>
      </c>
      <c r="C439" s="1" t="s">
        <v>861</v>
      </c>
      <c r="D439" s="1">
        <v>18</v>
      </c>
      <c r="E439" s="1">
        <v>2</v>
      </c>
      <c r="F439" s="1">
        <v>2</v>
      </c>
      <c r="G439" s="1">
        <v>6</v>
      </c>
      <c r="H439" s="1">
        <v>5</v>
      </c>
      <c r="I439" s="1">
        <v>6</v>
      </c>
      <c r="J439" s="1">
        <v>6</v>
      </c>
      <c r="K439" s="1">
        <f t="shared" si="80"/>
        <v>23</v>
      </c>
      <c r="L439" s="12">
        <f t="shared" si="88"/>
        <v>0.57499999999999996</v>
      </c>
      <c r="M439" s="1">
        <v>7</v>
      </c>
      <c r="N439" s="1">
        <v>7</v>
      </c>
      <c r="O439" s="1">
        <v>6</v>
      </c>
      <c r="P439" s="1">
        <v>8</v>
      </c>
      <c r="Q439" s="1">
        <f t="shared" si="81"/>
        <v>28</v>
      </c>
      <c r="R439" s="12">
        <f t="shared" si="89"/>
        <v>0.7</v>
      </c>
      <c r="S439" s="1">
        <v>8</v>
      </c>
      <c r="T439" s="1">
        <v>6</v>
      </c>
      <c r="U439" s="1">
        <f t="shared" si="82"/>
        <v>14</v>
      </c>
      <c r="V439" s="12">
        <f t="shared" si="90"/>
        <v>0.7</v>
      </c>
      <c r="Z439" s="1">
        <f t="shared" si="83"/>
        <v>0</v>
      </c>
      <c r="AB439" s="2" t="s">
        <v>1065</v>
      </c>
    </row>
    <row r="440" spans="1:28" x14ac:dyDescent="0.25">
      <c r="A440" s="1" t="s">
        <v>1667</v>
      </c>
      <c r="B440" s="1" t="s">
        <v>35</v>
      </c>
      <c r="C440" s="1" t="s">
        <v>861</v>
      </c>
      <c r="D440" s="1">
        <v>18</v>
      </c>
      <c r="E440" s="1">
        <v>2</v>
      </c>
      <c r="F440" s="1">
        <v>2</v>
      </c>
      <c r="G440" s="1">
        <v>3</v>
      </c>
      <c r="H440" s="1">
        <v>3</v>
      </c>
      <c r="I440" s="1">
        <v>3</v>
      </c>
      <c r="J440" s="1">
        <v>3</v>
      </c>
      <c r="K440" s="1">
        <f t="shared" si="80"/>
        <v>12</v>
      </c>
      <c r="L440" s="12">
        <f t="shared" si="88"/>
        <v>0.3</v>
      </c>
      <c r="M440" s="1">
        <v>3</v>
      </c>
      <c r="N440" s="1">
        <v>3</v>
      </c>
      <c r="O440" s="1">
        <v>2</v>
      </c>
      <c r="P440" s="1">
        <v>3</v>
      </c>
      <c r="Q440" s="1">
        <f t="shared" si="81"/>
        <v>11</v>
      </c>
      <c r="R440" s="12">
        <f t="shared" si="89"/>
        <v>0.27500000000000002</v>
      </c>
      <c r="S440" s="1">
        <v>3</v>
      </c>
      <c r="T440" s="1">
        <v>2</v>
      </c>
      <c r="U440" s="1">
        <f t="shared" si="82"/>
        <v>5</v>
      </c>
      <c r="V440" s="12">
        <f t="shared" si="90"/>
        <v>0.25</v>
      </c>
      <c r="Z440" s="1">
        <f t="shared" si="83"/>
        <v>0</v>
      </c>
      <c r="AB440" s="2" t="s">
        <v>1066</v>
      </c>
    </row>
    <row r="441" spans="1:28" x14ac:dyDescent="0.25">
      <c r="A441" s="1" t="s">
        <v>1667</v>
      </c>
      <c r="B441" s="1" t="s">
        <v>35</v>
      </c>
      <c r="C441" s="1" t="s">
        <v>861</v>
      </c>
      <c r="D441" s="1">
        <v>18</v>
      </c>
      <c r="E441" s="1">
        <v>2</v>
      </c>
      <c r="F441" s="1">
        <v>2</v>
      </c>
      <c r="G441" s="1">
        <v>6</v>
      </c>
      <c r="H441" s="1">
        <v>5</v>
      </c>
      <c r="I441" s="1">
        <v>5</v>
      </c>
      <c r="J441" s="1">
        <v>6</v>
      </c>
      <c r="K441" s="1">
        <f t="shared" si="80"/>
        <v>22</v>
      </c>
      <c r="L441" s="12">
        <f t="shared" si="88"/>
        <v>0.55000000000000004</v>
      </c>
      <c r="M441" s="1">
        <v>7</v>
      </c>
      <c r="N441" s="1">
        <v>7</v>
      </c>
      <c r="O441" s="1">
        <v>6</v>
      </c>
      <c r="P441" s="1">
        <v>7</v>
      </c>
      <c r="Q441" s="1">
        <f t="shared" si="81"/>
        <v>27</v>
      </c>
      <c r="R441" s="12">
        <f t="shared" si="89"/>
        <v>0.67500000000000004</v>
      </c>
      <c r="S441" s="1">
        <v>7</v>
      </c>
      <c r="T441" s="1">
        <v>6</v>
      </c>
      <c r="U441" s="1">
        <f t="shared" si="82"/>
        <v>13</v>
      </c>
      <c r="V441" s="12">
        <f t="shared" si="90"/>
        <v>0.65</v>
      </c>
      <c r="Z441" s="1">
        <f t="shared" si="83"/>
        <v>0</v>
      </c>
      <c r="AB441" s="2" t="s">
        <v>1067</v>
      </c>
    </row>
    <row r="442" spans="1:28" x14ac:dyDescent="0.25">
      <c r="A442" s="1" t="s">
        <v>1667</v>
      </c>
      <c r="B442" s="1" t="s">
        <v>35</v>
      </c>
      <c r="C442" s="1" t="s">
        <v>861</v>
      </c>
      <c r="D442" s="1">
        <v>4</v>
      </c>
      <c r="E442" s="1">
        <v>3</v>
      </c>
      <c r="F442" s="1">
        <v>4</v>
      </c>
      <c r="G442" s="1">
        <v>6</v>
      </c>
      <c r="H442" s="1">
        <v>5</v>
      </c>
      <c r="I442" s="1">
        <v>5</v>
      </c>
      <c r="J442" s="1">
        <v>6</v>
      </c>
      <c r="K442" s="1">
        <f t="shared" si="80"/>
        <v>22</v>
      </c>
      <c r="L442" s="12">
        <f t="shared" si="88"/>
        <v>0.55000000000000004</v>
      </c>
      <c r="M442" s="1">
        <v>6</v>
      </c>
      <c r="N442" s="1">
        <v>6</v>
      </c>
      <c r="O442" s="1">
        <v>6</v>
      </c>
      <c r="P442" s="1">
        <v>6</v>
      </c>
      <c r="Q442" s="1">
        <f t="shared" si="81"/>
        <v>24</v>
      </c>
      <c r="R442" s="12">
        <f t="shared" si="89"/>
        <v>0.6</v>
      </c>
      <c r="S442" s="1">
        <v>7</v>
      </c>
      <c r="T442" s="1">
        <v>7</v>
      </c>
      <c r="U442" s="1">
        <f t="shared" si="82"/>
        <v>14</v>
      </c>
      <c r="V442" s="12">
        <f t="shared" si="90"/>
        <v>0.7</v>
      </c>
      <c r="Z442" s="1">
        <f t="shared" si="83"/>
        <v>0</v>
      </c>
      <c r="AB442" s="2" t="s">
        <v>1279</v>
      </c>
    </row>
    <row r="443" spans="1:28" x14ac:dyDescent="0.25">
      <c r="A443" s="1" t="s">
        <v>1667</v>
      </c>
      <c r="B443" s="1" t="s">
        <v>35</v>
      </c>
      <c r="C443" s="1" t="s">
        <v>861</v>
      </c>
      <c r="D443" s="1">
        <v>4</v>
      </c>
      <c r="E443" s="1">
        <v>3</v>
      </c>
      <c r="F443" s="1">
        <v>4</v>
      </c>
      <c r="G443" s="1">
        <v>7</v>
      </c>
      <c r="H443" s="1">
        <v>7</v>
      </c>
      <c r="I443" s="1">
        <v>7</v>
      </c>
      <c r="J443" s="1">
        <v>7</v>
      </c>
      <c r="K443" s="1">
        <f t="shared" si="80"/>
        <v>28</v>
      </c>
      <c r="L443" s="12">
        <f t="shared" si="88"/>
        <v>0.7</v>
      </c>
      <c r="M443" s="1">
        <v>8</v>
      </c>
      <c r="N443" s="1">
        <v>7</v>
      </c>
      <c r="O443" s="1">
        <v>8</v>
      </c>
      <c r="P443" s="1">
        <v>7</v>
      </c>
      <c r="Q443" s="1">
        <f t="shared" si="81"/>
        <v>30</v>
      </c>
      <c r="R443" s="12">
        <f t="shared" si="89"/>
        <v>0.75</v>
      </c>
      <c r="S443" s="1">
        <v>8</v>
      </c>
      <c r="T443" s="1">
        <v>8</v>
      </c>
      <c r="U443" s="1">
        <f t="shared" si="82"/>
        <v>16</v>
      </c>
      <c r="V443" s="12">
        <f t="shared" si="90"/>
        <v>0.8</v>
      </c>
      <c r="Z443" s="1">
        <f t="shared" si="83"/>
        <v>0</v>
      </c>
      <c r="AB443" s="2" t="s">
        <v>1280</v>
      </c>
    </row>
    <row r="444" spans="1:28" x14ac:dyDescent="0.25">
      <c r="A444" s="1" t="s">
        <v>1667</v>
      </c>
      <c r="B444" s="1" t="s">
        <v>35</v>
      </c>
      <c r="C444" s="1" t="s">
        <v>861</v>
      </c>
      <c r="D444" s="1">
        <v>4</v>
      </c>
      <c r="E444" s="1">
        <v>3</v>
      </c>
      <c r="F444" s="1">
        <v>4</v>
      </c>
      <c r="G444" s="1">
        <v>5</v>
      </c>
      <c r="H444" s="1">
        <v>5</v>
      </c>
      <c r="I444" s="1">
        <v>5</v>
      </c>
      <c r="J444" s="1">
        <v>5</v>
      </c>
      <c r="K444" s="1">
        <f t="shared" si="80"/>
        <v>20</v>
      </c>
      <c r="L444" s="12">
        <f t="shared" si="88"/>
        <v>0.5</v>
      </c>
      <c r="M444" s="1">
        <v>6</v>
      </c>
      <c r="N444" s="1">
        <v>5</v>
      </c>
      <c r="O444" s="1">
        <v>5</v>
      </c>
      <c r="P444" s="1">
        <v>5</v>
      </c>
      <c r="Q444" s="1">
        <f t="shared" si="81"/>
        <v>21</v>
      </c>
      <c r="R444" s="12">
        <f t="shared" si="89"/>
        <v>0.52500000000000002</v>
      </c>
      <c r="S444" s="1">
        <v>6</v>
      </c>
      <c r="T444" s="1">
        <v>6</v>
      </c>
      <c r="U444" s="1">
        <f t="shared" si="82"/>
        <v>12</v>
      </c>
      <c r="V444" s="12">
        <f t="shared" si="90"/>
        <v>0.6</v>
      </c>
      <c r="Z444" s="1">
        <f t="shared" si="83"/>
        <v>0</v>
      </c>
      <c r="AB444" s="2" t="s">
        <v>1281</v>
      </c>
    </row>
    <row r="445" spans="1:28" x14ac:dyDescent="0.25">
      <c r="A445" s="1" t="s">
        <v>1667</v>
      </c>
      <c r="B445" s="1" t="s">
        <v>35</v>
      </c>
      <c r="C445" s="1" t="s">
        <v>861</v>
      </c>
      <c r="D445" s="1">
        <v>4</v>
      </c>
      <c r="E445" s="1">
        <v>3</v>
      </c>
      <c r="F445" s="1">
        <v>4</v>
      </c>
      <c r="G445" s="1">
        <v>7</v>
      </c>
      <c r="H445" s="1">
        <v>7</v>
      </c>
      <c r="I445" s="1">
        <v>7</v>
      </c>
      <c r="J445" s="1">
        <v>7</v>
      </c>
      <c r="K445" s="1">
        <f t="shared" si="80"/>
        <v>28</v>
      </c>
      <c r="L445" s="12">
        <f t="shared" si="88"/>
        <v>0.7</v>
      </c>
      <c r="M445" s="1">
        <v>8</v>
      </c>
      <c r="N445" s="1">
        <v>8</v>
      </c>
      <c r="O445" s="1">
        <v>8</v>
      </c>
      <c r="P445" s="1">
        <v>8</v>
      </c>
      <c r="Q445" s="1">
        <f t="shared" si="81"/>
        <v>32</v>
      </c>
      <c r="R445" s="12">
        <f t="shared" si="89"/>
        <v>0.8</v>
      </c>
      <c r="S445" s="1">
        <v>8</v>
      </c>
      <c r="T445" s="1">
        <v>8</v>
      </c>
      <c r="U445" s="1">
        <f t="shared" si="82"/>
        <v>16</v>
      </c>
      <c r="V445" s="12">
        <f t="shared" si="90"/>
        <v>0.8</v>
      </c>
      <c r="Z445" s="1">
        <f t="shared" si="83"/>
        <v>0</v>
      </c>
      <c r="AB445" s="2" t="s">
        <v>1282</v>
      </c>
    </row>
    <row r="446" spans="1:28" x14ac:dyDescent="0.25">
      <c r="A446" s="1" t="s">
        <v>1667</v>
      </c>
      <c r="B446" s="1" t="s">
        <v>35</v>
      </c>
      <c r="C446" s="1" t="s">
        <v>861</v>
      </c>
      <c r="D446" s="1">
        <v>4</v>
      </c>
      <c r="E446" s="1">
        <v>3</v>
      </c>
      <c r="F446" s="1">
        <v>4</v>
      </c>
      <c r="G446" s="1">
        <v>7</v>
      </c>
      <c r="H446" s="1">
        <v>6</v>
      </c>
      <c r="I446" s="1">
        <v>6</v>
      </c>
      <c r="J446" s="1">
        <v>6</v>
      </c>
      <c r="K446" s="1">
        <f t="shared" si="80"/>
        <v>25</v>
      </c>
      <c r="L446" s="12">
        <f t="shared" si="88"/>
        <v>0.625</v>
      </c>
      <c r="M446" s="1">
        <v>8</v>
      </c>
      <c r="N446" s="1">
        <v>6</v>
      </c>
      <c r="O446" s="1">
        <v>6</v>
      </c>
      <c r="P446" s="1">
        <v>6</v>
      </c>
      <c r="Q446" s="1">
        <f t="shared" si="81"/>
        <v>26</v>
      </c>
      <c r="R446" s="12">
        <f t="shared" si="89"/>
        <v>0.65</v>
      </c>
      <c r="S446" s="1">
        <v>6</v>
      </c>
      <c r="T446" s="1">
        <v>6</v>
      </c>
      <c r="U446" s="1">
        <f t="shared" si="82"/>
        <v>12</v>
      </c>
      <c r="V446" s="12">
        <f t="shared" si="90"/>
        <v>0.6</v>
      </c>
      <c r="Z446" s="1">
        <f t="shared" si="83"/>
        <v>0</v>
      </c>
      <c r="AB446" s="2" t="s">
        <v>1283</v>
      </c>
    </row>
    <row r="447" spans="1:28" x14ac:dyDescent="0.25">
      <c r="A447" s="1" t="s">
        <v>1667</v>
      </c>
      <c r="B447" s="1" t="s">
        <v>35</v>
      </c>
      <c r="C447" s="1" t="s">
        <v>861</v>
      </c>
      <c r="D447" s="1">
        <v>4</v>
      </c>
      <c r="E447" s="1">
        <v>3</v>
      </c>
      <c r="F447" s="1">
        <v>4</v>
      </c>
      <c r="G447" s="1">
        <v>6</v>
      </c>
      <c r="H447" s="1">
        <v>8</v>
      </c>
      <c r="I447" s="1">
        <v>8</v>
      </c>
      <c r="J447" s="1">
        <v>9</v>
      </c>
      <c r="K447" s="1">
        <f t="shared" si="80"/>
        <v>31</v>
      </c>
      <c r="L447" s="12">
        <f t="shared" si="88"/>
        <v>0.77500000000000002</v>
      </c>
      <c r="M447" s="1">
        <v>6</v>
      </c>
      <c r="N447" s="1">
        <v>5</v>
      </c>
      <c r="O447" s="1">
        <v>5</v>
      </c>
      <c r="P447" s="1">
        <v>5</v>
      </c>
      <c r="Q447" s="1">
        <f t="shared" si="81"/>
        <v>21</v>
      </c>
      <c r="R447" s="12">
        <f t="shared" si="89"/>
        <v>0.52500000000000002</v>
      </c>
      <c r="S447" s="1">
        <v>7</v>
      </c>
      <c r="T447" s="1">
        <v>6</v>
      </c>
      <c r="U447" s="1">
        <f t="shared" si="82"/>
        <v>13</v>
      </c>
      <c r="V447" s="12">
        <f t="shared" si="90"/>
        <v>0.65</v>
      </c>
      <c r="Z447" s="1">
        <f t="shared" si="83"/>
        <v>0</v>
      </c>
      <c r="AB447" s="2" t="s">
        <v>1284</v>
      </c>
    </row>
    <row r="448" spans="1:28" x14ac:dyDescent="0.25">
      <c r="A448" s="1" t="s">
        <v>1667</v>
      </c>
      <c r="B448" s="1" t="s">
        <v>35</v>
      </c>
      <c r="C448" s="1" t="s">
        <v>861</v>
      </c>
      <c r="D448" s="1">
        <v>4</v>
      </c>
      <c r="E448" s="1">
        <v>3</v>
      </c>
      <c r="F448" s="1">
        <v>4</v>
      </c>
      <c r="G448" s="1">
        <v>6</v>
      </c>
      <c r="H448" s="1">
        <v>7</v>
      </c>
      <c r="I448" s="1">
        <v>6</v>
      </c>
      <c r="J448" s="1">
        <v>6</v>
      </c>
      <c r="K448" s="1">
        <f t="shared" si="80"/>
        <v>25</v>
      </c>
      <c r="L448" s="12">
        <f t="shared" si="88"/>
        <v>0.625</v>
      </c>
      <c r="M448" s="1">
        <v>6</v>
      </c>
      <c r="N448" s="1">
        <v>6</v>
      </c>
      <c r="O448" s="1">
        <v>5</v>
      </c>
      <c r="P448" s="1">
        <v>5</v>
      </c>
      <c r="Q448" s="1">
        <f t="shared" si="81"/>
        <v>22</v>
      </c>
      <c r="R448" s="12">
        <f t="shared" si="89"/>
        <v>0.55000000000000004</v>
      </c>
      <c r="S448" s="1">
        <v>6</v>
      </c>
      <c r="T448" s="1">
        <v>5</v>
      </c>
      <c r="U448" s="1">
        <f t="shared" si="82"/>
        <v>11</v>
      </c>
      <c r="V448" s="12">
        <f t="shared" si="90"/>
        <v>0.55000000000000004</v>
      </c>
      <c r="Z448" s="1">
        <f t="shared" si="83"/>
        <v>0</v>
      </c>
      <c r="AB448" s="2" t="s">
        <v>1285</v>
      </c>
    </row>
    <row r="449" spans="1:28" x14ac:dyDescent="0.25">
      <c r="A449" s="1" t="s">
        <v>1667</v>
      </c>
      <c r="B449" s="1" t="s">
        <v>35</v>
      </c>
      <c r="C449" s="1" t="s">
        <v>861</v>
      </c>
      <c r="D449" s="1">
        <v>4</v>
      </c>
      <c r="E449" s="1">
        <v>3</v>
      </c>
      <c r="F449" s="1">
        <v>4</v>
      </c>
      <c r="G449" s="1">
        <v>6</v>
      </c>
      <c r="H449" s="1">
        <v>7</v>
      </c>
      <c r="I449" s="1">
        <v>6</v>
      </c>
      <c r="J449" s="1">
        <v>6</v>
      </c>
      <c r="K449" s="1">
        <f t="shared" si="80"/>
        <v>25</v>
      </c>
      <c r="L449" s="12">
        <f t="shared" si="88"/>
        <v>0.625</v>
      </c>
      <c r="M449" s="1">
        <v>6</v>
      </c>
      <c r="N449" s="1">
        <v>5</v>
      </c>
      <c r="O449" s="1">
        <v>5</v>
      </c>
      <c r="P449" s="1">
        <v>5</v>
      </c>
      <c r="Q449" s="1">
        <f t="shared" si="81"/>
        <v>21</v>
      </c>
      <c r="R449" s="12">
        <f t="shared" si="89"/>
        <v>0.52500000000000002</v>
      </c>
      <c r="S449" s="1">
        <v>5</v>
      </c>
      <c r="T449" s="1">
        <v>5</v>
      </c>
      <c r="U449" s="1">
        <f t="shared" si="82"/>
        <v>10</v>
      </c>
      <c r="V449" s="12">
        <f t="shared" si="90"/>
        <v>0.5</v>
      </c>
      <c r="Z449" s="1">
        <f t="shared" si="83"/>
        <v>0</v>
      </c>
      <c r="AB449" s="2" t="s">
        <v>1286</v>
      </c>
    </row>
    <row r="450" spans="1:28" x14ac:dyDescent="0.25">
      <c r="A450" s="1" t="s">
        <v>1667</v>
      </c>
      <c r="B450" s="1" t="s">
        <v>576</v>
      </c>
      <c r="C450" s="1" t="s">
        <v>861</v>
      </c>
      <c r="D450" s="1">
        <v>24</v>
      </c>
      <c r="E450" s="1">
        <v>1</v>
      </c>
      <c r="F450" s="1">
        <v>2</v>
      </c>
      <c r="G450" s="1">
        <v>5</v>
      </c>
      <c r="H450" s="1">
        <v>5</v>
      </c>
      <c r="I450" s="1">
        <v>6</v>
      </c>
      <c r="J450" s="1">
        <v>6</v>
      </c>
      <c r="K450" s="1">
        <f t="shared" si="80"/>
        <v>22</v>
      </c>
      <c r="L450" s="12">
        <f t="shared" si="88"/>
        <v>0.55000000000000004</v>
      </c>
      <c r="M450" s="1">
        <v>6</v>
      </c>
      <c r="N450" s="1">
        <v>5</v>
      </c>
      <c r="O450" s="1">
        <v>5</v>
      </c>
      <c r="P450" s="1">
        <v>5</v>
      </c>
      <c r="Q450" s="1">
        <f t="shared" si="81"/>
        <v>21</v>
      </c>
      <c r="R450" s="12">
        <f t="shared" si="89"/>
        <v>0.52500000000000002</v>
      </c>
      <c r="S450" s="1">
        <v>5</v>
      </c>
      <c r="T450" s="1">
        <v>4</v>
      </c>
      <c r="U450" s="1">
        <f t="shared" si="82"/>
        <v>9</v>
      </c>
      <c r="V450" s="12">
        <f t="shared" si="90"/>
        <v>0.45</v>
      </c>
      <c r="Z450" s="1">
        <f t="shared" si="83"/>
        <v>0</v>
      </c>
      <c r="AB450" s="2" t="s">
        <v>1375</v>
      </c>
    </row>
    <row r="451" spans="1:28" x14ac:dyDescent="0.25">
      <c r="A451" s="1" t="s">
        <v>1667</v>
      </c>
      <c r="B451" s="1" t="s">
        <v>576</v>
      </c>
      <c r="C451" s="1" t="s">
        <v>861</v>
      </c>
      <c r="D451" s="1">
        <v>24</v>
      </c>
      <c r="E451" s="1">
        <v>1</v>
      </c>
      <c r="F451" s="1">
        <v>2</v>
      </c>
      <c r="G451" s="1">
        <v>5</v>
      </c>
      <c r="H451" s="1">
        <v>4</v>
      </c>
      <c r="I451" s="1">
        <v>4</v>
      </c>
      <c r="J451" s="1">
        <v>4</v>
      </c>
      <c r="K451" s="1">
        <f t="shared" ref="K451:K514" si="91">SUM(G451:J451)</f>
        <v>17</v>
      </c>
      <c r="L451" s="12">
        <f t="shared" si="88"/>
        <v>0.42499999999999999</v>
      </c>
      <c r="M451" s="1">
        <v>6</v>
      </c>
      <c r="N451" s="1">
        <v>6</v>
      </c>
      <c r="O451" s="1">
        <v>5</v>
      </c>
      <c r="P451" s="1">
        <v>6</v>
      </c>
      <c r="Q451" s="1">
        <f t="shared" ref="Q451:Q514" si="92">SUM(M451:P451)</f>
        <v>23</v>
      </c>
      <c r="R451" s="12">
        <f t="shared" si="89"/>
        <v>0.57499999999999996</v>
      </c>
      <c r="S451" s="1">
        <v>5</v>
      </c>
      <c r="T451" s="1">
        <v>6</v>
      </c>
      <c r="U451" s="1">
        <f t="shared" ref="U451:U514" si="93">SUM(S451:T451)</f>
        <v>11</v>
      </c>
      <c r="V451" s="12">
        <f t="shared" si="90"/>
        <v>0.55000000000000004</v>
      </c>
      <c r="Z451" s="1">
        <f t="shared" ref="Z451:Z514" si="94">SUM(W451:Y451)</f>
        <v>0</v>
      </c>
      <c r="AB451" s="2" t="s">
        <v>1376</v>
      </c>
    </row>
    <row r="452" spans="1:28" x14ac:dyDescent="0.25">
      <c r="A452" s="1" t="s">
        <v>1667</v>
      </c>
      <c r="B452" s="1" t="s">
        <v>576</v>
      </c>
      <c r="C452" s="1" t="s">
        <v>861</v>
      </c>
      <c r="D452" s="1">
        <v>24</v>
      </c>
      <c r="E452" s="1">
        <v>1</v>
      </c>
      <c r="F452" s="1">
        <v>2</v>
      </c>
      <c r="G452" s="1">
        <v>7</v>
      </c>
      <c r="H452" s="1">
        <v>5</v>
      </c>
      <c r="I452" s="1">
        <v>7</v>
      </c>
      <c r="J452" s="1">
        <v>7</v>
      </c>
      <c r="K452" s="1">
        <f t="shared" si="91"/>
        <v>26</v>
      </c>
      <c r="L452" s="12">
        <f t="shared" si="88"/>
        <v>0.65</v>
      </c>
      <c r="M452" s="1">
        <v>8</v>
      </c>
      <c r="N452" s="1">
        <v>8</v>
      </c>
      <c r="O452" s="1">
        <v>7</v>
      </c>
      <c r="P452" s="1">
        <v>8</v>
      </c>
      <c r="Q452" s="1">
        <f t="shared" si="92"/>
        <v>31</v>
      </c>
      <c r="R452" s="12">
        <f t="shared" si="89"/>
        <v>0.77500000000000002</v>
      </c>
      <c r="S452" s="1">
        <v>8</v>
      </c>
      <c r="T452" s="1">
        <v>8</v>
      </c>
      <c r="U452" s="1">
        <f t="shared" si="93"/>
        <v>16</v>
      </c>
      <c r="V452" s="12">
        <f t="shared" si="90"/>
        <v>0.8</v>
      </c>
      <c r="Z452" s="1">
        <f t="shared" si="94"/>
        <v>0</v>
      </c>
      <c r="AB452" s="2" t="s">
        <v>1377</v>
      </c>
    </row>
    <row r="453" spans="1:28" x14ac:dyDescent="0.25">
      <c r="A453" s="1" t="s">
        <v>1667</v>
      </c>
      <c r="B453" s="1" t="s">
        <v>576</v>
      </c>
      <c r="C453" s="1" t="s">
        <v>861</v>
      </c>
      <c r="D453" s="1">
        <v>24</v>
      </c>
      <c r="E453" s="1">
        <v>1</v>
      </c>
      <c r="F453" s="1">
        <v>2</v>
      </c>
      <c r="G453" s="1">
        <v>6</v>
      </c>
      <c r="H453" s="1">
        <v>5</v>
      </c>
      <c r="I453" s="1">
        <v>5</v>
      </c>
      <c r="J453" s="1">
        <v>5</v>
      </c>
      <c r="K453" s="1">
        <f t="shared" si="91"/>
        <v>21</v>
      </c>
      <c r="L453" s="12">
        <f t="shared" si="88"/>
        <v>0.52500000000000002</v>
      </c>
      <c r="M453" s="1">
        <v>7</v>
      </c>
      <c r="N453" s="1">
        <v>7</v>
      </c>
      <c r="O453" s="1">
        <v>6</v>
      </c>
      <c r="P453" s="1">
        <v>7</v>
      </c>
      <c r="Q453" s="1">
        <f t="shared" si="92"/>
        <v>27</v>
      </c>
      <c r="R453" s="12">
        <f t="shared" si="89"/>
        <v>0.67500000000000004</v>
      </c>
      <c r="S453" s="1">
        <v>8</v>
      </c>
      <c r="T453" s="1">
        <v>6</v>
      </c>
      <c r="U453" s="1">
        <f t="shared" si="93"/>
        <v>14</v>
      </c>
      <c r="V453" s="12">
        <f t="shared" si="90"/>
        <v>0.7</v>
      </c>
      <c r="Z453" s="1">
        <f t="shared" si="94"/>
        <v>0</v>
      </c>
      <c r="AB453" s="2" t="s">
        <v>1378</v>
      </c>
    </row>
    <row r="454" spans="1:28" x14ac:dyDescent="0.25">
      <c r="A454" s="1" t="s">
        <v>1667</v>
      </c>
      <c r="B454" s="1" t="s">
        <v>576</v>
      </c>
      <c r="C454" s="1" t="s">
        <v>861</v>
      </c>
      <c r="D454" s="1">
        <v>24</v>
      </c>
      <c r="E454" s="1">
        <v>1</v>
      </c>
      <c r="F454" s="1">
        <v>2</v>
      </c>
      <c r="G454" s="1">
        <v>5</v>
      </c>
      <c r="H454" s="1">
        <v>5</v>
      </c>
      <c r="I454" s="1">
        <v>4</v>
      </c>
      <c r="J454" s="1">
        <v>4</v>
      </c>
      <c r="K454" s="1">
        <f t="shared" si="91"/>
        <v>18</v>
      </c>
      <c r="L454" s="12">
        <f t="shared" si="88"/>
        <v>0.45</v>
      </c>
      <c r="M454" s="1">
        <v>4</v>
      </c>
      <c r="N454" s="1">
        <v>4</v>
      </c>
      <c r="O454" s="1">
        <v>4</v>
      </c>
      <c r="P454" s="1">
        <v>5</v>
      </c>
      <c r="Q454" s="1">
        <f t="shared" si="92"/>
        <v>17</v>
      </c>
      <c r="R454" s="12">
        <f t="shared" si="89"/>
        <v>0.42499999999999999</v>
      </c>
      <c r="S454" s="1">
        <v>4</v>
      </c>
      <c r="T454" s="1">
        <v>6</v>
      </c>
      <c r="U454" s="1">
        <f t="shared" si="93"/>
        <v>10</v>
      </c>
      <c r="V454" s="12">
        <f t="shared" si="90"/>
        <v>0.5</v>
      </c>
      <c r="Z454" s="1">
        <f t="shared" si="94"/>
        <v>0</v>
      </c>
      <c r="AB454" s="2" t="s">
        <v>1379</v>
      </c>
    </row>
    <row r="455" spans="1:28" x14ac:dyDescent="0.25">
      <c r="A455" s="1" t="s">
        <v>1667</v>
      </c>
      <c r="B455" s="1" t="s">
        <v>576</v>
      </c>
      <c r="C455" s="1" t="s">
        <v>861</v>
      </c>
      <c r="D455" s="1">
        <v>24</v>
      </c>
      <c r="E455" s="1">
        <v>1</v>
      </c>
      <c r="F455" s="1">
        <v>2</v>
      </c>
      <c r="G455" s="1">
        <v>5</v>
      </c>
      <c r="H455" s="1">
        <v>5</v>
      </c>
      <c r="I455" s="1">
        <v>4</v>
      </c>
      <c r="J455" s="1">
        <v>4</v>
      </c>
      <c r="K455" s="1">
        <f t="shared" si="91"/>
        <v>18</v>
      </c>
      <c r="L455" s="12">
        <f t="shared" si="88"/>
        <v>0.45</v>
      </c>
      <c r="M455" s="1">
        <v>5</v>
      </c>
      <c r="N455" s="1">
        <v>5</v>
      </c>
      <c r="O455" s="1">
        <v>5</v>
      </c>
      <c r="P455" s="1">
        <v>5</v>
      </c>
      <c r="Q455" s="1">
        <f t="shared" si="92"/>
        <v>20</v>
      </c>
      <c r="R455" s="12">
        <f t="shared" si="89"/>
        <v>0.5</v>
      </c>
      <c r="S455" s="1">
        <v>4</v>
      </c>
      <c r="T455" s="1">
        <v>5</v>
      </c>
      <c r="U455" s="1">
        <f t="shared" si="93"/>
        <v>9</v>
      </c>
      <c r="V455" s="12">
        <f t="shared" si="90"/>
        <v>0.45</v>
      </c>
      <c r="Z455" s="1">
        <f t="shared" si="94"/>
        <v>0</v>
      </c>
      <c r="AB455" s="2" t="s">
        <v>1380</v>
      </c>
    </row>
    <row r="456" spans="1:28" x14ac:dyDescent="0.25">
      <c r="A456" s="1" t="s">
        <v>1667</v>
      </c>
      <c r="B456" s="1" t="s">
        <v>576</v>
      </c>
      <c r="C456" s="1" t="s">
        <v>861</v>
      </c>
      <c r="D456" s="1">
        <v>24</v>
      </c>
      <c r="E456" s="1">
        <v>1</v>
      </c>
      <c r="F456" s="1">
        <v>2</v>
      </c>
      <c r="G456" s="1">
        <v>6</v>
      </c>
      <c r="H456" s="1">
        <v>5</v>
      </c>
      <c r="I456" s="1">
        <v>6</v>
      </c>
      <c r="J456" s="1">
        <v>5</v>
      </c>
      <c r="K456" s="1">
        <f t="shared" si="91"/>
        <v>22</v>
      </c>
      <c r="L456" s="12">
        <f t="shared" si="88"/>
        <v>0.55000000000000004</v>
      </c>
      <c r="M456" s="1">
        <v>8</v>
      </c>
      <c r="N456" s="1">
        <v>8</v>
      </c>
      <c r="O456" s="1">
        <v>7</v>
      </c>
      <c r="P456" s="1">
        <v>8</v>
      </c>
      <c r="Q456" s="1">
        <f t="shared" si="92"/>
        <v>31</v>
      </c>
      <c r="R456" s="12">
        <f t="shared" si="89"/>
        <v>0.77500000000000002</v>
      </c>
      <c r="S456" s="1">
        <v>7</v>
      </c>
      <c r="T456" s="1">
        <v>6</v>
      </c>
      <c r="U456" s="1">
        <f t="shared" si="93"/>
        <v>13</v>
      </c>
      <c r="V456" s="12">
        <f t="shared" si="90"/>
        <v>0.65</v>
      </c>
      <c r="Z456" s="1">
        <f t="shared" si="94"/>
        <v>0</v>
      </c>
      <c r="AB456" s="2" t="s">
        <v>1381</v>
      </c>
    </row>
    <row r="457" spans="1:28" x14ac:dyDescent="0.25">
      <c r="A457" s="1" t="s">
        <v>1667</v>
      </c>
      <c r="B457" s="1" t="s">
        <v>576</v>
      </c>
      <c r="C457" s="1" t="s">
        <v>861</v>
      </c>
      <c r="D457" s="1">
        <v>25</v>
      </c>
      <c r="E457" s="1">
        <v>2</v>
      </c>
      <c r="F457" s="1">
        <v>1</v>
      </c>
      <c r="G457" s="1">
        <v>7</v>
      </c>
      <c r="H457" s="1">
        <v>7</v>
      </c>
      <c r="I457" s="1">
        <v>6</v>
      </c>
      <c r="J457" s="1">
        <v>5</v>
      </c>
      <c r="K457" s="1">
        <f t="shared" si="91"/>
        <v>25</v>
      </c>
      <c r="L457" s="12">
        <f t="shared" si="88"/>
        <v>0.625</v>
      </c>
      <c r="M457" s="1">
        <v>5</v>
      </c>
      <c r="N457" s="1">
        <v>5</v>
      </c>
      <c r="O457" s="1">
        <v>5</v>
      </c>
      <c r="P457" s="1">
        <v>5</v>
      </c>
      <c r="Q457" s="1">
        <f t="shared" si="92"/>
        <v>20</v>
      </c>
      <c r="R457" s="12">
        <f t="shared" si="89"/>
        <v>0.5</v>
      </c>
      <c r="S457" s="1">
        <v>5</v>
      </c>
      <c r="T457" s="1">
        <v>5</v>
      </c>
      <c r="U457" s="1">
        <f t="shared" si="93"/>
        <v>10</v>
      </c>
      <c r="V457" s="12">
        <f t="shared" si="90"/>
        <v>0.5</v>
      </c>
      <c r="Z457" s="1">
        <f t="shared" si="94"/>
        <v>0</v>
      </c>
      <c r="AB457" s="2" t="s">
        <v>1451</v>
      </c>
    </row>
    <row r="458" spans="1:28" x14ac:dyDescent="0.25">
      <c r="A458" s="1" t="s">
        <v>1667</v>
      </c>
      <c r="B458" s="1" t="s">
        <v>576</v>
      </c>
      <c r="C458" s="1" t="s">
        <v>861</v>
      </c>
      <c r="D458" s="1">
        <v>25</v>
      </c>
      <c r="E458" s="1">
        <v>2</v>
      </c>
      <c r="F458" s="1">
        <v>1</v>
      </c>
      <c r="G458" s="1">
        <v>5</v>
      </c>
      <c r="H458" s="1">
        <v>6</v>
      </c>
      <c r="I458" s="1">
        <v>5</v>
      </c>
      <c r="J458" s="1">
        <v>5</v>
      </c>
      <c r="K458" s="1">
        <f t="shared" si="91"/>
        <v>21</v>
      </c>
      <c r="L458" s="12">
        <f t="shared" si="88"/>
        <v>0.52500000000000002</v>
      </c>
      <c r="M458" s="1">
        <v>5</v>
      </c>
      <c r="N458" s="1">
        <v>4</v>
      </c>
      <c r="O458" s="1">
        <v>4</v>
      </c>
      <c r="P458" s="1">
        <v>4</v>
      </c>
      <c r="Q458" s="1">
        <f t="shared" si="92"/>
        <v>17</v>
      </c>
      <c r="R458" s="12">
        <f t="shared" si="89"/>
        <v>0.42499999999999999</v>
      </c>
      <c r="S458" s="1">
        <v>4</v>
      </c>
      <c r="T458" s="1">
        <v>5</v>
      </c>
      <c r="U458" s="1">
        <f t="shared" si="93"/>
        <v>9</v>
      </c>
      <c r="V458" s="12">
        <f t="shared" si="90"/>
        <v>0.45</v>
      </c>
      <c r="Z458" s="1">
        <f t="shared" si="94"/>
        <v>0</v>
      </c>
      <c r="AB458" s="2" t="s">
        <v>1452</v>
      </c>
    </row>
    <row r="459" spans="1:28" x14ac:dyDescent="0.25">
      <c r="A459" s="1" t="s">
        <v>1667</v>
      </c>
      <c r="B459" s="1" t="s">
        <v>576</v>
      </c>
      <c r="C459" s="1" t="s">
        <v>861</v>
      </c>
      <c r="D459" s="1">
        <v>25</v>
      </c>
      <c r="E459" s="1">
        <v>2</v>
      </c>
      <c r="F459" s="1">
        <v>1</v>
      </c>
      <c r="G459" s="1">
        <v>7</v>
      </c>
      <c r="H459" s="1">
        <v>7</v>
      </c>
      <c r="I459" s="1">
        <v>7</v>
      </c>
      <c r="J459" s="1">
        <v>7</v>
      </c>
      <c r="K459" s="1">
        <f t="shared" si="91"/>
        <v>28</v>
      </c>
      <c r="L459" s="12">
        <f t="shared" si="88"/>
        <v>0.7</v>
      </c>
      <c r="M459" s="1">
        <v>7</v>
      </c>
      <c r="N459" s="1">
        <v>6</v>
      </c>
      <c r="O459" s="1">
        <v>6</v>
      </c>
      <c r="P459" s="1">
        <v>5</v>
      </c>
      <c r="Q459" s="1">
        <f t="shared" si="92"/>
        <v>24</v>
      </c>
      <c r="R459" s="12">
        <f t="shared" si="89"/>
        <v>0.6</v>
      </c>
      <c r="S459" s="1">
        <v>5</v>
      </c>
      <c r="T459" s="1">
        <v>6</v>
      </c>
      <c r="U459" s="1">
        <f t="shared" si="93"/>
        <v>11</v>
      </c>
      <c r="V459" s="12">
        <f t="shared" si="90"/>
        <v>0.55000000000000004</v>
      </c>
      <c r="Z459" s="1">
        <f t="shared" si="94"/>
        <v>0</v>
      </c>
      <c r="AB459" s="2" t="s">
        <v>1453</v>
      </c>
    </row>
    <row r="460" spans="1:28" x14ac:dyDescent="0.25">
      <c r="A460" s="1" t="s">
        <v>1667</v>
      </c>
      <c r="B460" s="1" t="s">
        <v>576</v>
      </c>
      <c r="C460" s="1" t="s">
        <v>861</v>
      </c>
      <c r="D460" s="1">
        <v>25</v>
      </c>
      <c r="E460" s="1">
        <v>2</v>
      </c>
      <c r="F460" s="1">
        <v>1</v>
      </c>
      <c r="G460" s="1">
        <v>4</v>
      </c>
      <c r="H460" s="1">
        <v>4</v>
      </c>
      <c r="I460" s="1">
        <v>3</v>
      </c>
      <c r="J460" s="1">
        <v>2</v>
      </c>
      <c r="K460" s="1">
        <f t="shared" si="91"/>
        <v>13</v>
      </c>
      <c r="L460" s="12">
        <f t="shared" si="88"/>
        <v>0.32500000000000001</v>
      </c>
      <c r="M460" s="1">
        <v>4</v>
      </c>
      <c r="N460" s="1">
        <v>3</v>
      </c>
      <c r="O460" s="1">
        <v>4</v>
      </c>
      <c r="P460" s="1">
        <v>4</v>
      </c>
      <c r="Q460" s="1">
        <f t="shared" si="92"/>
        <v>15</v>
      </c>
      <c r="R460" s="12">
        <f t="shared" si="89"/>
        <v>0.375</v>
      </c>
      <c r="S460" s="1">
        <v>4</v>
      </c>
      <c r="T460" s="1">
        <v>3</v>
      </c>
      <c r="U460" s="1">
        <f t="shared" si="93"/>
        <v>7</v>
      </c>
      <c r="V460" s="12">
        <f t="shared" si="90"/>
        <v>0.35</v>
      </c>
      <c r="Z460" s="1">
        <f t="shared" si="94"/>
        <v>0</v>
      </c>
      <c r="AB460" s="2" t="s">
        <v>1454</v>
      </c>
    </row>
    <row r="461" spans="1:28" x14ac:dyDescent="0.25">
      <c r="A461" s="1" t="s">
        <v>1667</v>
      </c>
      <c r="B461" s="1" t="s">
        <v>576</v>
      </c>
      <c r="C461" s="1" t="s">
        <v>861</v>
      </c>
      <c r="D461" s="1">
        <v>25</v>
      </c>
      <c r="E461" s="1">
        <v>2</v>
      </c>
      <c r="F461" s="1">
        <v>1</v>
      </c>
      <c r="G461" s="1">
        <v>6</v>
      </c>
      <c r="H461" s="1">
        <v>5</v>
      </c>
      <c r="I461" s="1">
        <v>6</v>
      </c>
      <c r="J461" s="1">
        <v>6</v>
      </c>
      <c r="K461" s="1">
        <f t="shared" si="91"/>
        <v>23</v>
      </c>
      <c r="L461" s="12">
        <f t="shared" si="88"/>
        <v>0.57499999999999996</v>
      </c>
      <c r="M461" s="1">
        <v>7</v>
      </c>
      <c r="N461" s="1">
        <v>6</v>
      </c>
      <c r="O461" s="1">
        <v>6</v>
      </c>
      <c r="P461" s="1">
        <v>6</v>
      </c>
      <c r="Q461" s="1">
        <f t="shared" si="92"/>
        <v>25</v>
      </c>
      <c r="R461" s="12">
        <f t="shared" si="89"/>
        <v>0.625</v>
      </c>
      <c r="S461" s="1">
        <v>7</v>
      </c>
      <c r="T461" s="1">
        <v>5</v>
      </c>
      <c r="U461" s="1">
        <f t="shared" si="93"/>
        <v>12</v>
      </c>
      <c r="V461" s="12">
        <f t="shared" si="90"/>
        <v>0.6</v>
      </c>
      <c r="Z461" s="1">
        <f t="shared" si="94"/>
        <v>0</v>
      </c>
      <c r="AB461" s="2" t="s">
        <v>1455</v>
      </c>
    </row>
    <row r="462" spans="1:28" x14ac:dyDescent="0.25">
      <c r="A462" s="1" t="s">
        <v>1667</v>
      </c>
      <c r="B462" s="1" t="s">
        <v>576</v>
      </c>
      <c r="C462" s="1" t="s">
        <v>861</v>
      </c>
      <c r="D462" s="1">
        <v>25</v>
      </c>
      <c r="E462" s="1">
        <v>2</v>
      </c>
      <c r="F462" s="1">
        <v>1</v>
      </c>
      <c r="G462" s="1">
        <v>8</v>
      </c>
      <c r="H462" s="1">
        <v>8</v>
      </c>
      <c r="I462" s="1">
        <v>7</v>
      </c>
      <c r="J462" s="1">
        <v>7</v>
      </c>
      <c r="K462" s="1">
        <f t="shared" si="91"/>
        <v>30</v>
      </c>
      <c r="L462" s="12">
        <f t="shared" si="88"/>
        <v>0.75</v>
      </c>
      <c r="M462" s="1">
        <v>6</v>
      </c>
      <c r="N462" s="1">
        <v>5</v>
      </c>
      <c r="O462" s="1">
        <v>6</v>
      </c>
      <c r="P462" s="1">
        <v>5</v>
      </c>
      <c r="Q462" s="1">
        <f t="shared" si="92"/>
        <v>22</v>
      </c>
      <c r="R462" s="12">
        <f t="shared" si="89"/>
        <v>0.55000000000000004</v>
      </c>
      <c r="S462" s="1">
        <v>7</v>
      </c>
      <c r="T462" s="1">
        <v>5</v>
      </c>
      <c r="U462" s="1">
        <f t="shared" si="93"/>
        <v>12</v>
      </c>
      <c r="V462" s="12">
        <f t="shared" si="90"/>
        <v>0.6</v>
      </c>
      <c r="Z462" s="1">
        <f t="shared" si="94"/>
        <v>0</v>
      </c>
      <c r="AB462" s="2" t="s">
        <v>1456</v>
      </c>
    </row>
    <row r="463" spans="1:28" x14ac:dyDescent="0.25">
      <c r="A463" s="1" t="s">
        <v>1667</v>
      </c>
      <c r="B463" s="1" t="s">
        <v>576</v>
      </c>
      <c r="C463" s="1" t="s">
        <v>861</v>
      </c>
      <c r="D463" s="1">
        <v>11</v>
      </c>
      <c r="E463" s="1">
        <v>3</v>
      </c>
      <c r="F463" s="1">
        <v>1</v>
      </c>
      <c r="G463" s="1">
        <v>6</v>
      </c>
      <c r="H463" s="1">
        <v>5</v>
      </c>
      <c r="I463" s="1">
        <v>5</v>
      </c>
      <c r="J463" s="1">
        <v>6</v>
      </c>
      <c r="K463" s="1">
        <f t="shared" si="91"/>
        <v>22</v>
      </c>
      <c r="L463" s="12">
        <f t="shared" si="88"/>
        <v>0.55000000000000004</v>
      </c>
      <c r="M463" s="1">
        <v>6</v>
      </c>
      <c r="N463" s="1">
        <v>5</v>
      </c>
      <c r="O463" s="1">
        <v>5</v>
      </c>
      <c r="P463" s="1">
        <v>5</v>
      </c>
      <c r="Q463" s="1">
        <f t="shared" si="92"/>
        <v>21</v>
      </c>
      <c r="R463" s="12">
        <f t="shared" si="89"/>
        <v>0.52500000000000002</v>
      </c>
      <c r="S463" s="1">
        <v>7</v>
      </c>
      <c r="T463" s="1">
        <v>6</v>
      </c>
      <c r="U463" s="1">
        <f t="shared" si="93"/>
        <v>13</v>
      </c>
      <c r="V463" s="12">
        <f t="shared" si="90"/>
        <v>0.65</v>
      </c>
      <c r="Z463" s="1">
        <f t="shared" si="94"/>
        <v>0</v>
      </c>
      <c r="AB463" s="2" t="s">
        <v>1557</v>
      </c>
    </row>
    <row r="464" spans="1:28" x14ac:dyDescent="0.25">
      <c r="A464" s="1" t="s">
        <v>1667</v>
      </c>
      <c r="B464" s="1" t="s">
        <v>576</v>
      </c>
      <c r="C464" s="1" t="s">
        <v>861</v>
      </c>
      <c r="D464" s="1">
        <v>11</v>
      </c>
      <c r="E464" s="1">
        <v>3</v>
      </c>
      <c r="F464" s="1">
        <v>1</v>
      </c>
      <c r="G464" s="1">
        <v>7</v>
      </c>
      <c r="H464" s="1">
        <v>8</v>
      </c>
      <c r="I464" s="1">
        <v>8</v>
      </c>
      <c r="J464" s="1">
        <v>8</v>
      </c>
      <c r="K464" s="1">
        <f t="shared" si="91"/>
        <v>31</v>
      </c>
      <c r="L464" s="12">
        <f t="shared" si="88"/>
        <v>0.77500000000000002</v>
      </c>
      <c r="M464" s="1">
        <v>9</v>
      </c>
      <c r="N464" s="1">
        <v>8</v>
      </c>
      <c r="O464" s="1">
        <v>8</v>
      </c>
      <c r="P464" s="1">
        <v>8</v>
      </c>
      <c r="Q464" s="1">
        <f t="shared" si="92"/>
        <v>33</v>
      </c>
      <c r="R464" s="12">
        <f t="shared" si="89"/>
        <v>0.82499999999999996</v>
      </c>
      <c r="S464" s="1">
        <v>8</v>
      </c>
      <c r="T464" s="1">
        <v>8</v>
      </c>
      <c r="U464" s="1">
        <f t="shared" si="93"/>
        <v>16</v>
      </c>
      <c r="V464" s="12">
        <f t="shared" si="90"/>
        <v>0.8</v>
      </c>
      <c r="Z464" s="1">
        <f t="shared" si="94"/>
        <v>0</v>
      </c>
      <c r="AB464" s="2" t="s">
        <v>1558</v>
      </c>
    </row>
    <row r="465" spans="1:28" x14ac:dyDescent="0.25">
      <c r="A465" s="1" t="s">
        <v>1667</v>
      </c>
      <c r="B465" s="1" t="s">
        <v>576</v>
      </c>
      <c r="C465" s="1" t="s">
        <v>861</v>
      </c>
      <c r="D465" s="1">
        <v>11</v>
      </c>
      <c r="E465" s="1">
        <v>3</v>
      </c>
      <c r="F465" s="1">
        <v>1</v>
      </c>
      <c r="G465" s="1">
        <v>7</v>
      </c>
      <c r="H465" s="1">
        <v>7</v>
      </c>
      <c r="I465" s="1">
        <v>7</v>
      </c>
      <c r="J465" s="1">
        <v>7</v>
      </c>
      <c r="K465" s="1">
        <f t="shared" si="91"/>
        <v>28</v>
      </c>
      <c r="L465" s="12">
        <f t="shared" si="88"/>
        <v>0.7</v>
      </c>
      <c r="M465" s="1">
        <v>6</v>
      </c>
      <c r="N465" s="1">
        <v>5</v>
      </c>
      <c r="O465" s="1">
        <v>5</v>
      </c>
      <c r="P465" s="1">
        <v>5</v>
      </c>
      <c r="Q465" s="1">
        <f t="shared" si="92"/>
        <v>21</v>
      </c>
      <c r="R465" s="12">
        <f t="shared" si="89"/>
        <v>0.52500000000000002</v>
      </c>
      <c r="S465" s="1">
        <v>6</v>
      </c>
      <c r="T465" s="1">
        <v>4</v>
      </c>
      <c r="U465" s="1">
        <f t="shared" si="93"/>
        <v>10</v>
      </c>
      <c r="V465" s="12">
        <f t="shared" si="90"/>
        <v>0.5</v>
      </c>
      <c r="Z465" s="1">
        <f t="shared" si="94"/>
        <v>0</v>
      </c>
      <c r="AB465" s="2" t="s">
        <v>1559</v>
      </c>
    </row>
    <row r="466" spans="1:28" x14ac:dyDescent="0.25">
      <c r="A466" s="1" t="s">
        <v>1667</v>
      </c>
      <c r="B466" s="1" t="s">
        <v>576</v>
      </c>
      <c r="C466" s="1" t="s">
        <v>861</v>
      </c>
      <c r="D466" s="1">
        <v>11</v>
      </c>
      <c r="E466" s="1">
        <v>3</v>
      </c>
      <c r="F466" s="1">
        <v>1</v>
      </c>
      <c r="G466" s="1">
        <v>7</v>
      </c>
      <c r="H466" s="1">
        <v>7</v>
      </c>
      <c r="I466" s="1">
        <v>7</v>
      </c>
      <c r="J466" s="1">
        <v>7</v>
      </c>
      <c r="K466" s="1">
        <f t="shared" si="91"/>
        <v>28</v>
      </c>
      <c r="L466" s="12">
        <f t="shared" si="88"/>
        <v>0.7</v>
      </c>
      <c r="M466" s="1">
        <v>6</v>
      </c>
      <c r="N466" s="1">
        <v>5</v>
      </c>
      <c r="O466" s="1">
        <v>5</v>
      </c>
      <c r="P466" s="1">
        <v>5</v>
      </c>
      <c r="Q466" s="1">
        <f t="shared" si="92"/>
        <v>21</v>
      </c>
      <c r="R466" s="12">
        <f t="shared" si="89"/>
        <v>0.52500000000000002</v>
      </c>
      <c r="S466" s="1">
        <v>6</v>
      </c>
      <c r="T466" s="1">
        <v>5</v>
      </c>
      <c r="U466" s="1">
        <f t="shared" si="93"/>
        <v>11</v>
      </c>
      <c r="V466" s="12">
        <f t="shared" si="90"/>
        <v>0.55000000000000004</v>
      </c>
      <c r="Z466" s="1">
        <f t="shared" si="94"/>
        <v>0</v>
      </c>
      <c r="AB466" s="2" t="s">
        <v>1560</v>
      </c>
    </row>
    <row r="467" spans="1:28" x14ac:dyDescent="0.25">
      <c r="A467" s="1" t="s">
        <v>1667</v>
      </c>
      <c r="B467" s="1" t="s">
        <v>576</v>
      </c>
      <c r="C467" s="1" t="s">
        <v>861</v>
      </c>
      <c r="D467" s="1">
        <v>11</v>
      </c>
      <c r="E467" s="1">
        <v>3</v>
      </c>
      <c r="F467" s="1">
        <v>1</v>
      </c>
      <c r="G467" s="1">
        <v>7</v>
      </c>
      <c r="H467" s="1">
        <v>6</v>
      </c>
      <c r="I467" s="1">
        <v>7</v>
      </c>
      <c r="J467" s="1">
        <v>6</v>
      </c>
      <c r="K467" s="1">
        <f t="shared" si="91"/>
        <v>26</v>
      </c>
      <c r="L467" s="12">
        <f t="shared" si="88"/>
        <v>0.65</v>
      </c>
      <c r="M467" s="1">
        <v>6</v>
      </c>
      <c r="N467" s="1">
        <v>5</v>
      </c>
      <c r="O467" s="1">
        <v>5</v>
      </c>
      <c r="P467" s="1">
        <v>4</v>
      </c>
      <c r="Q467" s="1">
        <f t="shared" si="92"/>
        <v>20</v>
      </c>
      <c r="R467" s="12">
        <f t="shared" si="89"/>
        <v>0.5</v>
      </c>
      <c r="S467" s="1">
        <v>4</v>
      </c>
      <c r="T467" s="1">
        <v>4</v>
      </c>
      <c r="U467" s="1">
        <f t="shared" si="93"/>
        <v>8</v>
      </c>
      <c r="V467" s="12">
        <f t="shared" si="90"/>
        <v>0.4</v>
      </c>
      <c r="Z467" s="1">
        <f t="shared" si="94"/>
        <v>0</v>
      </c>
      <c r="AB467" s="2" t="s">
        <v>1561</v>
      </c>
    </row>
    <row r="468" spans="1:28" x14ac:dyDescent="0.25">
      <c r="A468" s="1" t="s">
        <v>1667</v>
      </c>
      <c r="B468" s="1" t="s">
        <v>576</v>
      </c>
      <c r="C468" s="1" t="s">
        <v>861</v>
      </c>
      <c r="D468" s="1">
        <v>11</v>
      </c>
      <c r="E468" s="1">
        <v>3</v>
      </c>
      <c r="F468" s="1">
        <v>1</v>
      </c>
      <c r="G468" s="1">
        <v>8</v>
      </c>
      <c r="H468" s="1">
        <v>9</v>
      </c>
      <c r="I468" s="1">
        <v>8</v>
      </c>
      <c r="J468" s="1">
        <v>9</v>
      </c>
      <c r="K468" s="1">
        <f t="shared" si="91"/>
        <v>34</v>
      </c>
      <c r="L468" s="12">
        <f t="shared" si="88"/>
        <v>0.85</v>
      </c>
      <c r="M468" s="1">
        <v>6</v>
      </c>
      <c r="N468" s="1">
        <v>5</v>
      </c>
      <c r="O468" s="1">
        <v>5</v>
      </c>
      <c r="P468" s="1">
        <v>6</v>
      </c>
      <c r="Q468" s="1">
        <f t="shared" si="92"/>
        <v>22</v>
      </c>
      <c r="R468" s="12">
        <f t="shared" si="89"/>
        <v>0.55000000000000004</v>
      </c>
      <c r="S468" s="1">
        <v>6</v>
      </c>
      <c r="T468" s="1">
        <v>7</v>
      </c>
      <c r="U468" s="1">
        <f t="shared" si="93"/>
        <v>13</v>
      </c>
      <c r="V468" s="12">
        <f t="shared" si="90"/>
        <v>0.65</v>
      </c>
      <c r="Z468" s="1">
        <f t="shared" si="94"/>
        <v>0</v>
      </c>
      <c r="AB468" s="2" t="s">
        <v>1562</v>
      </c>
    </row>
    <row r="469" spans="1:28" x14ac:dyDescent="0.25">
      <c r="A469" s="1" t="s">
        <v>1667</v>
      </c>
      <c r="B469" s="1" t="s">
        <v>576</v>
      </c>
      <c r="C469" s="1" t="s">
        <v>861</v>
      </c>
      <c r="D469" s="1">
        <v>11</v>
      </c>
      <c r="E469" s="1">
        <v>3</v>
      </c>
      <c r="F469" s="1">
        <v>1</v>
      </c>
      <c r="G469" s="1">
        <v>7</v>
      </c>
      <c r="H469" s="1">
        <v>7</v>
      </c>
      <c r="I469" s="1">
        <v>7</v>
      </c>
      <c r="J469" s="1">
        <v>6</v>
      </c>
      <c r="K469" s="1">
        <f t="shared" si="91"/>
        <v>27</v>
      </c>
      <c r="L469" s="12">
        <f t="shared" si="88"/>
        <v>0.67500000000000004</v>
      </c>
      <c r="M469" s="1">
        <v>6</v>
      </c>
      <c r="N469" s="1">
        <v>5</v>
      </c>
      <c r="O469" s="1">
        <v>5</v>
      </c>
      <c r="P469" s="1">
        <v>5</v>
      </c>
      <c r="Q469" s="1">
        <f t="shared" si="92"/>
        <v>21</v>
      </c>
      <c r="R469" s="12">
        <f t="shared" si="89"/>
        <v>0.52500000000000002</v>
      </c>
      <c r="S469" s="1">
        <v>6</v>
      </c>
      <c r="T469" s="1">
        <v>5</v>
      </c>
      <c r="U469" s="1">
        <f t="shared" si="93"/>
        <v>11</v>
      </c>
      <c r="V469" s="12">
        <f t="shared" si="90"/>
        <v>0.55000000000000004</v>
      </c>
      <c r="Z469" s="1">
        <f t="shared" si="94"/>
        <v>0</v>
      </c>
      <c r="AB469" s="2" t="s">
        <v>1563</v>
      </c>
    </row>
    <row r="470" spans="1:28" x14ac:dyDescent="0.25">
      <c r="A470" s="1" t="s">
        <v>1667</v>
      </c>
      <c r="B470" s="1" t="s">
        <v>576</v>
      </c>
      <c r="C470" s="1" t="s">
        <v>861</v>
      </c>
      <c r="D470" s="1">
        <v>11</v>
      </c>
      <c r="E470" s="1">
        <v>3</v>
      </c>
      <c r="F470" s="1">
        <v>1</v>
      </c>
      <c r="G470" s="1">
        <v>5</v>
      </c>
      <c r="H470" s="1">
        <v>5</v>
      </c>
      <c r="I470" s="1">
        <v>4</v>
      </c>
      <c r="J470" s="1">
        <v>4</v>
      </c>
      <c r="K470" s="1">
        <f t="shared" si="91"/>
        <v>18</v>
      </c>
      <c r="L470" s="12">
        <f t="shared" si="88"/>
        <v>0.45</v>
      </c>
      <c r="M470" s="1">
        <v>4</v>
      </c>
      <c r="N470" s="1">
        <v>3</v>
      </c>
      <c r="O470" s="1">
        <v>3</v>
      </c>
      <c r="P470" s="1">
        <v>3</v>
      </c>
      <c r="Q470" s="1">
        <f t="shared" si="92"/>
        <v>13</v>
      </c>
      <c r="R470" s="12">
        <f t="shared" si="89"/>
        <v>0.32500000000000001</v>
      </c>
      <c r="S470" s="1">
        <v>4</v>
      </c>
      <c r="T470" s="1">
        <v>2</v>
      </c>
      <c r="U470" s="1">
        <f t="shared" si="93"/>
        <v>6</v>
      </c>
      <c r="V470" s="12">
        <f t="shared" si="90"/>
        <v>0.3</v>
      </c>
      <c r="Z470" s="1">
        <f t="shared" si="94"/>
        <v>0</v>
      </c>
      <c r="AB470" s="2" t="s">
        <v>1564</v>
      </c>
    </row>
    <row r="471" spans="1:28" x14ac:dyDescent="0.25">
      <c r="A471" s="1" t="s">
        <v>1668</v>
      </c>
      <c r="B471" s="1" t="s">
        <v>35</v>
      </c>
      <c r="C471" s="1" t="s">
        <v>36</v>
      </c>
      <c r="D471" s="1">
        <v>19</v>
      </c>
      <c r="E471" s="1">
        <v>1</v>
      </c>
      <c r="F471" s="1">
        <v>1</v>
      </c>
      <c r="G471" s="1">
        <v>2</v>
      </c>
      <c r="H471" s="1">
        <v>2</v>
      </c>
      <c r="I471" s="1">
        <v>2</v>
      </c>
      <c r="J471" s="1">
        <v>2</v>
      </c>
      <c r="K471" s="1">
        <f t="shared" si="91"/>
        <v>8</v>
      </c>
      <c r="L471" s="12">
        <f t="shared" ref="L471:L492" si="95">K471/35</f>
        <v>0.22857142857142856</v>
      </c>
      <c r="M471" s="1">
        <v>3</v>
      </c>
      <c r="N471" s="1">
        <v>2</v>
      </c>
      <c r="O471" s="1">
        <v>2</v>
      </c>
      <c r="P471" s="1">
        <v>2</v>
      </c>
      <c r="Q471" s="1">
        <f t="shared" si="92"/>
        <v>9</v>
      </c>
      <c r="R471" s="12">
        <f t="shared" ref="R471:R492" si="96">Q471/35</f>
        <v>0.25714285714285712</v>
      </c>
      <c r="S471" s="1">
        <v>3</v>
      </c>
      <c r="T471" s="1">
        <v>2</v>
      </c>
      <c r="U471" s="1">
        <f t="shared" si="93"/>
        <v>5</v>
      </c>
      <c r="V471" s="12">
        <f t="shared" ref="V471:V492" si="97">U471/15</f>
        <v>0.33333333333333331</v>
      </c>
      <c r="W471" s="1">
        <v>3</v>
      </c>
      <c r="X471" s="1">
        <v>2</v>
      </c>
      <c r="Y471" s="1">
        <v>2</v>
      </c>
      <c r="Z471" s="1">
        <f t="shared" si="94"/>
        <v>7</v>
      </c>
      <c r="AA471" s="12">
        <f t="shared" ref="AA471:AA492" si="98">Z471/15</f>
        <v>0.46666666666666667</v>
      </c>
      <c r="AB471" s="2" t="s">
        <v>47</v>
      </c>
    </row>
    <row r="472" spans="1:28" x14ac:dyDescent="0.25">
      <c r="A472" s="1" t="s">
        <v>1668</v>
      </c>
      <c r="B472" s="1" t="s">
        <v>35</v>
      </c>
      <c r="C472" s="1" t="s">
        <v>36</v>
      </c>
      <c r="D472" s="1">
        <v>19</v>
      </c>
      <c r="E472" s="1">
        <v>1</v>
      </c>
      <c r="F472" s="1">
        <v>1</v>
      </c>
      <c r="G472" s="1">
        <v>4</v>
      </c>
      <c r="H472" s="1">
        <v>4</v>
      </c>
      <c r="I472" s="1">
        <v>2</v>
      </c>
      <c r="J472" s="1">
        <v>2</v>
      </c>
      <c r="K472" s="1">
        <f t="shared" si="91"/>
        <v>12</v>
      </c>
      <c r="L472" s="12">
        <f t="shared" si="95"/>
        <v>0.34285714285714286</v>
      </c>
      <c r="M472" s="1">
        <v>3</v>
      </c>
      <c r="N472" s="1">
        <v>3</v>
      </c>
      <c r="O472" s="1">
        <v>3</v>
      </c>
      <c r="P472" s="1">
        <v>3</v>
      </c>
      <c r="Q472" s="1">
        <f t="shared" si="92"/>
        <v>12</v>
      </c>
      <c r="R472" s="12">
        <f t="shared" si="96"/>
        <v>0.34285714285714286</v>
      </c>
      <c r="S472" s="1">
        <v>3</v>
      </c>
      <c r="T472" s="1">
        <v>2</v>
      </c>
      <c r="U472" s="1">
        <f t="shared" si="93"/>
        <v>5</v>
      </c>
      <c r="V472" s="12">
        <f t="shared" si="97"/>
        <v>0.33333333333333331</v>
      </c>
      <c r="W472" s="1">
        <v>3</v>
      </c>
      <c r="X472" s="1">
        <v>3</v>
      </c>
      <c r="Y472" s="1">
        <v>3</v>
      </c>
      <c r="Z472" s="1">
        <f t="shared" si="94"/>
        <v>9</v>
      </c>
      <c r="AA472" s="12">
        <f t="shared" si="98"/>
        <v>0.6</v>
      </c>
      <c r="AB472" s="2" t="s">
        <v>48</v>
      </c>
    </row>
    <row r="473" spans="1:28" x14ac:dyDescent="0.25">
      <c r="A473" s="1" t="s">
        <v>1668</v>
      </c>
      <c r="B473" s="1" t="s">
        <v>35</v>
      </c>
      <c r="C473" s="1" t="s">
        <v>36</v>
      </c>
      <c r="D473" s="1">
        <v>19</v>
      </c>
      <c r="E473" s="1">
        <v>1</v>
      </c>
      <c r="F473" s="1">
        <v>1</v>
      </c>
      <c r="G473" s="1">
        <v>4</v>
      </c>
      <c r="H473" s="1">
        <v>3</v>
      </c>
      <c r="I473" s="1">
        <v>3</v>
      </c>
      <c r="J473" s="1">
        <v>3</v>
      </c>
      <c r="K473" s="1">
        <f t="shared" si="91"/>
        <v>13</v>
      </c>
      <c r="L473" s="12">
        <f t="shared" si="95"/>
        <v>0.37142857142857144</v>
      </c>
      <c r="M473" s="1">
        <v>4</v>
      </c>
      <c r="N473" s="1">
        <v>3</v>
      </c>
      <c r="O473" s="1">
        <v>3</v>
      </c>
      <c r="P473" s="1">
        <v>3</v>
      </c>
      <c r="Q473" s="1">
        <f t="shared" si="92"/>
        <v>13</v>
      </c>
      <c r="R473" s="12">
        <f t="shared" si="96"/>
        <v>0.37142857142857144</v>
      </c>
      <c r="S473" s="1">
        <v>2</v>
      </c>
      <c r="T473" s="1">
        <v>3</v>
      </c>
      <c r="U473" s="1">
        <f t="shared" si="93"/>
        <v>5</v>
      </c>
      <c r="V473" s="12">
        <f t="shared" si="97"/>
        <v>0.33333333333333331</v>
      </c>
      <c r="W473" s="1">
        <v>3</v>
      </c>
      <c r="X473" s="1">
        <v>3</v>
      </c>
      <c r="Y473" s="1">
        <v>3</v>
      </c>
      <c r="Z473" s="1">
        <f t="shared" si="94"/>
        <v>9</v>
      </c>
      <c r="AA473" s="12">
        <f t="shared" si="98"/>
        <v>0.6</v>
      </c>
      <c r="AB473" s="2" t="s">
        <v>49</v>
      </c>
    </row>
    <row r="474" spans="1:28" x14ac:dyDescent="0.25">
      <c r="A474" s="1" t="s">
        <v>1668</v>
      </c>
      <c r="B474" s="1" t="s">
        <v>35</v>
      </c>
      <c r="C474" s="1" t="s">
        <v>36</v>
      </c>
      <c r="D474" s="1">
        <v>19</v>
      </c>
      <c r="E474" s="1">
        <v>1</v>
      </c>
      <c r="F474" s="1">
        <v>1</v>
      </c>
      <c r="G474" s="1">
        <v>4</v>
      </c>
      <c r="H474" s="1">
        <v>4</v>
      </c>
      <c r="I474" s="1">
        <v>3</v>
      </c>
      <c r="J474" s="1">
        <v>4</v>
      </c>
      <c r="K474" s="1">
        <f t="shared" si="91"/>
        <v>15</v>
      </c>
      <c r="L474" s="12">
        <f t="shared" si="95"/>
        <v>0.42857142857142855</v>
      </c>
      <c r="M474" s="1">
        <v>3</v>
      </c>
      <c r="N474" s="1">
        <v>4</v>
      </c>
      <c r="O474" s="1">
        <v>3</v>
      </c>
      <c r="P474" s="1">
        <v>3</v>
      </c>
      <c r="Q474" s="1">
        <f t="shared" si="92"/>
        <v>13</v>
      </c>
      <c r="R474" s="12">
        <f t="shared" si="96"/>
        <v>0.37142857142857144</v>
      </c>
      <c r="S474" s="1">
        <v>3</v>
      </c>
      <c r="T474" s="1">
        <v>3</v>
      </c>
      <c r="U474" s="1">
        <f t="shared" si="93"/>
        <v>6</v>
      </c>
      <c r="V474" s="12">
        <f t="shared" si="97"/>
        <v>0.4</v>
      </c>
      <c r="W474" s="1">
        <v>4</v>
      </c>
      <c r="X474" s="1">
        <v>4</v>
      </c>
      <c r="Y474" s="1">
        <v>4</v>
      </c>
      <c r="Z474" s="1">
        <f t="shared" si="94"/>
        <v>12</v>
      </c>
      <c r="AA474" s="12">
        <f t="shared" si="98"/>
        <v>0.8</v>
      </c>
      <c r="AB474" s="2" t="s">
        <v>50</v>
      </c>
    </row>
    <row r="475" spans="1:28" x14ac:dyDescent="0.25">
      <c r="A475" s="1" t="s">
        <v>1668</v>
      </c>
      <c r="B475" s="1" t="s">
        <v>35</v>
      </c>
      <c r="C475" s="1" t="s">
        <v>36</v>
      </c>
      <c r="D475" s="1">
        <v>19</v>
      </c>
      <c r="E475" s="1">
        <v>1</v>
      </c>
      <c r="F475" s="1">
        <v>1</v>
      </c>
      <c r="G475" s="1">
        <v>4</v>
      </c>
      <c r="H475" s="1">
        <v>3</v>
      </c>
      <c r="I475" s="1">
        <v>3</v>
      </c>
      <c r="J475" s="1">
        <v>4</v>
      </c>
      <c r="K475" s="1">
        <f t="shared" si="91"/>
        <v>14</v>
      </c>
      <c r="L475" s="12">
        <f t="shared" si="95"/>
        <v>0.4</v>
      </c>
      <c r="M475" s="1">
        <v>4</v>
      </c>
      <c r="N475" s="1">
        <v>3</v>
      </c>
      <c r="O475" s="1">
        <v>3</v>
      </c>
      <c r="P475" s="1">
        <v>4</v>
      </c>
      <c r="Q475" s="1">
        <f t="shared" si="92"/>
        <v>14</v>
      </c>
      <c r="R475" s="12">
        <f t="shared" si="96"/>
        <v>0.4</v>
      </c>
      <c r="S475" s="1">
        <v>4</v>
      </c>
      <c r="T475" s="1">
        <v>3</v>
      </c>
      <c r="U475" s="1">
        <f t="shared" si="93"/>
        <v>7</v>
      </c>
      <c r="V475" s="12">
        <f t="shared" si="97"/>
        <v>0.46666666666666667</v>
      </c>
      <c r="W475" s="1">
        <v>4</v>
      </c>
      <c r="X475" s="1">
        <v>3</v>
      </c>
      <c r="Y475" s="1">
        <v>4</v>
      </c>
      <c r="Z475" s="1">
        <f t="shared" si="94"/>
        <v>11</v>
      </c>
      <c r="AA475" s="12">
        <f t="shared" si="98"/>
        <v>0.73333333333333328</v>
      </c>
      <c r="AB475" s="2" t="s">
        <v>51</v>
      </c>
    </row>
    <row r="476" spans="1:28" x14ac:dyDescent="0.25">
      <c r="A476" s="1" t="s">
        <v>1668</v>
      </c>
      <c r="B476" s="1" t="s">
        <v>35</v>
      </c>
      <c r="C476" s="1" t="s">
        <v>36</v>
      </c>
      <c r="D476" s="1">
        <v>19</v>
      </c>
      <c r="E476" s="1">
        <v>1</v>
      </c>
      <c r="F476" s="1">
        <v>1</v>
      </c>
      <c r="G476" s="1">
        <v>4</v>
      </c>
      <c r="H476" s="1">
        <v>3</v>
      </c>
      <c r="I476" s="1">
        <v>4</v>
      </c>
      <c r="J476" s="1">
        <v>4</v>
      </c>
      <c r="K476" s="1">
        <f t="shared" si="91"/>
        <v>15</v>
      </c>
      <c r="L476" s="12">
        <f t="shared" si="95"/>
        <v>0.42857142857142855</v>
      </c>
      <c r="M476" s="1">
        <v>4</v>
      </c>
      <c r="N476" s="1">
        <v>4</v>
      </c>
      <c r="O476" s="1">
        <v>4</v>
      </c>
      <c r="P476" s="1">
        <v>4</v>
      </c>
      <c r="Q476" s="1">
        <f t="shared" si="92"/>
        <v>16</v>
      </c>
      <c r="R476" s="12">
        <f t="shared" si="96"/>
        <v>0.45714285714285713</v>
      </c>
      <c r="S476" s="1">
        <v>4</v>
      </c>
      <c r="T476" s="1">
        <v>4</v>
      </c>
      <c r="U476" s="1">
        <f t="shared" si="93"/>
        <v>8</v>
      </c>
      <c r="V476" s="12">
        <f t="shared" si="97"/>
        <v>0.53333333333333333</v>
      </c>
      <c r="W476" s="1">
        <v>4</v>
      </c>
      <c r="X476" s="1">
        <v>4</v>
      </c>
      <c r="Y476" s="1">
        <v>4</v>
      </c>
      <c r="Z476" s="1">
        <f t="shared" si="94"/>
        <v>12</v>
      </c>
      <c r="AA476" s="12">
        <f t="shared" si="98"/>
        <v>0.8</v>
      </c>
      <c r="AB476" s="2" t="s">
        <v>52</v>
      </c>
    </row>
    <row r="477" spans="1:28" x14ac:dyDescent="0.25">
      <c r="A477" s="1" t="s">
        <v>1668</v>
      </c>
      <c r="B477" s="1" t="s">
        <v>35</v>
      </c>
      <c r="C477" s="1" t="s">
        <v>36</v>
      </c>
      <c r="D477" s="1">
        <v>19</v>
      </c>
      <c r="E477" s="1">
        <v>1</v>
      </c>
      <c r="F477" s="1">
        <v>1</v>
      </c>
      <c r="G477" s="1">
        <v>4</v>
      </c>
      <c r="H477" s="1">
        <v>4</v>
      </c>
      <c r="I477" s="1">
        <v>3</v>
      </c>
      <c r="J477" s="1">
        <v>4</v>
      </c>
      <c r="K477" s="1">
        <f t="shared" si="91"/>
        <v>15</v>
      </c>
      <c r="L477" s="12">
        <f t="shared" si="95"/>
        <v>0.42857142857142855</v>
      </c>
      <c r="M477" s="1">
        <v>4</v>
      </c>
      <c r="N477" s="1">
        <v>4</v>
      </c>
      <c r="O477" s="1">
        <v>4</v>
      </c>
      <c r="P477" s="1">
        <v>3</v>
      </c>
      <c r="Q477" s="1">
        <f t="shared" si="92"/>
        <v>15</v>
      </c>
      <c r="R477" s="12">
        <f t="shared" si="96"/>
        <v>0.42857142857142855</v>
      </c>
      <c r="S477" s="1">
        <v>4</v>
      </c>
      <c r="T477" s="1">
        <v>4</v>
      </c>
      <c r="U477" s="1">
        <f t="shared" si="93"/>
        <v>8</v>
      </c>
      <c r="V477" s="12">
        <f t="shared" si="97"/>
        <v>0.53333333333333333</v>
      </c>
      <c r="W477" s="1">
        <v>3</v>
      </c>
      <c r="X477" s="1">
        <v>3</v>
      </c>
      <c r="Y477" s="1">
        <v>3</v>
      </c>
      <c r="Z477" s="1">
        <f t="shared" si="94"/>
        <v>9</v>
      </c>
      <c r="AA477" s="12">
        <f t="shared" si="98"/>
        <v>0.6</v>
      </c>
      <c r="AB477" s="2" t="s">
        <v>53</v>
      </c>
    </row>
    <row r="478" spans="1:28" x14ac:dyDescent="0.25">
      <c r="A478" s="1" t="s">
        <v>1668</v>
      </c>
      <c r="B478" s="1" t="s">
        <v>35</v>
      </c>
      <c r="C478" s="1" t="s">
        <v>36</v>
      </c>
      <c r="D478" s="1">
        <v>19</v>
      </c>
      <c r="E478" s="1">
        <v>1</v>
      </c>
      <c r="F478" s="1">
        <v>1</v>
      </c>
      <c r="G478" s="1">
        <v>3</v>
      </c>
      <c r="H478" s="1">
        <v>3</v>
      </c>
      <c r="I478" s="1">
        <v>3</v>
      </c>
      <c r="J478" s="1">
        <v>4</v>
      </c>
      <c r="K478" s="1">
        <f t="shared" si="91"/>
        <v>13</v>
      </c>
      <c r="L478" s="12">
        <f t="shared" si="95"/>
        <v>0.37142857142857144</v>
      </c>
      <c r="M478" s="1">
        <v>4</v>
      </c>
      <c r="N478" s="1">
        <v>4</v>
      </c>
      <c r="O478" s="1">
        <v>3</v>
      </c>
      <c r="P478" s="1">
        <v>4</v>
      </c>
      <c r="Q478" s="1">
        <f t="shared" si="92"/>
        <v>15</v>
      </c>
      <c r="R478" s="12">
        <f t="shared" si="96"/>
        <v>0.42857142857142855</v>
      </c>
      <c r="S478" s="1">
        <v>4</v>
      </c>
      <c r="T478" s="1">
        <v>4</v>
      </c>
      <c r="U478" s="1">
        <f t="shared" si="93"/>
        <v>8</v>
      </c>
      <c r="V478" s="12">
        <f t="shared" si="97"/>
        <v>0.53333333333333333</v>
      </c>
      <c r="W478" s="1">
        <v>3</v>
      </c>
      <c r="X478" s="1">
        <v>3</v>
      </c>
      <c r="Y478" s="1">
        <v>4</v>
      </c>
      <c r="Z478" s="1">
        <f t="shared" si="94"/>
        <v>10</v>
      </c>
      <c r="AA478" s="12">
        <f t="shared" si="98"/>
        <v>0.66666666666666663</v>
      </c>
      <c r="AB478" s="2" t="s">
        <v>54</v>
      </c>
    </row>
    <row r="479" spans="1:28" x14ac:dyDescent="0.25">
      <c r="A479" s="1" t="s">
        <v>1668</v>
      </c>
      <c r="B479" s="1" t="s">
        <v>35</v>
      </c>
      <c r="C479" s="1" t="s">
        <v>36</v>
      </c>
      <c r="D479" s="1">
        <v>19</v>
      </c>
      <c r="E479" s="1">
        <v>1</v>
      </c>
      <c r="F479" s="1">
        <v>1</v>
      </c>
      <c r="G479" s="1">
        <v>3</v>
      </c>
      <c r="H479" s="1">
        <v>2</v>
      </c>
      <c r="I479" s="1">
        <v>2</v>
      </c>
      <c r="J479" s="1">
        <v>3</v>
      </c>
      <c r="K479" s="1">
        <f t="shared" si="91"/>
        <v>10</v>
      </c>
      <c r="L479" s="12">
        <f t="shared" si="95"/>
        <v>0.2857142857142857</v>
      </c>
      <c r="M479" s="1">
        <v>2</v>
      </c>
      <c r="N479" s="1">
        <v>2</v>
      </c>
      <c r="O479" s="1">
        <v>2</v>
      </c>
      <c r="P479" s="1">
        <v>2</v>
      </c>
      <c r="Q479" s="1">
        <f t="shared" si="92"/>
        <v>8</v>
      </c>
      <c r="R479" s="12">
        <f t="shared" si="96"/>
        <v>0.22857142857142856</v>
      </c>
      <c r="S479" s="1">
        <v>2</v>
      </c>
      <c r="T479" s="1">
        <v>3</v>
      </c>
      <c r="U479" s="1">
        <f t="shared" si="93"/>
        <v>5</v>
      </c>
      <c r="V479" s="12">
        <f t="shared" si="97"/>
        <v>0.33333333333333331</v>
      </c>
      <c r="W479" s="1">
        <v>2</v>
      </c>
      <c r="X479" s="1">
        <v>2</v>
      </c>
      <c r="Y479" s="1">
        <v>2</v>
      </c>
      <c r="Z479" s="1">
        <f t="shared" si="94"/>
        <v>6</v>
      </c>
      <c r="AA479" s="12">
        <f t="shared" si="98"/>
        <v>0.4</v>
      </c>
      <c r="AB479" s="2" t="s">
        <v>55</v>
      </c>
    </row>
    <row r="480" spans="1:28" x14ac:dyDescent="0.25">
      <c r="A480" s="1" t="s">
        <v>1668</v>
      </c>
      <c r="B480" s="1" t="s">
        <v>35</v>
      </c>
      <c r="C480" s="1" t="s">
        <v>36</v>
      </c>
      <c r="D480" s="1">
        <v>20</v>
      </c>
      <c r="E480" s="1">
        <v>2</v>
      </c>
      <c r="F480" s="1">
        <v>7</v>
      </c>
      <c r="G480" s="1">
        <v>5</v>
      </c>
      <c r="H480" s="1">
        <v>6</v>
      </c>
      <c r="I480" s="1">
        <v>5</v>
      </c>
      <c r="J480" s="1">
        <v>5</v>
      </c>
      <c r="K480" s="1">
        <f t="shared" si="91"/>
        <v>21</v>
      </c>
      <c r="L480" s="12">
        <f t="shared" si="95"/>
        <v>0.6</v>
      </c>
      <c r="M480" s="1">
        <v>5</v>
      </c>
      <c r="N480" s="1">
        <v>5</v>
      </c>
      <c r="O480" s="1">
        <v>5</v>
      </c>
      <c r="P480" s="1">
        <v>5</v>
      </c>
      <c r="Q480" s="1">
        <f t="shared" si="92"/>
        <v>20</v>
      </c>
      <c r="R480" s="12">
        <f t="shared" si="96"/>
        <v>0.5714285714285714</v>
      </c>
      <c r="S480" s="1">
        <v>5</v>
      </c>
      <c r="T480" s="1">
        <v>5</v>
      </c>
      <c r="U480" s="1">
        <f t="shared" si="93"/>
        <v>10</v>
      </c>
      <c r="V480" s="12">
        <f t="shared" si="97"/>
        <v>0.66666666666666663</v>
      </c>
      <c r="W480" s="1">
        <v>5</v>
      </c>
      <c r="X480" s="1">
        <v>5</v>
      </c>
      <c r="Y480" s="1">
        <v>5</v>
      </c>
      <c r="Z480" s="1">
        <f t="shared" si="94"/>
        <v>15</v>
      </c>
      <c r="AA480" s="12">
        <f t="shared" si="98"/>
        <v>1</v>
      </c>
      <c r="AB480" s="2" t="s">
        <v>397</v>
      </c>
    </row>
    <row r="481" spans="1:28" x14ac:dyDescent="0.25">
      <c r="A481" s="1" t="s">
        <v>1668</v>
      </c>
      <c r="B481" s="1" t="s">
        <v>35</v>
      </c>
      <c r="C481" s="1" t="s">
        <v>36</v>
      </c>
      <c r="D481" s="1">
        <v>20</v>
      </c>
      <c r="E481" s="1">
        <v>2</v>
      </c>
      <c r="F481" s="1">
        <v>7</v>
      </c>
      <c r="G481" s="1">
        <v>5</v>
      </c>
      <c r="H481" s="1">
        <v>4</v>
      </c>
      <c r="I481" s="1">
        <v>5</v>
      </c>
      <c r="J481" s="1">
        <v>5</v>
      </c>
      <c r="K481" s="1">
        <f t="shared" si="91"/>
        <v>19</v>
      </c>
      <c r="L481" s="12">
        <f t="shared" si="95"/>
        <v>0.54285714285714282</v>
      </c>
      <c r="M481" s="1">
        <v>5</v>
      </c>
      <c r="N481" s="1">
        <v>5</v>
      </c>
      <c r="O481" s="1">
        <v>5</v>
      </c>
      <c r="P481" s="1">
        <v>5</v>
      </c>
      <c r="Q481" s="1">
        <f t="shared" si="92"/>
        <v>20</v>
      </c>
      <c r="R481" s="12">
        <f t="shared" si="96"/>
        <v>0.5714285714285714</v>
      </c>
      <c r="S481" s="1">
        <v>5</v>
      </c>
      <c r="T481" s="1">
        <v>5</v>
      </c>
      <c r="U481" s="1">
        <f t="shared" si="93"/>
        <v>10</v>
      </c>
      <c r="V481" s="12">
        <f t="shared" si="97"/>
        <v>0.66666666666666663</v>
      </c>
      <c r="W481" s="1">
        <v>5</v>
      </c>
      <c r="X481" s="1">
        <v>5</v>
      </c>
      <c r="Y481" s="1">
        <v>5</v>
      </c>
      <c r="Z481" s="1">
        <f t="shared" si="94"/>
        <v>15</v>
      </c>
      <c r="AA481" s="12">
        <f t="shared" si="98"/>
        <v>1</v>
      </c>
      <c r="AB481" s="2" t="s">
        <v>398</v>
      </c>
    </row>
    <row r="482" spans="1:28" x14ac:dyDescent="0.25">
      <c r="A482" s="1" t="s">
        <v>1668</v>
      </c>
      <c r="B482" s="1" t="s">
        <v>35</v>
      </c>
      <c r="C482" s="1" t="s">
        <v>36</v>
      </c>
      <c r="D482" s="1">
        <v>20</v>
      </c>
      <c r="E482" s="1">
        <v>2</v>
      </c>
      <c r="F482" s="1">
        <v>7</v>
      </c>
      <c r="G482" s="1">
        <v>6</v>
      </c>
      <c r="H482" s="1">
        <v>5</v>
      </c>
      <c r="I482" s="1">
        <v>4</v>
      </c>
      <c r="J482" s="1">
        <v>5</v>
      </c>
      <c r="K482" s="1">
        <f t="shared" si="91"/>
        <v>20</v>
      </c>
      <c r="L482" s="12">
        <f t="shared" si="95"/>
        <v>0.5714285714285714</v>
      </c>
      <c r="M482" s="1">
        <v>5</v>
      </c>
      <c r="N482" s="1">
        <v>5</v>
      </c>
      <c r="O482" s="1">
        <v>5</v>
      </c>
      <c r="P482" s="1">
        <v>4</v>
      </c>
      <c r="Q482" s="1">
        <f t="shared" si="92"/>
        <v>19</v>
      </c>
      <c r="R482" s="12">
        <f t="shared" si="96"/>
        <v>0.54285714285714282</v>
      </c>
      <c r="S482" s="1">
        <v>4</v>
      </c>
      <c r="T482" s="1">
        <v>5</v>
      </c>
      <c r="U482" s="1">
        <f t="shared" si="93"/>
        <v>9</v>
      </c>
      <c r="V482" s="12">
        <f t="shared" si="97"/>
        <v>0.6</v>
      </c>
      <c r="W482" s="1">
        <v>5</v>
      </c>
      <c r="X482" s="1">
        <v>5</v>
      </c>
      <c r="Y482" s="1">
        <v>5</v>
      </c>
      <c r="Z482" s="1">
        <f t="shared" si="94"/>
        <v>15</v>
      </c>
      <c r="AA482" s="12">
        <f t="shared" si="98"/>
        <v>1</v>
      </c>
      <c r="AB482" s="2" t="s">
        <v>399</v>
      </c>
    </row>
    <row r="483" spans="1:28" x14ac:dyDescent="0.25">
      <c r="A483" s="1" t="s">
        <v>1668</v>
      </c>
      <c r="B483" s="1" t="s">
        <v>35</v>
      </c>
      <c r="C483" s="1" t="s">
        <v>36</v>
      </c>
      <c r="D483" s="1">
        <v>20</v>
      </c>
      <c r="E483" s="1">
        <v>2</v>
      </c>
      <c r="F483" s="1">
        <v>7</v>
      </c>
      <c r="G483" s="1">
        <v>6</v>
      </c>
      <c r="H483" s="1">
        <v>6</v>
      </c>
      <c r="I483" s="1">
        <v>5</v>
      </c>
      <c r="J483" s="1">
        <v>5</v>
      </c>
      <c r="K483" s="1">
        <f t="shared" si="91"/>
        <v>22</v>
      </c>
      <c r="L483" s="12">
        <f t="shared" si="95"/>
        <v>0.62857142857142856</v>
      </c>
      <c r="M483" s="1">
        <v>5</v>
      </c>
      <c r="N483" s="1">
        <v>5</v>
      </c>
      <c r="O483" s="1">
        <v>5</v>
      </c>
      <c r="P483" s="1">
        <v>5</v>
      </c>
      <c r="Q483" s="1">
        <f t="shared" si="92"/>
        <v>20</v>
      </c>
      <c r="R483" s="12">
        <f t="shared" si="96"/>
        <v>0.5714285714285714</v>
      </c>
      <c r="S483" s="1">
        <v>4</v>
      </c>
      <c r="T483" s="1">
        <v>5</v>
      </c>
      <c r="U483" s="1">
        <f t="shared" si="93"/>
        <v>9</v>
      </c>
      <c r="V483" s="12">
        <f t="shared" si="97"/>
        <v>0.6</v>
      </c>
      <c r="W483" s="1">
        <v>4</v>
      </c>
      <c r="X483" s="1">
        <v>4</v>
      </c>
      <c r="Y483" s="1">
        <v>5</v>
      </c>
      <c r="Z483" s="1">
        <f t="shared" si="94"/>
        <v>13</v>
      </c>
      <c r="AA483" s="12">
        <f t="shared" si="98"/>
        <v>0.8666666666666667</v>
      </c>
      <c r="AB483" s="2" t="s">
        <v>400</v>
      </c>
    </row>
    <row r="484" spans="1:28" x14ac:dyDescent="0.25">
      <c r="A484" s="1" t="s">
        <v>1668</v>
      </c>
      <c r="B484" s="1" t="s">
        <v>35</v>
      </c>
      <c r="C484" s="1" t="s">
        <v>36</v>
      </c>
      <c r="D484" s="1">
        <v>20</v>
      </c>
      <c r="E484" s="1">
        <v>2</v>
      </c>
      <c r="F484" s="1">
        <v>7</v>
      </c>
      <c r="G484" s="1">
        <v>5</v>
      </c>
      <c r="H484" s="1">
        <v>6</v>
      </c>
      <c r="I484" s="1">
        <v>5</v>
      </c>
      <c r="J484" s="1">
        <v>5</v>
      </c>
      <c r="K484" s="1">
        <f t="shared" si="91"/>
        <v>21</v>
      </c>
      <c r="L484" s="12">
        <f t="shared" si="95"/>
        <v>0.6</v>
      </c>
      <c r="M484" s="1">
        <v>6</v>
      </c>
      <c r="N484" s="1">
        <v>5</v>
      </c>
      <c r="O484" s="1">
        <v>5</v>
      </c>
      <c r="P484" s="1">
        <v>5</v>
      </c>
      <c r="Q484" s="1">
        <f t="shared" si="92"/>
        <v>21</v>
      </c>
      <c r="R484" s="12">
        <f t="shared" si="96"/>
        <v>0.6</v>
      </c>
      <c r="S484" s="1">
        <v>6</v>
      </c>
      <c r="T484" s="1">
        <v>5</v>
      </c>
      <c r="U484" s="1">
        <f t="shared" si="93"/>
        <v>11</v>
      </c>
      <c r="V484" s="12">
        <f t="shared" si="97"/>
        <v>0.73333333333333328</v>
      </c>
      <c r="W484" s="1">
        <v>5</v>
      </c>
      <c r="X484" s="1">
        <v>4</v>
      </c>
      <c r="Y484" s="1">
        <v>4</v>
      </c>
      <c r="Z484" s="1">
        <f t="shared" si="94"/>
        <v>13</v>
      </c>
      <c r="AA484" s="12">
        <f t="shared" si="98"/>
        <v>0.8666666666666667</v>
      </c>
      <c r="AB484" s="2" t="s">
        <v>401</v>
      </c>
    </row>
    <row r="485" spans="1:28" x14ac:dyDescent="0.25">
      <c r="A485" s="1" t="s">
        <v>1668</v>
      </c>
      <c r="B485" s="1" t="s">
        <v>35</v>
      </c>
      <c r="C485" s="1" t="s">
        <v>36</v>
      </c>
      <c r="D485" s="1">
        <v>20</v>
      </c>
      <c r="E485" s="1">
        <v>2</v>
      </c>
      <c r="F485" s="1">
        <v>7</v>
      </c>
      <c r="G485" s="1">
        <v>4</v>
      </c>
      <c r="H485" s="1">
        <v>5</v>
      </c>
      <c r="I485" s="1">
        <v>5</v>
      </c>
      <c r="J485" s="1">
        <v>5</v>
      </c>
      <c r="K485" s="1">
        <f t="shared" si="91"/>
        <v>19</v>
      </c>
      <c r="L485" s="12">
        <f t="shared" si="95"/>
        <v>0.54285714285714282</v>
      </c>
      <c r="M485" s="1">
        <v>4</v>
      </c>
      <c r="N485" s="1">
        <v>4</v>
      </c>
      <c r="O485" s="1">
        <v>4</v>
      </c>
      <c r="P485" s="1">
        <v>4</v>
      </c>
      <c r="Q485" s="1">
        <f t="shared" si="92"/>
        <v>16</v>
      </c>
      <c r="R485" s="12">
        <f t="shared" si="96"/>
        <v>0.45714285714285713</v>
      </c>
      <c r="S485" s="1">
        <v>4</v>
      </c>
      <c r="T485" s="1">
        <v>5</v>
      </c>
      <c r="U485" s="1">
        <f t="shared" si="93"/>
        <v>9</v>
      </c>
      <c r="V485" s="12">
        <f t="shared" si="97"/>
        <v>0.6</v>
      </c>
      <c r="W485" s="1">
        <v>5</v>
      </c>
      <c r="X485" s="1">
        <v>4</v>
      </c>
      <c r="Y485" s="1">
        <v>4</v>
      </c>
      <c r="Z485" s="1">
        <f t="shared" si="94"/>
        <v>13</v>
      </c>
      <c r="AA485" s="12">
        <f t="shared" si="98"/>
        <v>0.8666666666666667</v>
      </c>
      <c r="AB485" s="2" t="s">
        <v>402</v>
      </c>
    </row>
    <row r="486" spans="1:28" x14ac:dyDescent="0.25">
      <c r="A486" s="1" t="s">
        <v>1668</v>
      </c>
      <c r="B486" s="1" t="s">
        <v>35</v>
      </c>
      <c r="C486" s="1" t="s">
        <v>36</v>
      </c>
      <c r="D486" s="1">
        <v>20</v>
      </c>
      <c r="E486" s="1">
        <v>2</v>
      </c>
      <c r="F486" s="1">
        <v>7</v>
      </c>
      <c r="G486" s="1">
        <v>6</v>
      </c>
      <c r="H486" s="1">
        <v>6</v>
      </c>
      <c r="I486" s="1">
        <v>6</v>
      </c>
      <c r="J486" s="1">
        <v>5</v>
      </c>
      <c r="K486" s="1">
        <f t="shared" si="91"/>
        <v>23</v>
      </c>
      <c r="L486" s="12">
        <f t="shared" si="95"/>
        <v>0.65714285714285714</v>
      </c>
      <c r="M486" s="1">
        <v>6</v>
      </c>
      <c r="N486" s="1">
        <v>5</v>
      </c>
      <c r="O486" s="1">
        <v>6</v>
      </c>
      <c r="P486" s="1">
        <v>5</v>
      </c>
      <c r="Q486" s="1">
        <f t="shared" si="92"/>
        <v>22</v>
      </c>
      <c r="R486" s="12">
        <f t="shared" si="96"/>
        <v>0.62857142857142856</v>
      </c>
      <c r="S486" s="1">
        <v>6</v>
      </c>
      <c r="T486" s="1">
        <v>5</v>
      </c>
      <c r="U486" s="1">
        <f t="shared" si="93"/>
        <v>11</v>
      </c>
      <c r="V486" s="12">
        <f t="shared" si="97"/>
        <v>0.73333333333333328</v>
      </c>
      <c r="W486" s="1">
        <v>5</v>
      </c>
      <c r="X486" s="1">
        <v>4</v>
      </c>
      <c r="Y486" s="1">
        <v>4</v>
      </c>
      <c r="Z486" s="1">
        <f t="shared" si="94"/>
        <v>13</v>
      </c>
      <c r="AA486" s="12">
        <f t="shared" si="98"/>
        <v>0.8666666666666667</v>
      </c>
      <c r="AB486" s="2" t="s">
        <v>403</v>
      </c>
    </row>
    <row r="487" spans="1:28" x14ac:dyDescent="0.25">
      <c r="A487" s="1" t="s">
        <v>1668</v>
      </c>
      <c r="B487" s="1" t="s">
        <v>35</v>
      </c>
      <c r="C487" s="1" t="s">
        <v>36</v>
      </c>
      <c r="D487" s="1">
        <v>20</v>
      </c>
      <c r="E487" s="1">
        <v>2</v>
      </c>
      <c r="F487" s="1">
        <v>7</v>
      </c>
      <c r="G487" s="1">
        <v>6</v>
      </c>
      <c r="H487" s="1">
        <v>5</v>
      </c>
      <c r="I487" s="1">
        <v>5</v>
      </c>
      <c r="J487" s="1">
        <v>5</v>
      </c>
      <c r="K487" s="1">
        <f t="shared" si="91"/>
        <v>21</v>
      </c>
      <c r="L487" s="12">
        <f t="shared" si="95"/>
        <v>0.6</v>
      </c>
      <c r="M487" s="1">
        <v>6</v>
      </c>
      <c r="N487" s="1">
        <v>5</v>
      </c>
      <c r="O487" s="1">
        <v>6</v>
      </c>
      <c r="P487" s="1">
        <v>5</v>
      </c>
      <c r="Q487" s="1">
        <f t="shared" si="92"/>
        <v>22</v>
      </c>
      <c r="R487" s="12">
        <f t="shared" si="96"/>
        <v>0.62857142857142856</v>
      </c>
      <c r="S487" s="1">
        <v>5</v>
      </c>
      <c r="T487" s="1">
        <v>5</v>
      </c>
      <c r="U487" s="1">
        <f t="shared" si="93"/>
        <v>10</v>
      </c>
      <c r="V487" s="12">
        <f t="shared" si="97"/>
        <v>0.66666666666666663</v>
      </c>
      <c r="W487" s="1">
        <v>5</v>
      </c>
      <c r="X487" s="1">
        <v>5</v>
      </c>
      <c r="Y487" s="1">
        <v>5</v>
      </c>
      <c r="Z487" s="1">
        <f t="shared" si="94"/>
        <v>15</v>
      </c>
      <c r="AA487" s="12">
        <f t="shared" si="98"/>
        <v>1</v>
      </c>
      <c r="AB487" s="2" t="s">
        <v>404</v>
      </c>
    </row>
    <row r="488" spans="1:28" x14ac:dyDescent="0.25">
      <c r="A488" s="1" t="s">
        <v>1668</v>
      </c>
      <c r="B488" s="1" t="s">
        <v>576</v>
      </c>
      <c r="C488" s="1" t="s">
        <v>36</v>
      </c>
      <c r="D488" s="1">
        <v>27</v>
      </c>
      <c r="E488" s="1">
        <v>2</v>
      </c>
      <c r="F488" s="1">
        <v>5</v>
      </c>
      <c r="G488" s="1">
        <v>4</v>
      </c>
      <c r="H488" s="1">
        <v>3</v>
      </c>
      <c r="I488" s="1">
        <v>3</v>
      </c>
      <c r="J488" s="1">
        <v>4</v>
      </c>
      <c r="K488" s="1">
        <f t="shared" si="91"/>
        <v>14</v>
      </c>
      <c r="L488" s="12">
        <f t="shared" si="95"/>
        <v>0.4</v>
      </c>
      <c r="M488" s="1">
        <v>5</v>
      </c>
      <c r="N488" s="1">
        <v>4</v>
      </c>
      <c r="O488" s="1">
        <v>3</v>
      </c>
      <c r="P488" s="1">
        <v>4</v>
      </c>
      <c r="Q488" s="1">
        <f t="shared" si="92"/>
        <v>16</v>
      </c>
      <c r="R488" s="12">
        <f t="shared" si="96"/>
        <v>0.45714285714285713</v>
      </c>
      <c r="S488" s="1">
        <v>4</v>
      </c>
      <c r="T488" s="1">
        <v>5</v>
      </c>
      <c r="U488" s="1">
        <f t="shared" si="93"/>
        <v>9</v>
      </c>
      <c r="V488" s="12">
        <f t="shared" si="97"/>
        <v>0.6</v>
      </c>
      <c r="W488" s="1">
        <v>5</v>
      </c>
      <c r="X488" s="1">
        <v>5</v>
      </c>
      <c r="Y488" s="1">
        <v>5</v>
      </c>
      <c r="Z488" s="1">
        <f t="shared" si="94"/>
        <v>15</v>
      </c>
      <c r="AA488" s="12">
        <f t="shared" si="98"/>
        <v>1</v>
      </c>
      <c r="AB488" s="2" t="s">
        <v>747</v>
      </c>
    </row>
    <row r="489" spans="1:28" x14ac:dyDescent="0.25">
      <c r="A489" s="1" t="s">
        <v>1668</v>
      </c>
      <c r="B489" s="1" t="s">
        <v>576</v>
      </c>
      <c r="C489" s="1" t="s">
        <v>36</v>
      </c>
      <c r="D489" s="1">
        <v>27</v>
      </c>
      <c r="E489" s="1">
        <v>2</v>
      </c>
      <c r="F489" s="1">
        <v>5</v>
      </c>
      <c r="G489" s="1">
        <v>5</v>
      </c>
      <c r="H489" s="1">
        <v>4</v>
      </c>
      <c r="I489" s="1">
        <v>4</v>
      </c>
      <c r="J489" s="1">
        <v>5</v>
      </c>
      <c r="K489" s="1">
        <f t="shared" si="91"/>
        <v>18</v>
      </c>
      <c r="L489" s="12">
        <f t="shared" si="95"/>
        <v>0.51428571428571423</v>
      </c>
      <c r="M489" s="1">
        <v>5</v>
      </c>
      <c r="N489" s="1">
        <v>4</v>
      </c>
      <c r="O489" s="1">
        <v>4</v>
      </c>
      <c r="P489" s="1">
        <v>4</v>
      </c>
      <c r="Q489" s="1">
        <f t="shared" si="92"/>
        <v>17</v>
      </c>
      <c r="R489" s="12">
        <f t="shared" si="96"/>
        <v>0.48571428571428571</v>
      </c>
      <c r="S489" s="1">
        <v>4</v>
      </c>
      <c r="T489" s="1">
        <v>5</v>
      </c>
      <c r="U489" s="1">
        <f t="shared" si="93"/>
        <v>9</v>
      </c>
      <c r="V489" s="12">
        <f t="shared" si="97"/>
        <v>0.6</v>
      </c>
      <c r="W489" s="1">
        <v>5</v>
      </c>
      <c r="X489" s="1">
        <v>5</v>
      </c>
      <c r="Y489" s="1">
        <v>5</v>
      </c>
      <c r="Z489" s="1">
        <f t="shared" si="94"/>
        <v>15</v>
      </c>
      <c r="AA489" s="12">
        <f t="shared" si="98"/>
        <v>1</v>
      </c>
      <c r="AB489" s="2" t="s">
        <v>748</v>
      </c>
    </row>
    <row r="490" spans="1:28" x14ac:dyDescent="0.25">
      <c r="A490" s="1" t="s">
        <v>1668</v>
      </c>
      <c r="B490" s="1" t="s">
        <v>576</v>
      </c>
      <c r="C490" s="1" t="s">
        <v>36</v>
      </c>
      <c r="D490" s="1">
        <v>27</v>
      </c>
      <c r="E490" s="1">
        <v>2</v>
      </c>
      <c r="F490" s="1">
        <v>5</v>
      </c>
      <c r="G490" s="1">
        <v>4</v>
      </c>
      <c r="H490" s="1">
        <v>4</v>
      </c>
      <c r="I490" s="1">
        <v>4</v>
      </c>
      <c r="J490" s="1">
        <v>4</v>
      </c>
      <c r="K490" s="1">
        <f t="shared" si="91"/>
        <v>16</v>
      </c>
      <c r="L490" s="12">
        <f t="shared" si="95"/>
        <v>0.45714285714285713</v>
      </c>
      <c r="M490" s="1">
        <v>4</v>
      </c>
      <c r="N490" s="1">
        <v>4</v>
      </c>
      <c r="O490" s="1">
        <v>3</v>
      </c>
      <c r="P490" s="1">
        <v>4</v>
      </c>
      <c r="Q490" s="1">
        <f t="shared" si="92"/>
        <v>15</v>
      </c>
      <c r="R490" s="12">
        <f t="shared" si="96"/>
        <v>0.42857142857142855</v>
      </c>
      <c r="S490" s="1">
        <v>4</v>
      </c>
      <c r="T490" s="1">
        <v>5</v>
      </c>
      <c r="U490" s="1">
        <f t="shared" si="93"/>
        <v>9</v>
      </c>
      <c r="V490" s="12">
        <f t="shared" si="97"/>
        <v>0.6</v>
      </c>
      <c r="W490" s="1">
        <v>5</v>
      </c>
      <c r="X490" s="1">
        <v>5</v>
      </c>
      <c r="Y490" s="1">
        <v>5</v>
      </c>
      <c r="Z490" s="1">
        <f t="shared" si="94"/>
        <v>15</v>
      </c>
      <c r="AA490" s="12">
        <f t="shared" si="98"/>
        <v>1</v>
      </c>
      <c r="AB490" s="2" t="s">
        <v>749</v>
      </c>
    </row>
    <row r="491" spans="1:28" x14ac:dyDescent="0.25">
      <c r="A491" s="1" t="s">
        <v>1668</v>
      </c>
      <c r="B491" s="1" t="s">
        <v>576</v>
      </c>
      <c r="C491" s="1" t="s">
        <v>36</v>
      </c>
      <c r="D491" s="1">
        <v>27</v>
      </c>
      <c r="E491" s="1">
        <v>2</v>
      </c>
      <c r="F491" s="1">
        <v>5</v>
      </c>
      <c r="G491" s="1">
        <v>4</v>
      </c>
      <c r="H491" s="1">
        <v>3</v>
      </c>
      <c r="I491" s="1">
        <v>3</v>
      </c>
      <c r="J491" s="1">
        <v>4</v>
      </c>
      <c r="K491" s="1">
        <f t="shared" si="91"/>
        <v>14</v>
      </c>
      <c r="L491" s="12">
        <f t="shared" si="95"/>
        <v>0.4</v>
      </c>
      <c r="M491" s="1">
        <v>3</v>
      </c>
      <c r="N491" s="1">
        <v>4</v>
      </c>
      <c r="O491" s="1">
        <v>4</v>
      </c>
      <c r="P491" s="1">
        <v>4</v>
      </c>
      <c r="Q491" s="1">
        <f t="shared" si="92"/>
        <v>15</v>
      </c>
      <c r="R491" s="12">
        <f t="shared" si="96"/>
        <v>0.42857142857142855</v>
      </c>
      <c r="S491" s="1">
        <v>4</v>
      </c>
      <c r="T491" s="1">
        <v>2</v>
      </c>
      <c r="U491" s="1">
        <f t="shared" si="93"/>
        <v>6</v>
      </c>
      <c r="V491" s="12">
        <f t="shared" si="97"/>
        <v>0.4</v>
      </c>
      <c r="W491" s="1">
        <v>5</v>
      </c>
      <c r="X491" s="1">
        <v>4</v>
      </c>
      <c r="Y491" s="1">
        <v>4</v>
      </c>
      <c r="Z491" s="1">
        <f t="shared" si="94"/>
        <v>13</v>
      </c>
      <c r="AA491" s="12">
        <f t="shared" si="98"/>
        <v>0.8666666666666667</v>
      </c>
      <c r="AB491" s="2" t="s">
        <v>750</v>
      </c>
    </row>
    <row r="492" spans="1:28" x14ac:dyDescent="0.25">
      <c r="A492" s="1" t="s">
        <v>1668</v>
      </c>
      <c r="B492" s="1" t="s">
        <v>576</v>
      </c>
      <c r="C492" s="1" t="s">
        <v>36</v>
      </c>
      <c r="D492" s="1">
        <v>27</v>
      </c>
      <c r="E492" s="1">
        <v>2</v>
      </c>
      <c r="F492" s="1">
        <v>5</v>
      </c>
      <c r="G492" s="1">
        <v>5</v>
      </c>
      <c r="H492" s="1">
        <v>4</v>
      </c>
      <c r="I492" s="1">
        <v>5</v>
      </c>
      <c r="J492" s="1">
        <v>4</v>
      </c>
      <c r="K492" s="1">
        <f t="shared" si="91"/>
        <v>18</v>
      </c>
      <c r="L492" s="12">
        <f t="shared" si="95"/>
        <v>0.51428571428571423</v>
      </c>
      <c r="M492" s="1">
        <v>4</v>
      </c>
      <c r="N492" s="1">
        <v>4</v>
      </c>
      <c r="O492" s="1">
        <v>5</v>
      </c>
      <c r="P492" s="1">
        <v>4</v>
      </c>
      <c r="Q492" s="1">
        <f t="shared" si="92"/>
        <v>17</v>
      </c>
      <c r="R492" s="12">
        <f t="shared" si="96"/>
        <v>0.48571428571428571</v>
      </c>
      <c r="S492" s="1">
        <v>4</v>
      </c>
      <c r="T492" s="1">
        <v>5</v>
      </c>
      <c r="U492" s="1">
        <f t="shared" si="93"/>
        <v>9</v>
      </c>
      <c r="V492" s="12">
        <f t="shared" si="97"/>
        <v>0.6</v>
      </c>
      <c r="W492" s="1">
        <v>5</v>
      </c>
      <c r="X492" s="1">
        <v>5</v>
      </c>
      <c r="Y492" s="1">
        <v>5</v>
      </c>
      <c r="Z492" s="1">
        <f t="shared" si="94"/>
        <v>15</v>
      </c>
      <c r="AA492" s="12">
        <f t="shared" si="98"/>
        <v>1</v>
      </c>
      <c r="AB492" s="2" t="s">
        <v>751</v>
      </c>
    </row>
    <row r="493" spans="1:28" x14ac:dyDescent="0.25">
      <c r="A493" s="1" t="s">
        <v>1668</v>
      </c>
      <c r="B493" s="1" t="s">
        <v>35</v>
      </c>
      <c r="C493" s="1" t="s">
        <v>861</v>
      </c>
      <c r="D493" s="1">
        <v>17</v>
      </c>
      <c r="E493" s="1">
        <v>1</v>
      </c>
      <c r="F493" s="1">
        <v>6</v>
      </c>
      <c r="G493" s="1">
        <v>3</v>
      </c>
      <c r="H493" s="1">
        <v>4</v>
      </c>
      <c r="I493" s="1">
        <v>3</v>
      </c>
      <c r="J493" s="1">
        <v>4</v>
      </c>
      <c r="K493" s="1">
        <f t="shared" si="91"/>
        <v>14</v>
      </c>
      <c r="L493" s="12">
        <f t="shared" ref="L493:L506" si="99">K493/40</f>
        <v>0.35</v>
      </c>
      <c r="M493" s="1">
        <v>3</v>
      </c>
      <c r="N493" s="1">
        <v>2</v>
      </c>
      <c r="O493" s="1">
        <v>3</v>
      </c>
      <c r="P493" s="1">
        <v>3</v>
      </c>
      <c r="Q493" s="1">
        <f t="shared" si="92"/>
        <v>11</v>
      </c>
      <c r="R493" s="12">
        <f t="shared" ref="R493:R506" si="100">Q493/40</f>
        <v>0.27500000000000002</v>
      </c>
      <c r="S493" s="1">
        <v>3</v>
      </c>
      <c r="T493" s="1">
        <v>3</v>
      </c>
      <c r="U493" s="1">
        <f t="shared" si="93"/>
        <v>6</v>
      </c>
      <c r="V493" s="12">
        <f t="shared" ref="V493:V506" si="101">U493/20</f>
        <v>0.3</v>
      </c>
      <c r="Z493" s="1">
        <f t="shared" si="94"/>
        <v>0</v>
      </c>
      <c r="AB493" s="2" t="s">
        <v>993</v>
      </c>
    </row>
    <row r="494" spans="1:28" x14ac:dyDescent="0.25">
      <c r="A494" s="1" t="s">
        <v>1668</v>
      </c>
      <c r="B494" s="1" t="s">
        <v>35</v>
      </c>
      <c r="C494" s="1" t="s">
        <v>861</v>
      </c>
      <c r="D494" s="1">
        <v>17</v>
      </c>
      <c r="E494" s="1">
        <v>1</v>
      </c>
      <c r="F494" s="1">
        <v>6</v>
      </c>
      <c r="G494" s="1">
        <v>2</v>
      </c>
      <c r="H494" s="1">
        <v>2</v>
      </c>
      <c r="I494" s="1">
        <v>1</v>
      </c>
      <c r="J494" s="1">
        <v>2</v>
      </c>
      <c r="K494" s="1">
        <f t="shared" si="91"/>
        <v>7</v>
      </c>
      <c r="L494" s="12">
        <f t="shared" si="99"/>
        <v>0.17499999999999999</v>
      </c>
      <c r="M494" s="1">
        <v>1</v>
      </c>
      <c r="N494" s="1">
        <v>1</v>
      </c>
      <c r="O494" s="1">
        <v>1</v>
      </c>
      <c r="P494" s="1">
        <v>1</v>
      </c>
      <c r="Q494" s="1">
        <f t="shared" si="92"/>
        <v>4</v>
      </c>
      <c r="R494" s="12">
        <f t="shared" si="100"/>
        <v>0.1</v>
      </c>
      <c r="S494" s="1">
        <v>1</v>
      </c>
      <c r="T494" s="1">
        <v>1</v>
      </c>
      <c r="U494" s="1">
        <f t="shared" si="93"/>
        <v>2</v>
      </c>
      <c r="V494" s="12">
        <f t="shared" si="101"/>
        <v>0.1</v>
      </c>
      <c r="Z494" s="1">
        <f t="shared" si="94"/>
        <v>0</v>
      </c>
      <c r="AB494" s="2" t="s">
        <v>994</v>
      </c>
    </row>
    <row r="495" spans="1:28" x14ac:dyDescent="0.25">
      <c r="A495" s="1" t="s">
        <v>1668</v>
      </c>
      <c r="B495" s="1" t="s">
        <v>35</v>
      </c>
      <c r="C495" s="1" t="s">
        <v>861</v>
      </c>
      <c r="D495" s="1">
        <v>17</v>
      </c>
      <c r="E495" s="1">
        <v>1</v>
      </c>
      <c r="F495" s="1">
        <v>6</v>
      </c>
      <c r="G495" s="1">
        <v>3</v>
      </c>
      <c r="H495" s="1">
        <v>3</v>
      </c>
      <c r="I495" s="1">
        <v>3</v>
      </c>
      <c r="J495" s="1">
        <v>3</v>
      </c>
      <c r="K495" s="1">
        <f t="shared" si="91"/>
        <v>12</v>
      </c>
      <c r="L495" s="12">
        <f t="shared" si="99"/>
        <v>0.3</v>
      </c>
      <c r="M495" s="1">
        <v>3</v>
      </c>
      <c r="N495" s="1">
        <v>2</v>
      </c>
      <c r="O495" s="1">
        <v>3</v>
      </c>
      <c r="P495" s="1">
        <v>3</v>
      </c>
      <c r="Q495" s="1">
        <f t="shared" si="92"/>
        <v>11</v>
      </c>
      <c r="R495" s="12">
        <f t="shared" si="100"/>
        <v>0.27500000000000002</v>
      </c>
      <c r="S495" s="1">
        <v>2</v>
      </c>
      <c r="T495" s="1">
        <v>3</v>
      </c>
      <c r="U495" s="1">
        <f t="shared" si="93"/>
        <v>5</v>
      </c>
      <c r="V495" s="12">
        <f t="shared" si="101"/>
        <v>0.25</v>
      </c>
      <c r="Z495" s="1">
        <f t="shared" si="94"/>
        <v>0</v>
      </c>
      <c r="AB495" s="2" t="s">
        <v>995</v>
      </c>
    </row>
    <row r="496" spans="1:28" x14ac:dyDescent="0.25">
      <c r="A496" s="1" t="s">
        <v>1668</v>
      </c>
      <c r="B496" s="1" t="s">
        <v>35</v>
      </c>
      <c r="C496" s="1" t="s">
        <v>861</v>
      </c>
      <c r="D496" s="1">
        <v>17</v>
      </c>
      <c r="E496" s="1">
        <v>1</v>
      </c>
      <c r="F496" s="1">
        <v>6</v>
      </c>
      <c r="G496" s="1">
        <v>4</v>
      </c>
      <c r="H496" s="1">
        <v>3</v>
      </c>
      <c r="I496" s="1">
        <v>3</v>
      </c>
      <c r="J496" s="1">
        <v>3</v>
      </c>
      <c r="K496" s="1">
        <f t="shared" si="91"/>
        <v>13</v>
      </c>
      <c r="L496" s="12">
        <f t="shared" si="99"/>
        <v>0.32500000000000001</v>
      </c>
      <c r="M496" s="1">
        <v>3</v>
      </c>
      <c r="N496" s="1">
        <v>2</v>
      </c>
      <c r="O496" s="1">
        <v>3</v>
      </c>
      <c r="P496" s="1">
        <v>3</v>
      </c>
      <c r="Q496" s="1">
        <f t="shared" si="92"/>
        <v>11</v>
      </c>
      <c r="R496" s="12">
        <f t="shared" si="100"/>
        <v>0.27500000000000002</v>
      </c>
      <c r="S496" s="1">
        <v>3</v>
      </c>
      <c r="T496" s="1">
        <v>3</v>
      </c>
      <c r="U496" s="1">
        <f t="shared" si="93"/>
        <v>6</v>
      </c>
      <c r="V496" s="12">
        <f t="shared" si="101"/>
        <v>0.3</v>
      </c>
      <c r="Z496" s="1">
        <f t="shared" si="94"/>
        <v>0</v>
      </c>
      <c r="AB496" s="2" t="s">
        <v>996</v>
      </c>
    </row>
    <row r="497" spans="1:28" x14ac:dyDescent="0.25">
      <c r="A497" s="1" t="s">
        <v>1668</v>
      </c>
      <c r="B497" s="1" t="s">
        <v>35</v>
      </c>
      <c r="C497" s="1" t="s">
        <v>861</v>
      </c>
      <c r="D497" s="1">
        <v>17</v>
      </c>
      <c r="E497" s="1">
        <v>1</v>
      </c>
      <c r="F497" s="1">
        <v>6</v>
      </c>
      <c r="G497" s="1">
        <v>4</v>
      </c>
      <c r="H497" s="1">
        <v>3</v>
      </c>
      <c r="I497" s="1">
        <v>4</v>
      </c>
      <c r="J497" s="1">
        <v>4</v>
      </c>
      <c r="K497" s="1">
        <f t="shared" si="91"/>
        <v>15</v>
      </c>
      <c r="L497" s="12">
        <f t="shared" si="99"/>
        <v>0.375</v>
      </c>
      <c r="M497" s="1">
        <v>3</v>
      </c>
      <c r="N497" s="1">
        <v>2</v>
      </c>
      <c r="O497" s="1">
        <v>4</v>
      </c>
      <c r="P497" s="1">
        <v>4</v>
      </c>
      <c r="Q497" s="1">
        <f t="shared" si="92"/>
        <v>13</v>
      </c>
      <c r="R497" s="12">
        <f t="shared" si="100"/>
        <v>0.32500000000000001</v>
      </c>
      <c r="S497" s="1">
        <v>3</v>
      </c>
      <c r="T497" s="1">
        <v>2</v>
      </c>
      <c r="U497" s="1">
        <f t="shared" si="93"/>
        <v>5</v>
      </c>
      <c r="V497" s="12">
        <f t="shared" si="101"/>
        <v>0.25</v>
      </c>
      <c r="Z497" s="1">
        <f t="shared" si="94"/>
        <v>0</v>
      </c>
      <c r="AB497" s="2" t="s">
        <v>997</v>
      </c>
    </row>
    <row r="498" spans="1:28" x14ac:dyDescent="0.25">
      <c r="A498" s="1" t="s">
        <v>1668</v>
      </c>
      <c r="B498" s="1" t="s">
        <v>35</v>
      </c>
      <c r="C498" s="1" t="s">
        <v>861</v>
      </c>
      <c r="D498" s="1">
        <v>17</v>
      </c>
      <c r="E498" s="1">
        <v>1</v>
      </c>
      <c r="F498" s="1">
        <v>6</v>
      </c>
      <c r="G498" s="1">
        <v>3</v>
      </c>
      <c r="H498" s="1">
        <v>3</v>
      </c>
      <c r="I498" s="1">
        <v>2</v>
      </c>
      <c r="J498" s="1">
        <v>2</v>
      </c>
      <c r="K498" s="1">
        <f t="shared" si="91"/>
        <v>10</v>
      </c>
      <c r="L498" s="12">
        <f t="shared" si="99"/>
        <v>0.25</v>
      </c>
      <c r="M498" s="1">
        <v>3</v>
      </c>
      <c r="N498" s="1">
        <v>3</v>
      </c>
      <c r="O498" s="1">
        <v>3</v>
      </c>
      <c r="P498" s="1">
        <v>2</v>
      </c>
      <c r="Q498" s="1">
        <f t="shared" si="92"/>
        <v>11</v>
      </c>
      <c r="R498" s="12">
        <f t="shared" si="100"/>
        <v>0.27500000000000002</v>
      </c>
      <c r="S498" s="1">
        <v>2</v>
      </c>
      <c r="T498" s="1">
        <v>2</v>
      </c>
      <c r="U498" s="1">
        <f t="shared" si="93"/>
        <v>4</v>
      </c>
      <c r="V498" s="12">
        <f t="shared" si="101"/>
        <v>0.2</v>
      </c>
      <c r="Z498" s="1">
        <f t="shared" si="94"/>
        <v>0</v>
      </c>
      <c r="AB498" s="2" t="s">
        <v>998</v>
      </c>
    </row>
    <row r="499" spans="1:28" x14ac:dyDescent="0.25">
      <c r="A499" s="1" t="s">
        <v>1668</v>
      </c>
      <c r="B499" s="1" t="s">
        <v>35</v>
      </c>
      <c r="C499" s="1" t="s">
        <v>861</v>
      </c>
      <c r="D499" s="1">
        <v>17</v>
      </c>
      <c r="E499" s="1">
        <v>1</v>
      </c>
      <c r="F499" s="1">
        <v>6</v>
      </c>
      <c r="G499" s="1">
        <v>2</v>
      </c>
      <c r="H499" s="1">
        <v>2</v>
      </c>
      <c r="I499" s="1">
        <v>2</v>
      </c>
      <c r="J499" s="1">
        <v>2</v>
      </c>
      <c r="K499" s="1">
        <f t="shared" si="91"/>
        <v>8</v>
      </c>
      <c r="L499" s="12">
        <f t="shared" si="99"/>
        <v>0.2</v>
      </c>
      <c r="M499" s="1">
        <v>3</v>
      </c>
      <c r="N499" s="1">
        <v>3</v>
      </c>
      <c r="O499" s="1">
        <v>2</v>
      </c>
      <c r="P499" s="1">
        <v>3</v>
      </c>
      <c r="Q499" s="1">
        <f t="shared" si="92"/>
        <v>11</v>
      </c>
      <c r="R499" s="12">
        <f t="shared" si="100"/>
        <v>0.27500000000000002</v>
      </c>
      <c r="S499" s="1">
        <v>3</v>
      </c>
      <c r="T499" s="1">
        <v>2</v>
      </c>
      <c r="U499" s="1">
        <f t="shared" si="93"/>
        <v>5</v>
      </c>
      <c r="V499" s="12">
        <f t="shared" si="101"/>
        <v>0.25</v>
      </c>
      <c r="Z499" s="1">
        <f t="shared" si="94"/>
        <v>0</v>
      </c>
      <c r="AB499" s="2" t="s">
        <v>999</v>
      </c>
    </row>
    <row r="500" spans="1:28" x14ac:dyDescent="0.25">
      <c r="A500" s="1" t="s">
        <v>1668</v>
      </c>
      <c r="B500" s="1" t="s">
        <v>576</v>
      </c>
      <c r="C500" s="1" t="s">
        <v>861</v>
      </c>
      <c r="D500" s="1">
        <v>11</v>
      </c>
      <c r="E500" s="1">
        <v>3</v>
      </c>
      <c r="F500" s="1">
        <v>4</v>
      </c>
      <c r="G500" s="1">
        <v>5</v>
      </c>
      <c r="H500" s="1">
        <v>5</v>
      </c>
      <c r="I500" s="1">
        <v>5</v>
      </c>
      <c r="J500" s="1">
        <v>6</v>
      </c>
      <c r="K500" s="1">
        <f t="shared" si="91"/>
        <v>21</v>
      </c>
      <c r="L500" s="12">
        <f t="shared" si="99"/>
        <v>0.52500000000000002</v>
      </c>
      <c r="M500" s="1">
        <v>6</v>
      </c>
      <c r="N500" s="1">
        <v>5</v>
      </c>
      <c r="O500" s="1">
        <v>5</v>
      </c>
      <c r="P500" s="1">
        <v>5</v>
      </c>
      <c r="Q500" s="1">
        <f t="shared" si="92"/>
        <v>21</v>
      </c>
      <c r="R500" s="12">
        <f t="shared" si="100"/>
        <v>0.52500000000000002</v>
      </c>
      <c r="S500" s="1">
        <v>6</v>
      </c>
      <c r="T500" s="1">
        <v>8</v>
      </c>
      <c r="U500" s="1">
        <f t="shared" si="93"/>
        <v>14</v>
      </c>
      <c r="V500" s="12">
        <f t="shared" si="101"/>
        <v>0.7</v>
      </c>
      <c r="Z500" s="1">
        <f t="shared" si="94"/>
        <v>0</v>
      </c>
      <c r="AB500" s="2" t="s">
        <v>1624</v>
      </c>
    </row>
    <row r="501" spans="1:28" x14ac:dyDescent="0.25">
      <c r="A501" s="1" t="s">
        <v>1668</v>
      </c>
      <c r="B501" s="1" t="s">
        <v>576</v>
      </c>
      <c r="C501" s="1" t="s">
        <v>861</v>
      </c>
      <c r="D501" s="1">
        <v>11</v>
      </c>
      <c r="E501" s="1">
        <v>3</v>
      </c>
      <c r="F501" s="1">
        <v>4</v>
      </c>
      <c r="G501" s="1">
        <v>6</v>
      </c>
      <c r="H501" s="1">
        <v>6</v>
      </c>
      <c r="I501" s="1">
        <v>6</v>
      </c>
      <c r="J501" s="1">
        <v>6</v>
      </c>
      <c r="K501" s="1">
        <f t="shared" si="91"/>
        <v>24</v>
      </c>
      <c r="L501" s="12">
        <f t="shared" si="99"/>
        <v>0.6</v>
      </c>
      <c r="M501" s="1">
        <v>6</v>
      </c>
      <c r="N501" s="1">
        <v>5</v>
      </c>
      <c r="O501" s="1">
        <v>5</v>
      </c>
      <c r="P501" s="1">
        <v>5</v>
      </c>
      <c r="Q501" s="1">
        <f t="shared" si="92"/>
        <v>21</v>
      </c>
      <c r="R501" s="12">
        <f t="shared" si="100"/>
        <v>0.52500000000000002</v>
      </c>
      <c r="S501" s="1">
        <v>6</v>
      </c>
      <c r="T501" s="1">
        <v>8</v>
      </c>
      <c r="U501" s="1">
        <f t="shared" si="93"/>
        <v>14</v>
      </c>
      <c r="V501" s="12">
        <f t="shared" si="101"/>
        <v>0.7</v>
      </c>
      <c r="Z501" s="1">
        <f t="shared" si="94"/>
        <v>0</v>
      </c>
      <c r="AB501" s="2" t="s">
        <v>1625</v>
      </c>
    </row>
    <row r="502" spans="1:28" x14ac:dyDescent="0.25">
      <c r="A502" s="1" t="s">
        <v>1668</v>
      </c>
      <c r="B502" s="1" t="s">
        <v>576</v>
      </c>
      <c r="C502" s="1" t="s">
        <v>861</v>
      </c>
      <c r="D502" s="1">
        <v>11</v>
      </c>
      <c r="E502" s="1">
        <v>3</v>
      </c>
      <c r="F502" s="1">
        <v>4</v>
      </c>
      <c r="G502" s="1">
        <v>6</v>
      </c>
      <c r="H502" s="1">
        <v>6</v>
      </c>
      <c r="I502" s="1">
        <v>6</v>
      </c>
      <c r="J502" s="1">
        <v>6</v>
      </c>
      <c r="K502" s="1">
        <f t="shared" si="91"/>
        <v>24</v>
      </c>
      <c r="L502" s="12">
        <f t="shared" si="99"/>
        <v>0.6</v>
      </c>
      <c r="M502" s="1">
        <v>6</v>
      </c>
      <c r="N502" s="1">
        <v>5</v>
      </c>
      <c r="O502" s="1">
        <v>5</v>
      </c>
      <c r="P502" s="1">
        <v>5</v>
      </c>
      <c r="Q502" s="1">
        <f t="shared" si="92"/>
        <v>21</v>
      </c>
      <c r="R502" s="12">
        <f t="shared" si="100"/>
        <v>0.52500000000000002</v>
      </c>
      <c r="S502" s="1">
        <v>6</v>
      </c>
      <c r="T502" s="1">
        <v>8</v>
      </c>
      <c r="U502" s="1">
        <f t="shared" si="93"/>
        <v>14</v>
      </c>
      <c r="V502" s="12">
        <f t="shared" si="101"/>
        <v>0.7</v>
      </c>
      <c r="Z502" s="1">
        <f t="shared" si="94"/>
        <v>0</v>
      </c>
      <c r="AB502" s="2" t="s">
        <v>1626</v>
      </c>
    </row>
    <row r="503" spans="1:28" x14ac:dyDescent="0.25">
      <c r="A503" s="1" t="s">
        <v>1668</v>
      </c>
      <c r="B503" s="1" t="s">
        <v>576</v>
      </c>
      <c r="C503" s="1" t="s">
        <v>861</v>
      </c>
      <c r="D503" s="1">
        <v>11</v>
      </c>
      <c r="E503" s="1">
        <v>3</v>
      </c>
      <c r="F503" s="1">
        <v>4</v>
      </c>
      <c r="G503" s="1">
        <v>6</v>
      </c>
      <c r="H503" s="1">
        <v>7</v>
      </c>
      <c r="I503" s="1">
        <v>6</v>
      </c>
      <c r="J503" s="1">
        <v>6</v>
      </c>
      <c r="K503" s="1">
        <f t="shared" si="91"/>
        <v>25</v>
      </c>
      <c r="L503" s="12">
        <f t="shared" si="99"/>
        <v>0.625</v>
      </c>
      <c r="M503" s="1">
        <v>6</v>
      </c>
      <c r="N503" s="1">
        <v>6</v>
      </c>
      <c r="O503" s="1">
        <v>6</v>
      </c>
      <c r="P503" s="1">
        <v>6</v>
      </c>
      <c r="Q503" s="1">
        <f t="shared" si="92"/>
        <v>24</v>
      </c>
      <c r="R503" s="12">
        <f t="shared" si="100"/>
        <v>0.6</v>
      </c>
      <c r="S503" s="1">
        <v>6</v>
      </c>
      <c r="T503" s="1">
        <v>8</v>
      </c>
      <c r="U503" s="1">
        <f t="shared" si="93"/>
        <v>14</v>
      </c>
      <c r="V503" s="12">
        <f t="shared" si="101"/>
        <v>0.7</v>
      </c>
      <c r="Z503" s="1">
        <f t="shared" si="94"/>
        <v>0</v>
      </c>
      <c r="AB503" s="2" t="s">
        <v>1627</v>
      </c>
    </row>
    <row r="504" spans="1:28" x14ac:dyDescent="0.25">
      <c r="A504" s="1" t="s">
        <v>1668</v>
      </c>
      <c r="B504" s="1" t="s">
        <v>576</v>
      </c>
      <c r="C504" s="1" t="s">
        <v>861</v>
      </c>
      <c r="D504" s="1">
        <v>11</v>
      </c>
      <c r="E504" s="1">
        <v>3</v>
      </c>
      <c r="F504" s="1">
        <v>4</v>
      </c>
      <c r="G504" s="1">
        <v>6</v>
      </c>
      <c r="H504" s="1">
        <v>5</v>
      </c>
      <c r="I504" s="1">
        <v>5</v>
      </c>
      <c r="J504" s="1">
        <v>5</v>
      </c>
      <c r="K504" s="1">
        <f t="shared" si="91"/>
        <v>21</v>
      </c>
      <c r="L504" s="12">
        <f t="shared" si="99"/>
        <v>0.52500000000000002</v>
      </c>
      <c r="M504" s="1">
        <v>6</v>
      </c>
      <c r="N504" s="1">
        <v>5</v>
      </c>
      <c r="O504" s="1">
        <v>5</v>
      </c>
      <c r="P504" s="1">
        <v>5</v>
      </c>
      <c r="Q504" s="1">
        <f t="shared" si="92"/>
        <v>21</v>
      </c>
      <c r="R504" s="12">
        <f t="shared" si="100"/>
        <v>0.52500000000000002</v>
      </c>
      <c r="S504" s="1">
        <v>5</v>
      </c>
      <c r="T504" s="1">
        <v>7</v>
      </c>
      <c r="U504" s="1">
        <f t="shared" si="93"/>
        <v>12</v>
      </c>
      <c r="V504" s="12">
        <f t="shared" si="101"/>
        <v>0.6</v>
      </c>
      <c r="Z504" s="1">
        <f t="shared" si="94"/>
        <v>0</v>
      </c>
      <c r="AB504" s="2" t="s">
        <v>1628</v>
      </c>
    </row>
    <row r="505" spans="1:28" x14ac:dyDescent="0.25">
      <c r="A505" s="1" t="s">
        <v>1668</v>
      </c>
      <c r="B505" s="1" t="s">
        <v>576</v>
      </c>
      <c r="C505" s="1" t="s">
        <v>861</v>
      </c>
      <c r="D505" s="1">
        <v>11</v>
      </c>
      <c r="E505" s="1">
        <v>3</v>
      </c>
      <c r="F505" s="1">
        <v>4</v>
      </c>
      <c r="G505" s="1">
        <v>6</v>
      </c>
      <c r="H505" s="1">
        <v>7</v>
      </c>
      <c r="I505" s="1">
        <v>7</v>
      </c>
      <c r="J505" s="1">
        <v>6</v>
      </c>
      <c r="K505" s="1">
        <f t="shared" si="91"/>
        <v>26</v>
      </c>
      <c r="L505" s="12">
        <f t="shared" si="99"/>
        <v>0.65</v>
      </c>
      <c r="M505" s="1">
        <v>7</v>
      </c>
      <c r="N505" s="1">
        <v>6</v>
      </c>
      <c r="O505" s="1">
        <v>6</v>
      </c>
      <c r="P505" s="1">
        <v>7</v>
      </c>
      <c r="Q505" s="1">
        <f t="shared" si="92"/>
        <v>26</v>
      </c>
      <c r="R505" s="12">
        <f t="shared" si="100"/>
        <v>0.65</v>
      </c>
      <c r="S505" s="1">
        <v>6</v>
      </c>
      <c r="T505" s="1">
        <v>8</v>
      </c>
      <c r="U505" s="1">
        <f t="shared" si="93"/>
        <v>14</v>
      </c>
      <c r="V505" s="12">
        <f t="shared" si="101"/>
        <v>0.7</v>
      </c>
      <c r="Z505" s="1">
        <f t="shared" si="94"/>
        <v>0</v>
      </c>
      <c r="AB505" s="2" t="s">
        <v>1629</v>
      </c>
    </row>
    <row r="506" spans="1:28" x14ac:dyDescent="0.25">
      <c r="A506" s="1" t="s">
        <v>1668</v>
      </c>
      <c r="B506" s="1" t="s">
        <v>576</v>
      </c>
      <c r="C506" s="1" t="s">
        <v>861</v>
      </c>
      <c r="D506" s="1">
        <v>11</v>
      </c>
      <c r="E506" s="1">
        <v>3</v>
      </c>
      <c r="F506" s="1">
        <v>4</v>
      </c>
      <c r="G506" s="1">
        <v>6</v>
      </c>
      <c r="H506" s="1">
        <v>6</v>
      </c>
      <c r="I506" s="1">
        <v>6</v>
      </c>
      <c r="J506" s="1">
        <v>5</v>
      </c>
      <c r="K506" s="1">
        <f t="shared" si="91"/>
        <v>23</v>
      </c>
      <c r="L506" s="12">
        <f t="shared" si="99"/>
        <v>0.57499999999999996</v>
      </c>
      <c r="M506" s="1">
        <v>6</v>
      </c>
      <c r="N506" s="1">
        <v>5</v>
      </c>
      <c r="O506" s="1">
        <v>5</v>
      </c>
      <c r="P506" s="1">
        <v>5</v>
      </c>
      <c r="Q506" s="1">
        <f t="shared" si="92"/>
        <v>21</v>
      </c>
      <c r="R506" s="12">
        <f t="shared" si="100"/>
        <v>0.52500000000000002</v>
      </c>
      <c r="S506" s="1">
        <v>5</v>
      </c>
      <c r="T506" s="1">
        <v>6</v>
      </c>
      <c r="U506" s="1">
        <f t="shared" si="93"/>
        <v>11</v>
      </c>
      <c r="V506" s="12">
        <f t="shared" si="101"/>
        <v>0.55000000000000004</v>
      </c>
      <c r="Z506" s="1">
        <f t="shared" si="94"/>
        <v>0</v>
      </c>
      <c r="AB506" s="2" t="s">
        <v>1630</v>
      </c>
    </row>
    <row r="507" spans="1:28" x14ac:dyDescent="0.25">
      <c r="A507" s="1" t="s">
        <v>1663</v>
      </c>
      <c r="B507" s="1" t="s">
        <v>35</v>
      </c>
      <c r="C507" s="1" t="s">
        <v>36</v>
      </c>
      <c r="D507" s="1">
        <v>19</v>
      </c>
      <c r="E507" s="1">
        <v>1</v>
      </c>
      <c r="F507" s="1">
        <v>3</v>
      </c>
      <c r="G507" s="1">
        <v>7</v>
      </c>
      <c r="H507" s="1">
        <v>7</v>
      </c>
      <c r="I507" s="1">
        <v>6</v>
      </c>
      <c r="J507" s="1">
        <v>4</v>
      </c>
      <c r="K507" s="1">
        <f t="shared" si="91"/>
        <v>24</v>
      </c>
      <c r="L507" s="12">
        <f t="shared" ref="L507:L551" si="102">K507/35</f>
        <v>0.68571428571428572</v>
      </c>
      <c r="M507" s="1">
        <v>6</v>
      </c>
      <c r="N507" s="1">
        <v>6</v>
      </c>
      <c r="O507" s="1">
        <v>6</v>
      </c>
      <c r="P507" s="1">
        <v>4</v>
      </c>
      <c r="Q507" s="1">
        <f t="shared" si="92"/>
        <v>22</v>
      </c>
      <c r="R507" s="12">
        <f t="shared" ref="R507:R551" si="103">Q507/35</f>
        <v>0.62857142857142856</v>
      </c>
      <c r="S507" s="1">
        <v>6</v>
      </c>
      <c r="T507" s="1">
        <v>4</v>
      </c>
      <c r="U507" s="1">
        <f t="shared" si="93"/>
        <v>10</v>
      </c>
      <c r="V507" s="12">
        <f t="shared" ref="V507:V551" si="104">U507/15</f>
        <v>0.66666666666666663</v>
      </c>
      <c r="W507" s="1">
        <v>3</v>
      </c>
      <c r="X507" s="1">
        <v>3</v>
      </c>
      <c r="Y507" s="1">
        <v>3</v>
      </c>
      <c r="Z507" s="1">
        <f t="shared" si="94"/>
        <v>9</v>
      </c>
      <c r="AA507" s="12">
        <f t="shared" ref="AA507:AA551" si="105">Z507/15</f>
        <v>0.6</v>
      </c>
      <c r="AB507" s="2" t="s">
        <v>103</v>
      </c>
    </row>
    <row r="508" spans="1:28" x14ac:dyDescent="0.25">
      <c r="A508" s="1" t="s">
        <v>1663</v>
      </c>
      <c r="B508" s="1" t="s">
        <v>35</v>
      </c>
      <c r="C508" s="1" t="s">
        <v>36</v>
      </c>
      <c r="D508" s="1">
        <v>19</v>
      </c>
      <c r="E508" s="1">
        <v>1</v>
      </c>
      <c r="F508" s="1">
        <v>3</v>
      </c>
      <c r="G508" s="1">
        <v>4</v>
      </c>
      <c r="H508" s="1">
        <v>4</v>
      </c>
      <c r="I508" s="1">
        <v>3</v>
      </c>
      <c r="J508" s="1">
        <v>4</v>
      </c>
      <c r="K508" s="1">
        <f t="shared" si="91"/>
        <v>15</v>
      </c>
      <c r="L508" s="12">
        <f t="shared" si="102"/>
        <v>0.42857142857142855</v>
      </c>
      <c r="M508" s="1">
        <v>6</v>
      </c>
      <c r="N508" s="1">
        <v>7</v>
      </c>
      <c r="O508" s="1">
        <v>5</v>
      </c>
      <c r="P508" s="1">
        <v>3</v>
      </c>
      <c r="Q508" s="1">
        <f t="shared" si="92"/>
        <v>21</v>
      </c>
      <c r="R508" s="12">
        <f t="shared" si="103"/>
        <v>0.6</v>
      </c>
      <c r="S508" s="1">
        <v>6</v>
      </c>
      <c r="T508" s="1">
        <v>3</v>
      </c>
      <c r="U508" s="1">
        <f t="shared" si="93"/>
        <v>9</v>
      </c>
      <c r="V508" s="12">
        <f t="shared" si="104"/>
        <v>0.6</v>
      </c>
      <c r="W508" s="1">
        <v>2</v>
      </c>
      <c r="X508" s="1">
        <v>2</v>
      </c>
      <c r="Y508" s="1">
        <v>2</v>
      </c>
      <c r="Z508" s="1">
        <f t="shared" si="94"/>
        <v>6</v>
      </c>
      <c r="AA508" s="12">
        <f t="shared" si="105"/>
        <v>0.4</v>
      </c>
      <c r="AB508" s="2" t="s">
        <v>104</v>
      </c>
    </row>
    <row r="509" spans="1:28" x14ac:dyDescent="0.25">
      <c r="A509" s="1" t="s">
        <v>1663</v>
      </c>
      <c r="B509" s="1" t="s">
        <v>35</v>
      </c>
      <c r="C509" s="1" t="s">
        <v>36</v>
      </c>
      <c r="D509" s="1">
        <v>19</v>
      </c>
      <c r="E509" s="1">
        <v>1</v>
      </c>
      <c r="F509" s="1">
        <v>3</v>
      </c>
      <c r="G509" s="1">
        <v>7</v>
      </c>
      <c r="H509" s="1">
        <v>8</v>
      </c>
      <c r="I509" s="1">
        <v>8</v>
      </c>
      <c r="J509" s="1">
        <v>5</v>
      </c>
      <c r="K509" s="1">
        <f t="shared" si="91"/>
        <v>28</v>
      </c>
      <c r="L509" s="12">
        <f t="shared" si="102"/>
        <v>0.8</v>
      </c>
      <c r="M509" s="1">
        <v>7</v>
      </c>
      <c r="N509" s="1">
        <v>8</v>
      </c>
      <c r="O509" s="1">
        <v>7</v>
      </c>
      <c r="P509" s="1">
        <v>4</v>
      </c>
      <c r="Q509" s="1">
        <f t="shared" si="92"/>
        <v>26</v>
      </c>
      <c r="R509" s="12">
        <f t="shared" si="103"/>
        <v>0.74285714285714288</v>
      </c>
      <c r="S509" s="1">
        <v>8</v>
      </c>
      <c r="T509" s="1">
        <v>5</v>
      </c>
      <c r="U509" s="1">
        <f t="shared" si="93"/>
        <v>13</v>
      </c>
      <c r="V509" s="12">
        <f t="shared" si="104"/>
        <v>0.8666666666666667</v>
      </c>
      <c r="W509" s="1">
        <v>3</v>
      </c>
      <c r="X509" s="1">
        <v>3</v>
      </c>
      <c r="Y509" s="1">
        <v>5</v>
      </c>
      <c r="Z509" s="1">
        <f t="shared" si="94"/>
        <v>11</v>
      </c>
      <c r="AA509" s="12">
        <f t="shared" si="105"/>
        <v>0.73333333333333328</v>
      </c>
      <c r="AB509" s="2" t="s">
        <v>105</v>
      </c>
    </row>
    <row r="510" spans="1:28" x14ac:dyDescent="0.25">
      <c r="A510" s="1" t="s">
        <v>1663</v>
      </c>
      <c r="B510" s="1" t="s">
        <v>35</v>
      </c>
      <c r="C510" s="1" t="s">
        <v>36</v>
      </c>
      <c r="D510" s="1">
        <v>19</v>
      </c>
      <c r="E510" s="1">
        <v>1</v>
      </c>
      <c r="F510" s="1">
        <v>3</v>
      </c>
      <c r="G510" s="1">
        <v>7</v>
      </c>
      <c r="H510" s="1">
        <v>8</v>
      </c>
      <c r="I510" s="1">
        <v>8</v>
      </c>
      <c r="J510" s="1">
        <v>5</v>
      </c>
      <c r="K510" s="1">
        <f t="shared" si="91"/>
        <v>28</v>
      </c>
      <c r="L510" s="12">
        <f t="shared" si="102"/>
        <v>0.8</v>
      </c>
      <c r="M510" s="1">
        <v>8</v>
      </c>
      <c r="N510" s="1">
        <v>7</v>
      </c>
      <c r="O510" s="1">
        <v>8</v>
      </c>
      <c r="P510" s="1">
        <v>5</v>
      </c>
      <c r="Q510" s="1">
        <f t="shared" si="92"/>
        <v>28</v>
      </c>
      <c r="R510" s="12">
        <f t="shared" si="103"/>
        <v>0.8</v>
      </c>
      <c r="S510" s="1">
        <v>8</v>
      </c>
      <c r="T510" s="1">
        <v>5</v>
      </c>
      <c r="U510" s="1">
        <f t="shared" si="93"/>
        <v>13</v>
      </c>
      <c r="V510" s="12">
        <f t="shared" si="104"/>
        <v>0.8666666666666667</v>
      </c>
      <c r="W510" s="1">
        <v>3</v>
      </c>
      <c r="X510" s="1">
        <v>3</v>
      </c>
      <c r="Y510" s="1">
        <v>5</v>
      </c>
      <c r="Z510" s="1">
        <f t="shared" si="94"/>
        <v>11</v>
      </c>
      <c r="AA510" s="12">
        <f t="shared" si="105"/>
        <v>0.73333333333333328</v>
      </c>
      <c r="AB510" s="2" t="s">
        <v>106</v>
      </c>
    </row>
    <row r="511" spans="1:28" x14ac:dyDescent="0.25">
      <c r="A511" s="1" t="s">
        <v>1663</v>
      </c>
      <c r="B511" s="1" t="s">
        <v>35</v>
      </c>
      <c r="C511" s="1" t="s">
        <v>36</v>
      </c>
      <c r="D511" s="1">
        <v>19</v>
      </c>
      <c r="E511" s="1">
        <v>1</v>
      </c>
      <c r="F511" s="1">
        <v>3</v>
      </c>
      <c r="G511" s="1">
        <v>8</v>
      </c>
      <c r="H511" s="1">
        <v>7</v>
      </c>
      <c r="I511" s="1">
        <v>8</v>
      </c>
      <c r="J511" s="1">
        <v>5</v>
      </c>
      <c r="K511" s="1">
        <f t="shared" si="91"/>
        <v>28</v>
      </c>
      <c r="L511" s="12">
        <f t="shared" si="102"/>
        <v>0.8</v>
      </c>
      <c r="M511" s="1">
        <v>7</v>
      </c>
      <c r="N511" s="1">
        <v>5</v>
      </c>
      <c r="O511" s="1">
        <v>7</v>
      </c>
      <c r="P511" s="1">
        <v>4</v>
      </c>
      <c r="Q511" s="1">
        <f t="shared" si="92"/>
        <v>23</v>
      </c>
      <c r="R511" s="12">
        <f t="shared" si="103"/>
        <v>0.65714285714285714</v>
      </c>
      <c r="S511" s="1">
        <v>7</v>
      </c>
      <c r="T511" s="1">
        <v>5</v>
      </c>
      <c r="U511" s="1">
        <f t="shared" si="93"/>
        <v>12</v>
      </c>
      <c r="V511" s="12">
        <f t="shared" si="104"/>
        <v>0.8</v>
      </c>
      <c r="W511" s="1">
        <v>4</v>
      </c>
      <c r="X511" s="1">
        <v>4</v>
      </c>
      <c r="Y511" s="1">
        <v>5</v>
      </c>
      <c r="Z511" s="1">
        <f t="shared" si="94"/>
        <v>13</v>
      </c>
      <c r="AA511" s="12">
        <f t="shared" si="105"/>
        <v>0.8666666666666667</v>
      </c>
      <c r="AB511" s="2" t="s">
        <v>107</v>
      </c>
    </row>
    <row r="512" spans="1:28" x14ac:dyDescent="0.25">
      <c r="A512" s="1" t="s">
        <v>1663</v>
      </c>
      <c r="B512" s="1" t="s">
        <v>35</v>
      </c>
      <c r="C512" s="1" t="s">
        <v>36</v>
      </c>
      <c r="D512" s="1">
        <v>19</v>
      </c>
      <c r="E512" s="1">
        <v>1</v>
      </c>
      <c r="F512" s="1">
        <v>3</v>
      </c>
      <c r="G512" s="1">
        <v>7</v>
      </c>
      <c r="H512" s="1">
        <v>7</v>
      </c>
      <c r="I512" s="1">
        <v>7</v>
      </c>
      <c r="J512" s="1">
        <v>4</v>
      </c>
      <c r="K512" s="1">
        <f t="shared" si="91"/>
        <v>25</v>
      </c>
      <c r="L512" s="12">
        <f t="shared" si="102"/>
        <v>0.7142857142857143</v>
      </c>
      <c r="M512" s="1">
        <v>7</v>
      </c>
      <c r="N512" s="1">
        <v>6</v>
      </c>
      <c r="O512" s="1">
        <v>7</v>
      </c>
      <c r="P512" s="1">
        <v>5</v>
      </c>
      <c r="Q512" s="1">
        <f t="shared" si="92"/>
        <v>25</v>
      </c>
      <c r="R512" s="12">
        <f t="shared" si="103"/>
        <v>0.7142857142857143</v>
      </c>
      <c r="S512" s="1">
        <v>7</v>
      </c>
      <c r="T512" s="1">
        <v>5</v>
      </c>
      <c r="U512" s="1">
        <f t="shared" si="93"/>
        <v>12</v>
      </c>
      <c r="V512" s="12">
        <f t="shared" si="104"/>
        <v>0.8</v>
      </c>
      <c r="W512" s="1">
        <v>4</v>
      </c>
      <c r="X512" s="1">
        <v>3</v>
      </c>
      <c r="Y512" s="1">
        <v>3</v>
      </c>
      <c r="Z512" s="1">
        <f t="shared" si="94"/>
        <v>10</v>
      </c>
      <c r="AA512" s="12">
        <f t="shared" si="105"/>
        <v>0.66666666666666663</v>
      </c>
      <c r="AB512" s="2" t="s">
        <v>108</v>
      </c>
    </row>
    <row r="513" spans="1:28" x14ac:dyDescent="0.25">
      <c r="A513" s="1" t="s">
        <v>1663</v>
      </c>
      <c r="B513" s="1" t="s">
        <v>35</v>
      </c>
      <c r="C513" s="1" t="s">
        <v>36</v>
      </c>
      <c r="D513" s="1">
        <v>19</v>
      </c>
      <c r="E513" s="1">
        <v>1</v>
      </c>
      <c r="F513" s="1">
        <v>3</v>
      </c>
      <c r="G513" s="1">
        <v>5</v>
      </c>
      <c r="H513" s="1">
        <v>4</v>
      </c>
      <c r="I513" s="1">
        <v>4</v>
      </c>
      <c r="J513" s="1">
        <v>4</v>
      </c>
      <c r="K513" s="1">
        <f t="shared" si="91"/>
        <v>17</v>
      </c>
      <c r="L513" s="12">
        <f t="shared" si="102"/>
        <v>0.48571428571428571</v>
      </c>
      <c r="M513" s="1">
        <v>8</v>
      </c>
      <c r="N513" s="1">
        <v>7</v>
      </c>
      <c r="O513" s="1">
        <v>6</v>
      </c>
      <c r="P513" s="1">
        <v>4</v>
      </c>
      <c r="Q513" s="1">
        <f t="shared" si="92"/>
        <v>25</v>
      </c>
      <c r="R513" s="12">
        <f t="shared" si="103"/>
        <v>0.7142857142857143</v>
      </c>
      <c r="S513" s="1">
        <v>7</v>
      </c>
      <c r="T513" s="1">
        <v>4</v>
      </c>
      <c r="U513" s="1">
        <f t="shared" si="93"/>
        <v>11</v>
      </c>
      <c r="V513" s="12">
        <f t="shared" si="104"/>
        <v>0.73333333333333328</v>
      </c>
      <c r="W513" s="1">
        <v>4</v>
      </c>
      <c r="X513" s="1">
        <v>3</v>
      </c>
      <c r="Y513" s="1">
        <v>3</v>
      </c>
      <c r="Z513" s="1">
        <f t="shared" si="94"/>
        <v>10</v>
      </c>
      <c r="AA513" s="12">
        <f t="shared" si="105"/>
        <v>0.66666666666666663</v>
      </c>
      <c r="AB513" s="2" t="s">
        <v>109</v>
      </c>
    </row>
    <row r="514" spans="1:28" x14ac:dyDescent="0.25">
      <c r="A514" s="1" t="s">
        <v>1663</v>
      </c>
      <c r="B514" s="1" t="s">
        <v>35</v>
      </c>
      <c r="C514" s="1" t="s">
        <v>36</v>
      </c>
      <c r="D514" s="1">
        <v>19</v>
      </c>
      <c r="E514" s="1">
        <v>1</v>
      </c>
      <c r="F514" s="1">
        <v>3</v>
      </c>
      <c r="G514" s="1">
        <v>7</v>
      </c>
      <c r="H514" s="1">
        <v>8</v>
      </c>
      <c r="I514" s="1">
        <v>7</v>
      </c>
      <c r="J514" s="1">
        <v>4</v>
      </c>
      <c r="K514" s="1">
        <f t="shared" si="91"/>
        <v>26</v>
      </c>
      <c r="L514" s="12">
        <f t="shared" si="102"/>
        <v>0.74285714285714288</v>
      </c>
      <c r="M514" s="1">
        <v>6</v>
      </c>
      <c r="N514" s="1">
        <v>6</v>
      </c>
      <c r="O514" s="1">
        <v>6</v>
      </c>
      <c r="P514" s="1">
        <v>4</v>
      </c>
      <c r="Q514" s="1">
        <f t="shared" si="92"/>
        <v>22</v>
      </c>
      <c r="R514" s="12">
        <f t="shared" si="103"/>
        <v>0.62857142857142856</v>
      </c>
      <c r="S514" s="1">
        <v>5</v>
      </c>
      <c r="T514" s="1">
        <v>4</v>
      </c>
      <c r="U514" s="1">
        <f t="shared" si="93"/>
        <v>9</v>
      </c>
      <c r="V514" s="12">
        <f t="shared" si="104"/>
        <v>0.6</v>
      </c>
      <c r="W514" s="1">
        <v>4</v>
      </c>
      <c r="X514" s="1">
        <v>3</v>
      </c>
      <c r="Y514" s="1">
        <v>4</v>
      </c>
      <c r="Z514" s="1">
        <f t="shared" si="94"/>
        <v>11</v>
      </c>
      <c r="AA514" s="12">
        <f t="shared" si="105"/>
        <v>0.73333333333333328</v>
      </c>
      <c r="AB514" s="2" t="s">
        <v>110</v>
      </c>
    </row>
    <row r="515" spans="1:28" x14ac:dyDescent="0.25">
      <c r="A515" s="1" t="s">
        <v>1663</v>
      </c>
      <c r="B515" s="1" t="s">
        <v>35</v>
      </c>
      <c r="C515" s="1" t="s">
        <v>36</v>
      </c>
      <c r="D515" s="1">
        <v>20</v>
      </c>
      <c r="E515" s="1">
        <v>2</v>
      </c>
      <c r="F515" s="1">
        <v>2</v>
      </c>
      <c r="G515" s="1">
        <v>6</v>
      </c>
      <c r="H515" s="1">
        <v>5</v>
      </c>
      <c r="I515" s="1">
        <v>7</v>
      </c>
      <c r="J515" s="1">
        <v>4</v>
      </c>
      <c r="K515" s="1">
        <f t="shared" ref="K515:K578" si="106">SUM(G515:J515)</f>
        <v>22</v>
      </c>
      <c r="L515" s="12">
        <f t="shared" si="102"/>
        <v>0.62857142857142856</v>
      </c>
      <c r="M515" s="1">
        <v>8</v>
      </c>
      <c r="N515" s="1">
        <v>8</v>
      </c>
      <c r="O515" s="1">
        <v>6</v>
      </c>
      <c r="P515" s="1">
        <v>4</v>
      </c>
      <c r="Q515" s="1">
        <f t="shared" ref="Q515:Q578" si="107">SUM(M515:P515)</f>
        <v>26</v>
      </c>
      <c r="R515" s="12">
        <f t="shared" si="103"/>
        <v>0.74285714285714288</v>
      </c>
      <c r="S515" s="1">
        <v>7</v>
      </c>
      <c r="T515" s="1">
        <v>4</v>
      </c>
      <c r="U515" s="1">
        <f t="shared" ref="U515:U578" si="108">SUM(S515:T515)</f>
        <v>11</v>
      </c>
      <c r="V515" s="12">
        <f t="shared" si="104"/>
        <v>0.73333333333333328</v>
      </c>
      <c r="W515" s="1">
        <v>4</v>
      </c>
      <c r="X515" s="1">
        <v>2</v>
      </c>
      <c r="Y515" s="1">
        <v>2</v>
      </c>
      <c r="Z515" s="1">
        <f t="shared" ref="Z515:Z578" si="109">SUM(W515:Y515)</f>
        <v>8</v>
      </c>
      <c r="AA515" s="12">
        <f t="shared" si="105"/>
        <v>0.53333333333333333</v>
      </c>
      <c r="AB515" s="2" t="s">
        <v>290</v>
      </c>
    </row>
    <row r="516" spans="1:28" x14ac:dyDescent="0.25">
      <c r="A516" s="1" t="s">
        <v>1663</v>
      </c>
      <c r="B516" s="1" t="s">
        <v>35</v>
      </c>
      <c r="C516" s="1" t="s">
        <v>36</v>
      </c>
      <c r="D516" s="1">
        <v>20</v>
      </c>
      <c r="E516" s="1">
        <v>2</v>
      </c>
      <c r="F516" s="1">
        <v>2</v>
      </c>
      <c r="G516" s="1">
        <v>8</v>
      </c>
      <c r="H516" s="1">
        <v>9</v>
      </c>
      <c r="I516" s="1">
        <v>7</v>
      </c>
      <c r="J516" s="1">
        <v>5</v>
      </c>
      <c r="K516" s="1">
        <f t="shared" si="106"/>
        <v>29</v>
      </c>
      <c r="L516" s="12">
        <f t="shared" si="102"/>
        <v>0.82857142857142863</v>
      </c>
      <c r="M516" s="1">
        <v>8</v>
      </c>
      <c r="N516" s="1">
        <v>7</v>
      </c>
      <c r="O516" s="1">
        <v>8</v>
      </c>
      <c r="P516" s="1">
        <v>5</v>
      </c>
      <c r="Q516" s="1">
        <f t="shared" si="107"/>
        <v>28</v>
      </c>
      <c r="R516" s="12">
        <f t="shared" si="103"/>
        <v>0.8</v>
      </c>
      <c r="S516" s="1">
        <v>8</v>
      </c>
      <c r="T516" s="1">
        <v>4</v>
      </c>
      <c r="U516" s="1">
        <f t="shared" si="108"/>
        <v>12</v>
      </c>
      <c r="V516" s="12">
        <f t="shared" si="104"/>
        <v>0.8</v>
      </c>
      <c r="W516" s="1">
        <v>4</v>
      </c>
      <c r="X516" s="1">
        <v>4</v>
      </c>
      <c r="Y516" s="1">
        <v>3</v>
      </c>
      <c r="Z516" s="1">
        <f t="shared" si="109"/>
        <v>11</v>
      </c>
      <c r="AA516" s="12">
        <f t="shared" si="105"/>
        <v>0.73333333333333328</v>
      </c>
      <c r="AB516" s="2" t="s">
        <v>291</v>
      </c>
    </row>
    <row r="517" spans="1:28" x14ac:dyDescent="0.25">
      <c r="A517" s="1" t="s">
        <v>1663</v>
      </c>
      <c r="B517" s="1" t="s">
        <v>35</v>
      </c>
      <c r="C517" s="1" t="s">
        <v>36</v>
      </c>
      <c r="D517" s="1">
        <v>20</v>
      </c>
      <c r="E517" s="1">
        <v>2</v>
      </c>
      <c r="F517" s="1">
        <v>2</v>
      </c>
      <c r="G517" s="1">
        <v>5</v>
      </c>
      <c r="H517" s="1">
        <v>4</v>
      </c>
      <c r="I517" s="1">
        <v>4</v>
      </c>
      <c r="J517" s="1">
        <v>2</v>
      </c>
      <c r="K517" s="1">
        <f t="shared" si="106"/>
        <v>15</v>
      </c>
      <c r="L517" s="12">
        <f t="shared" si="102"/>
        <v>0.42857142857142855</v>
      </c>
      <c r="M517" s="1">
        <v>5</v>
      </c>
      <c r="N517" s="1">
        <v>4</v>
      </c>
      <c r="O517" s="1">
        <v>4</v>
      </c>
      <c r="P517" s="1">
        <v>2</v>
      </c>
      <c r="Q517" s="1">
        <f t="shared" si="107"/>
        <v>15</v>
      </c>
      <c r="R517" s="12">
        <f t="shared" si="103"/>
        <v>0.42857142857142855</v>
      </c>
      <c r="S517" s="1">
        <v>4</v>
      </c>
      <c r="T517" s="1">
        <v>4</v>
      </c>
      <c r="U517" s="1">
        <f t="shared" si="108"/>
        <v>8</v>
      </c>
      <c r="V517" s="12">
        <f t="shared" si="104"/>
        <v>0.53333333333333333</v>
      </c>
      <c r="W517" s="1">
        <v>3</v>
      </c>
      <c r="X517" s="1">
        <v>3</v>
      </c>
      <c r="Y517" s="1">
        <v>3</v>
      </c>
      <c r="Z517" s="1">
        <f t="shared" si="109"/>
        <v>9</v>
      </c>
      <c r="AA517" s="12">
        <f t="shared" si="105"/>
        <v>0.6</v>
      </c>
      <c r="AB517" s="2" t="s">
        <v>292</v>
      </c>
    </row>
    <row r="518" spans="1:28" x14ac:dyDescent="0.25">
      <c r="A518" s="1" t="s">
        <v>1663</v>
      </c>
      <c r="B518" s="1" t="s">
        <v>35</v>
      </c>
      <c r="C518" s="1" t="s">
        <v>36</v>
      </c>
      <c r="D518" s="1">
        <v>20</v>
      </c>
      <c r="E518" s="1">
        <v>2</v>
      </c>
      <c r="F518" s="1">
        <v>2</v>
      </c>
      <c r="G518" s="1">
        <v>8</v>
      </c>
      <c r="H518" s="1">
        <v>8</v>
      </c>
      <c r="I518" s="1">
        <v>8</v>
      </c>
      <c r="J518" s="1">
        <v>5</v>
      </c>
      <c r="K518" s="1">
        <f t="shared" si="106"/>
        <v>29</v>
      </c>
      <c r="L518" s="12">
        <f t="shared" si="102"/>
        <v>0.82857142857142863</v>
      </c>
      <c r="M518" s="1">
        <v>8</v>
      </c>
      <c r="N518" s="1">
        <v>8</v>
      </c>
      <c r="O518" s="1">
        <v>7</v>
      </c>
      <c r="P518" s="1">
        <v>4</v>
      </c>
      <c r="Q518" s="1">
        <f t="shared" si="107"/>
        <v>27</v>
      </c>
      <c r="R518" s="12">
        <f t="shared" si="103"/>
        <v>0.77142857142857146</v>
      </c>
      <c r="S518" s="1">
        <v>7</v>
      </c>
      <c r="T518" s="1">
        <v>5</v>
      </c>
      <c r="U518" s="1">
        <f t="shared" si="108"/>
        <v>12</v>
      </c>
      <c r="V518" s="12">
        <f t="shared" si="104"/>
        <v>0.8</v>
      </c>
      <c r="W518" s="1">
        <v>4</v>
      </c>
      <c r="X518" s="1">
        <v>5</v>
      </c>
      <c r="Y518" s="1">
        <v>4</v>
      </c>
      <c r="Z518" s="1">
        <f t="shared" si="109"/>
        <v>13</v>
      </c>
      <c r="AA518" s="12">
        <f t="shared" si="105"/>
        <v>0.8666666666666667</v>
      </c>
      <c r="AB518" s="2" t="s">
        <v>293</v>
      </c>
    </row>
    <row r="519" spans="1:28" x14ac:dyDescent="0.25">
      <c r="A519" s="1" t="s">
        <v>1663</v>
      </c>
      <c r="B519" s="1" t="s">
        <v>35</v>
      </c>
      <c r="C519" s="1" t="s">
        <v>36</v>
      </c>
      <c r="D519" s="1">
        <v>20</v>
      </c>
      <c r="E519" s="1">
        <v>2</v>
      </c>
      <c r="F519" s="1">
        <v>2</v>
      </c>
      <c r="G519" s="1">
        <v>8</v>
      </c>
      <c r="H519" s="1">
        <v>6</v>
      </c>
      <c r="I519" s="1">
        <v>7</v>
      </c>
      <c r="J519" s="1">
        <v>4</v>
      </c>
      <c r="K519" s="1">
        <f t="shared" si="106"/>
        <v>25</v>
      </c>
      <c r="L519" s="12">
        <f t="shared" si="102"/>
        <v>0.7142857142857143</v>
      </c>
      <c r="M519" s="1">
        <v>7</v>
      </c>
      <c r="N519" s="1">
        <v>6</v>
      </c>
      <c r="O519" s="1">
        <v>6</v>
      </c>
      <c r="P519" s="1">
        <v>3</v>
      </c>
      <c r="Q519" s="1">
        <f t="shared" si="107"/>
        <v>22</v>
      </c>
      <c r="R519" s="12">
        <f t="shared" si="103"/>
        <v>0.62857142857142856</v>
      </c>
      <c r="S519" s="1">
        <v>5</v>
      </c>
      <c r="T519" s="1">
        <v>4</v>
      </c>
      <c r="U519" s="1">
        <f t="shared" si="108"/>
        <v>9</v>
      </c>
      <c r="V519" s="12">
        <f t="shared" si="104"/>
        <v>0.6</v>
      </c>
      <c r="W519" s="1">
        <v>4</v>
      </c>
      <c r="X519" s="1">
        <v>3</v>
      </c>
      <c r="Y519" s="1">
        <v>4</v>
      </c>
      <c r="Z519" s="1">
        <f t="shared" si="109"/>
        <v>11</v>
      </c>
      <c r="AA519" s="12">
        <f t="shared" si="105"/>
        <v>0.73333333333333328</v>
      </c>
      <c r="AB519" s="2" t="s">
        <v>294</v>
      </c>
    </row>
    <row r="520" spans="1:28" x14ac:dyDescent="0.25">
      <c r="A520" s="1" t="s">
        <v>1663</v>
      </c>
      <c r="B520" s="1" t="s">
        <v>35</v>
      </c>
      <c r="C520" s="1" t="s">
        <v>36</v>
      </c>
      <c r="D520" s="1">
        <v>20</v>
      </c>
      <c r="E520" s="1">
        <v>2</v>
      </c>
      <c r="F520" s="1">
        <v>2</v>
      </c>
      <c r="G520" s="1">
        <v>9</v>
      </c>
      <c r="H520" s="1">
        <v>8</v>
      </c>
      <c r="I520" s="1">
        <v>7</v>
      </c>
      <c r="J520" s="1">
        <v>5</v>
      </c>
      <c r="K520" s="1">
        <f t="shared" si="106"/>
        <v>29</v>
      </c>
      <c r="L520" s="12">
        <f t="shared" si="102"/>
        <v>0.82857142857142863</v>
      </c>
      <c r="M520" s="1">
        <v>7</v>
      </c>
      <c r="N520" s="1">
        <v>7</v>
      </c>
      <c r="O520" s="1">
        <v>8</v>
      </c>
      <c r="P520" s="1">
        <v>5</v>
      </c>
      <c r="Q520" s="1">
        <f t="shared" si="107"/>
        <v>27</v>
      </c>
      <c r="R520" s="12">
        <f t="shared" si="103"/>
        <v>0.77142857142857146</v>
      </c>
      <c r="S520" s="1">
        <v>8</v>
      </c>
      <c r="T520" s="1">
        <v>5</v>
      </c>
      <c r="U520" s="1">
        <f t="shared" si="108"/>
        <v>13</v>
      </c>
      <c r="V520" s="12">
        <f t="shared" si="104"/>
        <v>0.8666666666666667</v>
      </c>
      <c r="W520" s="1">
        <v>4</v>
      </c>
      <c r="X520" s="1">
        <v>4</v>
      </c>
      <c r="Y520" s="1">
        <v>4</v>
      </c>
      <c r="Z520" s="1">
        <f t="shared" si="109"/>
        <v>12</v>
      </c>
      <c r="AA520" s="12">
        <f t="shared" si="105"/>
        <v>0.8</v>
      </c>
      <c r="AB520" s="2" t="s">
        <v>295</v>
      </c>
    </row>
    <row r="521" spans="1:28" x14ac:dyDescent="0.25">
      <c r="A521" s="1" t="s">
        <v>1663</v>
      </c>
      <c r="B521" s="1" t="s">
        <v>35</v>
      </c>
      <c r="C521" s="1" t="s">
        <v>36</v>
      </c>
      <c r="D521" s="1">
        <v>20</v>
      </c>
      <c r="E521" s="1">
        <v>2</v>
      </c>
      <c r="F521" s="1">
        <v>2</v>
      </c>
      <c r="G521" s="1">
        <v>6</v>
      </c>
      <c r="H521" s="1">
        <v>5</v>
      </c>
      <c r="I521" s="1">
        <v>5</v>
      </c>
      <c r="J521" s="1">
        <v>3</v>
      </c>
      <c r="K521" s="1">
        <f t="shared" si="106"/>
        <v>19</v>
      </c>
      <c r="L521" s="12">
        <f t="shared" si="102"/>
        <v>0.54285714285714282</v>
      </c>
      <c r="M521" s="1">
        <v>7</v>
      </c>
      <c r="N521" s="1">
        <v>6</v>
      </c>
      <c r="O521" s="1">
        <v>6</v>
      </c>
      <c r="P521" s="1">
        <v>3</v>
      </c>
      <c r="Q521" s="1">
        <f t="shared" si="107"/>
        <v>22</v>
      </c>
      <c r="R521" s="12">
        <f t="shared" si="103"/>
        <v>0.62857142857142856</v>
      </c>
      <c r="S521" s="1">
        <v>6</v>
      </c>
      <c r="T521" s="1">
        <v>3</v>
      </c>
      <c r="U521" s="1">
        <f t="shared" si="108"/>
        <v>9</v>
      </c>
      <c r="V521" s="12">
        <f t="shared" si="104"/>
        <v>0.6</v>
      </c>
      <c r="W521" s="1">
        <v>3</v>
      </c>
      <c r="X521" s="1">
        <v>2</v>
      </c>
      <c r="Y521" s="1">
        <v>2</v>
      </c>
      <c r="Z521" s="1">
        <f t="shared" si="109"/>
        <v>7</v>
      </c>
      <c r="AA521" s="12">
        <f t="shared" si="105"/>
        <v>0.46666666666666667</v>
      </c>
      <c r="AB521" s="2" t="s">
        <v>296</v>
      </c>
    </row>
    <row r="522" spans="1:28" x14ac:dyDescent="0.25">
      <c r="A522" s="1" t="s">
        <v>1663</v>
      </c>
      <c r="B522" s="1" t="s">
        <v>35</v>
      </c>
      <c r="C522" s="1" t="s">
        <v>36</v>
      </c>
      <c r="D522" s="1">
        <v>20</v>
      </c>
      <c r="E522" s="1">
        <v>2</v>
      </c>
      <c r="F522" s="1">
        <v>2</v>
      </c>
      <c r="G522" s="1">
        <v>8</v>
      </c>
      <c r="H522" s="1">
        <v>9</v>
      </c>
      <c r="I522" s="1">
        <v>8</v>
      </c>
      <c r="J522" s="1">
        <v>5</v>
      </c>
      <c r="K522" s="1">
        <f t="shared" si="106"/>
        <v>30</v>
      </c>
      <c r="L522" s="12">
        <f t="shared" si="102"/>
        <v>0.8571428571428571</v>
      </c>
      <c r="M522" s="1">
        <v>7</v>
      </c>
      <c r="N522" s="1">
        <v>8</v>
      </c>
      <c r="O522" s="1">
        <v>8</v>
      </c>
      <c r="P522" s="1">
        <v>5</v>
      </c>
      <c r="Q522" s="1">
        <f t="shared" si="107"/>
        <v>28</v>
      </c>
      <c r="R522" s="12">
        <f t="shared" si="103"/>
        <v>0.8</v>
      </c>
      <c r="S522" s="1">
        <v>7</v>
      </c>
      <c r="T522" s="1">
        <v>5</v>
      </c>
      <c r="U522" s="1">
        <f t="shared" si="108"/>
        <v>12</v>
      </c>
      <c r="V522" s="12">
        <f t="shared" si="104"/>
        <v>0.8</v>
      </c>
      <c r="W522" s="1">
        <v>4</v>
      </c>
      <c r="X522" s="1">
        <v>3</v>
      </c>
      <c r="Y522" s="1">
        <v>3</v>
      </c>
      <c r="Z522" s="1">
        <f t="shared" si="109"/>
        <v>10</v>
      </c>
      <c r="AA522" s="12">
        <f t="shared" si="105"/>
        <v>0.66666666666666663</v>
      </c>
      <c r="AB522" s="2" t="s">
        <v>297</v>
      </c>
    </row>
    <row r="523" spans="1:28" x14ac:dyDescent="0.25">
      <c r="A523" s="1" t="s">
        <v>1663</v>
      </c>
      <c r="B523" s="1" t="s">
        <v>35</v>
      </c>
      <c r="C523" s="1" t="s">
        <v>36</v>
      </c>
      <c r="D523" s="1">
        <v>20</v>
      </c>
      <c r="E523" s="1">
        <v>2</v>
      </c>
      <c r="F523" s="1">
        <v>2</v>
      </c>
      <c r="G523" s="1">
        <v>9</v>
      </c>
      <c r="H523" s="1">
        <v>8</v>
      </c>
      <c r="I523" s="1">
        <v>7</v>
      </c>
      <c r="J523" s="1">
        <v>5</v>
      </c>
      <c r="K523" s="1">
        <f t="shared" si="106"/>
        <v>29</v>
      </c>
      <c r="L523" s="12">
        <f t="shared" si="102"/>
        <v>0.82857142857142863</v>
      </c>
      <c r="M523" s="1">
        <v>8</v>
      </c>
      <c r="N523" s="1">
        <v>8</v>
      </c>
      <c r="O523" s="1">
        <v>7</v>
      </c>
      <c r="P523" s="1">
        <v>5</v>
      </c>
      <c r="Q523" s="1">
        <f t="shared" si="107"/>
        <v>28</v>
      </c>
      <c r="R523" s="12">
        <f t="shared" si="103"/>
        <v>0.8</v>
      </c>
      <c r="S523" s="1">
        <v>8</v>
      </c>
      <c r="T523" s="1">
        <v>5</v>
      </c>
      <c r="U523" s="1">
        <f t="shared" si="108"/>
        <v>13</v>
      </c>
      <c r="V523" s="12">
        <f t="shared" si="104"/>
        <v>0.8666666666666667</v>
      </c>
      <c r="W523" s="1">
        <v>4</v>
      </c>
      <c r="X523" s="1">
        <v>4</v>
      </c>
      <c r="Y523" s="1">
        <v>3</v>
      </c>
      <c r="Z523" s="1">
        <f t="shared" si="109"/>
        <v>11</v>
      </c>
      <c r="AA523" s="12">
        <f t="shared" si="105"/>
        <v>0.73333333333333328</v>
      </c>
      <c r="AB523" s="2" t="s">
        <v>298</v>
      </c>
    </row>
    <row r="524" spans="1:28" x14ac:dyDescent="0.25">
      <c r="A524" s="1" t="s">
        <v>1663</v>
      </c>
      <c r="B524" s="1" t="s">
        <v>35</v>
      </c>
      <c r="C524" s="1" t="s">
        <v>36</v>
      </c>
      <c r="D524" s="1">
        <v>5</v>
      </c>
      <c r="E524" s="1">
        <v>3</v>
      </c>
      <c r="F524" s="1">
        <v>4</v>
      </c>
      <c r="G524" s="1">
        <v>6</v>
      </c>
      <c r="H524" s="1">
        <v>7</v>
      </c>
      <c r="I524" s="1">
        <v>7</v>
      </c>
      <c r="J524" s="1">
        <v>4</v>
      </c>
      <c r="K524" s="1">
        <f t="shared" si="106"/>
        <v>24</v>
      </c>
      <c r="L524" s="12">
        <f t="shared" si="102"/>
        <v>0.68571428571428572</v>
      </c>
      <c r="M524" s="1">
        <v>7</v>
      </c>
      <c r="N524" s="1">
        <v>7</v>
      </c>
      <c r="O524" s="1">
        <v>6</v>
      </c>
      <c r="P524" s="1">
        <v>4</v>
      </c>
      <c r="Q524" s="1">
        <f t="shared" si="107"/>
        <v>24</v>
      </c>
      <c r="R524" s="12">
        <f t="shared" si="103"/>
        <v>0.68571428571428572</v>
      </c>
      <c r="S524" s="1">
        <v>6</v>
      </c>
      <c r="T524" s="1">
        <v>4</v>
      </c>
      <c r="U524" s="1">
        <f t="shared" si="108"/>
        <v>10</v>
      </c>
      <c r="V524" s="12">
        <f t="shared" si="104"/>
        <v>0.66666666666666663</v>
      </c>
      <c r="W524" s="1">
        <v>4</v>
      </c>
      <c r="X524" s="1">
        <v>3</v>
      </c>
      <c r="Y524" s="1">
        <v>3</v>
      </c>
      <c r="Z524" s="1">
        <f t="shared" si="109"/>
        <v>10</v>
      </c>
      <c r="AA524" s="12">
        <f t="shared" si="105"/>
        <v>0.66666666666666663</v>
      </c>
      <c r="AB524" s="2" t="s">
        <v>501</v>
      </c>
    </row>
    <row r="525" spans="1:28" x14ac:dyDescent="0.25">
      <c r="A525" s="1" t="s">
        <v>1663</v>
      </c>
      <c r="B525" s="1" t="s">
        <v>35</v>
      </c>
      <c r="C525" s="1" t="s">
        <v>36</v>
      </c>
      <c r="D525" s="1">
        <v>5</v>
      </c>
      <c r="E525" s="1">
        <v>3</v>
      </c>
      <c r="F525" s="1">
        <v>4</v>
      </c>
      <c r="G525" s="1">
        <v>8</v>
      </c>
      <c r="H525" s="1">
        <v>8</v>
      </c>
      <c r="I525" s="1">
        <v>8</v>
      </c>
      <c r="J525" s="1">
        <v>5</v>
      </c>
      <c r="K525" s="1">
        <f t="shared" si="106"/>
        <v>29</v>
      </c>
      <c r="L525" s="12">
        <f t="shared" si="102"/>
        <v>0.82857142857142863</v>
      </c>
      <c r="M525" s="1">
        <v>8</v>
      </c>
      <c r="N525" s="1">
        <v>7</v>
      </c>
      <c r="O525" s="1">
        <v>7</v>
      </c>
      <c r="P525" s="1">
        <v>4</v>
      </c>
      <c r="Q525" s="1">
        <f t="shared" si="107"/>
        <v>26</v>
      </c>
      <c r="R525" s="12">
        <f t="shared" si="103"/>
        <v>0.74285714285714288</v>
      </c>
      <c r="S525" s="1">
        <v>7</v>
      </c>
      <c r="T525" s="1">
        <v>5</v>
      </c>
      <c r="U525" s="1">
        <f t="shared" si="108"/>
        <v>12</v>
      </c>
      <c r="V525" s="12">
        <f t="shared" si="104"/>
        <v>0.8</v>
      </c>
      <c r="W525" s="1">
        <v>5</v>
      </c>
      <c r="X525" s="1">
        <v>4</v>
      </c>
      <c r="Y525" s="1">
        <v>4</v>
      </c>
      <c r="Z525" s="1">
        <f t="shared" si="109"/>
        <v>13</v>
      </c>
      <c r="AA525" s="12">
        <f t="shared" si="105"/>
        <v>0.8666666666666667</v>
      </c>
      <c r="AB525" s="2" t="s">
        <v>502</v>
      </c>
    </row>
    <row r="526" spans="1:28" x14ac:dyDescent="0.25">
      <c r="A526" s="1" t="s">
        <v>1663</v>
      </c>
      <c r="B526" s="1" t="s">
        <v>35</v>
      </c>
      <c r="C526" s="1" t="s">
        <v>36</v>
      </c>
      <c r="D526" s="1">
        <v>5</v>
      </c>
      <c r="E526" s="1">
        <v>3</v>
      </c>
      <c r="F526" s="1">
        <v>4</v>
      </c>
      <c r="G526" s="1">
        <v>7</v>
      </c>
      <c r="H526" s="1">
        <v>7</v>
      </c>
      <c r="I526" s="1">
        <v>6</v>
      </c>
      <c r="J526" s="1">
        <v>3</v>
      </c>
      <c r="K526" s="1">
        <f t="shared" si="106"/>
        <v>23</v>
      </c>
      <c r="L526" s="12">
        <f t="shared" si="102"/>
        <v>0.65714285714285714</v>
      </c>
      <c r="M526" s="1">
        <v>7</v>
      </c>
      <c r="N526" s="1">
        <v>6</v>
      </c>
      <c r="O526" s="1">
        <v>7</v>
      </c>
      <c r="P526" s="1">
        <v>4</v>
      </c>
      <c r="Q526" s="1">
        <f t="shared" si="107"/>
        <v>24</v>
      </c>
      <c r="R526" s="12">
        <f t="shared" si="103"/>
        <v>0.68571428571428572</v>
      </c>
      <c r="S526" s="1">
        <v>7</v>
      </c>
      <c r="T526" s="1">
        <v>4</v>
      </c>
      <c r="U526" s="1">
        <f t="shared" si="108"/>
        <v>11</v>
      </c>
      <c r="V526" s="12">
        <f t="shared" si="104"/>
        <v>0.73333333333333328</v>
      </c>
      <c r="W526" s="1">
        <v>4</v>
      </c>
      <c r="X526" s="1">
        <v>3</v>
      </c>
      <c r="Y526" s="1">
        <v>3</v>
      </c>
      <c r="Z526" s="1">
        <f t="shared" si="109"/>
        <v>10</v>
      </c>
      <c r="AA526" s="12">
        <f t="shared" si="105"/>
        <v>0.66666666666666663</v>
      </c>
      <c r="AB526" s="2" t="s">
        <v>503</v>
      </c>
    </row>
    <row r="527" spans="1:28" x14ac:dyDescent="0.25">
      <c r="A527" s="1" t="s">
        <v>1663</v>
      </c>
      <c r="B527" s="1" t="s">
        <v>35</v>
      </c>
      <c r="C527" s="1" t="s">
        <v>36</v>
      </c>
      <c r="D527" s="1">
        <v>5</v>
      </c>
      <c r="E527" s="1">
        <v>3</v>
      </c>
      <c r="F527" s="1">
        <v>4</v>
      </c>
      <c r="G527" s="1">
        <v>8</v>
      </c>
      <c r="H527" s="1">
        <v>8</v>
      </c>
      <c r="I527" s="1">
        <v>8</v>
      </c>
      <c r="J527" s="1">
        <v>5</v>
      </c>
      <c r="K527" s="1">
        <f t="shared" si="106"/>
        <v>29</v>
      </c>
      <c r="L527" s="12">
        <f t="shared" si="102"/>
        <v>0.82857142857142863</v>
      </c>
      <c r="M527" s="1">
        <v>8</v>
      </c>
      <c r="N527" s="1">
        <v>8</v>
      </c>
      <c r="O527" s="1">
        <v>8</v>
      </c>
      <c r="P527" s="1">
        <v>5</v>
      </c>
      <c r="Q527" s="1">
        <f t="shared" si="107"/>
        <v>29</v>
      </c>
      <c r="R527" s="12">
        <f t="shared" si="103"/>
        <v>0.82857142857142863</v>
      </c>
      <c r="S527" s="1">
        <v>8</v>
      </c>
      <c r="T527" s="1">
        <v>5</v>
      </c>
      <c r="U527" s="1">
        <f t="shared" si="108"/>
        <v>13</v>
      </c>
      <c r="V527" s="12">
        <f t="shared" si="104"/>
        <v>0.8666666666666667</v>
      </c>
      <c r="W527" s="1">
        <v>5</v>
      </c>
      <c r="X527" s="1">
        <v>4</v>
      </c>
      <c r="Y527" s="1">
        <v>4</v>
      </c>
      <c r="Z527" s="1">
        <f t="shared" si="109"/>
        <v>13</v>
      </c>
      <c r="AA527" s="12">
        <f t="shared" si="105"/>
        <v>0.8666666666666667</v>
      </c>
      <c r="AB527" s="2" t="s">
        <v>504</v>
      </c>
    </row>
    <row r="528" spans="1:28" x14ac:dyDescent="0.25">
      <c r="A528" s="1" t="s">
        <v>1663</v>
      </c>
      <c r="B528" s="1" t="s">
        <v>35</v>
      </c>
      <c r="C528" s="1" t="s">
        <v>36</v>
      </c>
      <c r="D528" s="1">
        <v>5</v>
      </c>
      <c r="E528" s="1">
        <v>3</v>
      </c>
      <c r="F528" s="1">
        <v>4</v>
      </c>
      <c r="G528" s="1">
        <v>8</v>
      </c>
      <c r="H528" s="1">
        <v>8</v>
      </c>
      <c r="I528" s="1">
        <v>7</v>
      </c>
      <c r="J528" s="1">
        <v>5</v>
      </c>
      <c r="K528" s="1">
        <f t="shared" si="106"/>
        <v>28</v>
      </c>
      <c r="L528" s="12">
        <f t="shared" si="102"/>
        <v>0.8</v>
      </c>
      <c r="M528" s="1">
        <v>8</v>
      </c>
      <c r="N528" s="1">
        <v>7</v>
      </c>
      <c r="O528" s="1">
        <v>8</v>
      </c>
      <c r="P528" s="1">
        <v>5</v>
      </c>
      <c r="Q528" s="1">
        <f t="shared" si="107"/>
        <v>28</v>
      </c>
      <c r="R528" s="12">
        <f t="shared" si="103"/>
        <v>0.8</v>
      </c>
      <c r="S528" s="1">
        <v>7</v>
      </c>
      <c r="T528" s="1">
        <v>5</v>
      </c>
      <c r="U528" s="1">
        <f t="shared" si="108"/>
        <v>12</v>
      </c>
      <c r="V528" s="12">
        <f t="shared" si="104"/>
        <v>0.8</v>
      </c>
      <c r="W528" s="1">
        <v>5</v>
      </c>
      <c r="X528" s="1">
        <v>4</v>
      </c>
      <c r="Y528" s="1">
        <v>4</v>
      </c>
      <c r="Z528" s="1">
        <f t="shared" si="109"/>
        <v>13</v>
      </c>
      <c r="AA528" s="12">
        <f t="shared" si="105"/>
        <v>0.8666666666666667</v>
      </c>
      <c r="AB528" s="2" t="s">
        <v>505</v>
      </c>
    </row>
    <row r="529" spans="1:28" x14ac:dyDescent="0.25">
      <c r="A529" s="1" t="s">
        <v>1663</v>
      </c>
      <c r="B529" s="1" t="s">
        <v>35</v>
      </c>
      <c r="C529" s="1" t="s">
        <v>36</v>
      </c>
      <c r="D529" s="1">
        <v>5</v>
      </c>
      <c r="E529" s="1">
        <v>3</v>
      </c>
      <c r="F529" s="1">
        <v>4</v>
      </c>
      <c r="G529" s="1">
        <v>7</v>
      </c>
      <c r="H529" s="1">
        <v>7</v>
      </c>
      <c r="I529" s="1">
        <v>7</v>
      </c>
      <c r="J529" s="1">
        <v>4</v>
      </c>
      <c r="K529" s="1">
        <f t="shared" si="106"/>
        <v>25</v>
      </c>
      <c r="L529" s="12">
        <f t="shared" si="102"/>
        <v>0.7142857142857143</v>
      </c>
      <c r="M529" s="1">
        <v>6</v>
      </c>
      <c r="N529" s="1">
        <v>7</v>
      </c>
      <c r="O529" s="1">
        <v>7</v>
      </c>
      <c r="P529" s="1">
        <v>4</v>
      </c>
      <c r="Q529" s="1">
        <f t="shared" si="107"/>
        <v>24</v>
      </c>
      <c r="R529" s="12">
        <f t="shared" si="103"/>
        <v>0.68571428571428572</v>
      </c>
      <c r="S529" s="1">
        <v>7</v>
      </c>
      <c r="T529" s="1">
        <v>4</v>
      </c>
      <c r="U529" s="1">
        <f t="shared" si="108"/>
        <v>11</v>
      </c>
      <c r="V529" s="12">
        <f t="shared" si="104"/>
        <v>0.73333333333333328</v>
      </c>
      <c r="W529" s="1">
        <v>4</v>
      </c>
      <c r="X529" s="1">
        <v>3</v>
      </c>
      <c r="Y529" s="1">
        <v>3</v>
      </c>
      <c r="Z529" s="1">
        <f t="shared" si="109"/>
        <v>10</v>
      </c>
      <c r="AA529" s="12">
        <f t="shared" si="105"/>
        <v>0.66666666666666663</v>
      </c>
      <c r="AB529" s="2" t="s">
        <v>506</v>
      </c>
    </row>
    <row r="530" spans="1:28" x14ac:dyDescent="0.25">
      <c r="A530" s="1" t="s">
        <v>1663</v>
      </c>
      <c r="B530" s="1" t="s">
        <v>35</v>
      </c>
      <c r="C530" s="1" t="s">
        <v>36</v>
      </c>
      <c r="D530" s="1">
        <v>5</v>
      </c>
      <c r="E530" s="1">
        <v>3</v>
      </c>
      <c r="F530" s="1">
        <v>4</v>
      </c>
      <c r="G530" s="1">
        <v>6</v>
      </c>
      <c r="H530" s="1">
        <v>7</v>
      </c>
      <c r="I530" s="1">
        <v>7</v>
      </c>
      <c r="J530" s="1">
        <v>4</v>
      </c>
      <c r="K530" s="1">
        <f t="shared" si="106"/>
        <v>24</v>
      </c>
      <c r="L530" s="12">
        <f t="shared" si="102"/>
        <v>0.68571428571428572</v>
      </c>
      <c r="M530" s="1">
        <v>7</v>
      </c>
      <c r="N530" s="1">
        <v>8</v>
      </c>
      <c r="O530" s="1">
        <v>7</v>
      </c>
      <c r="P530" s="1">
        <v>4</v>
      </c>
      <c r="Q530" s="1">
        <f t="shared" si="107"/>
        <v>26</v>
      </c>
      <c r="R530" s="12">
        <f t="shared" si="103"/>
        <v>0.74285714285714288</v>
      </c>
      <c r="S530" s="1">
        <v>8</v>
      </c>
      <c r="T530" s="1">
        <v>5</v>
      </c>
      <c r="U530" s="1">
        <f t="shared" si="108"/>
        <v>13</v>
      </c>
      <c r="V530" s="12">
        <f t="shared" si="104"/>
        <v>0.8666666666666667</v>
      </c>
      <c r="W530" s="1">
        <v>4</v>
      </c>
      <c r="X530" s="1">
        <v>3</v>
      </c>
      <c r="Y530" s="1">
        <v>3</v>
      </c>
      <c r="Z530" s="1">
        <f t="shared" si="109"/>
        <v>10</v>
      </c>
      <c r="AA530" s="12">
        <f t="shared" si="105"/>
        <v>0.66666666666666663</v>
      </c>
      <c r="AB530" s="2" t="s">
        <v>507</v>
      </c>
    </row>
    <row r="531" spans="1:28" x14ac:dyDescent="0.25">
      <c r="A531" s="1" t="s">
        <v>1663</v>
      </c>
      <c r="B531" s="1" t="s">
        <v>35</v>
      </c>
      <c r="C531" s="1" t="s">
        <v>36</v>
      </c>
      <c r="D531" s="1">
        <v>5</v>
      </c>
      <c r="E531" s="1">
        <v>3</v>
      </c>
      <c r="F531" s="1">
        <v>4</v>
      </c>
      <c r="G531" s="1">
        <v>7</v>
      </c>
      <c r="H531" s="1">
        <v>6</v>
      </c>
      <c r="I531" s="1">
        <v>7</v>
      </c>
      <c r="J531" s="1">
        <v>3</v>
      </c>
      <c r="K531" s="1">
        <f t="shared" si="106"/>
        <v>23</v>
      </c>
      <c r="L531" s="12">
        <f t="shared" si="102"/>
        <v>0.65714285714285714</v>
      </c>
      <c r="M531" s="1">
        <v>8</v>
      </c>
      <c r="N531" s="1">
        <v>8</v>
      </c>
      <c r="O531" s="1">
        <v>7</v>
      </c>
      <c r="P531" s="1">
        <v>4</v>
      </c>
      <c r="Q531" s="1">
        <f t="shared" si="107"/>
        <v>27</v>
      </c>
      <c r="R531" s="12">
        <f t="shared" si="103"/>
        <v>0.77142857142857146</v>
      </c>
      <c r="S531" s="1">
        <v>7</v>
      </c>
      <c r="T531" s="1">
        <v>3</v>
      </c>
      <c r="U531" s="1">
        <f t="shared" si="108"/>
        <v>10</v>
      </c>
      <c r="V531" s="12">
        <f t="shared" si="104"/>
        <v>0.66666666666666663</v>
      </c>
      <c r="W531" s="1">
        <v>4</v>
      </c>
      <c r="X531" s="1">
        <v>3</v>
      </c>
      <c r="Y531" s="1">
        <v>4</v>
      </c>
      <c r="Z531" s="1">
        <f t="shared" si="109"/>
        <v>11</v>
      </c>
      <c r="AA531" s="12">
        <f t="shared" si="105"/>
        <v>0.73333333333333328</v>
      </c>
      <c r="AB531" s="2" t="s">
        <v>508</v>
      </c>
    </row>
    <row r="532" spans="1:28" x14ac:dyDescent="0.25">
      <c r="A532" s="1" t="s">
        <v>1663</v>
      </c>
      <c r="B532" s="1" t="s">
        <v>576</v>
      </c>
      <c r="C532" s="1" t="s">
        <v>36</v>
      </c>
      <c r="D532" s="1">
        <v>26</v>
      </c>
      <c r="E532" s="1">
        <v>1</v>
      </c>
      <c r="F532" s="1">
        <v>2</v>
      </c>
      <c r="G532" s="1">
        <v>7</v>
      </c>
      <c r="H532" s="1">
        <v>7</v>
      </c>
      <c r="I532" s="1">
        <v>6</v>
      </c>
      <c r="J532" s="1">
        <v>3</v>
      </c>
      <c r="K532" s="1">
        <f t="shared" si="106"/>
        <v>23</v>
      </c>
      <c r="L532" s="12">
        <f t="shared" si="102"/>
        <v>0.65714285714285714</v>
      </c>
      <c r="M532" s="1">
        <v>6</v>
      </c>
      <c r="N532" s="1">
        <v>6</v>
      </c>
      <c r="O532" s="1">
        <v>7</v>
      </c>
      <c r="P532" s="1">
        <v>4</v>
      </c>
      <c r="Q532" s="1">
        <f t="shared" si="107"/>
        <v>23</v>
      </c>
      <c r="R532" s="12">
        <f t="shared" si="103"/>
        <v>0.65714285714285714</v>
      </c>
      <c r="S532" s="1">
        <v>7</v>
      </c>
      <c r="T532" s="1">
        <v>4</v>
      </c>
      <c r="U532" s="1">
        <f t="shared" si="108"/>
        <v>11</v>
      </c>
      <c r="V532" s="12">
        <f t="shared" si="104"/>
        <v>0.73333333333333328</v>
      </c>
      <c r="W532" s="1">
        <v>4</v>
      </c>
      <c r="X532" s="1">
        <v>3</v>
      </c>
      <c r="Y532" s="1">
        <v>3</v>
      </c>
      <c r="Z532" s="1">
        <f t="shared" si="109"/>
        <v>10</v>
      </c>
      <c r="AA532" s="12">
        <f t="shared" si="105"/>
        <v>0.66666666666666663</v>
      </c>
      <c r="AB532" s="2" t="s">
        <v>596</v>
      </c>
    </row>
    <row r="533" spans="1:28" x14ac:dyDescent="0.25">
      <c r="A533" s="1" t="s">
        <v>1663</v>
      </c>
      <c r="B533" s="1" t="s">
        <v>576</v>
      </c>
      <c r="C533" s="1" t="s">
        <v>36</v>
      </c>
      <c r="D533" s="1">
        <v>26</v>
      </c>
      <c r="E533" s="1">
        <v>1</v>
      </c>
      <c r="F533" s="1">
        <v>2</v>
      </c>
      <c r="G533" s="1">
        <v>7</v>
      </c>
      <c r="H533" s="1">
        <v>7</v>
      </c>
      <c r="I533" s="1">
        <v>6</v>
      </c>
      <c r="J533" s="1">
        <v>3</v>
      </c>
      <c r="K533" s="1">
        <f t="shared" si="106"/>
        <v>23</v>
      </c>
      <c r="L533" s="12">
        <f t="shared" si="102"/>
        <v>0.65714285714285714</v>
      </c>
      <c r="M533" s="1">
        <v>7</v>
      </c>
      <c r="N533" s="1">
        <v>8</v>
      </c>
      <c r="O533" s="1">
        <v>7</v>
      </c>
      <c r="P533" s="1">
        <v>4</v>
      </c>
      <c r="Q533" s="1">
        <f t="shared" si="107"/>
        <v>26</v>
      </c>
      <c r="R533" s="12">
        <f t="shared" si="103"/>
        <v>0.74285714285714288</v>
      </c>
      <c r="S533" s="1">
        <v>8</v>
      </c>
      <c r="T533" s="1">
        <v>3</v>
      </c>
      <c r="U533" s="1">
        <f t="shared" si="108"/>
        <v>11</v>
      </c>
      <c r="V533" s="12">
        <f t="shared" si="104"/>
        <v>0.73333333333333328</v>
      </c>
      <c r="W533" s="1">
        <v>3</v>
      </c>
      <c r="X533" s="1">
        <v>3</v>
      </c>
      <c r="Y533" s="1">
        <v>3</v>
      </c>
      <c r="Z533" s="1">
        <f t="shared" si="109"/>
        <v>9</v>
      </c>
      <c r="AA533" s="12">
        <f t="shared" si="105"/>
        <v>0.6</v>
      </c>
      <c r="AB533" s="2" t="s">
        <v>597</v>
      </c>
    </row>
    <row r="534" spans="1:28" x14ac:dyDescent="0.25">
      <c r="A534" s="1" t="s">
        <v>1663</v>
      </c>
      <c r="B534" s="1" t="s">
        <v>576</v>
      </c>
      <c r="C534" s="1" t="s">
        <v>36</v>
      </c>
      <c r="D534" s="1">
        <v>26</v>
      </c>
      <c r="E534" s="1">
        <v>1</v>
      </c>
      <c r="F534" s="1">
        <v>2</v>
      </c>
      <c r="G534" s="1">
        <v>7</v>
      </c>
      <c r="H534" s="1">
        <v>7</v>
      </c>
      <c r="I534" s="1">
        <v>6</v>
      </c>
      <c r="J534" s="1">
        <v>3</v>
      </c>
      <c r="K534" s="1">
        <f t="shared" si="106"/>
        <v>23</v>
      </c>
      <c r="L534" s="12">
        <f t="shared" si="102"/>
        <v>0.65714285714285714</v>
      </c>
      <c r="M534" s="1">
        <v>9</v>
      </c>
      <c r="N534" s="1">
        <v>7</v>
      </c>
      <c r="O534" s="1">
        <v>8</v>
      </c>
      <c r="P534" s="1">
        <v>3</v>
      </c>
      <c r="Q534" s="1">
        <f t="shared" si="107"/>
        <v>27</v>
      </c>
      <c r="R534" s="12">
        <f t="shared" si="103"/>
        <v>0.77142857142857146</v>
      </c>
      <c r="S534" s="1">
        <v>8</v>
      </c>
      <c r="T534" s="1">
        <v>4</v>
      </c>
      <c r="U534" s="1">
        <f t="shared" si="108"/>
        <v>12</v>
      </c>
      <c r="V534" s="12">
        <f t="shared" si="104"/>
        <v>0.8</v>
      </c>
      <c r="W534" s="1">
        <v>3</v>
      </c>
      <c r="X534" s="1">
        <v>2</v>
      </c>
      <c r="Y534" s="1">
        <v>3</v>
      </c>
      <c r="Z534" s="1">
        <f t="shared" si="109"/>
        <v>8</v>
      </c>
      <c r="AA534" s="12">
        <f t="shared" si="105"/>
        <v>0.53333333333333333</v>
      </c>
      <c r="AB534" s="2" t="s">
        <v>598</v>
      </c>
    </row>
    <row r="535" spans="1:28" x14ac:dyDescent="0.25">
      <c r="A535" s="1" t="s">
        <v>1663</v>
      </c>
      <c r="B535" s="1" t="s">
        <v>576</v>
      </c>
      <c r="C535" s="1" t="s">
        <v>36</v>
      </c>
      <c r="D535" s="1">
        <v>26</v>
      </c>
      <c r="E535" s="1">
        <v>1</v>
      </c>
      <c r="F535" s="1">
        <v>2</v>
      </c>
      <c r="G535" s="1">
        <v>9</v>
      </c>
      <c r="H535" s="1">
        <v>9</v>
      </c>
      <c r="I535" s="1">
        <v>9</v>
      </c>
      <c r="J535" s="1">
        <v>4</v>
      </c>
      <c r="K535" s="1">
        <f t="shared" si="106"/>
        <v>31</v>
      </c>
      <c r="L535" s="12">
        <f t="shared" si="102"/>
        <v>0.88571428571428568</v>
      </c>
      <c r="M535" s="1">
        <v>8</v>
      </c>
      <c r="N535" s="1">
        <v>7</v>
      </c>
      <c r="O535" s="1">
        <v>7</v>
      </c>
      <c r="P535" s="1">
        <v>3</v>
      </c>
      <c r="Q535" s="1">
        <f t="shared" si="107"/>
        <v>25</v>
      </c>
      <c r="R535" s="12">
        <f t="shared" si="103"/>
        <v>0.7142857142857143</v>
      </c>
      <c r="S535" s="1">
        <v>8</v>
      </c>
      <c r="T535" s="1">
        <v>4</v>
      </c>
      <c r="U535" s="1">
        <f t="shared" si="108"/>
        <v>12</v>
      </c>
      <c r="V535" s="12">
        <f t="shared" si="104"/>
        <v>0.8</v>
      </c>
      <c r="W535" s="1">
        <v>4</v>
      </c>
      <c r="X535" s="1">
        <v>4</v>
      </c>
      <c r="Y535" s="1">
        <v>4</v>
      </c>
      <c r="Z535" s="1">
        <f t="shared" si="109"/>
        <v>12</v>
      </c>
      <c r="AA535" s="12">
        <f t="shared" si="105"/>
        <v>0.8</v>
      </c>
      <c r="AB535" s="2" t="s">
        <v>599</v>
      </c>
    </row>
    <row r="536" spans="1:28" x14ac:dyDescent="0.25">
      <c r="A536" s="1" t="s">
        <v>1663</v>
      </c>
      <c r="B536" s="1" t="s">
        <v>576</v>
      </c>
      <c r="C536" s="1" t="s">
        <v>36</v>
      </c>
      <c r="D536" s="1">
        <v>26</v>
      </c>
      <c r="E536" s="1">
        <v>1</v>
      </c>
      <c r="F536" s="1">
        <v>2</v>
      </c>
      <c r="G536" s="1">
        <v>7</v>
      </c>
      <c r="H536" s="1">
        <v>7</v>
      </c>
      <c r="I536" s="1">
        <v>8</v>
      </c>
      <c r="J536" s="1">
        <v>3</v>
      </c>
      <c r="K536" s="1">
        <f t="shared" si="106"/>
        <v>25</v>
      </c>
      <c r="L536" s="12">
        <f t="shared" si="102"/>
        <v>0.7142857142857143</v>
      </c>
      <c r="M536" s="1">
        <v>8</v>
      </c>
      <c r="N536" s="1">
        <v>6</v>
      </c>
      <c r="O536" s="1">
        <v>6</v>
      </c>
      <c r="P536" s="1">
        <v>3</v>
      </c>
      <c r="Q536" s="1">
        <f t="shared" si="107"/>
        <v>23</v>
      </c>
      <c r="R536" s="12">
        <f t="shared" si="103"/>
        <v>0.65714285714285714</v>
      </c>
      <c r="S536" s="1">
        <v>6</v>
      </c>
      <c r="T536" s="1">
        <v>4</v>
      </c>
      <c r="U536" s="1">
        <f t="shared" si="108"/>
        <v>10</v>
      </c>
      <c r="V536" s="12">
        <f t="shared" si="104"/>
        <v>0.66666666666666663</v>
      </c>
      <c r="W536" s="1">
        <v>3</v>
      </c>
      <c r="X536" s="1">
        <v>3</v>
      </c>
      <c r="Y536" s="1">
        <v>3</v>
      </c>
      <c r="Z536" s="1">
        <f t="shared" si="109"/>
        <v>9</v>
      </c>
      <c r="AA536" s="12">
        <f t="shared" si="105"/>
        <v>0.6</v>
      </c>
      <c r="AB536" s="2" t="s">
        <v>600</v>
      </c>
    </row>
    <row r="537" spans="1:28" x14ac:dyDescent="0.25">
      <c r="A537" s="1" t="s">
        <v>1663</v>
      </c>
      <c r="B537" s="1" t="s">
        <v>576</v>
      </c>
      <c r="C537" s="1" t="s">
        <v>36</v>
      </c>
      <c r="D537" s="1">
        <v>26</v>
      </c>
      <c r="E537" s="1">
        <v>1</v>
      </c>
      <c r="F537" s="1">
        <v>2</v>
      </c>
      <c r="G537" s="1">
        <v>7</v>
      </c>
      <c r="H537" s="1">
        <v>8</v>
      </c>
      <c r="I537" s="1">
        <v>7</v>
      </c>
      <c r="J537" s="1">
        <v>4</v>
      </c>
      <c r="K537" s="1">
        <f t="shared" si="106"/>
        <v>26</v>
      </c>
      <c r="L537" s="12">
        <f t="shared" si="102"/>
        <v>0.74285714285714288</v>
      </c>
      <c r="M537" s="1">
        <v>7</v>
      </c>
      <c r="N537" s="1">
        <v>7</v>
      </c>
      <c r="O537" s="1">
        <v>7</v>
      </c>
      <c r="P537" s="1">
        <v>3</v>
      </c>
      <c r="Q537" s="1">
        <f t="shared" si="107"/>
        <v>24</v>
      </c>
      <c r="R537" s="12">
        <f t="shared" si="103"/>
        <v>0.68571428571428572</v>
      </c>
      <c r="S537" s="1">
        <v>7</v>
      </c>
      <c r="T537" s="1">
        <v>4</v>
      </c>
      <c r="U537" s="1">
        <f t="shared" si="108"/>
        <v>11</v>
      </c>
      <c r="V537" s="12">
        <f t="shared" si="104"/>
        <v>0.73333333333333328</v>
      </c>
      <c r="W537" s="1">
        <v>4</v>
      </c>
      <c r="X537" s="1">
        <v>4</v>
      </c>
      <c r="Y537" s="1">
        <v>3</v>
      </c>
      <c r="Z537" s="1">
        <f t="shared" si="109"/>
        <v>11</v>
      </c>
      <c r="AA537" s="12">
        <f t="shared" si="105"/>
        <v>0.73333333333333328</v>
      </c>
      <c r="AB537" s="2" t="s">
        <v>601</v>
      </c>
    </row>
    <row r="538" spans="1:28" x14ac:dyDescent="0.25">
      <c r="A538" s="1" t="s">
        <v>1663</v>
      </c>
      <c r="B538" s="1" t="s">
        <v>576</v>
      </c>
      <c r="C538" s="1" t="s">
        <v>36</v>
      </c>
      <c r="D538" s="1">
        <v>26</v>
      </c>
      <c r="E538" s="1">
        <v>1</v>
      </c>
      <c r="F538" s="1">
        <v>2</v>
      </c>
      <c r="G538" s="1">
        <v>8</v>
      </c>
      <c r="H538" s="1">
        <v>8</v>
      </c>
      <c r="I538" s="1">
        <v>7</v>
      </c>
      <c r="J538" s="1">
        <v>4</v>
      </c>
      <c r="K538" s="1">
        <f t="shared" si="106"/>
        <v>27</v>
      </c>
      <c r="L538" s="12">
        <f t="shared" si="102"/>
        <v>0.77142857142857146</v>
      </c>
      <c r="M538" s="1">
        <v>8</v>
      </c>
      <c r="N538" s="1">
        <v>7</v>
      </c>
      <c r="O538" s="1">
        <v>8</v>
      </c>
      <c r="P538" s="1">
        <v>3</v>
      </c>
      <c r="Q538" s="1">
        <f t="shared" si="107"/>
        <v>26</v>
      </c>
      <c r="R538" s="12">
        <f t="shared" si="103"/>
        <v>0.74285714285714288</v>
      </c>
      <c r="S538" s="1">
        <v>8</v>
      </c>
      <c r="T538" s="1">
        <v>3</v>
      </c>
      <c r="U538" s="1">
        <f t="shared" si="108"/>
        <v>11</v>
      </c>
      <c r="V538" s="12">
        <f t="shared" si="104"/>
        <v>0.73333333333333328</v>
      </c>
      <c r="W538" s="1">
        <v>4</v>
      </c>
      <c r="X538" s="1">
        <v>4</v>
      </c>
      <c r="Y538" s="1">
        <v>4</v>
      </c>
      <c r="Z538" s="1">
        <f t="shared" si="109"/>
        <v>12</v>
      </c>
      <c r="AA538" s="12">
        <f t="shared" si="105"/>
        <v>0.8</v>
      </c>
      <c r="AB538" s="2" t="s">
        <v>602</v>
      </c>
    </row>
    <row r="539" spans="1:28" x14ac:dyDescent="0.25">
      <c r="A539" s="1" t="s">
        <v>1663</v>
      </c>
      <c r="B539" s="1" t="s">
        <v>576</v>
      </c>
      <c r="C539" s="1" t="s">
        <v>36</v>
      </c>
      <c r="D539" s="1">
        <v>27</v>
      </c>
      <c r="E539" s="1">
        <v>2</v>
      </c>
      <c r="F539" s="1">
        <v>4</v>
      </c>
      <c r="G539" s="1">
        <v>6</v>
      </c>
      <c r="H539" s="1">
        <v>7</v>
      </c>
      <c r="I539" s="1">
        <v>7</v>
      </c>
      <c r="J539" s="1">
        <v>4</v>
      </c>
      <c r="K539" s="1">
        <f t="shared" si="106"/>
        <v>24</v>
      </c>
      <c r="L539" s="12">
        <f t="shared" si="102"/>
        <v>0.68571428571428572</v>
      </c>
      <c r="M539" s="1">
        <v>6</v>
      </c>
      <c r="N539" s="1">
        <v>6</v>
      </c>
      <c r="O539" s="1">
        <v>6</v>
      </c>
      <c r="P539" s="1">
        <v>4</v>
      </c>
      <c r="Q539" s="1">
        <f t="shared" si="107"/>
        <v>22</v>
      </c>
      <c r="R539" s="12">
        <f t="shared" si="103"/>
        <v>0.62857142857142856</v>
      </c>
      <c r="S539" s="1">
        <v>6</v>
      </c>
      <c r="T539" s="1">
        <v>4</v>
      </c>
      <c r="U539" s="1">
        <f t="shared" si="108"/>
        <v>10</v>
      </c>
      <c r="V539" s="12">
        <f t="shared" si="104"/>
        <v>0.66666666666666663</v>
      </c>
      <c r="W539" s="1">
        <v>3</v>
      </c>
      <c r="X539" s="1">
        <v>2</v>
      </c>
      <c r="Y539" s="1">
        <v>3</v>
      </c>
      <c r="Z539" s="1">
        <f t="shared" si="109"/>
        <v>8</v>
      </c>
      <c r="AA539" s="12">
        <f t="shared" si="105"/>
        <v>0.53333333333333333</v>
      </c>
      <c r="AB539" s="2" t="s">
        <v>722</v>
      </c>
    </row>
    <row r="540" spans="1:28" x14ac:dyDescent="0.25">
      <c r="A540" s="1" t="s">
        <v>1663</v>
      </c>
      <c r="B540" s="1" t="s">
        <v>576</v>
      </c>
      <c r="C540" s="1" t="s">
        <v>36</v>
      </c>
      <c r="D540" s="1">
        <v>27</v>
      </c>
      <c r="E540" s="1">
        <v>2</v>
      </c>
      <c r="F540" s="1">
        <v>4</v>
      </c>
      <c r="G540" s="1">
        <v>7</v>
      </c>
      <c r="H540" s="1">
        <v>5</v>
      </c>
      <c r="I540" s="1">
        <v>7</v>
      </c>
      <c r="J540" s="1">
        <v>3</v>
      </c>
      <c r="K540" s="1">
        <f t="shared" si="106"/>
        <v>22</v>
      </c>
      <c r="L540" s="12">
        <f t="shared" si="102"/>
        <v>0.62857142857142856</v>
      </c>
      <c r="M540" s="1">
        <v>6</v>
      </c>
      <c r="N540" s="1">
        <v>7</v>
      </c>
      <c r="O540" s="1">
        <v>7</v>
      </c>
      <c r="P540" s="1">
        <v>4</v>
      </c>
      <c r="Q540" s="1">
        <f t="shared" si="107"/>
        <v>24</v>
      </c>
      <c r="R540" s="12">
        <f t="shared" si="103"/>
        <v>0.68571428571428572</v>
      </c>
      <c r="S540" s="1">
        <v>7</v>
      </c>
      <c r="T540" s="1">
        <v>4</v>
      </c>
      <c r="U540" s="1">
        <f t="shared" si="108"/>
        <v>11</v>
      </c>
      <c r="V540" s="12">
        <f t="shared" si="104"/>
        <v>0.73333333333333328</v>
      </c>
      <c r="W540" s="1">
        <v>4</v>
      </c>
      <c r="X540" s="1">
        <v>3</v>
      </c>
      <c r="Y540" s="1">
        <v>3</v>
      </c>
      <c r="Z540" s="1">
        <f t="shared" si="109"/>
        <v>10</v>
      </c>
      <c r="AA540" s="12">
        <f t="shared" si="105"/>
        <v>0.66666666666666663</v>
      </c>
      <c r="AB540" s="2" t="s">
        <v>723</v>
      </c>
    </row>
    <row r="541" spans="1:28" x14ac:dyDescent="0.25">
      <c r="A541" s="1" t="s">
        <v>1663</v>
      </c>
      <c r="B541" s="1" t="s">
        <v>576</v>
      </c>
      <c r="C541" s="1" t="s">
        <v>36</v>
      </c>
      <c r="D541" s="1">
        <v>27</v>
      </c>
      <c r="E541" s="1">
        <v>2</v>
      </c>
      <c r="F541" s="1">
        <v>4</v>
      </c>
      <c r="G541" s="1">
        <v>7</v>
      </c>
      <c r="H541" s="1">
        <v>8</v>
      </c>
      <c r="I541" s="1">
        <v>8</v>
      </c>
      <c r="J541" s="1">
        <v>4</v>
      </c>
      <c r="K541" s="1">
        <f t="shared" si="106"/>
        <v>27</v>
      </c>
      <c r="L541" s="12">
        <f t="shared" si="102"/>
        <v>0.77142857142857146</v>
      </c>
      <c r="M541" s="1">
        <v>7</v>
      </c>
      <c r="N541" s="1">
        <v>7</v>
      </c>
      <c r="O541" s="1">
        <v>7</v>
      </c>
      <c r="P541" s="1">
        <v>5</v>
      </c>
      <c r="Q541" s="1">
        <f t="shared" si="107"/>
        <v>26</v>
      </c>
      <c r="R541" s="12">
        <f t="shared" si="103"/>
        <v>0.74285714285714288</v>
      </c>
      <c r="S541" s="1">
        <v>8</v>
      </c>
      <c r="T541" s="1">
        <v>5</v>
      </c>
      <c r="U541" s="1">
        <f t="shared" si="108"/>
        <v>13</v>
      </c>
      <c r="V541" s="12">
        <f t="shared" si="104"/>
        <v>0.8666666666666667</v>
      </c>
      <c r="W541" s="1">
        <v>4</v>
      </c>
      <c r="X541" s="1">
        <v>3</v>
      </c>
      <c r="Y541" s="1">
        <v>2</v>
      </c>
      <c r="Z541" s="1">
        <f t="shared" si="109"/>
        <v>9</v>
      </c>
      <c r="AA541" s="12">
        <f t="shared" si="105"/>
        <v>0.6</v>
      </c>
      <c r="AB541" s="2" t="s">
        <v>724</v>
      </c>
    </row>
    <row r="542" spans="1:28" x14ac:dyDescent="0.25">
      <c r="A542" s="1" t="s">
        <v>1663</v>
      </c>
      <c r="B542" s="1" t="s">
        <v>576</v>
      </c>
      <c r="C542" s="1" t="s">
        <v>36</v>
      </c>
      <c r="D542" s="1">
        <v>27</v>
      </c>
      <c r="E542" s="1">
        <v>2</v>
      </c>
      <c r="F542" s="1">
        <v>4</v>
      </c>
      <c r="G542" s="1">
        <v>8</v>
      </c>
      <c r="H542" s="1">
        <v>8</v>
      </c>
      <c r="I542" s="1">
        <v>7</v>
      </c>
      <c r="J542" s="1">
        <v>4</v>
      </c>
      <c r="K542" s="1">
        <f t="shared" si="106"/>
        <v>27</v>
      </c>
      <c r="L542" s="12">
        <f t="shared" si="102"/>
        <v>0.77142857142857146</v>
      </c>
      <c r="M542" s="1">
        <v>7</v>
      </c>
      <c r="N542" s="1">
        <v>7</v>
      </c>
      <c r="O542" s="1">
        <v>7</v>
      </c>
      <c r="P542" s="1">
        <v>4</v>
      </c>
      <c r="Q542" s="1">
        <f t="shared" si="107"/>
        <v>25</v>
      </c>
      <c r="R542" s="12">
        <f t="shared" si="103"/>
        <v>0.7142857142857143</v>
      </c>
      <c r="S542" s="1">
        <v>8</v>
      </c>
      <c r="T542" s="1">
        <v>5</v>
      </c>
      <c r="U542" s="1">
        <f t="shared" si="108"/>
        <v>13</v>
      </c>
      <c r="V542" s="12">
        <f t="shared" si="104"/>
        <v>0.8666666666666667</v>
      </c>
      <c r="W542" s="1">
        <v>4</v>
      </c>
      <c r="X542" s="1">
        <v>3</v>
      </c>
      <c r="Y542" s="1">
        <v>3</v>
      </c>
      <c r="Z542" s="1">
        <f t="shared" si="109"/>
        <v>10</v>
      </c>
      <c r="AA542" s="12">
        <f t="shared" si="105"/>
        <v>0.66666666666666663</v>
      </c>
      <c r="AB542" s="2" t="s">
        <v>725</v>
      </c>
    </row>
    <row r="543" spans="1:28" x14ac:dyDescent="0.25">
      <c r="A543" s="1" t="s">
        <v>1663</v>
      </c>
      <c r="B543" s="1" t="s">
        <v>576</v>
      </c>
      <c r="C543" s="1" t="s">
        <v>36</v>
      </c>
      <c r="D543" s="1">
        <v>27</v>
      </c>
      <c r="E543" s="1">
        <v>2</v>
      </c>
      <c r="F543" s="1">
        <v>4</v>
      </c>
      <c r="G543" s="1">
        <v>6</v>
      </c>
      <c r="H543" s="1">
        <v>6</v>
      </c>
      <c r="I543" s="1">
        <v>6</v>
      </c>
      <c r="J543" s="1">
        <v>3</v>
      </c>
      <c r="K543" s="1">
        <f t="shared" si="106"/>
        <v>21</v>
      </c>
      <c r="L543" s="12">
        <f t="shared" si="102"/>
        <v>0.6</v>
      </c>
      <c r="M543" s="1">
        <v>5</v>
      </c>
      <c r="N543" s="1">
        <v>5</v>
      </c>
      <c r="O543" s="1">
        <v>6</v>
      </c>
      <c r="P543" s="1">
        <v>4</v>
      </c>
      <c r="Q543" s="1">
        <f t="shared" si="107"/>
        <v>20</v>
      </c>
      <c r="R543" s="12">
        <f t="shared" si="103"/>
        <v>0.5714285714285714</v>
      </c>
      <c r="S543" s="1">
        <v>6</v>
      </c>
      <c r="T543" s="1">
        <v>4</v>
      </c>
      <c r="U543" s="1">
        <f t="shared" si="108"/>
        <v>10</v>
      </c>
      <c r="V543" s="12">
        <f t="shared" si="104"/>
        <v>0.66666666666666663</v>
      </c>
      <c r="W543" s="1">
        <v>3</v>
      </c>
      <c r="X543" s="1">
        <v>2</v>
      </c>
      <c r="Y543" s="1">
        <v>2</v>
      </c>
      <c r="Z543" s="1">
        <f t="shared" si="109"/>
        <v>7</v>
      </c>
      <c r="AA543" s="12">
        <f t="shared" si="105"/>
        <v>0.46666666666666667</v>
      </c>
      <c r="AB543" s="2" t="s">
        <v>726</v>
      </c>
    </row>
    <row r="544" spans="1:28" x14ac:dyDescent="0.25">
      <c r="A544" s="1" t="s">
        <v>1663</v>
      </c>
      <c r="B544" s="1" t="s">
        <v>576</v>
      </c>
      <c r="C544" s="1" t="s">
        <v>36</v>
      </c>
      <c r="D544" s="1">
        <v>12</v>
      </c>
      <c r="E544" s="1">
        <v>3</v>
      </c>
      <c r="F544" s="1">
        <v>2</v>
      </c>
      <c r="G544" s="1">
        <v>6</v>
      </c>
      <c r="H544" s="1">
        <v>4</v>
      </c>
      <c r="I544" s="1">
        <v>5</v>
      </c>
      <c r="J544" s="1">
        <v>3</v>
      </c>
      <c r="K544" s="1">
        <f t="shared" si="106"/>
        <v>18</v>
      </c>
      <c r="L544" s="12">
        <f t="shared" si="102"/>
        <v>0.51428571428571423</v>
      </c>
      <c r="M544" s="1">
        <v>7</v>
      </c>
      <c r="N544" s="1">
        <v>7</v>
      </c>
      <c r="O544" s="1">
        <v>6</v>
      </c>
      <c r="P544" s="1">
        <v>4</v>
      </c>
      <c r="Q544" s="1">
        <f t="shared" si="107"/>
        <v>24</v>
      </c>
      <c r="R544" s="12">
        <f t="shared" si="103"/>
        <v>0.68571428571428572</v>
      </c>
      <c r="S544" s="1">
        <v>7</v>
      </c>
      <c r="T544" s="1">
        <v>3</v>
      </c>
      <c r="U544" s="1">
        <f t="shared" si="108"/>
        <v>10</v>
      </c>
      <c r="V544" s="12">
        <f t="shared" si="104"/>
        <v>0.66666666666666663</v>
      </c>
      <c r="W544" s="1">
        <v>4</v>
      </c>
      <c r="X544" s="1">
        <v>3</v>
      </c>
      <c r="Y544" s="1">
        <v>3</v>
      </c>
      <c r="Z544" s="1">
        <f t="shared" si="109"/>
        <v>10</v>
      </c>
      <c r="AA544" s="12">
        <f t="shared" si="105"/>
        <v>0.66666666666666663</v>
      </c>
      <c r="AB544" s="2" t="s">
        <v>773</v>
      </c>
    </row>
    <row r="545" spans="1:28" x14ac:dyDescent="0.25">
      <c r="A545" s="1" t="s">
        <v>1663</v>
      </c>
      <c r="B545" s="1" t="s">
        <v>576</v>
      </c>
      <c r="C545" s="1" t="s">
        <v>36</v>
      </c>
      <c r="D545" s="1">
        <v>12</v>
      </c>
      <c r="E545" s="1">
        <v>3</v>
      </c>
      <c r="F545" s="1">
        <v>2</v>
      </c>
      <c r="G545" s="1">
        <v>7</v>
      </c>
      <c r="H545" s="1">
        <v>6</v>
      </c>
      <c r="I545" s="1">
        <v>7</v>
      </c>
      <c r="J545" s="1">
        <v>5</v>
      </c>
      <c r="K545" s="1">
        <f t="shared" si="106"/>
        <v>25</v>
      </c>
      <c r="L545" s="12">
        <f t="shared" si="102"/>
        <v>0.7142857142857143</v>
      </c>
      <c r="M545" s="1">
        <v>8</v>
      </c>
      <c r="N545" s="1">
        <v>8</v>
      </c>
      <c r="O545" s="1">
        <v>7</v>
      </c>
      <c r="P545" s="1">
        <v>4</v>
      </c>
      <c r="Q545" s="1">
        <f t="shared" si="107"/>
        <v>27</v>
      </c>
      <c r="R545" s="12">
        <f t="shared" si="103"/>
        <v>0.77142857142857146</v>
      </c>
      <c r="S545" s="1">
        <v>8</v>
      </c>
      <c r="T545" s="1">
        <v>5</v>
      </c>
      <c r="U545" s="1">
        <f t="shared" si="108"/>
        <v>13</v>
      </c>
      <c r="V545" s="12">
        <f t="shared" si="104"/>
        <v>0.8666666666666667</v>
      </c>
      <c r="W545" s="1">
        <v>5</v>
      </c>
      <c r="X545" s="1">
        <v>4</v>
      </c>
      <c r="Y545" s="1">
        <v>5</v>
      </c>
      <c r="Z545" s="1">
        <f t="shared" si="109"/>
        <v>14</v>
      </c>
      <c r="AA545" s="12">
        <f t="shared" si="105"/>
        <v>0.93333333333333335</v>
      </c>
      <c r="AB545" s="2" t="s">
        <v>774</v>
      </c>
    </row>
    <row r="546" spans="1:28" x14ac:dyDescent="0.25">
      <c r="A546" s="1" t="s">
        <v>1663</v>
      </c>
      <c r="B546" s="1" t="s">
        <v>576</v>
      </c>
      <c r="C546" s="1" t="s">
        <v>36</v>
      </c>
      <c r="D546" s="1">
        <v>12</v>
      </c>
      <c r="E546" s="1">
        <v>3</v>
      </c>
      <c r="F546" s="1">
        <v>2</v>
      </c>
      <c r="G546" s="1">
        <v>8</v>
      </c>
      <c r="H546" s="1">
        <v>9</v>
      </c>
      <c r="I546" s="1">
        <v>8</v>
      </c>
      <c r="J546" s="1">
        <v>5</v>
      </c>
      <c r="K546" s="1">
        <f t="shared" si="106"/>
        <v>30</v>
      </c>
      <c r="L546" s="12">
        <f t="shared" si="102"/>
        <v>0.8571428571428571</v>
      </c>
      <c r="M546" s="1">
        <v>7</v>
      </c>
      <c r="N546" s="1">
        <v>7</v>
      </c>
      <c r="O546" s="1">
        <v>8</v>
      </c>
      <c r="P546" s="1">
        <v>4</v>
      </c>
      <c r="Q546" s="1">
        <f t="shared" si="107"/>
        <v>26</v>
      </c>
      <c r="R546" s="12">
        <f t="shared" si="103"/>
        <v>0.74285714285714288</v>
      </c>
      <c r="S546" s="1">
        <v>8</v>
      </c>
      <c r="T546" s="1">
        <v>5</v>
      </c>
      <c r="U546" s="1">
        <f t="shared" si="108"/>
        <v>13</v>
      </c>
      <c r="V546" s="12">
        <f t="shared" si="104"/>
        <v>0.8666666666666667</v>
      </c>
      <c r="W546" s="1">
        <v>5</v>
      </c>
      <c r="X546" s="1">
        <v>5</v>
      </c>
      <c r="Y546" s="1">
        <v>5</v>
      </c>
      <c r="Z546" s="1">
        <f t="shared" si="109"/>
        <v>15</v>
      </c>
      <c r="AA546" s="12">
        <f t="shared" si="105"/>
        <v>1</v>
      </c>
      <c r="AB546" s="2" t="s">
        <v>775</v>
      </c>
    </row>
    <row r="547" spans="1:28" x14ac:dyDescent="0.25">
      <c r="A547" s="1" t="s">
        <v>1663</v>
      </c>
      <c r="B547" s="1" t="s">
        <v>576</v>
      </c>
      <c r="C547" s="1" t="s">
        <v>36</v>
      </c>
      <c r="D547" s="1">
        <v>12</v>
      </c>
      <c r="E547" s="1">
        <v>3</v>
      </c>
      <c r="F547" s="1">
        <v>2</v>
      </c>
      <c r="G547" s="1">
        <v>7</v>
      </c>
      <c r="H547" s="1">
        <v>7</v>
      </c>
      <c r="I547" s="1">
        <v>7</v>
      </c>
      <c r="J547" s="1">
        <v>5</v>
      </c>
      <c r="K547" s="1">
        <f t="shared" si="106"/>
        <v>26</v>
      </c>
      <c r="L547" s="12">
        <f t="shared" si="102"/>
        <v>0.74285714285714288</v>
      </c>
      <c r="M547" s="1">
        <v>7</v>
      </c>
      <c r="N547" s="1">
        <v>7</v>
      </c>
      <c r="O547" s="1">
        <v>8</v>
      </c>
      <c r="P547" s="1">
        <v>4</v>
      </c>
      <c r="Q547" s="1">
        <f t="shared" si="107"/>
        <v>26</v>
      </c>
      <c r="R547" s="12">
        <f t="shared" si="103"/>
        <v>0.74285714285714288</v>
      </c>
      <c r="S547" s="1">
        <v>7</v>
      </c>
      <c r="T547" s="1">
        <v>4</v>
      </c>
      <c r="U547" s="1">
        <f t="shared" si="108"/>
        <v>11</v>
      </c>
      <c r="V547" s="12">
        <f t="shared" si="104"/>
        <v>0.73333333333333328</v>
      </c>
      <c r="W547" s="1">
        <v>5</v>
      </c>
      <c r="X547" s="1">
        <v>5</v>
      </c>
      <c r="Y547" s="1">
        <v>5</v>
      </c>
      <c r="Z547" s="1">
        <f t="shared" si="109"/>
        <v>15</v>
      </c>
      <c r="AA547" s="12">
        <f t="shared" si="105"/>
        <v>1</v>
      </c>
      <c r="AB547" s="2" t="s">
        <v>776</v>
      </c>
    </row>
    <row r="548" spans="1:28" x14ac:dyDescent="0.25">
      <c r="A548" s="1" t="s">
        <v>1663</v>
      </c>
      <c r="B548" s="1" t="s">
        <v>576</v>
      </c>
      <c r="C548" s="1" t="s">
        <v>36</v>
      </c>
      <c r="D548" s="1">
        <v>12</v>
      </c>
      <c r="E548" s="1">
        <v>3</v>
      </c>
      <c r="F548" s="1">
        <v>2</v>
      </c>
      <c r="G548" s="1">
        <v>9</v>
      </c>
      <c r="H548" s="1">
        <v>7</v>
      </c>
      <c r="I548" s="1">
        <v>8</v>
      </c>
      <c r="J548" s="1">
        <v>5</v>
      </c>
      <c r="K548" s="1">
        <f t="shared" si="106"/>
        <v>29</v>
      </c>
      <c r="L548" s="12">
        <f t="shared" si="102"/>
        <v>0.82857142857142863</v>
      </c>
      <c r="M548" s="1">
        <v>7</v>
      </c>
      <c r="N548" s="1">
        <v>6</v>
      </c>
      <c r="O548" s="1">
        <v>8</v>
      </c>
      <c r="P548" s="1">
        <v>5</v>
      </c>
      <c r="Q548" s="1">
        <f t="shared" si="107"/>
        <v>26</v>
      </c>
      <c r="R548" s="12">
        <f t="shared" si="103"/>
        <v>0.74285714285714288</v>
      </c>
      <c r="S548" s="1">
        <v>8</v>
      </c>
      <c r="T548" s="1">
        <v>3</v>
      </c>
      <c r="U548" s="1">
        <f t="shared" si="108"/>
        <v>11</v>
      </c>
      <c r="V548" s="12">
        <f t="shared" si="104"/>
        <v>0.73333333333333328</v>
      </c>
      <c r="W548" s="1">
        <v>5</v>
      </c>
      <c r="X548" s="1">
        <v>4</v>
      </c>
      <c r="Y548" s="1">
        <v>5</v>
      </c>
      <c r="Z548" s="1">
        <f t="shared" si="109"/>
        <v>14</v>
      </c>
      <c r="AA548" s="12">
        <f t="shared" si="105"/>
        <v>0.93333333333333335</v>
      </c>
      <c r="AB548" s="2" t="s">
        <v>777</v>
      </c>
    </row>
    <row r="549" spans="1:28" x14ac:dyDescent="0.25">
      <c r="A549" s="1" t="s">
        <v>1663</v>
      </c>
      <c r="B549" s="1" t="s">
        <v>576</v>
      </c>
      <c r="C549" s="1" t="s">
        <v>36</v>
      </c>
      <c r="D549" s="1">
        <v>12</v>
      </c>
      <c r="E549" s="1">
        <v>3</v>
      </c>
      <c r="F549" s="1">
        <v>2</v>
      </c>
      <c r="G549" s="1">
        <v>8</v>
      </c>
      <c r="H549" s="1">
        <v>5</v>
      </c>
      <c r="I549" s="1">
        <v>6</v>
      </c>
      <c r="J549" s="1">
        <v>3</v>
      </c>
      <c r="K549" s="1">
        <f t="shared" si="106"/>
        <v>22</v>
      </c>
      <c r="L549" s="12">
        <f t="shared" si="102"/>
        <v>0.62857142857142856</v>
      </c>
      <c r="M549" s="1">
        <v>9</v>
      </c>
      <c r="N549" s="1">
        <v>8</v>
      </c>
      <c r="O549" s="1">
        <v>8</v>
      </c>
      <c r="P549" s="1">
        <v>5</v>
      </c>
      <c r="Q549" s="1">
        <f t="shared" si="107"/>
        <v>30</v>
      </c>
      <c r="R549" s="12">
        <f t="shared" si="103"/>
        <v>0.8571428571428571</v>
      </c>
      <c r="S549" s="1">
        <v>8</v>
      </c>
      <c r="T549" s="1">
        <v>4</v>
      </c>
      <c r="U549" s="1">
        <f t="shared" si="108"/>
        <v>12</v>
      </c>
      <c r="V549" s="12">
        <f t="shared" si="104"/>
        <v>0.8</v>
      </c>
      <c r="W549" s="1">
        <v>5</v>
      </c>
      <c r="X549" s="1">
        <v>5</v>
      </c>
      <c r="Y549" s="1">
        <v>5</v>
      </c>
      <c r="Z549" s="1">
        <f t="shared" si="109"/>
        <v>15</v>
      </c>
      <c r="AA549" s="12">
        <f t="shared" si="105"/>
        <v>1</v>
      </c>
      <c r="AB549" s="2" t="s">
        <v>778</v>
      </c>
    </row>
    <row r="550" spans="1:28" x14ac:dyDescent="0.25">
      <c r="A550" s="1" t="s">
        <v>1663</v>
      </c>
      <c r="B550" s="1" t="s">
        <v>576</v>
      </c>
      <c r="C550" s="1" t="s">
        <v>36</v>
      </c>
      <c r="D550" s="1">
        <v>12</v>
      </c>
      <c r="E550" s="1">
        <v>3</v>
      </c>
      <c r="F550" s="1">
        <v>2</v>
      </c>
      <c r="G550" s="1">
        <v>9</v>
      </c>
      <c r="H550" s="1">
        <v>9</v>
      </c>
      <c r="I550" s="1">
        <v>9</v>
      </c>
      <c r="J550" s="1">
        <v>5</v>
      </c>
      <c r="K550" s="1">
        <f t="shared" si="106"/>
        <v>32</v>
      </c>
      <c r="L550" s="12">
        <f t="shared" si="102"/>
        <v>0.91428571428571426</v>
      </c>
      <c r="M550" s="1">
        <v>9</v>
      </c>
      <c r="N550" s="1">
        <v>8</v>
      </c>
      <c r="O550" s="1">
        <v>9</v>
      </c>
      <c r="P550" s="1">
        <v>5</v>
      </c>
      <c r="Q550" s="1">
        <f t="shared" si="107"/>
        <v>31</v>
      </c>
      <c r="R550" s="12">
        <f t="shared" si="103"/>
        <v>0.88571428571428568</v>
      </c>
      <c r="S550" s="1">
        <v>8</v>
      </c>
      <c r="T550" s="1">
        <v>5</v>
      </c>
      <c r="U550" s="1">
        <f t="shared" si="108"/>
        <v>13</v>
      </c>
      <c r="V550" s="12">
        <f t="shared" si="104"/>
        <v>0.8666666666666667</v>
      </c>
      <c r="W550" s="1">
        <v>5</v>
      </c>
      <c r="X550" s="1">
        <v>4</v>
      </c>
      <c r="Y550" s="1">
        <v>5</v>
      </c>
      <c r="Z550" s="1">
        <f t="shared" si="109"/>
        <v>14</v>
      </c>
      <c r="AA550" s="12">
        <f t="shared" si="105"/>
        <v>0.93333333333333335</v>
      </c>
      <c r="AB550" s="2" t="s">
        <v>779</v>
      </c>
    </row>
    <row r="551" spans="1:28" x14ac:dyDescent="0.25">
      <c r="A551" s="1" t="s">
        <v>1663</v>
      </c>
      <c r="B551" s="1" t="s">
        <v>576</v>
      </c>
      <c r="C551" s="1" t="s">
        <v>36</v>
      </c>
      <c r="D551" s="1">
        <v>12</v>
      </c>
      <c r="E551" s="1">
        <v>3</v>
      </c>
      <c r="F551" s="1">
        <v>2</v>
      </c>
      <c r="G551" s="1">
        <v>9</v>
      </c>
      <c r="H551" s="1">
        <v>9</v>
      </c>
      <c r="I551" s="1">
        <v>9</v>
      </c>
      <c r="J551" s="1">
        <v>5</v>
      </c>
      <c r="K551" s="1">
        <f t="shared" si="106"/>
        <v>32</v>
      </c>
      <c r="L551" s="12">
        <f t="shared" si="102"/>
        <v>0.91428571428571426</v>
      </c>
      <c r="M551" s="1">
        <v>8</v>
      </c>
      <c r="N551" s="1">
        <v>8</v>
      </c>
      <c r="O551" s="1">
        <v>9</v>
      </c>
      <c r="P551" s="1">
        <v>5</v>
      </c>
      <c r="Q551" s="1">
        <f t="shared" si="107"/>
        <v>30</v>
      </c>
      <c r="R551" s="12">
        <f t="shared" si="103"/>
        <v>0.8571428571428571</v>
      </c>
      <c r="S551" s="1">
        <v>8</v>
      </c>
      <c r="T551" s="1">
        <v>5</v>
      </c>
      <c r="U551" s="1">
        <f t="shared" si="108"/>
        <v>13</v>
      </c>
      <c r="V551" s="12">
        <f t="shared" si="104"/>
        <v>0.8666666666666667</v>
      </c>
      <c r="W551" s="1">
        <v>5</v>
      </c>
      <c r="X551" s="1">
        <v>4</v>
      </c>
      <c r="Y551" s="1">
        <v>5</v>
      </c>
      <c r="Z551" s="1">
        <f t="shared" si="109"/>
        <v>14</v>
      </c>
      <c r="AA551" s="12">
        <f t="shared" si="105"/>
        <v>0.93333333333333335</v>
      </c>
      <c r="AB551" s="2" t="s">
        <v>780</v>
      </c>
    </row>
    <row r="552" spans="1:28" x14ac:dyDescent="0.25">
      <c r="A552" s="1" t="s">
        <v>1663</v>
      </c>
      <c r="B552" s="1" t="s">
        <v>35</v>
      </c>
      <c r="C552" s="1" t="s">
        <v>861</v>
      </c>
      <c r="D552" s="1">
        <v>17</v>
      </c>
      <c r="E552" s="1">
        <v>1</v>
      </c>
      <c r="F552" s="1">
        <v>3</v>
      </c>
      <c r="G552" s="1">
        <v>5</v>
      </c>
      <c r="H552" s="1">
        <v>6</v>
      </c>
      <c r="I552" s="1">
        <v>6</v>
      </c>
      <c r="J552" s="1">
        <v>4</v>
      </c>
      <c r="K552" s="1">
        <f t="shared" si="106"/>
        <v>21</v>
      </c>
      <c r="L552" s="12">
        <f t="shared" ref="L552:L583" si="110">K552/40</f>
        <v>0.52500000000000002</v>
      </c>
      <c r="M552" s="1">
        <v>6</v>
      </c>
      <c r="N552" s="1">
        <v>7</v>
      </c>
      <c r="O552" s="1">
        <v>6</v>
      </c>
      <c r="P552" s="1">
        <v>7</v>
      </c>
      <c r="Q552" s="1">
        <f t="shared" si="107"/>
        <v>26</v>
      </c>
      <c r="R552" s="12">
        <f t="shared" ref="R552:R583" si="111">Q552/40</f>
        <v>0.65</v>
      </c>
      <c r="S552" s="1">
        <v>6</v>
      </c>
      <c r="T552" s="1">
        <v>8</v>
      </c>
      <c r="U552" s="1">
        <f t="shared" si="108"/>
        <v>14</v>
      </c>
      <c r="V552" s="12">
        <f t="shared" ref="V552:V583" si="112">U552/20</f>
        <v>0.7</v>
      </c>
      <c r="Z552" s="1">
        <f t="shared" si="109"/>
        <v>0</v>
      </c>
      <c r="AB552" s="2" t="s">
        <v>921</v>
      </c>
    </row>
    <row r="553" spans="1:28" x14ac:dyDescent="0.25">
      <c r="A553" s="1" t="s">
        <v>1663</v>
      </c>
      <c r="B553" s="1" t="s">
        <v>35</v>
      </c>
      <c r="C553" s="1" t="s">
        <v>861</v>
      </c>
      <c r="D553" s="1">
        <v>17</v>
      </c>
      <c r="E553" s="1">
        <v>1</v>
      </c>
      <c r="F553" s="1">
        <v>3</v>
      </c>
      <c r="G553" s="1">
        <v>7</v>
      </c>
      <c r="H553" s="1">
        <v>6</v>
      </c>
      <c r="I553" s="1">
        <v>7</v>
      </c>
      <c r="J553" s="1">
        <v>5</v>
      </c>
      <c r="K553" s="1">
        <f t="shared" si="106"/>
        <v>25</v>
      </c>
      <c r="L553" s="12">
        <f t="shared" si="110"/>
        <v>0.625</v>
      </c>
      <c r="M553" s="1">
        <v>5</v>
      </c>
      <c r="N553" s="1">
        <v>4</v>
      </c>
      <c r="O553" s="1">
        <v>7</v>
      </c>
      <c r="P553" s="1">
        <v>4</v>
      </c>
      <c r="Q553" s="1">
        <f t="shared" si="107"/>
        <v>20</v>
      </c>
      <c r="R553" s="12">
        <f t="shared" si="111"/>
        <v>0.5</v>
      </c>
      <c r="S553" s="1">
        <v>6</v>
      </c>
      <c r="T553" s="1">
        <v>5</v>
      </c>
      <c r="U553" s="1">
        <f t="shared" si="108"/>
        <v>11</v>
      </c>
      <c r="V553" s="12">
        <f t="shared" si="112"/>
        <v>0.55000000000000004</v>
      </c>
      <c r="Z553" s="1">
        <f t="shared" si="109"/>
        <v>0</v>
      </c>
      <c r="AB553" s="2" t="s">
        <v>922</v>
      </c>
    </row>
    <row r="554" spans="1:28" x14ac:dyDescent="0.25">
      <c r="A554" s="1" t="s">
        <v>1663</v>
      </c>
      <c r="B554" s="1" t="s">
        <v>35</v>
      </c>
      <c r="C554" s="1" t="s">
        <v>861</v>
      </c>
      <c r="D554" s="1">
        <v>17</v>
      </c>
      <c r="E554" s="1">
        <v>1</v>
      </c>
      <c r="F554" s="1">
        <v>3</v>
      </c>
      <c r="G554" s="1">
        <v>5</v>
      </c>
      <c r="H554" s="1">
        <v>6</v>
      </c>
      <c r="I554" s="1">
        <v>5</v>
      </c>
      <c r="J554" s="1">
        <v>5</v>
      </c>
      <c r="K554" s="1">
        <f t="shared" si="106"/>
        <v>21</v>
      </c>
      <c r="L554" s="12">
        <f t="shared" si="110"/>
        <v>0.52500000000000002</v>
      </c>
      <c r="M554" s="1">
        <v>5</v>
      </c>
      <c r="N554" s="1">
        <v>4</v>
      </c>
      <c r="O554" s="1">
        <v>4</v>
      </c>
      <c r="P554" s="1">
        <v>4</v>
      </c>
      <c r="Q554" s="1">
        <f t="shared" si="107"/>
        <v>17</v>
      </c>
      <c r="R554" s="12">
        <f t="shared" si="111"/>
        <v>0.42499999999999999</v>
      </c>
      <c r="S554" s="1">
        <v>4</v>
      </c>
      <c r="T554" s="1">
        <v>7</v>
      </c>
      <c r="U554" s="1">
        <f t="shared" si="108"/>
        <v>11</v>
      </c>
      <c r="V554" s="12">
        <f t="shared" si="112"/>
        <v>0.55000000000000004</v>
      </c>
      <c r="Z554" s="1">
        <f t="shared" si="109"/>
        <v>0</v>
      </c>
      <c r="AB554" s="2" t="s">
        <v>923</v>
      </c>
    </row>
    <row r="555" spans="1:28" x14ac:dyDescent="0.25">
      <c r="A555" s="1" t="s">
        <v>1663</v>
      </c>
      <c r="B555" s="1" t="s">
        <v>35</v>
      </c>
      <c r="C555" s="1" t="s">
        <v>861</v>
      </c>
      <c r="D555" s="1">
        <v>17</v>
      </c>
      <c r="E555" s="1">
        <v>1</v>
      </c>
      <c r="F555" s="1">
        <v>3</v>
      </c>
      <c r="G555" s="1">
        <v>7</v>
      </c>
      <c r="H555" s="1">
        <v>8</v>
      </c>
      <c r="I555" s="1">
        <v>7</v>
      </c>
      <c r="J555" s="1">
        <v>6</v>
      </c>
      <c r="K555" s="1">
        <f t="shared" si="106"/>
        <v>28</v>
      </c>
      <c r="L555" s="12">
        <f t="shared" si="110"/>
        <v>0.7</v>
      </c>
      <c r="M555" s="1">
        <v>7</v>
      </c>
      <c r="N555" s="1">
        <v>8</v>
      </c>
      <c r="O555" s="1">
        <v>6</v>
      </c>
      <c r="P555" s="1">
        <v>6</v>
      </c>
      <c r="Q555" s="1">
        <f t="shared" si="107"/>
        <v>27</v>
      </c>
      <c r="R555" s="12">
        <f t="shared" si="111"/>
        <v>0.67500000000000004</v>
      </c>
      <c r="S555" s="1">
        <v>7</v>
      </c>
      <c r="T555" s="1">
        <v>7</v>
      </c>
      <c r="U555" s="1">
        <f t="shared" si="108"/>
        <v>14</v>
      </c>
      <c r="V555" s="12">
        <f t="shared" si="112"/>
        <v>0.7</v>
      </c>
      <c r="Z555" s="1">
        <f t="shared" si="109"/>
        <v>0</v>
      </c>
      <c r="AB555" s="2" t="s">
        <v>924</v>
      </c>
    </row>
    <row r="556" spans="1:28" x14ac:dyDescent="0.25">
      <c r="A556" s="1" t="s">
        <v>1663</v>
      </c>
      <c r="B556" s="1" t="s">
        <v>35</v>
      </c>
      <c r="C556" s="1" t="s">
        <v>861</v>
      </c>
      <c r="D556" s="1">
        <v>17</v>
      </c>
      <c r="E556" s="1">
        <v>1</v>
      </c>
      <c r="F556" s="1">
        <v>3</v>
      </c>
      <c r="G556" s="1">
        <v>9</v>
      </c>
      <c r="H556" s="1">
        <v>9</v>
      </c>
      <c r="I556" s="1">
        <v>8</v>
      </c>
      <c r="J556" s="1">
        <v>9</v>
      </c>
      <c r="K556" s="1">
        <f t="shared" si="106"/>
        <v>35</v>
      </c>
      <c r="L556" s="12">
        <f t="shared" si="110"/>
        <v>0.875</v>
      </c>
      <c r="M556" s="1">
        <v>9</v>
      </c>
      <c r="N556" s="1">
        <v>8</v>
      </c>
      <c r="O556" s="1">
        <v>8</v>
      </c>
      <c r="P556" s="1">
        <v>8</v>
      </c>
      <c r="Q556" s="1">
        <f t="shared" si="107"/>
        <v>33</v>
      </c>
      <c r="R556" s="12">
        <f t="shared" si="111"/>
        <v>0.82499999999999996</v>
      </c>
      <c r="S556" s="1">
        <v>8</v>
      </c>
      <c r="T556" s="1">
        <v>9</v>
      </c>
      <c r="U556" s="1">
        <f t="shared" si="108"/>
        <v>17</v>
      </c>
      <c r="V556" s="12">
        <f t="shared" si="112"/>
        <v>0.85</v>
      </c>
      <c r="Z556" s="1">
        <f t="shared" si="109"/>
        <v>0</v>
      </c>
      <c r="AB556" s="2" t="s">
        <v>925</v>
      </c>
    </row>
    <row r="557" spans="1:28" x14ac:dyDescent="0.25">
      <c r="A557" s="1" t="s">
        <v>1663</v>
      </c>
      <c r="B557" s="1" t="s">
        <v>35</v>
      </c>
      <c r="C557" s="1" t="s">
        <v>861</v>
      </c>
      <c r="D557" s="1">
        <v>17</v>
      </c>
      <c r="E557" s="1">
        <v>1</v>
      </c>
      <c r="F557" s="1">
        <v>3</v>
      </c>
      <c r="G557" s="1">
        <v>7</v>
      </c>
      <c r="H557" s="1">
        <v>7</v>
      </c>
      <c r="I557" s="1">
        <v>8</v>
      </c>
      <c r="J557" s="1">
        <v>8</v>
      </c>
      <c r="K557" s="1">
        <f t="shared" si="106"/>
        <v>30</v>
      </c>
      <c r="L557" s="12">
        <f t="shared" si="110"/>
        <v>0.75</v>
      </c>
      <c r="M557" s="1">
        <v>9</v>
      </c>
      <c r="N557" s="1">
        <v>8</v>
      </c>
      <c r="O557" s="1">
        <v>7</v>
      </c>
      <c r="P557" s="1">
        <v>7</v>
      </c>
      <c r="Q557" s="1">
        <f t="shared" si="107"/>
        <v>31</v>
      </c>
      <c r="R557" s="12">
        <f t="shared" si="111"/>
        <v>0.77500000000000002</v>
      </c>
      <c r="S557" s="1">
        <v>8</v>
      </c>
      <c r="T557" s="1">
        <v>8</v>
      </c>
      <c r="U557" s="1">
        <f t="shared" si="108"/>
        <v>16</v>
      </c>
      <c r="V557" s="12">
        <f t="shared" si="112"/>
        <v>0.8</v>
      </c>
      <c r="Z557" s="1">
        <f t="shared" si="109"/>
        <v>0</v>
      </c>
      <c r="AB557" s="2" t="s">
        <v>926</v>
      </c>
    </row>
    <row r="558" spans="1:28" x14ac:dyDescent="0.25">
      <c r="A558" s="1" t="s">
        <v>1663</v>
      </c>
      <c r="B558" s="1" t="s">
        <v>35</v>
      </c>
      <c r="C558" s="1" t="s">
        <v>861</v>
      </c>
      <c r="D558" s="1">
        <v>17</v>
      </c>
      <c r="E558" s="1">
        <v>1</v>
      </c>
      <c r="F558" s="1">
        <v>3</v>
      </c>
      <c r="G558" s="1">
        <v>8</v>
      </c>
      <c r="H558" s="1">
        <v>9</v>
      </c>
      <c r="I558" s="1">
        <v>8</v>
      </c>
      <c r="J558" s="1">
        <v>7</v>
      </c>
      <c r="K558" s="1">
        <f t="shared" si="106"/>
        <v>32</v>
      </c>
      <c r="L558" s="12">
        <f t="shared" si="110"/>
        <v>0.8</v>
      </c>
      <c r="M558" s="1">
        <v>8</v>
      </c>
      <c r="N558" s="1">
        <v>7</v>
      </c>
      <c r="O558" s="1">
        <v>7</v>
      </c>
      <c r="P558" s="1">
        <v>7</v>
      </c>
      <c r="Q558" s="1">
        <f t="shared" si="107"/>
        <v>29</v>
      </c>
      <c r="R558" s="12">
        <f t="shared" si="111"/>
        <v>0.72499999999999998</v>
      </c>
      <c r="S558" s="1">
        <v>8</v>
      </c>
      <c r="T558" s="1">
        <v>9</v>
      </c>
      <c r="U558" s="1">
        <f t="shared" si="108"/>
        <v>17</v>
      </c>
      <c r="V558" s="12">
        <f t="shared" si="112"/>
        <v>0.85</v>
      </c>
      <c r="Z558" s="1">
        <f t="shared" si="109"/>
        <v>0</v>
      </c>
      <c r="AB558" s="2" t="s">
        <v>927</v>
      </c>
    </row>
    <row r="559" spans="1:28" x14ac:dyDescent="0.25">
      <c r="A559" s="1" t="s">
        <v>1663</v>
      </c>
      <c r="B559" s="1" t="s">
        <v>35</v>
      </c>
      <c r="C559" s="1" t="s">
        <v>861</v>
      </c>
      <c r="D559" s="1">
        <v>17</v>
      </c>
      <c r="E559" s="1">
        <v>1</v>
      </c>
      <c r="F559" s="1">
        <v>3</v>
      </c>
      <c r="G559" s="1">
        <v>9</v>
      </c>
      <c r="H559" s="1">
        <v>7</v>
      </c>
      <c r="I559" s="1">
        <v>8</v>
      </c>
      <c r="J559" s="1">
        <v>7</v>
      </c>
      <c r="K559" s="1">
        <f t="shared" si="106"/>
        <v>31</v>
      </c>
      <c r="L559" s="12">
        <f t="shared" si="110"/>
        <v>0.77500000000000002</v>
      </c>
      <c r="M559" s="1">
        <v>8</v>
      </c>
      <c r="N559" s="1">
        <v>7</v>
      </c>
      <c r="O559" s="1">
        <v>8</v>
      </c>
      <c r="P559" s="1">
        <v>8</v>
      </c>
      <c r="Q559" s="1">
        <f t="shared" si="107"/>
        <v>31</v>
      </c>
      <c r="R559" s="12">
        <f t="shared" si="111"/>
        <v>0.77500000000000002</v>
      </c>
      <c r="S559" s="1">
        <v>7</v>
      </c>
      <c r="T559" s="1">
        <v>8</v>
      </c>
      <c r="U559" s="1">
        <f t="shared" si="108"/>
        <v>15</v>
      </c>
      <c r="V559" s="12">
        <f t="shared" si="112"/>
        <v>0.75</v>
      </c>
      <c r="Z559" s="1">
        <f t="shared" si="109"/>
        <v>0</v>
      </c>
      <c r="AB559" s="2" t="s">
        <v>928</v>
      </c>
    </row>
    <row r="560" spans="1:28" x14ac:dyDescent="0.25">
      <c r="A560" s="1" t="s">
        <v>1663</v>
      </c>
      <c r="B560" s="1" t="s">
        <v>35</v>
      </c>
      <c r="C560" s="1" t="s">
        <v>861</v>
      </c>
      <c r="D560" s="1">
        <v>18</v>
      </c>
      <c r="E560" s="1">
        <v>2</v>
      </c>
      <c r="F560" s="1">
        <v>1</v>
      </c>
      <c r="G560" s="1">
        <v>5</v>
      </c>
      <c r="H560" s="1">
        <v>4</v>
      </c>
      <c r="I560" s="1">
        <v>5</v>
      </c>
      <c r="J560" s="1">
        <v>5</v>
      </c>
      <c r="K560" s="1">
        <f t="shared" si="106"/>
        <v>19</v>
      </c>
      <c r="L560" s="12">
        <f t="shared" si="110"/>
        <v>0.47499999999999998</v>
      </c>
      <c r="M560" s="1">
        <v>6</v>
      </c>
      <c r="N560" s="1">
        <v>7</v>
      </c>
      <c r="O560" s="1">
        <v>6</v>
      </c>
      <c r="P560" s="1">
        <v>6</v>
      </c>
      <c r="Q560" s="1">
        <f t="shared" si="107"/>
        <v>25</v>
      </c>
      <c r="R560" s="12">
        <f t="shared" si="111"/>
        <v>0.625</v>
      </c>
      <c r="S560" s="1">
        <v>5</v>
      </c>
      <c r="T560" s="1">
        <v>5</v>
      </c>
      <c r="U560" s="1">
        <f t="shared" si="108"/>
        <v>10</v>
      </c>
      <c r="V560" s="12">
        <f t="shared" si="112"/>
        <v>0.5</v>
      </c>
      <c r="Z560" s="1">
        <f t="shared" si="109"/>
        <v>0</v>
      </c>
      <c r="AB560" s="2" t="s">
        <v>1036</v>
      </c>
    </row>
    <row r="561" spans="1:28" x14ac:dyDescent="0.25">
      <c r="A561" s="1" t="s">
        <v>1663</v>
      </c>
      <c r="B561" s="1" t="s">
        <v>35</v>
      </c>
      <c r="C561" s="1" t="s">
        <v>861</v>
      </c>
      <c r="D561" s="1">
        <v>18</v>
      </c>
      <c r="E561" s="1">
        <v>2</v>
      </c>
      <c r="F561" s="1">
        <v>1</v>
      </c>
      <c r="G561" s="1">
        <v>7</v>
      </c>
      <c r="H561" s="1">
        <v>7</v>
      </c>
      <c r="I561" s="1">
        <v>6</v>
      </c>
      <c r="J561" s="1">
        <v>6</v>
      </c>
      <c r="K561" s="1">
        <f t="shared" si="106"/>
        <v>26</v>
      </c>
      <c r="L561" s="12">
        <f t="shared" si="110"/>
        <v>0.65</v>
      </c>
      <c r="M561" s="1">
        <v>7</v>
      </c>
      <c r="N561" s="1">
        <v>8</v>
      </c>
      <c r="O561" s="1">
        <v>7</v>
      </c>
      <c r="P561" s="1">
        <v>7</v>
      </c>
      <c r="Q561" s="1">
        <f t="shared" si="107"/>
        <v>29</v>
      </c>
      <c r="R561" s="12">
        <f t="shared" si="111"/>
        <v>0.72499999999999998</v>
      </c>
      <c r="S561" s="1">
        <v>6</v>
      </c>
      <c r="T561" s="1">
        <v>7</v>
      </c>
      <c r="U561" s="1">
        <f t="shared" si="108"/>
        <v>13</v>
      </c>
      <c r="V561" s="12">
        <f t="shared" si="112"/>
        <v>0.65</v>
      </c>
      <c r="Z561" s="1">
        <f t="shared" si="109"/>
        <v>0</v>
      </c>
      <c r="AB561" s="2" t="s">
        <v>1037</v>
      </c>
    </row>
    <row r="562" spans="1:28" x14ac:dyDescent="0.25">
      <c r="A562" s="1" t="s">
        <v>1663</v>
      </c>
      <c r="B562" s="1" t="s">
        <v>35</v>
      </c>
      <c r="C562" s="1" t="s">
        <v>861</v>
      </c>
      <c r="D562" s="1">
        <v>18</v>
      </c>
      <c r="E562" s="1">
        <v>2</v>
      </c>
      <c r="F562" s="1">
        <v>1</v>
      </c>
      <c r="G562" s="1">
        <v>6</v>
      </c>
      <c r="H562" s="1">
        <v>5</v>
      </c>
      <c r="I562" s="1">
        <v>4</v>
      </c>
      <c r="J562" s="1">
        <v>2</v>
      </c>
      <c r="K562" s="1">
        <f t="shared" si="106"/>
        <v>17</v>
      </c>
      <c r="L562" s="12">
        <f t="shared" si="110"/>
        <v>0.42499999999999999</v>
      </c>
      <c r="M562" s="1">
        <v>3</v>
      </c>
      <c r="N562" s="1">
        <v>2</v>
      </c>
      <c r="O562" s="1">
        <v>4</v>
      </c>
      <c r="P562" s="1">
        <v>4</v>
      </c>
      <c r="Q562" s="1">
        <f t="shared" si="107"/>
        <v>13</v>
      </c>
      <c r="R562" s="12">
        <f t="shared" si="111"/>
        <v>0.32500000000000001</v>
      </c>
      <c r="S562" s="1">
        <v>3</v>
      </c>
      <c r="T562" s="1">
        <v>2</v>
      </c>
      <c r="U562" s="1">
        <f t="shared" si="108"/>
        <v>5</v>
      </c>
      <c r="V562" s="12">
        <f t="shared" si="112"/>
        <v>0.25</v>
      </c>
      <c r="Z562" s="1">
        <f t="shared" si="109"/>
        <v>0</v>
      </c>
      <c r="AB562" s="2" t="s">
        <v>1038</v>
      </c>
    </row>
    <row r="563" spans="1:28" x14ac:dyDescent="0.25">
      <c r="A563" s="1" t="s">
        <v>1663</v>
      </c>
      <c r="B563" s="1" t="s">
        <v>35</v>
      </c>
      <c r="C563" s="1" t="s">
        <v>861</v>
      </c>
      <c r="D563" s="1">
        <v>18</v>
      </c>
      <c r="E563" s="1">
        <v>2</v>
      </c>
      <c r="F563" s="1">
        <v>1</v>
      </c>
      <c r="G563" s="1">
        <v>7</v>
      </c>
      <c r="H563" s="1">
        <v>8</v>
      </c>
      <c r="I563" s="1">
        <v>7</v>
      </c>
      <c r="J563" s="1">
        <v>7</v>
      </c>
      <c r="K563" s="1">
        <f t="shared" si="106"/>
        <v>29</v>
      </c>
      <c r="L563" s="12">
        <f t="shared" si="110"/>
        <v>0.72499999999999998</v>
      </c>
      <c r="M563" s="1">
        <v>8</v>
      </c>
      <c r="N563" s="1">
        <v>7</v>
      </c>
      <c r="O563" s="1">
        <v>8</v>
      </c>
      <c r="P563" s="1">
        <v>7</v>
      </c>
      <c r="Q563" s="1">
        <f t="shared" si="107"/>
        <v>30</v>
      </c>
      <c r="R563" s="12">
        <f t="shared" si="111"/>
        <v>0.75</v>
      </c>
      <c r="S563" s="1">
        <v>7</v>
      </c>
      <c r="T563" s="1">
        <v>8</v>
      </c>
      <c r="U563" s="1">
        <f t="shared" si="108"/>
        <v>15</v>
      </c>
      <c r="V563" s="12">
        <f t="shared" si="112"/>
        <v>0.75</v>
      </c>
      <c r="Z563" s="1">
        <f t="shared" si="109"/>
        <v>0</v>
      </c>
      <c r="AB563" s="2" t="s">
        <v>1039</v>
      </c>
    </row>
    <row r="564" spans="1:28" x14ac:dyDescent="0.25">
      <c r="A564" s="1" t="s">
        <v>1663</v>
      </c>
      <c r="B564" s="1" t="s">
        <v>35</v>
      </c>
      <c r="C564" s="1" t="s">
        <v>861</v>
      </c>
      <c r="D564" s="1">
        <v>18</v>
      </c>
      <c r="E564" s="1">
        <v>2</v>
      </c>
      <c r="F564" s="1">
        <v>1</v>
      </c>
      <c r="G564" s="1">
        <v>6</v>
      </c>
      <c r="H564" s="1">
        <v>6</v>
      </c>
      <c r="I564" s="1">
        <v>6</v>
      </c>
      <c r="J564" s="1">
        <v>4</v>
      </c>
      <c r="K564" s="1">
        <f t="shared" si="106"/>
        <v>22</v>
      </c>
      <c r="L564" s="12">
        <f t="shared" si="110"/>
        <v>0.55000000000000004</v>
      </c>
      <c r="M564" s="1">
        <v>6</v>
      </c>
      <c r="N564" s="1">
        <v>6</v>
      </c>
      <c r="O564" s="1">
        <v>6</v>
      </c>
      <c r="P564" s="1">
        <v>6</v>
      </c>
      <c r="Q564" s="1">
        <f t="shared" si="107"/>
        <v>24</v>
      </c>
      <c r="R564" s="12">
        <f t="shared" si="111"/>
        <v>0.6</v>
      </c>
      <c r="S564" s="1">
        <v>5</v>
      </c>
      <c r="T564" s="1">
        <v>6</v>
      </c>
      <c r="U564" s="1">
        <f t="shared" si="108"/>
        <v>11</v>
      </c>
      <c r="V564" s="12">
        <f t="shared" si="112"/>
        <v>0.55000000000000004</v>
      </c>
      <c r="Z564" s="1">
        <f t="shared" si="109"/>
        <v>0</v>
      </c>
      <c r="AB564" s="2" t="s">
        <v>1040</v>
      </c>
    </row>
    <row r="565" spans="1:28" x14ac:dyDescent="0.25">
      <c r="A565" s="1" t="s">
        <v>1663</v>
      </c>
      <c r="B565" s="1" t="s">
        <v>35</v>
      </c>
      <c r="C565" s="1" t="s">
        <v>861</v>
      </c>
      <c r="D565" s="1">
        <v>18</v>
      </c>
      <c r="E565" s="1">
        <v>2</v>
      </c>
      <c r="F565" s="1">
        <v>1</v>
      </c>
      <c r="G565" s="1">
        <v>8</v>
      </c>
      <c r="H565" s="1">
        <v>8</v>
      </c>
      <c r="I565" s="1">
        <v>8</v>
      </c>
      <c r="J565" s="1">
        <v>8</v>
      </c>
      <c r="K565" s="1">
        <f t="shared" si="106"/>
        <v>32</v>
      </c>
      <c r="L565" s="12">
        <f t="shared" si="110"/>
        <v>0.8</v>
      </c>
      <c r="M565" s="1">
        <v>9</v>
      </c>
      <c r="N565" s="1">
        <v>8</v>
      </c>
      <c r="O565" s="1">
        <v>8</v>
      </c>
      <c r="P565" s="1">
        <v>8</v>
      </c>
      <c r="Q565" s="1">
        <f t="shared" si="107"/>
        <v>33</v>
      </c>
      <c r="R565" s="12">
        <f t="shared" si="111"/>
        <v>0.82499999999999996</v>
      </c>
      <c r="S565" s="1">
        <v>8</v>
      </c>
      <c r="T565" s="1">
        <v>8</v>
      </c>
      <c r="U565" s="1">
        <f t="shared" si="108"/>
        <v>16</v>
      </c>
      <c r="V565" s="12">
        <f t="shared" si="112"/>
        <v>0.8</v>
      </c>
      <c r="Z565" s="1">
        <f t="shared" si="109"/>
        <v>0</v>
      </c>
      <c r="AB565" s="2" t="s">
        <v>1041</v>
      </c>
    </row>
    <row r="566" spans="1:28" x14ac:dyDescent="0.25">
      <c r="A566" s="1" t="s">
        <v>1663</v>
      </c>
      <c r="B566" s="1" t="s">
        <v>35</v>
      </c>
      <c r="C566" s="1" t="s">
        <v>861</v>
      </c>
      <c r="D566" s="1">
        <v>18</v>
      </c>
      <c r="E566" s="1">
        <v>2</v>
      </c>
      <c r="F566" s="1">
        <v>1</v>
      </c>
      <c r="G566" s="1">
        <v>7</v>
      </c>
      <c r="H566" s="1">
        <v>6</v>
      </c>
      <c r="I566" s="1">
        <v>6</v>
      </c>
      <c r="J566" s="1">
        <v>6</v>
      </c>
      <c r="K566" s="1">
        <f t="shared" si="106"/>
        <v>25</v>
      </c>
      <c r="L566" s="12">
        <f t="shared" si="110"/>
        <v>0.625</v>
      </c>
      <c r="M566" s="1">
        <v>7</v>
      </c>
      <c r="N566" s="1">
        <v>5</v>
      </c>
      <c r="O566" s="1">
        <v>6</v>
      </c>
      <c r="P566" s="1">
        <v>7</v>
      </c>
      <c r="Q566" s="1">
        <f t="shared" si="107"/>
        <v>25</v>
      </c>
      <c r="R566" s="12">
        <f t="shared" si="111"/>
        <v>0.625</v>
      </c>
      <c r="S566" s="1">
        <v>7</v>
      </c>
      <c r="T566" s="1">
        <v>7</v>
      </c>
      <c r="U566" s="1">
        <f t="shared" si="108"/>
        <v>14</v>
      </c>
      <c r="V566" s="12">
        <f t="shared" si="112"/>
        <v>0.7</v>
      </c>
      <c r="Z566" s="1">
        <f t="shared" si="109"/>
        <v>0</v>
      </c>
      <c r="AB566" s="2" t="s">
        <v>1042</v>
      </c>
    </row>
    <row r="567" spans="1:28" x14ac:dyDescent="0.25">
      <c r="A567" s="1" t="s">
        <v>1663</v>
      </c>
      <c r="B567" s="1" t="s">
        <v>35</v>
      </c>
      <c r="C567" s="1" t="s">
        <v>861</v>
      </c>
      <c r="D567" s="1">
        <v>18</v>
      </c>
      <c r="E567" s="1">
        <v>2</v>
      </c>
      <c r="F567" s="1">
        <v>1</v>
      </c>
      <c r="G567" s="1">
        <v>7</v>
      </c>
      <c r="H567" s="1">
        <v>4</v>
      </c>
      <c r="I567" s="1">
        <v>5</v>
      </c>
      <c r="J567" s="1">
        <v>4</v>
      </c>
      <c r="K567" s="1">
        <f t="shared" si="106"/>
        <v>20</v>
      </c>
      <c r="L567" s="12">
        <f t="shared" si="110"/>
        <v>0.5</v>
      </c>
      <c r="M567" s="1">
        <v>6</v>
      </c>
      <c r="N567" s="1">
        <v>7</v>
      </c>
      <c r="O567" s="1">
        <v>6</v>
      </c>
      <c r="P567" s="1">
        <v>6</v>
      </c>
      <c r="Q567" s="1">
        <f t="shared" si="107"/>
        <v>25</v>
      </c>
      <c r="R567" s="12">
        <f t="shared" si="111"/>
        <v>0.625</v>
      </c>
      <c r="S567" s="1">
        <v>7</v>
      </c>
      <c r="T567" s="1">
        <v>6</v>
      </c>
      <c r="U567" s="1">
        <f t="shared" si="108"/>
        <v>13</v>
      </c>
      <c r="V567" s="12">
        <f t="shared" si="112"/>
        <v>0.65</v>
      </c>
      <c r="Z567" s="1">
        <f t="shared" si="109"/>
        <v>0</v>
      </c>
      <c r="AB567" s="2" t="s">
        <v>1043</v>
      </c>
    </row>
    <row r="568" spans="1:28" x14ac:dyDescent="0.25">
      <c r="A568" s="1" t="s">
        <v>1663</v>
      </c>
      <c r="B568" s="1" t="s">
        <v>35</v>
      </c>
      <c r="C568" s="1" t="s">
        <v>861</v>
      </c>
      <c r="D568" s="1">
        <v>4</v>
      </c>
      <c r="E568" s="1">
        <v>3</v>
      </c>
      <c r="F568" s="1">
        <v>2</v>
      </c>
      <c r="G568" s="1">
        <v>7</v>
      </c>
      <c r="H568" s="1">
        <v>6</v>
      </c>
      <c r="I568" s="1">
        <v>7</v>
      </c>
      <c r="J568" s="1">
        <v>7</v>
      </c>
      <c r="K568" s="1">
        <f t="shared" si="106"/>
        <v>27</v>
      </c>
      <c r="L568" s="12">
        <f t="shared" si="110"/>
        <v>0.67500000000000004</v>
      </c>
      <c r="M568" s="1">
        <v>6</v>
      </c>
      <c r="N568" s="1">
        <v>5</v>
      </c>
      <c r="O568" s="1">
        <v>5</v>
      </c>
      <c r="P568" s="1">
        <v>6</v>
      </c>
      <c r="Q568" s="1">
        <f t="shared" si="107"/>
        <v>22</v>
      </c>
      <c r="R568" s="12">
        <f t="shared" si="111"/>
        <v>0.55000000000000004</v>
      </c>
      <c r="S568" s="1">
        <v>6</v>
      </c>
      <c r="T568" s="1">
        <v>8</v>
      </c>
      <c r="U568" s="1">
        <f t="shared" si="108"/>
        <v>14</v>
      </c>
      <c r="V568" s="12">
        <f t="shared" si="112"/>
        <v>0.7</v>
      </c>
      <c r="Z568" s="1">
        <f t="shared" si="109"/>
        <v>0</v>
      </c>
      <c r="AB568" s="2" t="s">
        <v>1239</v>
      </c>
    </row>
    <row r="569" spans="1:28" x14ac:dyDescent="0.25">
      <c r="A569" s="1" t="s">
        <v>1663</v>
      </c>
      <c r="B569" s="1" t="s">
        <v>35</v>
      </c>
      <c r="C569" s="1" t="s">
        <v>861</v>
      </c>
      <c r="D569" s="1">
        <v>4</v>
      </c>
      <c r="E569" s="1">
        <v>3</v>
      </c>
      <c r="F569" s="1">
        <v>2</v>
      </c>
      <c r="G569" s="1">
        <v>6</v>
      </c>
      <c r="H569" s="1">
        <v>5</v>
      </c>
      <c r="I569" s="1">
        <v>6</v>
      </c>
      <c r="J569" s="1">
        <v>5</v>
      </c>
      <c r="K569" s="1">
        <f t="shared" si="106"/>
        <v>22</v>
      </c>
      <c r="L569" s="12">
        <f t="shared" si="110"/>
        <v>0.55000000000000004</v>
      </c>
      <c r="M569" s="1">
        <v>6</v>
      </c>
      <c r="N569" s="1">
        <v>6</v>
      </c>
      <c r="O569" s="1">
        <v>5</v>
      </c>
      <c r="P569" s="1">
        <v>4</v>
      </c>
      <c r="Q569" s="1">
        <f t="shared" si="107"/>
        <v>21</v>
      </c>
      <c r="R569" s="12">
        <f t="shared" si="111"/>
        <v>0.52500000000000002</v>
      </c>
      <c r="S569" s="1">
        <v>5</v>
      </c>
      <c r="T569" s="1">
        <v>5</v>
      </c>
      <c r="U569" s="1">
        <f t="shared" si="108"/>
        <v>10</v>
      </c>
      <c r="V569" s="12">
        <f t="shared" si="112"/>
        <v>0.5</v>
      </c>
      <c r="Z569" s="1">
        <f t="shared" si="109"/>
        <v>0</v>
      </c>
      <c r="AB569" s="2" t="s">
        <v>1240</v>
      </c>
    </row>
    <row r="570" spans="1:28" x14ac:dyDescent="0.25">
      <c r="A570" s="1" t="s">
        <v>1663</v>
      </c>
      <c r="B570" s="1" t="s">
        <v>35</v>
      </c>
      <c r="C570" s="1" t="s">
        <v>861</v>
      </c>
      <c r="D570" s="1">
        <v>4</v>
      </c>
      <c r="E570" s="1">
        <v>3</v>
      </c>
      <c r="F570" s="1">
        <v>2</v>
      </c>
      <c r="G570" s="1">
        <v>7</v>
      </c>
      <c r="H570" s="1">
        <v>7</v>
      </c>
      <c r="I570" s="1">
        <v>6</v>
      </c>
      <c r="J570" s="1">
        <v>6</v>
      </c>
      <c r="K570" s="1">
        <f t="shared" si="106"/>
        <v>26</v>
      </c>
      <c r="L570" s="12">
        <f t="shared" si="110"/>
        <v>0.65</v>
      </c>
      <c r="M570" s="1">
        <v>7</v>
      </c>
      <c r="N570" s="1">
        <v>5</v>
      </c>
      <c r="O570" s="1">
        <v>6</v>
      </c>
      <c r="P570" s="1">
        <v>5</v>
      </c>
      <c r="Q570" s="1">
        <f t="shared" si="107"/>
        <v>23</v>
      </c>
      <c r="R570" s="12">
        <f t="shared" si="111"/>
        <v>0.57499999999999996</v>
      </c>
      <c r="S570" s="1">
        <v>6</v>
      </c>
      <c r="T570" s="1">
        <v>6</v>
      </c>
      <c r="U570" s="1">
        <f t="shared" si="108"/>
        <v>12</v>
      </c>
      <c r="V570" s="12">
        <f t="shared" si="112"/>
        <v>0.6</v>
      </c>
      <c r="Z570" s="1">
        <f t="shared" si="109"/>
        <v>0</v>
      </c>
      <c r="AB570" s="2" t="s">
        <v>1241</v>
      </c>
    </row>
    <row r="571" spans="1:28" x14ac:dyDescent="0.25">
      <c r="A571" s="1" t="s">
        <v>1663</v>
      </c>
      <c r="B571" s="1" t="s">
        <v>35</v>
      </c>
      <c r="C571" s="1" t="s">
        <v>861</v>
      </c>
      <c r="D571" s="1">
        <v>4</v>
      </c>
      <c r="E571" s="1">
        <v>3</v>
      </c>
      <c r="F571" s="1">
        <v>2</v>
      </c>
      <c r="G571" s="1">
        <v>7</v>
      </c>
      <c r="H571" s="1">
        <v>7</v>
      </c>
      <c r="I571" s="1">
        <v>7</v>
      </c>
      <c r="J571" s="1">
        <v>7</v>
      </c>
      <c r="K571" s="1">
        <f t="shared" si="106"/>
        <v>28</v>
      </c>
      <c r="L571" s="12">
        <f t="shared" si="110"/>
        <v>0.7</v>
      </c>
      <c r="M571" s="1">
        <v>7</v>
      </c>
      <c r="N571" s="1">
        <v>6</v>
      </c>
      <c r="O571" s="1">
        <v>7</v>
      </c>
      <c r="P571" s="1">
        <v>6</v>
      </c>
      <c r="Q571" s="1">
        <f t="shared" si="107"/>
        <v>26</v>
      </c>
      <c r="R571" s="12">
        <f t="shared" si="111"/>
        <v>0.65</v>
      </c>
      <c r="S571" s="1">
        <v>6</v>
      </c>
      <c r="T571" s="1">
        <v>7</v>
      </c>
      <c r="U571" s="1">
        <f t="shared" si="108"/>
        <v>13</v>
      </c>
      <c r="V571" s="12">
        <f t="shared" si="112"/>
        <v>0.65</v>
      </c>
      <c r="Z571" s="1">
        <f t="shared" si="109"/>
        <v>0</v>
      </c>
      <c r="AB571" s="2" t="s">
        <v>1242</v>
      </c>
    </row>
    <row r="572" spans="1:28" x14ac:dyDescent="0.25">
      <c r="A572" s="1" t="s">
        <v>1663</v>
      </c>
      <c r="B572" s="1" t="s">
        <v>35</v>
      </c>
      <c r="C572" s="1" t="s">
        <v>861</v>
      </c>
      <c r="D572" s="1">
        <v>4</v>
      </c>
      <c r="E572" s="1">
        <v>3</v>
      </c>
      <c r="F572" s="1">
        <v>2</v>
      </c>
      <c r="G572" s="1">
        <v>6</v>
      </c>
      <c r="H572" s="1">
        <v>4</v>
      </c>
      <c r="I572" s="1">
        <v>6</v>
      </c>
      <c r="J572" s="1">
        <v>5</v>
      </c>
      <c r="K572" s="1">
        <f t="shared" si="106"/>
        <v>21</v>
      </c>
      <c r="L572" s="12">
        <f t="shared" si="110"/>
        <v>0.52500000000000002</v>
      </c>
      <c r="M572" s="1">
        <v>6</v>
      </c>
      <c r="N572" s="1">
        <v>5</v>
      </c>
      <c r="O572" s="1">
        <v>5</v>
      </c>
      <c r="P572" s="1">
        <v>4</v>
      </c>
      <c r="Q572" s="1">
        <f t="shared" si="107"/>
        <v>20</v>
      </c>
      <c r="R572" s="12">
        <f t="shared" si="111"/>
        <v>0.5</v>
      </c>
      <c r="S572" s="1">
        <v>5</v>
      </c>
      <c r="T572" s="1">
        <v>6</v>
      </c>
      <c r="U572" s="1">
        <f t="shared" si="108"/>
        <v>11</v>
      </c>
      <c r="V572" s="12">
        <f t="shared" si="112"/>
        <v>0.55000000000000004</v>
      </c>
      <c r="Z572" s="1">
        <f t="shared" si="109"/>
        <v>0</v>
      </c>
      <c r="AB572" s="2" t="s">
        <v>1243</v>
      </c>
    </row>
    <row r="573" spans="1:28" x14ac:dyDescent="0.25">
      <c r="A573" s="1" t="s">
        <v>1663</v>
      </c>
      <c r="B573" s="1" t="s">
        <v>35</v>
      </c>
      <c r="C573" s="1" t="s">
        <v>861</v>
      </c>
      <c r="D573" s="1">
        <v>4</v>
      </c>
      <c r="E573" s="1">
        <v>3</v>
      </c>
      <c r="F573" s="1">
        <v>2</v>
      </c>
      <c r="G573" s="1">
        <v>7</v>
      </c>
      <c r="H573" s="1">
        <v>7</v>
      </c>
      <c r="I573" s="1">
        <v>7</v>
      </c>
      <c r="J573" s="1">
        <v>7</v>
      </c>
      <c r="K573" s="1">
        <f t="shared" si="106"/>
        <v>28</v>
      </c>
      <c r="L573" s="12">
        <f t="shared" si="110"/>
        <v>0.7</v>
      </c>
      <c r="M573" s="1">
        <v>6</v>
      </c>
      <c r="N573" s="1">
        <v>5</v>
      </c>
      <c r="O573" s="1">
        <v>6</v>
      </c>
      <c r="P573" s="1">
        <v>7</v>
      </c>
      <c r="Q573" s="1">
        <f t="shared" si="107"/>
        <v>24</v>
      </c>
      <c r="R573" s="12">
        <f t="shared" si="111"/>
        <v>0.6</v>
      </c>
      <c r="S573" s="1">
        <v>6</v>
      </c>
      <c r="T573" s="1">
        <v>7</v>
      </c>
      <c r="U573" s="1">
        <f t="shared" si="108"/>
        <v>13</v>
      </c>
      <c r="V573" s="12">
        <f t="shared" si="112"/>
        <v>0.65</v>
      </c>
      <c r="Z573" s="1">
        <f t="shared" si="109"/>
        <v>0</v>
      </c>
      <c r="AB573" s="2" t="s">
        <v>1244</v>
      </c>
    </row>
    <row r="574" spans="1:28" x14ac:dyDescent="0.25">
      <c r="A574" s="1" t="s">
        <v>1663</v>
      </c>
      <c r="B574" s="1" t="s">
        <v>35</v>
      </c>
      <c r="C574" s="1" t="s">
        <v>861</v>
      </c>
      <c r="D574" s="1">
        <v>4</v>
      </c>
      <c r="E574" s="1">
        <v>3</v>
      </c>
      <c r="F574" s="1">
        <v>2</v>
      </c>
      <c r="G574" s="1">
        <v>6</v>
      </c>
      <c r="H574" s="1">
        <v>6</v>
      </c>
      <c r="I574" s="1">
        <v>6</v>
      </c>
      <c r="J574" s="1">
        <v>6</v>
      </c>
      <c r="K574" s="1">
        <f t="shared" si="106"/>
        <v>24</v>
      </c>
      <c r="L574" s="12">
        <f t="shared" si="110"/>
        <v>0.6</v>
      </c>
      <c r="M574" s="1">
        <v>7</v>
      </c>
      <c r="N574" s="1">
        <v>6</v>
      </c>
      <c r="O574" s="1">
        <v>7</v>
      </c>
      <c r="P574" s="1">
        <v>7</v>
      </c>
      <c r="Q574" s="1">
        <f t="shared" si="107"/>
        <v>27</v>
      </c>
      <c r="R574" s="12">
        <f t="shared" si="111"/>
        <v>0.67500000000000004</v>
      </c>
      <c r="S574" s="1">
        <v>6</v>
      </c>
      <c r="T574" s="1">
        <v>7</v>
      </c>
      <c r="U574" s="1">
        <f t="shared" si="108"/>
        <v>13</v>
      </c>
      <c r="V574" s="12">
        <f t="shared" si="112"/>
        <v>0.65</v>
      </c>
      <c r="Z574" s="1">
        <f t="shared" si="109"/>
        <v>0</v>
      </c>
      <c r="AB574" s="2" t="s">
        <v>1245</v>
      </c>
    </row>
    <row r="575" spans="1:28" x14ac:dyDescent="0.25">
      <c r="A575" s="1" t="s">
        <v>1663</v>
      </c>
      <c r="B575" s="1" t="s">
        <v>35</v>
      </c>
      <c r="C575" s="1" t="s">
        <v>861</v>
      </c>
      <c r="D575" s="1">
        <v>4</v>
      </c>
      <c r="E575" s="1">
        <v>3</v>
      </c>
      <c r="F575" s="1">
        <v>2</v>
      </c>
      <c r="G575" s="1">
        <v>7</v>
      </c>
      <c r="H575" s="1">
        <v>6</v>
      </c>
      <c r="I575" s="1">
        <v>7</v>
      </c>
      <c r="J575" s="1">
        <v>7</v>
      </c>
      <c r="K575" s="1">
        <f t="shared" si="106"/>
        <v>27</v>
      </c>
      <c r="L575" s="12">
        <f t="shared" si="110"/>
        <v>0.67500000000000004</v>
      </c>
      <c r="M575" s="1">
        <v>7</v>
      </c>
      <c r="N575" s="1">
        <v>6</v>
      </c>
      <c r="O575" s="1">
        <v>6</v>
      </c>
      <c r="P575" s="1">
        <v>7</v>
      </c>
      <c r="Q575" s="1">
        <f t="shared" si="107"/>
        <v>26</v>
      </c>
      <c r="R575" s="12">
        <f t="shared" si="111"/>
        <v>0.65</v>
      </c>
      <c r="S575" s="1">
        <v>6</v>
      </c>
      <c r="T575" s="1">
        <v>5</v>
      </c>
      <c r="U575" s="1">
        <f t="shared" si="108"/>
        <v>11</v>
      </c>
      <c r="V575" s="12">
        <f t="shared" si="112"/>
        <v>0.55000000000000004</v>
      </c>
      <c r="Z575" s="1">
        <f t="shared" si="109"/>
        <v>0</v>
      </c>
      <c r="AB575" s="2" t="s">
        <v>1246</v>
      </c>
    </row>
    <row r="576" spans="1:28" x14ac:dyDescent="0.25">
      <c r="A576" s="1" t="s">
        <v>1663</v>
      </c>
      <c r="B576" s="1" t="s">
        <v>576</v>
      </c>
      <c r="C576" s="1" t="s">
        <v>861</v>
      </c>
      <c r="D576" s="1">
        <v>11</v>
      </c>
      <c r="E576" s="1">
        <v>3</v>
      </c>
      <c r="F576" s="1">
        <v>1</v>
      </c>
      <c r="G576" s="1">
        <v>6</v>
      </c>
      <c r="H576" s="1">
        <v>4</v>
      </c>
      <c r="I576" s="1">
        <v>5</v>
      </c>
      <c r="J576" s="1">
        <v>6</v>
      </c>
      <c r="K576" s="1">
        <f t="shared" si="106"/>
        <v>21</v>
      </c>
      <c r="L576" s="12">
        <f t="shared" si="110"/>
        <v>0.52500000000000002</v>
      </c>
      <c r="M576" s="1">
        <v>5</v>
      </c>
      <c r="N576" s="1">
        <v>5</v>
      </c>
      <c r="O576" s="1">
        <v>6</v>
      </c>
      <c r="P576" s="1">
        <v>7</v>
      </c>
      <c r="Q576" s="1">
        <f t="shared" si="107"/>
        <v>23</v>
      </c>
      <c r="R576" s="12">
        <f t="shared" si="111"/>
        <v>0.57499999999999996</v>
      </c>
      <c r="S576" s="1">
        <v>7</v>
      </c>
      <c r="T576" s="1">
        <v>6</v>
      </c>
      <c r="U576" s="1">
        <f t="shared" si="108"/>
        <v>13</v>
      </c>
      <c r="V576" s="12">
        <f t="shared" si="112"/>
        <v>0.65</v>
      </c>
      <c r="Z576" s="1">
        <f t="shared" si="109"/>
        <v>0</v>
      </c>
      <c r="AB576" s="2" t="s">
        <v>1541</v>
      </c>
    </row>
    <row r="577" spans="1:28" x14ac:dyDescent="0.25">
      <c r="A577" s="1" t="s">
        <v>1663</v>
      </c>
      <c r="B577" s="1" t="s">
        <v>576</v>
      </c>
      <c r="C577" s="1" t="s">
        <v>861</v>
      </c>
      <c r="D577" s="1">
        <v>11</v>
      </c>
      <c r="E577" s="1">
        <v>3</v>
      </c>
      <c r="F577" s="1">
        <v>1</v>
      </c>
      <c r="G577" s="1">
        <v>8</v>
      </c>
      <c r="H577" s="1">
        <v>8</v>
      </c>
      <c r="I577" s="1">
        <v>8</v>
      </c>
      <c r="J577" s="1">
        <v>8</v>
      </c>
      <c r="K577" s="1">
        <f t="shared" si="106"/>
        <v>32</v>
      </c>
      <c r="L577" s="12">
        <f t="shared" si="110"/>
        <v>0.8</v>
      </c>
      <c r="M577" s="1">
        <v>8</v>
      </c>
      <c r="N577" s="1">
        <v>9</v>
      </c>
      <c r="O577" s="1">
        <v>8</v>
      </c>
      <c r="P577" s="1">
        <v>8</v>
      </c>
      <c r="Q577" s="1">
        <f t="shared" si="107"/>
        <v>33</v>
      </c>
      <c r="R577" s="12">
        <f t="shared" si="111"/>
        <v>0.82499999999999996</v>
      </c>
      <c r="S577" s="1">
        <v>7</v>
      </c>
      <c r="T577" s="1">
        <v>7</v>
      </c>
      <c r="U577" s="1">
        <f t="shared" si="108"/>
        <v>14</v>
      </c>
      <c r="V577" s="12">
        <f t="shared" si="112"/>
        <v>0.7</v>
      </c>
      <c r="Z577" s="1">
        <f t="shared" si="109"/>
        <v>0</v>
      </c>
      <c r="AB577" s="2" t="s">
        <v>1542</v>
      </c>
    </row>
    <row r="578" spans="1:28" x14ac:dyDescent="0.25">
      <c r="A578" s="1" t="s">
        <v>1663</v>
      </c>
      <c r="B578" s="1" t="s">
        <v>576</v>
      </c>
      <c r="C578" s="1" t="s">
        <v>861</v>
      </c>
      <c r="D578" s="1">
        <v>11</v>
      </c>
      <c r="E578" s="1">
        <v>3</v>
      </c>
      <c r="F578" s="1">
        <v>1</v>
      </c>
      <c r="G578" s="1">
        <v>6</v>
      </c>
      <c r="H578" s="1">
        <v>5</v>
      </c>
      <c r="I578" s="1">
        <v>6</v>
      </c>
      <c r="J578" s="1">
        <v>6</v>
      </c>
      <c r="K578" s="1">
        <f t="shared" si="106"/>
        <v>23</v>
      </c>
      <c r="L578" s="12">
        <f t="shared" si="110"/>
        <v>0.57499999999999996</v>
      </c>
      <c r="M578" s="1">
        <v>6</v>
      </c>
      <c r="N578" s="1">
        <v>5</v>
      </c>
      <c r="O578" s="1">
        <v>6</v>
      </c>
      <c r="P578" s="1">
        <v>5</v>
      </c>
      <c r="Q578" s="1">
        <f t="shared" si="107"/>
        <v>22</v>
      </c>
      <c r="R578" s="12">
        <f t="shared" si="111"/>
        <v>0.55000000000000004</v>
      </c>
      <c r="S578" s="1">
        <v>6</v>
      </c>
      <c r="T578" s="1">
        <v>6</v>
      </c>
      <c r="U578" s="1">
        <f t="shared" si="108"/>
        <v>12</v>
      </c>
      <c r="V578" s="12">
        <f t="shared" si="112"/>
        <v>0.6</v>
      </c>
      <c r="Z578" s="1">
        <f t="shared" si="109"/>
        <v>0</v>
      </c>
      <c r="AB578" s="2" t="s">
        <v>1543</v>
      </c>
    </row>
    <row r="579" spans="1:28" x14ac:dyDescent="0.25">
      <c r="A579" s="1" t="s">
        <v>1663</v>
      </c>
      <c r="B579" s="1" t="s">
        <v>576</v>
      </c>
      <c r="C579" s="1" t="s">
        <v>861</v>
      </c>
      <c r="D579" s="1">
        <v>11</v>
      </c>
      <c r="E579" s="1">
        <v>3</v>
      </c>
      <c r="F579" s="1">
        <v>1</v>
      </c>
      <c r="G579" s="1">
        <v>8</v>
      </c>
      <c r="H579" s="1">
        <v>7</v>
      </c>
      <c r="I579" s="1">
        <v>7</v>
      </c>
      <c r="J579" s="1">
        <v>8</v>
      </c>
      <c r="K579" s="1">
        <f t="shared" ref="K579:K642" si="113">SUM(G579:J579)</f>
        <v>30</v>
      </c>
      <c r="L579" s="12">
        <f t="shared" si="110"/>
        <v>0.75</v>
      </c>
      <c r="M579" s="1">
        <v>8</v>
      </c>
      <c r="N579" s="1">
        <v>8</v>
      </c>
      <c r="O579" s="1">
        <v>7</v>
      </c>
      <c r="P579" s="1">
        <v>8</v>
      </c>
      <c r="Q579" s="1">
        <f t="shared" ref="Q579:Q642" si="114">SUM(M579:P579)</f>
        <v>31</v>
      </c>
      <c r="R579" s="12">
        <f t="shared" si="111"/>
        <v>0.77500000000000002</v>
      </c>
      <c r="S579" s="1">
        <v>8</v>
      </c>
      <c r="T579" s="1">
        <v>8</v>
      </c>
      <c r="U579" s="1">
        <f t="shared" ref="U579:U642" si="115">SUM(S579:T579)</f>
        <v>16</v>
      </c>
      <c r="V579" s="12">
        <f t="shared" si="112"/>
        <v>0.8</v>
      </c>
      <c r="Z579" s="1">
        <f t="shared" ref="Z579:Z642" si="116">SUM(W579:Y579)</f>
        <v>0</v>
      </c>
      <c r="AB579" s="2" t="s">
        <v>1544</v>
      </c>
    </row>
    <row r="580" spans="1:28" x14ac:dyDescent="0.25">
      <c r="A580" s="1" t="s">
        <v>1663</v>
      </c>
      <c r="B580" s="1" t="s">
        <v>576</v>
      </c>
      <c r="C580" s="1" t="s">
        <v>861</v>
      </c>
      <c r="D580" s="1">
        <v>11</v>
      </c>
      <c r="E580" s="1">
        <v>3</v>
      </c>
      <c r="F580" s="1">
        <v>1</v>
      </c>
      <c r="G580" s="1">
        <v>8</v>
      </c>
      <c r="H580" s="1">
        <v>7</v>
      </c>
      <c r="I580" s="1">
        <v>7</v>
      </c>
      <c r="J580" s="1">
        <v>8</v>
      </c>
      <c r="K580" s="1">
        <f t="shared" si="113"/>
        <v>30</v>
      </c>
      <c r="L580" s="12">
        <f t="shared" si="110"/>
        <v>0.75</v>
      </c>
      <c r="M580" s="1">
        <v>7</v>
      </c>
      <c r="N580" s="1">
        <v>6</v>
      </c>
      <c r="O580" s="1">
        <v>6</v>
      </c>
      <c r="P580" s="1">
        <v>6</v>
      </c>
      <c r="Q580" s="1">
        <f t="shared" si="114"/>
        <v>25</v>
      </c>
      <c r="R580" s="12">
        <f t="shared" si="111"/>
        <v>0.625</v>
      </c>
      <c r="S580" s="1">
        <v>6</v>
      </c>
      <c r="T580" s="1">
        <v>5</v>
      </c>
      <c r="U580" s="1">
        <f t="shared" si="115"/>
        <v>11</v>
      </c>
      <c r="V580" s="12">
        <f t="shared" si="112"/>
        <v>0.55000000000000004</v>
      </c>
      <c r="Z580" s="1">
        <f t="shared" si="116"/>
        <v>0</v>
      </c>
      <c r="AB580" s="2" t="s">
        <v>1545</v>
      </c>
    </row>
    <row r="581" spans="1:28" x14ac:dyDescent="0.25">
      <c r="A581" s="1" t="s">
        <v>1663</v>
      </c>
      <c r="B581" s="1" t="s">
        <v>576</v>
      </c>
      <c r="C581" s="1" t="s">
        <v>861</v>
      </c>
      <c r="D581" s="1">
        <v>11</v>
      </c>
      <c r="E581" s="1">
        <v>3</v>
      </c>
      <c r="F581" s="1">
        <v>1</v>
      </c>
      <c r="G581" s="1">
        <v>8</v>
      </c>
      <c r="H581" s="1">
        <v>7</v>
      </c>
      <c r="I581" s="1">
        <v>8</v>
      </c>
      <c r="J581" s="1">
        <v>8</v>
      </c>
      <c r="K581" s="1">
        <f t="shared" si="113"/>
        <v>31</v>
      </c>
      <c r="L581" s="12">
        <f t="shared" si="110"/>
        <v>0.77500000000000002</v>
      </c>
      <c r="M581" s="1">
        <v>7</v>
      </c>
      <c r="N581" s="1">
        <v>7</v>
      </c>
      <c r="O581" s="1">
        <v>7</v>
      </c>
      <c r="P581" s="1">
        <v>8</v>
      </c>
      <c r="Q581" s="1">
        <f t="shared" si="114"/>
        <v>29</v>
      </c>
      <c r="R581" s="12">
        <f t="shared" si="111"/>
        <v>0.72499999999999998</v>
      </c>
      <c r="S581" s="1">
        <v>8</v>
      </c>
      <c r="T581" s="1">
        <v>8</v>
      </c>
      <c r="U581" s="1">
        <f t="shared" si="115"/>
        <v>16</v>
      </c>
      <c r="V581" s="12">
        <f t="shared" si="112"/>
        <v>0.8</v>
      </c>
      <c r="Z581" s="1">
        <f t="shared" si="116"/>
        <v>0</v>
      </c>
      <c r="AB581" s="2" t="s">
        <v>1546</v>
      </c>
    </row>
    <row r="582" spans="1:28" x14ac:dyDescent="0.25">
      <c r="A582" s="1" t="s">
        <v>1663</v>
      </c>
      <c r="B582" s="1" t="s">
        <v>576</v>
      </c>
      <c r="C582" s="1" t="s">
        <v>861</v>
      </c>
      <c r="D582" s="1">
        <v>11</v>
      </c>
      <c r="E582" s="1">
        <v>3</v>
      </c>
      <c r="F582" s="1">
        <v>1</v>
      </c>
      <c r="G582" s="1">
        <v>8</v>
      </c>
      <c r="H582" s="1">
        <v>9</v>
      </c>
      <c r="I582" s="1">
        <v>9</v>
      </c>
      <c r="J582" s="1">
        <v>8</v>
      </c>
      <c r="K582" s="1">
        <f t="shared" si="113"/>
        <v>34</v>
      </c>
      <c r="L582" s="12">
        <f t="shared" si="110"/>
        <v>0.85</v>
      </c>
      <c r="M582" s="1">
        <v>8</v>
      </c>
      <c r="N582" s="1">
        <v>7</v>
      </c>
      <c r="O582" s="1">
        <v>7</v>
      </c>
      <c r="P582" s="1">
        <v>8</v>
      </c>
      <c r="Q582" s="1">
        <f t="shared" si="114"/>
        <v>30</v>
      </c>
      <c r="R582" s="12">
        <f t="shared" si="111"/>
        <v>0.75</v>
      </c>
      <c r="S582" s="1">
        <v>8</v>
      </c>
      <c r="T582" s="1">
        <v>7</v>
      </c>
      <c r="U582" s="1">
        <f t="shared" si="115"/>
        <v>15</v>
      </c>
      <c r="V582" s="12">
        <f t="shared" si="112"/>
        <v>0.75</v>
      </c>
      <c r="Z582" s="1">
        <f t="shared" si="116"/>
        <v>0</v>
      </c>
      <c r="AB582" s="2" t="s">
        <v>1547</v>
      </c>
    </row>
    <row r="583" spans="1:28" x14ac:dyDescent="0.25">
      <c r="A583" s="1" t="s">
        <v>1663</v>
      </c>
      <c r="B583" s="1" t="s">
        <v>576</v>
      </c>
      <c r="C583" s="1" t="s">
        <v>861</v>
      </c>
      <c r="D583" s="1">
        <v>11</v>
      </c>
      <c r="E583" s="1">
        <v>3</v>
      </c>
      <c r="F583" s="1">
        <v>1</v>
      </c>
      <c r="G583" s="1">
        <v>6</v>
      </c>
      <c r="H583" s="1">
        <v>4</v>
      </c>
      <c r="I583" s="1">
        <v>4</v>
      </c>
      <c r="J583" s="1">
        <v>2</v>
      </c>
      <c r="K583" s="1">
        <f t="shared" si="113"/>
        <v>16</v>
      </c>
      <c r="L583" s="12">
        <f t="shared" si="110"/>
        <v>0.4</v>
      </c>
      <c r="M583" s="1">
        <v>2</v>
      </c>
      <c r="N583" s="1">
        <v>1</v>
      </c>
      <c r="O583" s="1">
        <v>2</v>
      </c>
      <c r="P583" s="1">
        <v>2</v>
      </c>
      <c r="Q583" s="1">
        <f t="shared" si="114"/>
        <v>7</v>
      </c>
      <c r="R583" s="12">
        <f t="shared" si="111"/>
        <v>0.17499999999999999</v>
      </c>
      <c r="S583" s="1">
        <v>3</v>
      </c>
      <c r="T583" s="1">
        <v>2</v>
      </c>
      <c r="U583" s="1">
        <f t="shared" si="115"/>
        <v>5</v>
      </c>
      <c r="V583" s="12">
        <f t="shared" si="112"/>
        <v>0.25</v>
      </c>
      <c r="Z583" s="1">
        <f t="shared" si="116"/>
        <v>0</v>
      </c>
      <c r="AB583" s="2" t="s">
        <v>1548</v>
      </c>
    </row>
    <row r="584" spans="1:28" x14ac:dyDescent="0.25">
      <c r="A584" s="1" t="s">
        <v>1662</v>
      </c>
      <c r="B584" s="1" t="s">
        <v>35</v>
      </c>
      <c r="C584" s="1" t="s">
        <v>36</v>
      </c>
      <c r="D584" s="1">
        <v>5</v>
      </c>
      <c r="E584" s="1">
        <v>3</v>
      </c>
      <c r="F584" s="1">
        <v>5</v>
      </c>
      <c r="G584" s="1">
        <v>7</v>
      </c>
      <c r="H584" s="1">
        <v>6</v>
      </c>
      <c r="I584" s="1">
        <v>6</v>
      </c>
      <c r="J584" s="1">
        <v>4</v>
      </c>
      <c r="K584" s="1">
        <f t="shared" si="113"/>
        <v>23</v>
      </c>
      <c r="L584" s="12">
        <f t="shared" ref="L584:L604" si="117">K584/35</f>
        <v>0.65714285714285714</v>
      </c>
      <c r="M584" s="1">
        <v>6</v>
      </c>
      <c r="N584" s="1">
        <v>6</v>
      </c>
      <c r="O584" s="1">
        <v>6</v>
      </c>
      <c r="P584" s="1">
        <v>3</v>
      </c>
      <c r="Q584" s="1">
        <f t="shared" si="114"/>
        <v>21</v>
      </c>
      <c r="R584" s="12">
        <f t="shared" ref="R584:R604" si="118">Q584/35</f>
        <v>0.6</v>
      </c>
      <c r="S584" s="1">
        <v>6</v>
      </c>
      <c r="T584" s="1">
        <v>4</v>
      </c>
      <c r="U584" s="1">
        <f t="shared" si="115"/>
        <v>10</v>
      </c>
      <c r="V584" s="12">
        <f t="shared" ref="V584:V604" si="119">U584/15</f>
        <v>0.66666666666666663</v>
      </c>
      <c r="W584" s="1">
        <v>3</v>
      </c>
      <c r="X584" s="1">
        <v>3</v>
      </c>
      <c r="Y584" s="1">
        <v>3</v>
      </c>
      <c r="Z584" s="1">
        <f t="shared" si="116"/>
        <v>9</v>
      </c>
      <c r="AA584" s="12">
        <f t="shared" ref="AA584:AA604" si="120">Z584/15</f>
        <v>0.6</v>
      </c>
      <c r="AB584" s="2" t="s">
        <v>536</v>
      </c>
    </row>
    <row r="585" spans="1:28" x14ac:dyDescent="0.25">
      <c r="A585" s="1" t="s">
        <v>1662</v>
      </c>
      <c r="B585" s="1" t="s">
        <v>35</v>
      </c>
      <c r="C585" s="1" t="s">
        <v>36</v>
      </c>
      <c r="D585" s="1">
        <v>5</v>
      </c>
      <c r="E585" s="1">
        <v>3</v>
      </c>
      <c r="F585" s="1">
        <v>5</v>
      </c>
      <c r="G585" s="1">
        <v>6</v>
      </c>
      <c r="H585" s="1">
        <v>5</v>
      </c>
      <c r="I585" s="1">
        <v>6</v>
      </c>
      <c r="J585" s="1">
        <v>3</v>
      </c>
      <c r="K585" s="1">
        <f t="shared" si="113"/>
        <v>20</v>
      </c>
      <c r="L585" s="12">
        <f t="shared" si="117"/>
        <v>0.5714285714285714</v>
      </c>
      <c r="M585" s="1">
        <v>7</v>
      </c>
      <c r="N585" s="1">
        <v>8</v>
      </c>
      <c r="O585" s="1">
        <v>7</v>
      </c>
      <c r="P585" s="1">
        <v>4</v>
      </c>
      <c r="Q585" s="1">
        <f t="shared" si="114"/>
        <v>26</v>
      </c>
      <c r="R585" s="12">
        <f t="shared" si="118"/>
        <v>0.74285714285714288</v>
      </c>
      <c r="S585" s="1">
        <v>8</v>
      </c>
      <c r="T585" s="1">
        <v>4</v>
      </c>
      <c r="U585" s="1">
        <f t="shared" si="115"/>
        <v>12</v>
      </c>
      <c r="V585" s="12">
        <f t="shared" si="119"/>
        <v>0.8</v>
      </c>
      <c r="W585" s="1">
        <v>3</v>
      </c>
      <c r="X585" s="1">
        <v>3</v>
      </c>
      <c r="Y585" s="1">
        <v>4</v>
      </c>
      <c r="Z585" s="1">
        <f t="shared" si="116"/>
        <v>10</v>
      </c>
      <c r="AA585" s="12">
        <f t="shared" si="120"/>
        <v>0.66666666666666663</v>
      </c>
      <c r="AB585" s="2" t="s">
        <v>537</v>
      </c>
    </row>
    <row r="586" spans="1:28" x14ac:dyDescent="0.25">
      <c r="A586" s="1" t="s">
        <v>1662</v>
      </c>
      <c r="B586" s="1" t="s">
        <v>35</v>
      </c>
      <c r="C586" s="1" t="s">
        <v>36</v>
      </c>
      <c r="D586" s="1">
        <v>5</v>
      </c>
      <c r="E586" s="1">
        <v>3</v>
      </c>
      <c r="F586" s="1">
        <v>5</v>
      </c>
      <c r="G586" s="1">
        <v>6</v>
      </c>
      <c r="H586" s="1">
        <v>5</v>
      </c>
      <c r="I586" s="1">
        <v>5</v>
      </c>
      <c r="J586" s="1">
        <v>3</v>
      </c>
      <c r="K586" s="1">
        <f t="shared" si="113"/>
        <v>19</v>
      </c>
      <c r="L586" s="12">
        <f t="shared" si="117"/>
        <v>0.54285714285714282</v>
      </c>
      <c r="M586" s="1">
        <v>7</v>
      </c>
      <c r="N586" s="1">
        <v>6</v>
      </c>
      <c r="O586" s="1">
        <v>7</v>
      </c>
      <c r="P586" s="1">
        <v>4</v>
      </c>
      <c r="Q586" s="1">
        <f t="shared" si="114"/>
        <v>24</v>
      </c>
      <c r="R586" s="12">
        <f t="shared" si="118"/>
        <v>0.68571428571428572</v>
      </c>
      <c r="S586" s="1">
        <v>7</v>
      </c>
      <c r="T586" s="1">
        <v>2</v>
      </c>
      <c r="U586" s="1">
        <f t="shared" si="115"/>
        <v>9</v>
      </c>
      <c r="V586" s="12">
        <f t="shared" si="119"/>
        <v>0.6</v>
      </c>
      <c r="W586" s="1">
        <v>3</v>
      </c>
      <c r="X586" s="1">
        <v>3</v>
      </c>
      <c r="Y586" s="1">
        <v>2</v>
      </c>
      <c r="Z586" s="1">
        <f t="shared" si="116"/>
        <v>8</v>
      </c>
      <c r="AA586" s="12">
        <f t="shared" si="120"/>
        <v>0.53333333333333333</v>
      </c>
      <c r="AB586" s="2" t="s">
        <v>538</v>
      </c>
    </row>
    <row r="587" spans="1:28" x14ac:dyDescent="0.25">
      <c r="A587" s="1" t="s">
        <v>1662</v>
      </c>
      <c r="B587" s="1" t="s">
        <v>35</v>
      </c>
      <c r="C587" s="1" t="s">
        <v>36</v>
      </c>
      <c r="D587" s="1">
        <v>5</v>
      </c>
      <c r="E587" s="1">
        <v>3</v>
      </c>
      <c r="F587" s="1">
        <v>5</v>
      </c>
      <c r="G587" s="1">
        <v>6</v>
      </c>
      <c r="H587" s="1">
        <v>6</v>
      </c>
      <c r="I587" s="1">
        <v>6</v>
      </c>
      <c r="J587" s="1">
        <v>4</v>
      </c>
      <c r="K587" s="1">
        <f t="shared" si="113"/>
        <v>22</v>
      </c>
      <c r="L587" s="12">
        <f t="shared" si="117"/>
        <v>0.62857142857142856</v>
      </c>
      <c r="M587" s="1">
        <v>7</v>
      </c>
      <c r="N587" s="1">
        <v>7</v>
      </c>
      <c r="O587" s="1">
        <v>7</v>
      </c>
      <c r="P587" s="1">
        <v>3</v>
      </c>
      <c r="Q587" s="1">
        <f t="shared" si="114"/>
        <v>24</v>
      </c>
      <c r="R587" s="12">
        <f t="shared" si="118"/>
        <v>0.68571428571428572</v>
      </c>
      <c r="S587" s="1">
        <v>7</v>
      </c>
      <c r="T587" s="1">
        <v>4</v>
      </c>
      <c r="U587" s="1">
        <f t="shared" si="115"/>
        <v>11</v>
      </c>
      <c r="V587" s="12">
        <f t="shared" si="119"/>
        <v>0.73333333333333328</v>
      </c>
      <c r="W587" s="1">
        <v>3</v>
      </c>
      <c r="X587" s="1">
        <v>3</v>
      </c>
      <c r="Y587" s="1">
        <v>3</v>
      </c>
      <c r="Z587" s="1">
        <f t="shared" si="116"/>
        <v>9</v>
      </c>
      <c r="AA587" s="12">
        <f t="shared" si="120"/>
        <v>0.6</v>
      </c>
      <c r="AB587" s="2" t="s">
        <v>539</v>
      </c>
    </row>
    <row r="588" spans="1:28" x14ac:dyDescent="0.25">
      <c r="A588" s="1" t="s">
        <v>1662</v>
      </c>
      <c r="B588" s="1" t="s">
        <v>35</v>
      </c>
      <c r="C588" s="1" t="s">
        <v>36</v>
      </c>
      <c r="D588" s="1">
        <v>5</v>
      </c>
      <c r="E588" s="1">
        <v>3</v>
      </c>
      <c r="F588" s="1">
        <v>5</v>
      </c>
      <c r="G588" s="1">
        <v>6</v>
      </c>
      <c r="H588" s="1">
        <v>6</v>
      </c>
      <c r="I588" s="1">
        <v>7</v>
      </c>
      <c r="J588" s="1">
        <v>4</v>
      </c>
      <c r="K588" s="1">
        <f t="shared" si="113"/>
        <v>23</v>
      </c>
      <c r="L588" s="12">
        <f t="shared" si="117"/>
        <v>0.65714285714285714</v>
      </c>
      <c r="M588" s="1">
        <v>7</v>
      </c>
      <c r="N588" s="1">
        <v>7</v>
      </c>
      <c r="O588" s="1">
        <v>8</v>
      </c>
      <c r="P588" s="1">
        <v>4</v>
      </c>
      <c r="Q588" s="1">
        <f t="shared" si="114"/>
        <v>26</v>
      </c>
      <c r="R588" s="12">
        <f t="shared" si="118"/>
        <v>0.74285714285714288</v>
      </c>
      <c r="S588" s="1">
        <v>8</v>
      </c>
      <c r="T588" s="1">
        <v>4</v>
      </c>
      <c r="U588" s="1">
        <f t="shared" si="115"/>
        <v>12</v>
      </c>
      <c r="V588" s="12">
        <f t="shared" si="119"/>
        <v>0.8</v>
      </c>
      <c r="W588" s="1">
        <v>3</v>
      </c>
      <c r="X588" s="1">
        <v>2</v>
      </c>
      <c r="Y588" s="1">
        <v>2</v>
      </c>
      <c r="Z588" s="1">
        <f t="shared" si="116"/>
        <v>7</v>
      </c>
      <c r="AA588" s="12">
        <f t="shared" si="120"/>
        <v>0.46666666666666667</v>
      </c>
      <c r="AB588" s="2" t="s">
        <v>540</v>
      </c>
    </row>
    <row r="589" spans="1:28" x14ac:dyDescent="0.25">
      <c r="A589" s="1" t="s">
        <v>1662</v>
      </c>
      <c r="B589" s="1" t="s">
        <v>35</v>
      </c>
      <c r="C589" s="1" t="s">
        <v>36</v>
      </c>
      <c r="D589" s="1">
        <v>5</v>
      </c>
      <c r="E589" s="1">
        <v>3</v>
      </c>
      <c r="F589" s="1">
        <v>5</v>
      </c>
      <c r="G589" s="1">
        <v>8</v>
      </c>
      <c r="H589" s="1">
        <v>8</v>
      </c>
      <c r="I589" s="1">
        <v>8</v>
      </c>
      <c r="J589" s="1">
        <v>4</v>
      </c>
      <c r="K589" s="1">
        <f t="shared" si="113"/>
        <v>28</v>
      </c>
      <c r="L589" s="12">
        <f t="shared" si="117"/>
        <v>0.8</v>
      </c>
      <c r="M589" s="1">
        <v>8</v>
      </c>
      <c r="N589" s="1">
        <v>8</v>
      </c>
      <c r="O589" s="1">
        <v>8</v>
      </c>
      <c r="P589" s="1">
        <v>4</v>
      </c>
      <c r="Q589" s="1">
        <f t="shared" si="114"/>
        <v>28</v>
      </c>
      <c r="R589" s="12">
        <f t="shared" si="118"/>
        <v>0.8</v>
      </c>
      <c r="S589" s="1">
        <v>8</v>
      </c>
      <c r="T589" s="1">
        <v>4</v>
      </c>
      <c r="U589" s="1">
        <f t="shared" si="115"/>
        <v>12</v>
      </c>
      <c r="V589" s="12">
        <f t="shared" si="119"/>
        <v>0.8</v>
      </c>
      <c r="W589" s="1">
        <v>3</v>
      </c>
      <c r="X589" s="1">
        <v>3</v>
      </c>
      <c r="Y589" s="1">
        <v>3</v>
      </c>
      <c r="Z589" s="1">
        <f t="shared" si="116"/>
        <v>9</v>
      </c>
      <c r="AA589" s="12">
        <f t="shared" si="120"/>
        <v>0.6</v>
      </c>
      <c r="AB589" s="2" t="s">
        <v>541</v>
      </c>
    </row>
    <row r="590" spans="1:28" x14ac:dyDescent="0.25">
      <c r="A590" s="1" t="s">
        <v>1662</v>
      </c>
      <c r="B590" s="1" t="s">
        <v>35</v>
      </c>
      <c r="C590" s="1" t="s">
        <v>36</v>
      </c>
      <c r="D590" s="1">
        <v>5</v>
      </c>
      <c r="E590" s="1">
        <v>3</v>
      </c>
      <c r="F590" s="1">
        <v>5</v>
      </c>
      <c r="G590" s="1">
        <v>7</v>
      </c>
      <c r="H590" s="1">
        <v>7</v>
      </c>
      <c r="I590" s="1">
        <v>7</v>
      </c>
      <c r="J590" s="1">
        <v>4</v>
      </c>
      <c r="K590" s="1">
        <f t="shared" si="113"/>
        <v>25</v>
      </c>
      <c r="L590" s="12">
        <f t="shared" si="117"/>
        <v>0.7142857142857143</v>
      </c>
      <c r="M590" s="1">
        <v>7</v>
      </c>
      <c r="N590" s="1">
        <v>8</v>
      </c>
      <c r="O590" s="1">
        <v>8</v>
      </c>
      <c r="P590" s="1">
        <v>4</v>
      </c>
      <c r="Q590" s="1">
        <f t="shared" si="114"/>
        <v>27</v>
      </c>
      <c r="R590" s="12">
        <f t="shared" si="118"/>
        <v>0.77142857142857146</v>
      </c>
      <c r="S590" s="1">
        <v>8</v>
      </c>
      <c r="T590" s="1">
        <v>4</v>
      </c>
      <c r="U590" s="1">
        <f t="shared" si="115"/>
        <v>12</v>
      </c>
      <c r="V590" s="12">
        <f t="shared" si="119"/>
        <v>0.8</v>
      </c>
      <c r="W590" s="1">
        <v>3</v>
      </c>
      <c r="X590" s="1">
        <v>2</v>
      </c>
      <c r="Y590" s="1">
        <v>2</v>
      </c>
      <c r="Z590" s="1">
        <f t="shared" si="116"/>
        <v>7</v>
      </c>
      <c r="AA590" s="12">
        <f t="shared" si="120"/>
        <v>0.46666666666666667</v>
      </c>
      <c r="AB590" s="2" t="s">
        <v>542</v>
      </c>
    </row>
    <row r="591" spans="1:28" x14ac:dyDescent="0.25">
      <c r="A591" s="1" t="s">
        <v>1662</v>
      </c>
      <c r="B591" s="1" t="s">
        <v>35</v>
      </c>
      <c r="C591" s="1" t="s">
        <v>36</v>
      </c>
      <c r="D591" s="1">
        <v>5</v>
      </c>
      <c r="E591" s="1">
        <v>3</v>
      </c>
      <c r="F591" s="1">
        <v>5</v>
      </c>
      <c r="G591" s="1">
        <v>7</v>
      </c>
      <c r="H591" s="1">
        <v>6</v>
      </c>
      <c r="I591" s="1">
        <v>7</v>
      </c>
      <c r="J591" s="1">
        <v>3</v>
      </c>
      <c r="K591" s="1">
        <f t="shared" si="113"/>
        <v>23</v>
      </c>
      <c r="L591" s="12">
        <f t="shared" si="117"/>
        <v>0.65714285714285714</v>
      </c>
      <c r="M591" s="1">
        <v>6</v>
      </c>
      <c r="N591" s="1">
        <v>6</v>
      </c>
      <c r="O591" s="1">
        <v>6</v>
      </c>
      <c r="P591" s="1">
        <v>2</v>
      </c>
      <c r="Q591" s="1">
        <f t="shared" si="114"/>
        <v>20</v>
      </c>
      <c r="R591" s="12">
        <f t="shared" si="118"/>
        <v>0.5714285714285714</v>
      </c>
      <c r="S591" s="1">
        <v>5</v>
      </c>
      <c r="T591" s="1">
        <v>3</v>
      </c>
      <c r="U591" s="1">
        <f t="shared" si="115"/>
        <v>8</v>
      </c>
      <c r="V591" s="12">
        <f t="shared" si="119"/>
        <v>0.53333333333333333</v>
      </c>
      <c r="W591" s="1">
        <v>3</v>
      </c>
      <c r="X591" s="1">
        <v>2</v>
      </c>
      <c r="Y591" s="1">
        <v>2</v>
      </c>
      <c r="Z591" s="1">
        <f t="shared" si="116"/>
        <v>7</v>
      </c>
      <c r="AA591" s="12">
        <f t="shared" si="120"/>
        <v>0.46666666666666667</v>
      </c>
      <c r="AB591" s="2" t="s">
        <v>543</v>
      </c>
    </row>
    <row r="592" spans="1:28" x14ac:dyDescent="0.25">
      <c r="A592" s="1" t="s">
        <v>1662</v>
      </c>
      <c r="B592" s="1" t="s">
        <v>576</v>
      </c>
      <c r="C592" s="1" t="s">
        <v>36</v>
      </c>
      <c r="D592" s="1">
        <v>26</v>
      </c>
      <c r="E592" s="1">
        <v>1</v>
      </c>
      <c r="F592" s="1">
        <v>1</v>
      </c>
      <c r="G592" s="1">
        <v>3</v>
      </c>
      <c r="H592" s="1">
        <v>4</v>
      </c>
      <c r="I592" s="1">
        <v>4</v>
      </c>
      <c r="J592" s="1">
        <v>3</v>
      </c>
      <c r="K592" s="1">
        <f t="shared" si="113"/>
        <v>14</v>
      </c>
      <c r="L592" s="12">
        <f t="shared" si="117"/>
        <v>0.4</v>
      </c>
      <c r="M592" s="1">
        <v>3</v>
      </c>
      <c r="N592" s="1">
        <v>4</v>
      </c>
      <c r="O592" s="1">
        <v>3</v>
      </c>
      <c r="P592" s="1">
        <v>2</v>
      </c>
      <c r="Q592" s="1">
        <f t="shared" si="114"/>
        <v>12</v>
      </c>
      <c r="R592" s="12">
        <f t="shared" si="118"/>
        <v>0.34285714285714286</v>
      </c>
      <c r="S592" s="1">
        <v>5</v>
      </c>
      <c r="T592" s="1">
        <v>2</v>
      </c>
      <c r="U592" s="1">
        <f t="shared" si="115"/>
        <v>7</v>
      </c>
      <c r="V592" s="12">
        <f t="shared" si="119"/>
        <v>0.46666666666666667</v>
      </c>
      <c r="W592" s="1">
        <v>3</v>
      </c>
      <c r="X592" s="1">
        <v>4</v>
      </c>
      <c r="Y592" s="1">
        <v>4</v>
      </c>
      <c r="Z592" s="1">
        <f t="shared" si="116"/>
        <v>11</v>
      </c>
      <c r="AA592" s="12">
        <f t="shared" si="120"/>
        <v>0.73333333333333328</v>
      </c>
      <c r="AB592" s="2" t="s">
        <v>577</v>
      </c>
    </row>
    <row r="593" spans="1:28" x14ac:dyDescent="0.25">
      <c r="A593" s="1" t="s">
        <v>1662</v>
      </c>
      <c r="B593" s="1" t="s">
        <v>576</v>
      </c>
      <c r="C593" s="1" t="s">
        <v>36</v>
      </c>
      <c r="D593" s="1">
        <v>26</v>
      </c>
      <c r="E593" s="1">
        <v>1</v>
      </c>
      <c r="F593" s="1">
        <v>1</v>
      </c>
      <c r="G593" s="1">
        <v>2</v>
      </c>
      <c r="H593" s="1">
        <v>3</v>
      </c>
      <c r="I593" s="1">
        <v>3</v>
      </c>
      <c r="J593" s="1">
        <v>3</v>
      </c>
      <c r="K593" s="1">
        <f t="shared" si="113"/>
        <v>11</v>
      </c>
      <c r="L593" s="12">
        <f t="shared" si="117"/>
        <v>0.31428571428571428</v>
      </c>
      <c r="M593" s="1">
        <v>4</v>
      </c>
      <c r="N593" s="1">
        <v>4</v>
      </c>
      <c r="O593" s="1">
        <v>4</v>
      </c>
      <c r="P593" s="1">
        <v>3</v>
      </c>
      <c r="Q593" s="1">
        <f t="shared" si="114"/>
        <v>15</v>
      </c>
      <c r="R593" s="12">
        <f t="shared" si="118"/>
        <v>0.42857142857142855</v>
      </c>
      <c r="S593" s="1">
        <v>5</v>
      </c>
      <c r="T593" s="1">
        <v>4</v>
      </c>
      <c r="U593" s="1">
        <f t="shared" si="115"/>
        <v>9</v>
      </c>
      <c r="V593" s="12">
        <f t="shared" si="119"/>
        <v>0.6</v>
      </c>
      <c r="W593" s="1">
        <v>3</v>
      </c>
      <c r="X593" s="1">
        <v>4</v>
      </c>
      <c r="Y593" s="1">
        <v>4</v>
      </c>
      <c r="Z593" s="1">
        <f t="shared" si="116"/>
        <v>11</v>
      </c>
      <c r="AA593" s="12">
        <f t="shared" si="120"/>
        <v>0.73333333333333328</v>
      </c>
      <c r="AB593" s="2" t="s">
        <v>578</v>
      </c>
    </row>
    <row r="594" spans="1:28" x14ac:dyDescent="0.25">
      <c r="A594" s="1" t="s">
        <v>1662</v>
      </c>
      <c r="B594" s="1" t="s">
        <v>576</v>
      </c>
      <c r="C594" s="1" t="s">
        <v>36</v>
      </c>
      <c r="D594" s="1">
        <v>26</v>
      </c>
      <c r="E594" s="1">
        <v>1</v>
      </c>
      <c r="F594" s="1">
        <v>1</v>
      </c>
      <c r="G594" s="1">
        <v>5</v>
      </c>
      <c r="H594" s="1">
        <v>5</v>
      </c>
      <c r="I594" s="1">
        <v>5</v>
      </c>
      <c r="J594" s="1">
        <v>4</v>
      </c>
      <c r="K594" s="1">
        <f t="shared" si="113"/>
        <v>19</v>
      </c>
      <c r="L594" s="12">
        <f t="shared" si="117"/>
        <v>0.54285714285714282</v>
      </c>
      <c r="M594" s="1">
        <v>5</v>
      </c>
      <c r="N594" s="1">
        <v>6</v>
      </c>
      <c r="O594" s="1">
        <v>6</v>
      </c>
      <c r="P594" s="1">
        <v>4</v>
      </c>
      <c r="Q594" s="1">
        <f t="shared" si="114"/>
        <v>21</v>
      </c>
      <c r="R594" s="12">
        <f t="shared" si="118"/>
        <v>0.6</v>
      </c>
      <c r="S594" s="1">
        <v>7</v>
      </c>
      <c r="T594" s="1">
        <v>4</v>
      </c>
      <c r="U594" s="1">
        <f t="shared" si="115"/>
        <v>11</v>
      </c>
      <c r="V594" s="12">
        <f t="shared" si="119"/>
        <v>0.73333333333333328</v>
      </c>
      <c r="W594" s="1">
        <v>4</v>
      </c>
      <c r="X594" s="1">
        <v>4</v>
      </c>
      <c r="Y594" s="1">
        <v>4</v>
      </c>
      <c r="Z594" s="1">
        <f t="shared" si="116"/>
        <v>12</v>
      </c>
      <c r="AA594" s="12">
        <f t="shared" si="120"/>
        <v>0.8</v>
      </c>
      <c r="AB594" s="2" t="s">
        <v>579</v>
      </c>
    </row>
    <row r="595" spans="1:28" x14ac:dyDescent="0.25">
      <c r="A595" s="1" t="s">
        <v>1662</v>
      </c>
      <c r="B595" s="1" t="s">
        <v>576</v>
      </c>
      <c r="C595" s="1" t="s">
        <v>36</v>
      </c>
      <c r="D595" s="1">
        <v>26</v>
      </c>
      <c r="E595" s="1">
        <v>1</v>
      </c>
      <c r="F595" s="1">
        <v>1</v>
      </c>
      <c r="G595" s="1">
        <v>4</v>
      </c>
      <c r="H595" s="1">
        <v>4</v>
      </c>
      <c r="I595" s="1">
        <v>4</v>
      </c>
      <c r="J595" s="1">
        <v>3</v>
      </c>
      <c r="K595" s="1">
        <f t="shared" si="113"/>
        <v>15</v>
      </c>
      <c r="L595" s="12">
        <f t="shared" si="117"/>
        <v>0.42857142857142855</v>
      </c>
      <c r="M595" s="1">
        <v>8</v>
      </c>
      <c r="N595" s="1">
        <v>8</v>
      </c>
      <c r="O595" s="1">
        <v>7</v>
      </c>
      <c r="P595" s="1">
        <v>3</v>
      </c>
      <c r="Q595" s="1">
        <f t="shared" si="114"/>
        <v>26</v>
      </c>
      <c r="R595" s="12">
        <f t="shared" si="118"/>
        <v>0.74285714285714288</v>
      </c>
      <c r="S595" s="1">
        <v>7</v>
      </c>
      <c r="T595" s="1">
        <v>4</v>
      </c>
      <c r="U595" s="1">
        <f t="shared" si="115"/>
        <v>11</v>
      </c>
      <c r="V595" s="12">
        <f t="shared" si="119"/>
        <v>0.73333333333333328</v>
      </c>
      <c r="W595" s="1">
        <v>4</v>
      </c>
      <c r="X595" s="1">
        <v>2</v>
      </c>
      <c r="Y595" s="1">
        <v>3</v>
      </c>
      <c r="Z595" s="1">
        <f t="shared" si="116"/>
        <v>9</v>
      </c>
      <c r="AA595" s="12">
        <f t="shared" si="120"/>
        <v>0.6</v>
      </c>
      <c r="AB595" s="2" t="s">
        <v>580</v>
      </c>
    </row>
    <row r="596" spans="1:28" x14ac:dyDescent="0.25">
      <c r="A596" s="1" t="s">
        <v>1662</v>
      </c>
      <c r="B596" s="1" t="s">
        <v>576</v>
      </c>
      <c r="C596" s="1" t="s">
        <v>36</v>
      </c>
      <c r="D596" s="1">
        <v>26</v>
      </c>
      <c r="E596" s="1">
        <v>1</v>
      </c>
      <c r="F596" s="1">
        <v>1</v>
      </c>
      <c r="G596" s="1">
        <v>5</v>
      </c>
      <c r="H596" s="1">
        <v>4</v>
      </c>
      <c r="I596" s="1">
        <v>5</v>
      </c>
      <c r="J596" s="1">
        <v>4</v>
      </c>
      <c r="K596" s="1">
        <f t="shared" si="113"/>
        <v>18</v>
      </c>
      <c r="L596" s="12">
        <f t="shared" si="117"/>
        <v>0.51428571428571423</v>
      </c>
      <c r="M596" s="1">
        <v>6</v>
      </c>
      <c r="N596" s="1">
        <v>7</v>
      </c>
      <c r="O596" s="1">
        <v>8</v>
      </c>
      <c r="P596" s="1">
        <v>5</v>
      </c>
      <c r="Q596" s="1">
        <f t="shared" si="114"/>
        <v>26</v>
      </c>
      <c r="R596" s="12">
        <f t="shared" si="118"/>
        <v>0.74285714285714288</v>
      </c>
      <c r="S596" s="1">
        <v>7</v>
      </c>
      <c r="T596" s="1">
        <v>4</v>
      </c>
      <c r="U596" s="1">
        <f t="shared" si="115"/>
        <v>11</v>
      </c>
      <c r="V596" s="12">
        <f t="shared" si="119"/>
        <v>0.73333333333333328</v>
      </c>
      <c r="W596" s="1">
        <v>4</v>
      </c>
      <c r="X596" s="1">
        <v>3</v>
      </c>
      <c r="Y596" s="1">
        <v>4</v>
      </c>
      <c r="Z596" s="1">
        <f t="shared" si="116"/>
        <v>11</v>
      </c>
      <c r="AA596" s="12">
        <f t="shared" si="120"/>
        <v>0.73333333333333328</v>
      </c>
      <c r="AB596" s="2" t="s">
        <v>581</v>
      </c>
    </row>
    <row r="597" spans="1:28" x14ac:dyDescent="0.25">
      <c r="A597" s="1" t="s">
        <v>1662</v>
      </c>
      <c r="B597" s="1" t="s">
        <v>576</v>
      </c>
      <c r="C597" s="1" t="s">
        <v>36</v>
      </c>
      <c r="D597" s="1">
        <v>26</v>
      </c>
      <c r="E597" s="1">
        <v>1</v>
      </c>
      <c r="F597" s="1">
        <v>1</v>
      </c>
      <c r="G597" s="1">
        <v>6</v>
      </c>
      <c r="H597" s="1">
        <v>4</v>
      </c>
      <c r="I597" s="1">
        <v>4</v>
      </c>
      <c r="J597" s="1">
        <v>4</v>
      </c>
      <c r="K597" s="1">
        <f t="shared" si="113"/>
        <v>18</v>
      </c>
      <c r="L597" s="12">
        <f t="shared" si="117"/>
        <v>0.51428571428571423</v>
      </c>
      <c r="M597" s="1">
        <v>5</v>
      </c>
      <c r="N597" s="1">
        <v>6</v>
      </c>
      <c r="O597" s="1">
        <v>7</v>
      </c>
      <c r="P597" s="1">
        <v>3</v>
      </c>
      <c r="Q597" s="1">
        <f t="shared" si="114"/>
        <v>21</v>
      </c>
      <c r="R597" s="12">
        <f t="shared" si="118"/>
        <v>0.6</v>
      </c>
      <c r="S597" s="1">
        <v>6</v>
      </c>
      <c r="T597" s="1">
        <v>4</v>
      </c>
      <c r="U597" s="1">
        <f t="shared" si="115"/>
        <v>10</v>
      </c>
      <c r="V597" s="12">
        <f t="shared" si="119"/>
        <v>0.66666666666666663</v>
      </c>
      <c r="W597" s="1">
        <v>4</v>
      </c>
      <c r="X597" s="1">
        <v>2</v>
      </c>
      <c r="Y597" s="1">
        <v>4</v>
      </c>
      <c r="Z597" s="1">
        <f t="shared" si="116"/>
        <v>10</v>
      </c>
      <c r="AA597" s="12">
        <f t="shared" si="120"/>
        <v>0.66666666666666663</v>
      </c>
      <c r="AB597" s="2" t="s">
        <v>582</v>
      </c>
    </row>
    <row r="598" spans="1:28" x14ac:dyDescent="0.25">
      <c r="A598" s="1" t="s">
        <v>1662</v>
      </c>
      <c r="B598" s="1" t="s">
        <v>576</v>
      </c>
      <c r="C598" s="1" t="s">
        <v>36</v>
      </c>
      <c r="D598" s="1">
        <v>12</v>
      </c>
      <c r="E598" s="1">
        <v>3</v>
      </c>
      <c r="F598" s="1">
        <v>3</v>
      </c>
      <c r="G598" s="1">
        <v>7</v>
      </c>
      <c r="H598" s="1">
        <v>6</v>
      </c>
      <c r="I598" s="1">
        <v>6</v>
      </c>
      <c r="J598" s="1">
        <v>3</v>
      </c>
      <c r="K598" s="1">
        <f t="shared" si="113"/>
        <v>22</v>
      </c>
      <c r="L598" s="12">
        <f t="shared" si="117"/>
        <v>0.62857142857142856</v>
      </c>
      <c r="M598" s="1">
        <v>6</v>
      </c>
      <c r="N598" s="1">
        <v>6</v>
      </c>
      <c r="O598" s="1">
        <v>7</v>
      </c>
      <c r="P598" s="1">
        <v>3</v>
      </c>
      <c r="Q598" s="1">
        <f t="shared" si="114"/>
        <v>22</v>
      </c>
      <c r="R598" s="12">
        <f t="shared" si="118"/>
        <v>0.62857142857142856</v>
      </c>
      <c r="S598" s="1">
        <v>6</v>
      </c>
      <c r="T598" s="1">
        <v>4</v>
      </c>
      <c r="U598" s="1">
        <f t="shared" si="115"/>
        <v>10</v>
      </c>
      <c r="V598" s="12">
        <f t="shared" si="119"/>
        <v>0.66666666666666663</v>
      </c>
      <c r="W598" s="1">
        <v>4</v>
      </c>
      <c r="X598" s="1">
        <v>4</v>
      </c>
      <c r="Y598" s="1">
        <v>4</v>
      </c>
      <c r="Z598" s="1">
        <f t="shared" si="116"/>
        <v>12</v>
      </c>
      <c r="AA598" s="12">
        <f t="shared" si="120"/>
        <v>0.8</v>
      </c>
      <c r="AB598" s="2" t="s">
        <v>797</v>
      </c>
    </row>
    <row r="599" spans="1:28" x14ac:dyDescent="0.25">
      <c r="A599" s="1" t="s">
        <v>1662</v>
      </c>
      <c r="B599" s="1" t="s">
        <v>576</v>
      </c>
      <c r="C599" s="1" t="s">
        <v>36</v>
      </c>
      <c r="D599" s="1">
        <v>12</v>
      </c>
      <c r="E599" s="1">
        <v>3</v>
      </c>
      <c r="F599" s="1">
        <v>3</v>
      </c>
      <c r="G599" s="1">
        <v>7</v>
      </c>
      <c r="H599" s="1">
        <v>7</v>
      </c>
      <c r="I599" s="1">
        <v>6</v>
      </c>
      <c r="J599" s="1">
        <v>4</v>
      </c>
      <c r="K599" s="1">
        <f t="shared" si="113"/>
        <v>24</v>
      </c>
      <c r="L599" s="12">
        <f t="shared" si="117"/>
        <v>0.68571428571428572</v>
      </c>
      <c r="M599" s="1">
        <v>5</v>
      </c>
      <c r="N599" s="1">
        <v>5</v>
      </c>
      <c r="O599" s="1">
        <v>7</v>
      </c>
      <c r="P599" s="1">
        <v>3</v>
      </c>
      <c r="Q599" s="1">
        <f t="shared" si="114"/>
        <v>20</v>
      </c>
      <c r="R599" s="12">
        <f t="shared" si="118"/>
        <v>0.5714285714285714</v>
      </c>
      <c r="S599" s="1">
        <v>6</v>
      </c>
      <c r="T599" s="1">
        <v>3</v>
      </c>
      <c r="U599" s="1">
        <f t="shared" si="115"/>
        <v>9</v>
      </c>
      <c r="V599" s="12">
        <f t="shared" si="119"/>
        <v>0.6</v>
      </c>
      <c r="W599" s="1">
        <v>4</v>
      </c>
      <c r="X599" s="1">
        <v>4</v>
      </c>
      <c r="Y599" s="1">
        <v>3</v>
      </c>
      <c r="Z599" s="1">
        <f t="shared" si="116"/>
        <v>11</v>
      </c>
      <c r="AA599" s="12">
        <f t="shared" si="120"/>
        <v>0.73333333333333328</v>
      </c>
      <c r="AB599" s="2" t="s">
        <v>798</v>
      </c>
    </row>
    <row r="600" spans="1:28" x14ac:dyDescent="0.25">
      <c r="A600" s="1" t="s">
        <v>1662</v>
      </c>
      <c r="B600" s="1" t="s">
        <v>576</v>
      </c>
      <c r="C600" s="1" t="s">
        <v>36</v>
      </c>
      <c r="D600" s="1">
        <v>12</v>
      </c>
      <c r="E600" s="1">
        <v>3</v>
      </c>
      <c r="F600" s="1">
        <v>3</v>
      </c>
      <c r="G600" s="1">
        <v>8</v>
      </c>
      <c r="H600" s="1">
        <v>7</v>
      </c>
      <c r="I600" s="1">
        <v>6</v>
      </c>
      <c r="J600" s="1">
        <v>4</v>
      </c>
      <c r="K600" s="1">
        <f t="shared" si="113"/>
        <v>25</v>
      </c>
      <c r="L600" s="12">
        <f t="shared" si="117"/>
        <v>0.7142857142857143</v>
      </c>
      <c r="M600" s="1">
        <v>8</v>
      </c>
      <c r="N600" s="1">
        <v>6</v>
      </c>
      <c r="O600" s="1">
        <v>6</v>
      </c>
      <c r="P600" s="1">
        <v>3</v>
      </c>
      <c r="Q600" s="1">
        <f t="shared" si="114"/>
        <v>23</v>
      </c>
      <c r="R600" s="12">
        <f t="shared" si="118"/>
        <v>0.65714285714285714</v>
      </c>
      <c r="S600" s="1">
        <v>6</v>
      </c>
      <c r="T600" s="1">
        <v>3</v>
      </c>
      <c r="U600" s="1">
        <f t="shared" si="115"/>
        <v>9</v>
      </c>
      <c r="V600" s="12">
        <f t="shared" si="119"/>
        <v>0.6</v>
      </c>
      <c r="W600" s="1">
        <v>4</v>
      </c>
      <c r="X600" s="1">
        <v>3</v>
      </c>
      <c r="Y600" s="1">
        <v>3</v>
      </c>
      <c r="Z600" s="1">
        <f t="shared" si="116"/>
        <v>10</v>
      </c>
      <c r="AA600" s="12">
        <f t="shared" si="120"/>
        <v>0.66666666666666663</v>
      </c>
      <c r="AB600" s="2" t="s">
        <v>799</v>
      </c>
    </row>
    <row r="601" spans="1:28" x14ac:dyDescent="0.25">
      <c r="A601" s="1" t="s">
        <v>1662</v>
      </c>
      <c r="B601" s="1" t="s">
        <v>576</v>
      </c>
      <c r="C601" s="1" t="s">
        <v>36</v>
      </c>
      <c r="D601" s="1">
        <v>12</v>
      </c>
      <c r="E601" s="1">
        <v>3</v>
      </c>
      <c r="F601" s="1">
        <v>3</v>
      </c>
      <c r="G601" s="1">
        <v>6</v>
      </c>
      <c r="H601" s="1">
        <v>7</v>
      </c>
      <c r="I601" s="1">
        <v>5</v>
      </c>
      <c r="J601" s="1">
        <v>4</v>
      </c>
      <c r="K601" s="1">
        <f t="shared" si="113"/>
        <v>22</v>
      </c>
      <c r="L601" s="12">
        <f t="shared" si="117"/>
        <v>0.62857142857142856</v>
      </c>
      <c r="M601" s="1">
        <v>6</v>
      </c>
      <c r="N601" s="1">
        <v>5</v>
      </c>
      <c r="O601" s="1">
        <v>6</v>
      </c>
      <c r="P601" s="1">
        <v>3</v>
      </c>
      <c r="Q601" s="1">
        <f t="shared" si="114"/>
        <v>20</v>
      </c>
      <c r="R601" s="12">
        <f t="shared" si="118"/>
        <v>0.5714285714285714</v>
      </c>
      <c r="S601" s="1">
        <v>6</v>
      </c>
      <c r="T601" s="1">
        <v>3</v>
      </c>
      <c r="U601" s="1">
        <f t="shared" si="115"/>
        <v>9</v>
      </c>
      <c r="V601" s="12">
        <f t="shared" si="119"/>
        <v>0.6</v>
      </c>
      <c r="W601" s="1">
        <v>4</v>
      </c>
      <c r="X601" s="1">
        <v>3</v>
      </c>
      <c r="Y601" s="1">
        <v>3</v>
      </c>
      <c r="Z601" s="1">
        <f t="shared" si="116"/>
        <v>10</v>
      </c>
      <c r="AA601" s="12">
        <f t="shared" si="120"/>
        <v>0.66666666666666663</v>
      </c>
      <c r="AB601" s="2" t="s">
        <v>800</v>
      </c>
    </row>
    <row r="602" spans="1:28" x14ac:dyDescent="0.25">
      <c r="A602" s="1" t="s">
        <v>1662</v>
      </c>
      <c r="B602" s="1" t="s">
        <v>576</v>
      </c>
      <c r="C602" s="1" t="s">
        <v>36</v>
      </c>
      <c r="D602" s="1">
        <v>12</v>
      </c>
      <c r="E602" s="1">
        <v>3</v>
      </c>
      <c r="F602" s="1">
        <v>3</v>
      </c>
      <c r="G602" s="1">
        <v>6</v>
      </c>
      <c r="H602" s="1">
        <v>5</v>
      </c>
      <c r="I602" s="1">
        <v>5</v>
      </c>
      <c r="J602" s="1">
        <v>4</v>
      </c>
      <c r="K602" s="1">
        <f t="shared" si="113"/>
        <v>20</v>
      </c>
      <c r="L602" s="12">
        <f t="shared" si="117"/>
        <v>0.5714285714285714</v>
      </c>
      <c r="M602" s="1">
        <v>5</v>
      </c>
      <c r="N602" s="1">
        <v>5</v>
      </c>
      <c r="O602" s="1">
        <v>5</v>
      </c>
      <c r="P602" s="1">
        <v>3</v>
      </c>
      <c r="Q602" s="1">
        <f t="shared" si="114"/>
        <v>18</v>
      </c>
      <c r="R602" s="12">
        <f t="shared" si="118"/>
        <v>0.51428571428571423</v>
      </c>
      <c r="S602" s="1">
        <v>5</v>
      </c>
      <c r="T602" s="1">
        <v>3</v>
      </c>
      <c r="U602" s="1">
        <f t="shared" si="115"/>
        <v>8</v>
      </c>
      <c r="V602" s="12">
        <f t="shared" si="119"/>
        <v>0.53333333333333333</v>
      </c>
      <c r="W602" s="1">
        <v>4</v>
      </c>
      <c r="X602" s="1">
        <v>3</v>
      </c>
      <c r="Y602" s="1">
        <v>4</v>
      </c>
      <c r="Z602" s="1">
        <f t="shared" si="116"/>
        <v>11</v>
      </c>
      <c r="AA602" s="12">
        <f t="shared" si="120"/>
        <v>0.73333333333333328</v>
      </c>
      <c r="AB602" s="2" t="s">
        <v>801</v>
      </c>
    </row>
    <row r="603" spans="1:28" x14ac:dyDescent="0.25">
      <c r="A603" s="1" t="s">
        <v>1662</v>
      </c>
      <c r="B603" s="1" t="s">
        <v>576</v>
      </c>
      <c r="C603" s="1" t="s">
        <v>36</v>
      </c>
      <c r="D603" s="1">
        <v>12</v>
      </c>
      <c r="E603" s="1">
        <v>3</v>
      </c>
      <c r="F603" s="1">
        <v>3</v>
      </c>
      <c r="G603" s="1">
        <v>6</v>
      </c>
      <c r="H603" s="1">
        <v>5</v>
      </c>
      <c r="I603" s="1">
        <v>5</v>
      </c>
      <c r="J603" s="1">
        <v>4</v>
      </c>
      <c r="K603" s="1">
        <f t="shared" si="113"/>
        <v>20</v>
      </c>
      <c r="L603" s="12">
        <f t="shared" si="117"/>
        <v>0.5714285714285714</v>
      </c>
      <c r="M603" s="1">
        <v>7</v>
      </c>
      <c r="N603" s="1">
        <v>7</v>
      </c>
      <c r="O603" s="1">
        <v>6</v>
      </c>
      <c r="P603" s="1">
        <v>4</v>
      </c>
      <c r="Q603" s="1">
        <f t="shared" si="114"/>
        <v>24</v>
      </c>
      <c r="R603" s="12">
        <f t="shared" si="118"/>
        <v>0.68571428571428572</v>
      </c>
      <c r="S603" s="1">
        <v>8</v>
      </c>
      <c r="T603" s="1">
        <v>3</v>
      </c>
      <c r="U603" s="1">
        <f t="shared" si="115"/>
        <v>11</v>
      </c>
      <c r="V603" s="12">
        <f t="shared" si="119"/>
        <v>0.73333333333333328</v>
      </c>
      <c r="W603" s="1">
        <v>4</v>
      </c>
      <c r="X603" s="1">
        <v>4</v>
      </c>
      <c r="Y603" s="1">
        <v>4</v>
      </c>
      <c r="Z603" s="1">
        <f t="shared" si="116"/>
        <v>12</v>
      </c>
      <c r="AA603" s="12">
        <f t="shared" si="120"/>
        <v>0.8</v>
      </c>
      <c r="AB603" s="2" t="s">
        <v>802</v>
      </c>
    </row>
    <row r="604" spans="1:28" x14ac:dyDescent="0.25">
      <c r="A604" s="1" t="s">
        <v>1662</v>
      </c>
      <c r="B604" s="1" t="s">
        <v>576</v>
      </c>
      <c r="C604" s="1" t="s">
        <v>36</v>
      </c>
      <c r="D604" s="1">
        <v>12</v>
      </c>
      <c r="E604" s="1">
        <v>3</v>
      </c>
      <c r="F604" s="1">
        <v>3</v>
      </c>
      <c r="G604" s="1">
        <v>7</v>
      </c>
      <c r="H604" s="1">
        <v>7</v>
      </c>
      <c r="I604" s="1">
        <v>7</v>
      </c>
      <c r="J604" s="1">
        <v>4</v>
      </c>
      <c r="K604" s="1">
        <f t="shared" si="113"/>
        <v>25</v>
      </c>
      <c r="L604" s="12">
        <f t="shared" si="117"/>
        <v>0.7142857142857143</v>
      </c>
      <c r="M604" s="1">
        <v>7</v>
      </c>
      <c r="N604" s="1">
        <v>7</v>
      </c>
      <c r="O604" s="1">
        <v>7</v>
      </c>
      <c r="P604" s="1">
        <v>4</v>
      </c>
      <c r="Q604" s="1">
        <f t="shared" si="114"/>
        <v>25</v>
      </c>
      <c r="R604" s="12">
        <f t="shared" si="118"/>
        <v>0.7142857142857143</v>
      </c>
      <c r="S604" s="1">
        <v>8</v>
      </c>
      <c r="T604" s="1">
        <v>3</v>
      </c>
      <c r="U604" s="1">
        <f t="shared" si="115"/>
        <v>11</v>
      </c>
      <c r="V604" s="12">
        <f t="shared" si="119"/>
        <v>0.73333333333333328</v>
      </c>
      <c r="W604" s="1">
        <v>4</v>
      </c>
      <c r="X604" s="1">
        <v>4</v>
      </c>
      <c r="Y604" s="1">
        <v>4</v>
      </c>
      <c r="Z604" s="1">
        <f t="shared" si="116"/>
        <v>12</v>
      </c>
      <c r="AA604" s="12">
        <f t="shared" si="120"/>
        <v>0.8</v>
      </c>
      <c r="AB604" s="2" t="s">
        <v>803</v>
      </c>
    </row>
    <row r="605" spans="1:28" x14ac:dyDescent="0.25">
      <c r="A605" s="1" t="s">
        <v>1662</v>
      </c>
      <c r="B605" s="1" t="s">
        <v>35</v>
      </c>
      <c r="C605" s="1" t="s">
        <v>861</v>
      </c>
      <c r="D605" s="1">
        <v>4</v>
      </c>
      <c r="E605" s="1">
        <v>3</v>
      </c>
      <c r="F605" s="1">
        <v>3</v>
      </c>
      <c r="G605" s="1">
        <v>6</v>
      </c>
      <c r="H605" s="1">
        <v>5</v>
      </c>
      <c r="I605" s="1">
        <v>5</v>
      </c>
      <c r="J605" s="1">
        <v>6</v>
      </c>
      <c r="K605" s="1">
        <f t="shared" si="113"/>
        <v>22</v>
      </c>
      <c r="L605" s="12">
        <f t="shared" ref="L605:L618" si="121">K605/40</f>
        <v>0.55000000000000004</v>
      </c>
      <c r="M605" s="1">
        <v>5</v>
      </c>
      <c r="N605" s="1">
        <v>5</v>
      </c>
      <c r="O605" s="1">
        <v>5</v>
      </c>
      <c r="P605" s="1">
        <v>5</v>
      </c>
      <c r="Q605" s="1">
        <f t="shared" si="114"/>
        <v>20</v>
      </c>
      <c r="R605" s="12">
        <f t="shared" ref="R605:R618" si="122">Q605/40</f>
        <v>0.5</v>
      </c>
      <c r="S605" s="1">
        <v>5</v>
      </c>
      <c r="T605" s="1">
        <v>7</v>
      </c>
      <c r="U605" s="1">
        <f t="shared" si="115"/>
        <v>12</v>
      </c>
      <c r="V605" s="12">
        <f t="shared" ref="V605:V618" si="123">U605/20</f>
        <v>0.6</v>
      </c>
      <c r="Z605" s="1">
        <f t="shared" si="116"/>
        <v>0</v>
      </c>
      <c r="AB605" s="2" t="s">
        <v>1263</v>
      </c>
    </row>
    <row r="606" spans="1:28" x14ac:dyDescent="0.25">
      <c r="A606" s="1" t="s">
        <v>1662</v>
      </c>
      <c r="B606" s="1" t="s">
        <v>35</v>
      </c>
      <c r="C606" s="1" t="s">
        <v>861</v>
      </c>
      <c r="D606" s="1">
        <v>4</v>
      </c>
      <c r="E606" s="1">
        <v>3</v>
      </c>
      <c r="F606" s="1">
        <v>3</v>
      </c>
      <c r="G606" s="1">
        <v>6</v>
      </c>
      <c r="H606" s="1">
        <v>5</v>
      </c>
      <c r="I606" s="1">
        <v>5</v>
      </c>
      <c r="J606" s="1">
        <v>5</v>
      </c>
      <c r="K606" s="1">
        <f t="shared" si="113"/>
        <v>21</v>
      </c>
      <c r="L606" s="12">
        <f t="shared" si="121"/>
        <v>0.52500000000000002</v>
      </c>
      <c r="M606" s="1">
        <v>7</v>
      </c>
      <c r="N606" s="1">
        <v>5</v>
      </c>
      <c r="O606" s="1">
        <v>5</v>
      </c>
      <c r="P606" s="1">
        <v>5</v>
      </c>
      <c r="Q606" s="1">
        <f t="shared" si="114"/>
        <v>22</v>
      </c>
      <c r="R606" s="12">
        <f t="shared" si="122"/>
        <v>0.55000000000000004</v>
      </c>
      <c r="S606" s="1">
        <v>5</v>
      </c>
      <c r="T606" s="1">
        <v>6</v>
      </c>
      <c r="U606" s="1">
        <f t="shared" si="115"/>
        <v>11</v>
      </c>
      <c r="V606" s="12">
        <f t="shared" si="123"/>
        <v>0.55000000000000004</v>
      </c>
      <c r="Z606" s="1">
        <f t="shared" si="116"/>
        <v>0</v>
      </c>
      <c r="AB606" s="2" t="s">
        <v>1264</v>
      </c>
    </row>
    <row r="607" spans="1:28" x14ac:dyDescent="0.25">
      <c r="A607" s="1" t="s">
        <v>1662</v>
      </c>
      <c r="B607" s="1" t="s">
        <v>35</v>
      </c>
      <c r="C607" s="1" t="s">
        <v>861</v>
      </c>
      <c r="D607" s="1">
        <v>4</v>
      </c>
      <c r="E607" s="1">
        <v>3</v>
      </c>
      <c r="F607" s="1">
        <v>3</v>
      </c>
      <c r="G607" s="1">
        <v>7</v>
      </c>
      <c r="H607" s="1">
        <v>7</v>
      </c>
      <c r="I607" s="1">
        <v>7</v>
      </c>
      <c r="J607" s="1">
        <v>7</v>
      </c>
      <c r="K607" s="1">
        <f t="shared" si="113"/>
        <v>28</v>
      </c>
      <c r="L607" s="12">
        <f t="shared" si="121"/>
        <v>0.7</v>
      </c>
      <c r="M607" s="1">
        <v>6</v>
      </c>
      <c r="N607" s="1">
        <v>6</v>
      </c>
      <c r="O607" s="1">
        <v>7</v>
      </c>
      <c r="P607" s="1">
        <v>6</v>
      </c>
      <c r="Q607" s="1">
        <f t="shared" si="114"/>
        <v>25</v>
      </c>
      <c r="R607" s="12">
        <f t="shared" si="122"/>
        <v>0.625</v>
      </c>
      <c r="S607" s="1">
        <v>6</v>
      </c>
      <c r="T607" s="1">
        <v>6</v>
      </c>
      <c r="U607" s="1">
        <f t="shared" si="115"/>
        <v>12</v>
      </c>
      <c r="V607" s="12">
        <f t="shared" si="123"/>
        <v>0.6</v>
      </c>
      <c r="Z607" s="1">
        <f t="shared" si="116"/>
        <v>0</v>
      </c>
      <c r="AB607" s="2" t="s">
        <v>1265</v>
      </c>
    </row>
    <row r="608" spans="1:28" x14ac:dyDescent="0.25">
      <c r="A608" s="1" t="s">
        <v>1662</v>
      </c>
      <c r="B608" s="1" t="s">
        <v>35</v>
      </c>
      <c r="C608" s="1" t="s">
        <v>861</v>
      </c>
      <c r="D608" s="1">
        <v>4</v>
      </c>
      <c r="E608" s="1">
        <v>3</v>
      </c>
      <c r="F608" s="1">
        <v>3</v>
      </c>
      <c r="G608" s="1">
        <v>7</v>
      </c>
      <c r="H608" s="1">
        <v>6</v>
      </c>
      <c r="I608" s="1">
        <v>7</v>
      </c>
      <c r="J608" s="1">
        <v>6</v>
      </c>
      <c r="K608" s="1">
        <f t="shared" si="113"/>
        <v>26</v>
      </c>
      <c r="L608" s="12">
        <f t="shared" si="121"/>
        <v>0.65</v>
      </c>
      <c r="M608" s="1">
        <v>6</v>
      </c>
      <c r="N608" s="1">
        <v>5</v>
      </c>
      <c r="O608" s="1">
        <v>7</v>
      </c>
      <c r="P608" s="1">
        <v>6</v>
      </c>
      <c r="Q608" s="1">
        <f t="shared" si="114"/>
        <v>24</v>
      </c>
      <c r="R608" s="12">
        <f t="shared" si="122"/>
        <v>0.6</v>
      </c>
      <c r="S608" s="1">
        <v>6</v>
      </c>
      <c r="T608" s="1">
        <v>6</v>
      </c>
      <c r="U608" s="1">
        <f t="shared" si="115"/>
        <v>12</v>
      </c>
      <c r="V608" s="12">
        <f t="shared" si="123"/>
        <v>0.6</v>
      </c>
      <c r="Z608" s="1">
        <f t="shared" si="116"/>
        <v>0</v>
      </c>
      <c r="AB608" s="2" t="s">
        <v>1266</v>
      </c>
    </row>
    <row r="609" spans="1:28" x14ac:dyDescent="0.25">
      <c r="A609" s="1" t="s">
        <v>1662</v>
      </c>
      <c r="B609" s="1" t="s">
        <v>35</v>
      </c>
      <c r="C609" s="1" t="s">
        <v>861</v>
      </c>
      <c r="D609" s="1">
        <v>4</v>
      </c>
      <c r="E609" s="1">
        <v>3</v>
      </c>
      <c r="F609" s="1">
        <v>3</v>
      </c>
      <c r="G609" s="1">
        <v>7</v>
      </c>
      <c r="H609" s="1">
        <v>8</v>
      </c>
      <c r="I609" s="1">
        <v>7</v>
      </c>
      <c r="J609" s="1">
        <v>7</v>
      </c>
      <c r="K609" s="1">
        <f t="shared" si="113"/>
        <v>29</v>
      </c>
      <c r="L609" s="12">
        <f t="shared" si="121"/>
        <v>0.72499999999999998</v>
      </c>
      <c r="M609" s="1">
        <v>7</v>
      </c>
      <c r="N609" s="1">
        <v>7</v>
      </c>
      <c r="O609" s="1">
        <v>8</v>
      </c>
      <c r="P609" s="1">
        <v>8</v>
      </c>
      <c r="Q609" s="1">
        <f t="shared" si="114"/>
        <v>30</v>
      </c>
      <c r="R609" s="12">
        <f t="shared" si="122"/>
        <v>0.75</v>
      </c>
      <c r="S609" s="1">
        <v>7</v>
      </c>
      <c r="T609" s="1">
        <v>8</v>
      </c>
      <c r="U609" s="1">
        <f t="shared" si="115"/>
        <v>15</v>
      </c>
      <c r="V609" s="12">
        <f t="shared" si="123"/>
        <v>0.75</v>
      </c>
      <c r="Z609" s="1">
        <f t="shared" si="116"/>
        <v>0</v>
      </c>
      <c r="AB609" s="2" t="s">
        <v>1267</v>
      </c>
    </row>
    <row r="610" spans="1:28" x14ac:dyDescent="0.25">
      <c r="A610" s="1" t="s">
        <v>1662</v>
      </c>
      <c r="B610" s="1" t="s">
        <v>35</v>
      </c>
      <c r="C610" s="1" t="s">
        <v>861</v>
      </c>
      <c r="D610" s="1">
        <v>4</v>
      </c>
      <c r="E610" s="1">
        <v>3</v>
      </c>
      <c r="F610" s="1">
        <v>3</v>
      </c>
      <c r="G610" s="1">
        <v>6</v>
      </c>
      <c r="H610" s="1">
        <v>6</v>
      </c>
      <c r="I610" s="1">
        <v>7</v>
      </c>
      <c r="J610" s="1">
        <v>6</v>
      </c>
      <c r="K610" s="1">
        <f t="shared" si="113"/>
        <v>25</v>
      </c>
      <c r="L610" s="12">
        <f t="shared" si="121"/>
        <v>0.625</v>
      </c>
      <c r="M610" s="1">
        <v>6</v>
      </c>
      <c r="N610" s="1">
        <v>6</v>
      </c>
      <c r="O610" s="1">
        <v>5</v>
      </c>
      <c r="P610" s="1">
        <v>5</v>
      </c>
      <c r="Q610" s="1">
        <f t="shared" si="114"/>
        <v>22</v>
      </c>
      <c r="R610" s="12">
        <f t="shared" si="122"/>
        <v>0.55000000000000004</v>
      </c>
      <c r="S610" s="1">
        <v>6</v>
      </c>
      <c r="T610" s="1">
        <v>5</v>
      </c>
      <c r="U610" s="1">
        <f t="shared" si="115"/>
        <v>11</v>
      </c>
      <c r="V610" s="12">
        <f t="shared" si="123"/>
        <v>0.55000000000000004</v>
      </c>
      <c r="Z610" s="1">
        <f t="shared" si="116"/>
        <v>0</v>
      </c>
      <c r="AB610" s="2" t="s">
        <v>1268</v>
      </c>
    </row>
    <row r="611" spans="1:28" x14ac:dyDescent="0.25">
      <c r="A611" s="1" t="s">
        <v>1662</v>
      </c>
      <c r="B611" s="1" t="s">
        <v>35</v>
      </c>
      <c r="C611" s="1" t="s">
        <v>861</v>
      </c>
      <c r="D611" s="1">
        <v>4</v>
      </c>
      <c r="E611" s="1">
        <v>3</v>
      </c>
      <c r="F611" s="1">
        <v>3</v>
      </c>
      <c r="G611" s="1">
        <v>6</v>
      </c>
      <c r="H611" s="1">
        <v>5</v>
      </c>
      <c r="I611" s="1">
        <v>5</v>
      </c>
      <c r="J611" s="1">
        <v>5</v>
      </c>
      <c r="K611" s="1">
        <f t="shared" si="113"/>
        <v>21</v>
      </c>
      <c r="L611" s="12">
        <f t="shared" si="121"/>
        <v>0.52500000000000002</v>
      </c>
      <c r="M611" s="1">
        <v>6</v>
      </c>
      <c r="N611" s="1">
        <v>6</v>
      </c>
      <c r="O611" s="1">
        <v>5</v>
      </c>
      <c r="P611" s="1">
        <v>6</v>
      </c>
      <c r="Q611" s="1">
        <f t="shared" si="114"/>
        <v>23</v>
      </c>
      <c r="R611" s="12">
        <f t="shared" si="122"/>
        <v>0.57499999999999996</v>
      </c>
      <c r="S611" s="1">
        <v>5</v>
      </c>
      <c r="T611" s="1">
        <v>6</v>
      </c>
      <c r="U611" s="1">
        <f t="shared" si="115"/>
        <v>11</v>
      </c>
      <c r="V611" s="12">
        <f t="shared" si="123"/>
        <v>0.55000000000000004</v>
      </c>
      <c r="Z611" s="1">
        <f t="shared" si="116"/>
        <v>0</v>
      </c>
      <c r="AB611" s="2" t="s">
        <v>1269</v>
      </c>
    </row>
    <row r="612" spans="1:28" x14ac:dyDescent="0.25">
      <c r="A612" s="1" t="s">
        <v>1662</v>
      </c>
      <c r="B612" s="1" t="s">
        <v>35</v>
      </c>
      <c r="C612" s="1" t="s">
        <v>861</v>
      </c>
      <c r="D612" s="1">
        <v>4</v>
      </c>
      <c r="E612" s="1">
        <v>3</v>
      </c>
      <c r="F612" s="1">
        <v>3</v>
      </c>
      <c r="G612" s="1">
        <v>5</v>
      </c>
      <c r="H612" s="1">
        <v>6</v>
      </c>
      <c r="I612" s="1">
        <v>6</v>
      </c>
      <c r="J612" s="1">
        <v>5</v>
      </c>
      <c r="K612" s="1">
        <f t="shared" si="113"/>
        <v>22</v>
      </c>
      <c r="L612" s="12">
        <f t="shared" si="121"/>
        <v>0.55000000000000004</v>
      </c>
      <c r="M612" s="1">
        <v>5</v>
      </c>
      <c r="N612" s="1">
        <v>5</v>
      </c>
      <c r="O612" s="1">
        <v>6</v>
      </c>
      <c r="P612" s="1">
        <v>5</v>
      </c>
      <c r="Q612" s="1">
        <f t="shared" si="114"/>
        <v>21</v>
      </c>
      <c r="R612" s="12">
        <f t="shared" si="122"/>
        <v>0.52500000000000002</v>
      </c>
      <c r="S612" s="1">
        <v>5</v>
      </c>
      <c r="T612" s="1">
        <v>6</v>
      </c>
      <c r="U612" s="1">
        <f t="shared" si="115"/>
        <v>11</v>
      </c>
      <c r="V612" s="12">
        <f t="shared" si="123"/>
        <v>0.55000000000000004</v>
      </c>
      <c r="Z612" s="1">
        <f t="shared" si="116"/>
        <v>0</v>
      </c>
      <c r="AB612" s="2" t="s">
        <v>1270</v>
      </c>
    </row>
    <row r="613" spans="1:28" x14ac:dyDescent="0.25">
      <c r="A613" s="1" t="s">
        <v>1662</v>
      </c>
      <c r="B613" s="1" t="s">
        <v>576</v>
      </c>
      <c r="C613" s="1" t="s">
        <v>861</v>
      </c>
      <c r="D613" s="1">
        <v>25</v>
      </c>
      <c r="E613" s="1">
        <v>2</v>
      </c>
      <c r="F613" s="1">
        <v>5</v>
      </c>
      <c r="G613" s="1">
        <v>4</v>
      </c>
      <c r="H613" s="1">
        <v>2</v>
      </c>
      <c r="I613" s="1">
        <v>4</v>
      </c>
      <c r="J613" s="1">
        <v>4</v>
      </c>
      <c r="K613" s="1">
        <f t="shared" si="113"/>
        <v>14</v>
      </c>
      <c r="L613" s="12">
        <f t="shared" si="121"/>
        <v>0.35</v>
      </c>
      <c r="M613" s="1">
        <v>4</v>
      </c>
      <c r="N613" s="1">
        <v>4</v>
      </c>
      <c r="O613" s="1">
        <v>2</v>
      </c>
      <c r="P613" s="1">
        <v>4</v>
      </c>
      <c r="Q613" s="1">
        <f t="shared" si="114"/>
        <v>14</v>
      </c>
      <c r="R613" s="12">
        <f t="shared" si="122"/>
        <v>0.35</v>
      </c>
      <c r="S613" s="1">
        <v>6</v>
      </c>
      <c r="T613" s="1">
        <v>6</v>
      </c>
      <c r="U613" s="1">
        <f t="shared" si="115"/>
        <v>12</v>
      </c>
      <c r="V613" s="12">
        <f t="shared" si="123"/>
        <v>0.6</v>
      </c>
      <c r="Z613" s="1">
        <f t="shared" si="116"/>
        <v>0</v>
      </c>
      <c r="AB613" s="2" t="s">
        <v>1529</v>
      </c>
    </row>
    <row r="614" spans="1:28" x14ac:dyDescent="0.25">
      <c r="A614" s="1" t="s">
        <v>1662</v>
      </c>
      <c r="B614" s="1" t="s">
        <v>576</v>
      </c>
      <c r="C614" s="1" t="s">
        <v>861</v>
      </c>
      <c r="D614" s="1">
        <v>25</v>
      </c>
      <c r="E614" s="1">
        <v>2</v>
      </c>
      <c r="F614" s="1">
        <v>5</v>
      </c>
      <c r="G614" s="1">
        <v>4</v>
      </c>
      <c r="H614" s="1">
        <v>6</v>
      </c>
      <c r="I614" s="1">
        <v>4</v>
      </c>
      <c r="J614" s="1">
        <v>6</v>
      </c>
      <c r="K614" s="1">
        <f t="shared" si="113"/>
        <v>20</v>
      </c>
      <c r="L614" s="12">
        <f t="shared" si="121"/>
        <v>0.5</v>
      </c>
      <c r="M614" s="1">
        <v>2</v>
      </c>
      <c r="N614" s="1">
        <v>2</v>
      </c>
      <c r="O614" s="1">
        <v>2</v>
      </c>
      <c r="P614" s="1">
        <v>2</v>
      </c>
      <c r="Q614" s="1">
        <f t="shared" si="114"/>
        <v>8</v>
      </c>
      <c r="R614" s="12">
        <f t="shared" si="122"/>
        <v>0.2</v>
      </c>
      <c r="S614" s="1">
        <v>4</v>
      </c>
      <c r="T614" s="1">
        <v>6</v>
      </c>
      <c r="U614" s="1">
        <f t="shared" si="115"/>
        <v>10</v>
      </c>
      <c r="V614" s="12">
        <f t="shared" si="123"/>
        <v>0.5</v>
      </c>
      <c r="Z614" s="1">
        <f t="shared" si="116"/>
        <v>0</v>
      </c>
      <c r="AB614" s="2" t="s">
        <v>1530</v>
      </c>
    </row>
    <row r="615" spans="1:28" x14ac:dyDescent="0.25">
      <c r="A615" s="1" t="s">
        <v>1662</v>
      </c>
      <c r="B615" s="1" t="s">
        <v>576</v>
      </c>
      <c r="C615" s="1" t="s">
        <v>861</v>
      </c>
      <c r="D615" s="1">
        <v>25</v>
      </c>
      <c r="E615" s="1">
        <v>2</v>
      </c>
      <c r="F615" s="1">
        <v>5</v>
      </c>
      <c r="G615" s="1">
        <v>4</v>
      </c>
      <c r="H615" s="1">
        <v>2</v>
      </c>
      <c r="I615" s="1">
        <v>2</v>
      </c>
      <c r="J615" s="1">
        <v>2</v>
      </c>
      <c r="K615" s="1">
        <f t="shared" si="113"/>
        <v>10</v>
      </c>
      <c r="L615" s="12">
        <f t="shared" si="121"/>
        <v>0.25</v>
      </c>
      <c r="M615" s="1">
        <v>4</v>
      </c>
      <c r="N615" s="1">
        <v>4</v>
      </c>
      <c r="O615" s="1">
        <v>2</v>
      </c>
      <c r="P615" s="1">
        <v>4</v>
      </c>
      <c r="Q615" s="1">
        <f t="shared" si="114"/>
        <v>14</v>
      </c>
      <c r="R615" s="12">
        <f t="shared" si="122"/>
        <v>0.35</v>
      </c>
      <c r="S615" s="1">
        <v>4</v>
      </c>
      <c r="T615" s="1">
        <v>2</v>
      </c>
      <c r="U615" s="1">
        <f t="shared" si="115"/>
        <v>6</v>
      </c>
      <c r="V615" s="12">
        <f t="shared" si="123"/>
        <v>0.3</v>
      </c>
      <c r="Z615" s="1">
        <f t="shared" si="116"/>
        <v>0</v>
      </c>
      <c r="AB615" s="2" t="s">
        <v>1531</v>
      </c>
    </row>
    <row r="616" spans="1:28" x14ac:dyDescent="0.25">
      <c r="A616" s="1" t="s">
        <v>1662</v>
      </c>
      <c r="B616" s="1" t="s">
        <v>576</v>
      </c>
      <c r="C616" s="1" t="s">
        <v>861</v>
      </c>
      <c r="D616" s="1">
        <v>25</v>
      </c>
      <c r="E616" s="1">
        <v>2</v>
      </c>
      <c r="F616" s="1">
        <v>5</v>
      </c>
      <c r="G616" s="1">
        <v>4</v>
      </c>
      <c r="H616" s="1">
        <v>4</v>
      </c>
      <c r="I616" s="1">
        <v>2</v>
      </c>
      <c r="J616" s="1">
        <v>4</v>
      </c>
      <c r="K616" s="1">
        <f t="shared" si="113"/>
        <v>14</v>
      </c>
      <c r="L616" s="12">
        <f t="shared" si="121"/>
        <v>0.35</v>
      </c>
      <c r="M616" s="1">
        <v>4</v>
      </c>
      <c r="N616" s="1">
        <v>4</v>
      </c>
      <c r="O616" s="1">
        <v>2</v>
      </c>
      <c r="P616" s="1">
        <v>4</v>
      </c>
      <c r="Q616" s="1">
        <f t="shared" si="114"/>
        <v>14</v>
      </c>
      <c r="R616" s="12">
        <f t="shared" si="122"/>
        <v>0.35</v>
      </c>
      <c r="S616" s="1">
        <v>4</v>
      </c>
      <c r="T616" s="1">
        <v>6</v>
      </c>
      <c r="U616" s="1">
        <f t="shared" si="115"/>
        <v>10</v>
      </c>
      <c r="V616" s="12">
        <f t="shared" si="123"/>
        <v>0.5</v>
      </c>
      <c r="Z616" s="1">
        <f t="shared" si="116"/>
        <v>0</v>
      </c>
      <c r="AB616" s="2" t="s">
        <v>1532</v>
      </c>
    </row>
    <row r="617" spans="1:28" x14ac:dyDescent="0.25">
      <c r="A617" s="1" t="s">
        <v>1662</v>
      </c>
      <c r="B617" s="1" t="s">
        <v>576</v>
      </c>
      <c r="C617" s="1" t="s">
        <v>861</v>
      </c>
      <c r="D617" s="1">
        <v>25</v>
      </c>
      <c r="E617" s="1">
        <v>2</v>
      </c>
      <c r="F617" s="1">
        <v>5</v>
      </c>
      <c r="G617" s="1">
        <v>6</v>
      </c>
      <c r="H617" s="1">
        <v>7</v>
      </c>
      <c r="I617" s="1">
        <v>8</v>
      </c>
      <c r="J617" s="1">
        <v>8</v>
      </c>
      <c r="K617" s="1">
        <f t="shared" si="113"/>
        <v>29</v>
      </c>
      <c r="L617" s="12">
        <f t="shared" si="121"/>
        <v>0.72499999999999998</v>
      </c>
      <c r="M617" s="1">
        <v>6</v>
      </c>
      <c r="N617" s="1">
        <v>6</v>
      </c>
      <c r="O617" s="1">
        <v>6</v>
      </c>
      <c r="P617" s="1">
        <v>8</v>
      </c>
      <c r="Q617" s="1">
        <f t="shared" si="114"/>
        <v>26</v>
      </c>
      <c r="R617" s="12">
        <f t="shared" si="122"/>
        <v>0.65</v>
      </c>
      <c r="S617" s="1">
        <v>6</v>
      </c>
      <c r="T617" s="1">
        <v>8</v>
      </c>
      <c r="U617" s="1">
        <f t="shared" si="115"/>
        <v>14</v>
      </c>
      <c r="V617" s="12">
        <f t="shared" si="123"/>
        <v>0.7</v>
      </c>
      <c r="Z617" s="1">
        <f t="shared" si="116"/>
        <v>0</v>
      </c>
      <c r="AB617" s="2" t="s">
        <v>1533</v>
      </c>
    </row>
    <row r="618" spans="1:28" x14ac:dyDescent="0.25">
      <c r="A618" s="1" t="s">
        <v>1662</v>
      </c>
      <c r="B618" s="1" t="s">
        <v>576</v>
      </c>
      <c r="C618" s="1" t="s">
        <v>861</v>
      </c>
      <c r="D618" s="1">
        <v>25</v>
      </c>
      <c r="E618" s="1">
        <v>2</v>
      </c>
      <c r="F618" s="1">
        <v>5</v>
      </c>
      <c r="G618" s="1">
        <v>4</v>
      </c>
      <c r="H618" s="1">
        <v>6</v>
      </c>
      <c r="I618" s="1">
        <v>4</v>
      </c>
      <c r="J618" s="1">
        <v>4</v>
      </c>
      <c r="K618" s="1">
        <f t="shared" si="113"/>
        <v>18</v>
      </c>
      <c r="L618" s="12">
        <f t="shared" si="121"/>
        <v>0.45</v>
      </c>
      <c r="M618" s="1">
        <v>4</v>
      </c>
      <c r="N618" s="1">
        <v>4</v>
      </c>
      <c r="O618" s="1">
        <v>4</v>
      </c>
      <c r="P618" s="1">
        <v>4</v>
      </c>
      <c r="Q618" s="1">
        <f t="shared" si="114"/>
        <v>16</v>
      </c>
      <c r="R618" s="12">
        <f t="shared" si="122"/>
        <v>0.4</v>
      </c>
      <c r="S618" s="1">
        <v>4</v>
      </c>
      <c r="T618" s="1">
        <v>6</v>
      </c>
      <c r="U618" s="1">
        <f t="shared" si="115"/>
        <v>10</v>
      </c>
      <c r="V618" s="12">
        <f t="shared" si="123"/>
        <v>0.5</v>
      </c>
      <c r="Z618" s="1">
        <f t="shared" si="116"/>
        <v>0</v>
      </c>
      <c r="AB618" s="2" t="s">
        <v>1534</v>
      </c>
    </row>
    <row r="619" spans="1:28" x14ac:dyDescent="0.25">
      <c r="A619" s="1" t="s">
        <v>1654</v>
      </c>
      <c r="B619" s="1" t="s">
        <v>35</v>
      </c>
      <c r="C619" s="1" t="s">
        <v>36</v>
      </c>
      <c r="D619" s="1">
        <v>20</v>
      </c>
      <c r="E619" s="1">
        <v>2</v>
      </c>
      <c r="F619" s="1">
        <v>7</v>
      </c>
      <c r="G619" s="1">
        <v>7</v>
      </c>
      <c r="H619" s="1">
        <v>6</v>
      </c>
      <c r="I619" s="1">
        <v>5</v>
      </c>
      <c r="J619" s="1">
        <v>4</v>
      </c>
      <c r="K619" s="1">
        <f t="shared" si="113"/>
        <v>22</v>
      </c>
      <c r="L619" s="12">
        <f t="shared" ref="L619:L645" si="124">K619/35</f>
        <v>0.62857142857142856</v>
      </c>
      <c r="M619" s="1">
        <v>7</v>
      </c>
      <c r="N619" s="1">
        <v>7</v>
      </c>
      <c r="O619" s="1">
        <v>6</v>
      </c>
      <c r="P619" s="1">
        <v>4</v>
      </c>
      <c r="Q619" s="1">
        <f t="shared" si="114"/>
        <v>24</v>
      </c>
      <c r="R619" s="12">
        <f t="shared" ref="R619:R645" si="125">Q619/35</f>
        <v>0.68571428571428572</v>
      </c>
      <c r="S619" s="1">
        <v>7</v>
      </c>
      <c r="T619" s="1">
        <v>4</v>
      </c>
      <c r="U619" s="1">
        <f t="shared" si="115"/>
        <v>11</v>
      </c>
      <c r="V619" s="12">
        <f t="shared" ref="V619:V645" si="126">U619/15</f>
        <v>0.73333333333333328</v>
      </c>
      <c r="W619" s="1">
        <v>4</v>
      </c>
      <c r="X619" s="1">
        <v>3</v>
      </c>
      <c r="Y619" s="1">
        <v>3</v>
      </c>
      <c r="Z619" s="1">
        <f t="shared" si="116"/>
        <v>10</v>
      </c>
      <c r="AA619" s="12">
        <f t="shared" ref="AA619:AA645" si="127">Z619/15</f>
        <v>0.66666666666666663</v>
      </c>
      <c r="AB619" s="2" t="s">
        <v>406</v>
      </c>
    </row>
    <row r="620" spans="1:28" x14ac:dyDescent="0.25">
      <c r="A620" s="1" t="s">
        <v>1654</v>
      </c>
      <c r="B620" s="1" t="s">
        <v>35</v>
      </c>
      <c r="C620" s="1" t="s">
        <v>36</v>
      </c>
      <c r="D620" s="1">
        <v>20</v>
      </c>
      <c r="E620" s="1">
        <v>2</v>
      </c>
      <c r="F620" s="1">
        <v>7</v>
      </c>
      <c r="G620" s="1">
        <v>9</v>
      </c>
      <c r="H620" s="1">
        <v>5</v>
      </c>
      <c r="I620" s="1">
        <v>6</v>
      </c>
      <c r="J620" s="1">
        <v>5</v>
      </c>
      <c r="K620" s="1">
        <f t="shared" si="113"/>
        <v>25</v>
      </c>
      <c r="L620" s="12">
        <f t="shared" si="124"/>
        <v>0.7142857142857143</v>
      </c>
      <c r="M620" s="1">
        <v>6</v>
      </c>
      <c r="N620" s="1">
        <v>7</v>
      </c>
      <c r="O620" s="1">
        <v>7</v>
      </c>
      <c r="P620" s="1">
        <v>5</v>
      </c>
      <c r="Q620" s="1">
        <f t="shared" si="114"/>
        <v>25</v>
      </c>
      <c r="R620" s="12">
        <f t="shared" si="125"/>
        <v>0.7142857142857143</v>
      </c>
      <c r="S620" s="1">
        <v>8</v>
      </c>
      <c r="T620" s="1">
        <v>5</v>
      </c>
      <c r="U620" s="1">
        <f t="shared" si="115"/>
        <v>13</v>
      </c>
      <c r="V620" s="12">
        <f t="shared" si="126"/>
        <v>0.8666666666666667</v>
      </c>
      <c r="W620" s="1">
        <v>5</v>
      </c>
      <c r="X620" s="1">
        <v>4</v>
      </c>
      <c r="Y620" s="1">
        <v>5</v>
      </c>
      <c r="Z620" s="1">
        <f t="shared" si="116"/>
        <v>14</v>
      </c>
      <c r="AA620" s="12">
        <f t="shared" si="127"/>
        <v>0.93333333333333335</v>
      </c>
      <c r="AB620" s="2" t="s">
        <v>407</v>
      </c>
    </row>
    <row r="621" spans="1:28" x14ac:dyDescent="0.25">
      <c r="A621" s="1" t="s">
        <v>1654</v>
      </c>
      <c r="B621" s="1" t="s">
        <v>35</v>
      </c>
      <c r="C621" s="1" t="s">
        <v>36</v>
      </c>
      <c r="D621" s="1">
        <v>20</v>
      </c>
      <c r="E621" s="1">
        <v>2</v>
      </c>
      <c r="F621" s="1">
        <v>7</v>
      </c>
      <c r="G621" s="1">
        <v>8</v>
      </c>
      <c r="H621" s="1">
        <v>8</v>
      </c>
      <c r="I621" s="1">
        <v>8</v>
      </c>
      <c r="J621" s="1">
        <v>5</v>
      </c>
      <c r="K621" s="1">
        <f t="shared" si="113"/>
        <v>29</v>
      </c>
      <c r="L621" s="12">
        <f t="shared" si="124"/>
        <v>0.82857142857142863</v>
      </c>
      <c r="M621" s="1">
        <v>8</v>
      </c>
      <c r="N621" s="1">
        <v>9</v>
      </c>
      <c r="O621" s="1">
        <v>9</v>
      </c>
      <c r="P621" s="1">
        <v>4</v>
      </c>
      <c r="Q621" s="1">
        <f t="shared" si="114"/>
        <v>30</v>
      </c>
      <c r="R621" s="12">
        <f t="shared" si="125"/>
        <v>0.8571428571428571</v>
      </c>
      <c r="S621" s="1">
        <v>8</v>
      </c>
      <c r="T621" s="1">
        <v>5</v>
      </c>
      <c r="U621" s="1">
        <f t="shared" si="115"/>
        <v>13</v>
      </c>
      <c r="V621" s="12">
        <f t="shared" si="126"/>
        <v>0.8666666666666667</v>
      </c>
      <c r="W621" s="1">
        <v>5</v>
      </c>
      <c r="X621" s="1">
        <v>4</v>
      </c>
      <c r="Y621" s="1">
        <v>5</v>
      </c>
      <c r="Z621" s="1">
        <f t="shared" si="116"/>
        <v>14</v>
      </c>
      <c r="AA621" s="12">
        <f t="shared" si="127"/>
        <v>0.93333333333333335</v>
      </c>
      <c r="AB621" s="2" t="s">
        <v>408</v>
      </c>
    </row>
    <row r="622" spans="1:28" x14ac:dyDescent="0.25">
      <c r="A622" s="1" t="s">
        <v>1654</v>
      </c>
      <c r="B622" s="1" t="s">
        <v>35</v>
      </c>
      <c r="C622" s="1" t="s">
        <v>36</v>
      </c>
      <c r="D622" s="1">
        <v>20</v>
      </c>
      <c r="E622" s="1">
        <v>2</v>
      </c>
      <c r="F622" s="1">
        <v>7</v>
      </c>
      <c r="G622" s="1">
        <v>9</v>
      </c>
      <c r="H622" s="1">
        <v>9</v>
      </c>
      <c r="I622" s="1">
        <v>10</v>
      </c>
      <c r="J622" s="1">
        <v>4</v>
      </c>
      <c r="K622" s="1">
        <f t="shared" si="113"/>
        <v>32</v>
      </c>
      <c r="L622" s="12">
        <f t="shared" si="124"/>
        <v>0.91428571428571426</v>
      </c>
      <c r="M622" s="1">
        <v>9</v>
      </c>
      <c r="N622" s="1">
        <v>9</v>
      </c>
      <c r="O622" s="1">
        <v>9</v>
      </c>
      <c r="P622" s="1">
        <v>4</v>
      </c>
      <c r="Q622" s="1">
        <f t="shared" si="114"/>
        <v>31</v>
      </c>
      <c r="R622" s="12">
        <f t="shared" si="125"/>
        <v>0.88571428571428568</v>
      </c>
      <c r="S622" s="1">
        <v>9</v>
      </c>
      <c r="T622" s="1">
        <v>3</v>
      </c>
      <c r="U622" s="1">
        <f t="shared" si="115"/>
        <v>12</v>
      </c>
      <c r="V622" s="12">
        <f t="shared" si="126"/>
        <v>0.8</v>
      </c>
      <c r="W622" s="1">
        <v>3</v>
      </c>
      <c r="X622" s="1">
        <v>3</v>
      </c>
      <c r="Y622" s="1">
        <v>3</v>
      </c>
      <c r="Z622" s="1">
        <f t="shared" si="116"/>
        <v>9</v>
      </c>
      <c r="AA622" s="12">
        <f t="shared" si="127"/>
        <v>0.6</v>
      </c>
      <c r="AB622" s="2" t="s">
        <v>409</v>
      </c>
    </row>
    <row r="623" spans="1:28" x14ac:dyDescent="0.25">
      <c r="A623" s="1" t="s">
        <v>1654</v>
      </c>
      <c r="B623" s="1" t="s">
        <v>35</v>
      </c>
      <c r="C623" s="1" t="s">
        <v>36</v>
      </c>
      <c r="D623" s="1">
        <v>20</v>
      </c>
      <c r="E623" s="1">
        <v>2</v>
      </c>
      <c r="F623" s="1">
        <v>7</v>
      </c>
      <c r="G623" s="1">
        <v>10</v>
      </c>
      <c r="H623" s="1">
        <v>9</v>
      </c>
      <c r="I623" s="1">
        <v>7</v>
      </c>
      <c r="J623" s="1">
        <v>4</v>
      </c>
      <c r="K623" s="1">
        <f t="shared" si="113"/>
        <v>30</v>
      </c>
      <c r="L623" s="12">
        <f t="shared" si="124"/>
        <v>0.8571428571428571</v>
      </c>
      <c r="M623" s="1">
        <v>8</v>
      </c>
      <c r="N623" s="1">
        <v>8</v>
      </c>
      <c r="O623" s="1">
        <v>8</v>
      </c>
      <c r="P623" s="1">
        <v>5</v>
      </c>
      <c r="Q623" s="1">
        <f t="shared" si="114"/>
        <v>29</v>
      </c>
      <c r="R623" s="12">
        <f t="shared" si="125"/>
        <v>0.82857142857142863</v>
      </c>
      <c r="S623" s="1">
        <v>9</v>
      </c>
      <c r="T623" s="1">
        <v>5</v>
      </c>
      <c r="U623" s="1">
        <f t="shared" si="115"/>
        <v>14</v>
      </c>
      <c r="V623" s="12">
        <f t="shared" si="126"/>
        <v>0.93333333333333335</v>
      </c>
      <c r="W623" s="1">
        <v>4</v>
      </c>
      <c r="X623" s="1">
        <v>4</v>
      </c>
      <c r="Y623" s="1">
        <v>5</v>
      </c>
      <c r="Z623" s="1">
        <f t="shared" si="116"/>
        <v>13</v>
      </c>
      <c r="AA623" s="12">
        <f t="shared" si="127"/>
        <v>0.8666666666666667</v>
      </c>
      <c r="AB623" s="2" t="s">
        <v>410</v>
      </c>
    </row>
    <row r="624" spans="1:28" x14ac:dyDescent="0.25">
      <c r="A624" s="1" t="s">
        <v>1654</v>
      </c>
      <c r="B624" s="1" t="s">
        <v>35</v>
      </c>
      <c r="C624" s="1" t="s">
        <v>36</v>
      </c>
      <c r="D624" s="1">
        <v>20</v>
      </c>
      <c r="E624" s="1">
        <v>2</v>
      </c>
      <c r="F624" s="1">
        <v>7</v>
      </c>
      <c r="G624" s="1">
        <v>6</v>
      </c>
      <c r="H624" s="1">
        <v>5</v>
      </c>
      <c r="I624" s="1">
        <v>6</v>
      </c>
      <c r="J624" s="1">
        <v>3</v>
      </c>
      <c r="K624" s="1">
        <f t="shared" si="113"/>
        <v>20</v>
      </c>
      <c r="L624" s="12">
        <f t="shared" si="124"/>
        <v>0.5714285714285714</v>
      </c>
      <c r="M624" s="1">
        <v>7</v>
      </c>
      <c r="N624" s="1">
        <v>5</v>
      </c>
      <c r="O624" s="1">
        <v>6</v>
      </c>
      <c r="P624" s="1">
        <v>3</v>
      </c>
      <c r="Q624" s="1">
        <f t="shared" si="114"/>
        <v>21</v>
      </c>
      <c r="R624" s="12">
        <f t="shared" si="125"/>
        <v>0.6</v>
      </c>
      <c r="S624" s="1">
        <v>4</v>
      </c>
      <c r="T624" s="1">
        <v>2</v>
      </c>
      <c r="U624" s="1">
        <f t="shared" si="115"/>
        <v>6</v>
      </c>
      <c r="V624" s="12">
        <f t="shared" si="126"/>
        <v>0.4</v>
      </c>
      <c r="W624" s="1">
        <v>4</v>
      </c>
      <c r="X624" s="1">
        <v>3</v>
      </c>
      <c r="Y624" s="1">
        <v>4</v>
      </c>
      <c r="Z624" s="1">
        <f t="shared" si="116"/>
        <v>11</v>
      </c>
      <c r="AA624" s="12">
        <f t="shared" si="127"/>
        <v>0.73333333333333328</v>
      </c>
      <c r="AB624" s="2" t="s">
        <v>411</v>
      </c>
    </row>
    <row r="625" spans="1:28" x14ac:dyDescent="0.25">
      <c r="A625" s="1" t="s">
        <v>1654</v>
      </c>
      <c r="B625" s="1" t="s">
        <v>35</v>
      </c>
      <c r="C625" s="1" t="s">
        <v>36</v>
      </c>
      <c r="D625" s="1">
        <v>20</v>
      </c>
      <c r="E625" s="1">
        <v>2</v>
      </c>
      <c r="F625" s="1">
        <v>7</v>
      </c>
      <c r="G625" s="1">
        <v>10</v>
      </c>
      <c r="H625" s="1">
        <v>10</v>
      </c>
      <c r="I625" s="1">
        <v>7</v>
      </c>
      <c r="J625" s="1">
        <v>5</v>
      </c>
      <c r="K625" s="1">
        <f t="shared" si="113"/>
        <v>32</v>
      </c>
      <c r="L625" s="12">
        <f t="shared" si="124"/>
        <v>0.91428571428571426</v>
      </c>
      <c r="M625" s="1">
        <v>8</v>
      </c>
      <c r="N625" s="1">
        <v>9</v>
      </c>
      <c r="O625" s="1">
        <v>9</v>
      </c>
      <c r="P625" s="1">
        <v>5</v>
      </c>
      <c r="Q625" s="1">
        <f t="shared" si="114"/>
        <v>31</v>
      </c>
      <c r="R625" s="12">
        <f t="shared" si="125"/>
        <v>0.88571428571428568</v>
      </c>
      <c r="S625" s="1">
        <v>10</v>
      </c>
      <c r="T625" s="1">
        <v>5</v>
      </c>
      <c r="U625" s="1">
        <f t="shared" si="115"/>
        <v>15</v>
      </c>
      <c r="V625" s="12">
        <f t="shared" si="126"/>
        <v>1</v>
      </c>
      <c r="W625" s="1">
        <v>4</v>
      </c>
      <c r="X625" s="1">
        <v>3</v>
      </c>
      <c r="Y625" s="1">
        <v>2</v>
      </c>
      <c r="Z625" s="1">
        <f t="shared" si="116"/>
        <v>9</v>
      </c>
      <c r="AA625" s="12">
        <f t="shared" si="127"/>
        <v>0.6</v>
      </c>
      <c r="AB625" s="2" t="s">
        <v>412</v>
      </c>
    </row>
    <row r="626" spans="1:28" x14ac:dyDescent="0.25">
      <c r="A626" s="1" t="s">
        <v>1654</v>
      </c>
      <c r="B626" s="1" t="s">
        <v>35</v>
      </c>
      <c r="C626" s="1" t="s">
        <v>36</v>
      </c>
      <c r="D626" s="1">
        <v>20</v>
      </c>
      <c r="E626" s="1">
        <v>2</v>
      </c>
      <c r="F626" s="1">
        <v>7</v>
      </c>
      <c r="G626" s="1">
        <v>10</v>
      </c>
      <c r="H626" s="1">
        <v>9</v>
      </c>
      <c r="I626" s="1">
        <v>9</v>
      </c>
      <c r="J626" s="1">
        <v>5</v>
      </c>
      <c r="K626" s="1">
        <f t="shared" si="113"/>
        <v>33</v>
      </c>
      <c r="L626" s="12">
        <f t="shared" si="124"/>
        <v>0.94285714285714284</v>
      </c>
      <c r="M626" s="1">
        <v>10</v>
      </c>
      <c r="N626" s="1">
        <v>9</v>
      </c>
      <c r="O626" s="1">
        <v>8</v>
      </c>
      <c r="P626" s="1">
        <v>5</v>
      </c>
      <c r="Q626" s="1">
        <f t="shared" si="114"/>
        <v>32</v>
      </c>
      <c r="R626" s="12">
        <f t="shared" si="125"/>
        <v>0.91428571428571426</v>
      </c>
      <c r="S626" s="1">
        <v>9</v>
      </c>
      <c r="T626" s="1">
        <v>4</v>
      </c>
      <c r="U626" s="1">
        <f t="shared" si="115"/>
        <v>13</v>
      </c>
      <c r="V626" s="12">
        <f t="shared" si="126"/>
        <v>0.8666666666666667</v>
      </c>
      <c r="W626" s="1">
        <v>4</v>
      </c>
      <c r="X626" s="1">
        <v>3</v>
      </c>
      <c r="Y626" s="1">
        <v>3</v>
      </c>
      <c r="Z626" s="1">
        <f t="shared" si="116"/>
        <v>10</v>
      </c>
      <c r="AA626" s="12">
        <f t="shared" si="127"/>
        <v>0.66666666666666663</v>
      </c>
      <c r="AB626" s="2" t="s">
        <v>413</v>
      </c>
    </row>
    <row r="627" spans="1:28" x14ac:dyDescent="0.25">
      <c r="A627" s="1" t="s">
        <v>1654</v>
      </c>
      <c r="B627" s="1" t="s">
        <v>35</v>
      </c>
      <c r="C627" s="1" t="s">
        <v>36</v>
      </c>
      <c r="D627" s="1">
        <v>5</v>
      </c>
      <c r="E627" s="1">
        <v>3</v>
      </c>
      <c r="F627" s="1">
        <v>6</v>
      </c>
      <c r="G627" s="1">
        <v>9</v>
      </c>
      <c r="H627" s="1">
        <v>7</v>
      </c>
      <c r="I627" s="1">
        <v>7</v>
      </c>
      <c r="J627" s="1">
        <v>4</v>
      </c>
      <c r="K627" s="1">
        <f t="shared" si="113"/>
        <v>27</v>
      </c>
      <c r="L627" s="12">
        <f t="shared" si="124"/>
        <v>0.77142857142857146</v>
      </c>
      <c r="M627" s="1">
        <v>6</v>
      </c>
      <c r="N627" s="1">
        <v>6</v>
      </c>
      <c r="O627" s="1">
        <v>7</v>
      </c>
      <c r="P627" s="1">
        <v>3</v>
      </c>
      <c r="Q627" s="1">
        <f t="shared" si="114"/>
        <v>22</v>
      </c>
      <c r="R627" s="12">
        <f t="shared" si="125"/>
        <v>0.62857142857142856</v>
      </c>
      <c r="S627" s="1">
        <v>8</v>
      </c>
      <c r="T627" s="1">
        <v>4</v>
      </c>
      <c r="U627" s="1">
        <f t="shared" si="115"/>
        <v>12</v>
      </c>
      <c r="V627" s="12">
        <f t="shared" si="126"/>
        <v>0.8</v>
      </c>
      <c r="W627" s="1">
        <v>4</v>
      </c>
      <c r="X627" s="1">
        <v>3</v>
      </c>
      <c r="Y627" s="1">
        <v>3</v>
      </c>
      <c r="Z627" s="1">
        <f t="shared" si="116"/>
        <v>10</v>
      </c>
      <c r="AA627" s="12">
        <f t="shared" si="127"/>
        <v>0.66666666666666663</v>
      </c>
      <c r="AB627" s="2" t="s">
        <v>568</v>
      </c>
    </row>
    <row r="628" spans="1:28" x14ac:dyDescent="0.25">
      <c r="A628" s="1" t="s">
        <v>1654</v>
      </c>
      <c r="B628" s="1" t="s">
        <v>35</v>
      </c>
      <c r="C628" s="1" t="s">
        <v>36</v>
      </c>
      <c r="D628" s="1">
        <v>5</v>
      </c>
      <c r="E628" s="1">
        <v>3</v>
      </c>
      <c r="F628" s="1">
        <v>6</v>
      </c>
      <c r="G628" s="1">
        <v>8</v>
      </c>
      <c r="H628" s="1">
        <v>6</v>
      </c>
      <c r="I628" s="1">
        <v>6</v>
      </c>
      <c r="J628" s="1">
        <v>3</v>
      </c>
      <c r="K628" s="1">
        <f t="shared" si="113"/>
        <v>23</v>
      </c>
      <c r="L628" s="12">
        <f t="shared" si="124"/>
        <v>0.65714285714285714</v>
      </c>
      <c r="M628" s="1">
        <v>7</v>
      </c>
      <c r="N628" s="1">
        <v>8</v>
      </c>
      <c r="O628" s="1">
        <v>7</v>
      </c>
      <c r="P628" s="1">
        <v>4</v>
      </c>
      <c r="Q628" s="1">
        <f t="shared" si="114"/>
        <v>26</v>
      </c>
      <c r="R628" s="12">
        <f t="shared" si="125"/>
        <v>0.74285714285714288</v>
      </c>
      <c r="S628" s="1">
        <v>8</v>
      </c>
      <c r="T628" s="1">
        <v>4</v>
      </c>
      <c r="U628" s="1">
        <f t="shared" si="115"/>
        <v>12</v>
      </c>
      <c r="V628" s="12">
        <f t="shared" si="126"/>
        <v>0.8</v>
      </c>
      <c r="W628" s="1">
        <v>3</v>
      </c>
      <c r="X628" s="1">
        <v>3</v>
      </c>
      <c r="Y628" s="1">
        <v>3</v>
      </c>
      <c r="Z628" s="1">
        <f t="shared" si="116"/>
        <v>9</v>
      </c>
      <c r="AA628" s="12">
        <f t="shared" si="127"/>
        <v>0.6</v>
      </c>
      <c r="AB628" s="2" t="s">
        <v>569</v>
      </c>
    </row>
    <row r="629" spans="1:28" x14ac:dyDescent="0.25">
      <c r="A629" s="1" t="s">
        <v>1654</v>
      </c>
      <c r="B629" s="1" t="s">
        <v>35</v>
      </c>
      <c r="C629" s="1" t="s">
        <v>36</v>
      </c>
      <c r="D629" s="1">
        <v>5</v>
      </c>
      <c r="E629" s="1">
        <v>3</v>
      </c>
      <c r="F629" s="1">
        <v>6</v>
      </c>
      <c r="G629" s="1">
        <v>9</v>
      </c>
      <c r="H629" s="1">
        <v>8</v>
      </c>
      <c r="I629" s="1">
        <v>7</v>
      </c>
      <c r="J629" s="1">
        <v>4</v>
      </c>
      <c r="K629" s="1">
        <f t="shared" si="113"/>
        <v>28</v>
      </c>
      <c r="L629" s="12">
        <f t="shared" si="124"/>
        <v>0.8</v>
      </c>
      <c r="M629" s="1">
        <v>9</v>
      </c>
      <c r="N629" s="1">
        <v>8</v>
      </c>
      <c r="O629" s="1">
        <v>8</v>
      </c>
      <c r="P629" s="1">
        <v>4</v>
      </c>
      <c r="Q629" s="1">
        <f t="shared" si="114"/>
        <v>29</v>
      </c>
      <c r="R629" s="12">
        <f t="shared" si="125"/>
        <v>0.82857142857142863</v>
      </c>
      <c r="S629" s="1">
        <v>9</v>
      </c>
      <c r="T629" s="1">
        <v>5</v>
      </c>
      <c r="U629" s="1">
        <f t="shared" si="115"/>
        <v>14</v>
      </c>
      <c r="V629" s="12">
        <f t="shared" si="126"/>
        <v>0.93333333333333335</v>
      </c>
      <c r="W629" s="1">
        <v>4</v>
      </c>
      <c r="X629" s="1">
        <v>4</v>
      </c>
      <c r="Y629" s="1">
        <v>3</v>
      </c>
      <c r="Z629" s="1">
        <f t="shared" si="116"/>
        <v>11</v>
      </c>
      <c r="AA629" s="12">
        <f t="shared" si="127"/>
        <v>0.73333333333333328</v>
      </c>
      <c r="AB629" s="2" t="s">
        <v>570</v>
      </c>
    </row>
    <row r="630" spans="1:28" x14ac:dyDescent="0.25">
      <c r="A630" s="1" t="s">
        <v>1654</v>
      </c>
      <c r="B630" s="1" t="s">
        <v>35</v>
      </c>
      <c r="C630" s="1" t="s">
        <v>36</v>
      </c>
      <c r="D630" s="1">
        <v>5</v>
      </c>
      <c r="E630" s="1">
        <v>3</v>
      </c>
      <c r="F630" s="1">
        <v>6</v>
      </c>
      <c r="G630" s="1">
        <v>9</v>
      </c>
      <c r="H630" s="1">
        <v>9</v>
      </c>
      <c r="I630" s="1">
        <v>8</v>
      </c>
      <c r="J630" s="1">
        <v>4</v>
      </c>
      <c r="K630" s="1">
        <f t="shared" si="113"/>
        <v>30</v>
      </c>
      <c r="L630" s="12">
        <f t="shared" si="124"/>
        <v>0.8571428571428571</v>
      </c>
      <c r="M630" s="1">
        <v>9</v>
      </c>
      <c r="N630" s="1">
        <v>8</v>
      </c>
      <c r="O630" s="1">
        <v>8</v>
      </c>
      <c r="P630" s="1">
        <v>4</v>
      </c>
      <c r="Q630" s="1">
        <f t="shared" si="114"/>
        <v>29</v>
      </c>
      <c r="R630" s="12">
        <f t="shared" si="125"/>
        <v>0.82857142857142863</v>
      </c>
      <c r="S630" s="1">
        <v>8</v>
      </c>
      <c r="T630" s="1">
        <v>4</v>
      </c>
      <c r="U630" s="1">
        <f t="shared" si="115"/>
        <v>12</v>
      </c>
      <c r="V630" s="12">
        <f t="shared" si="126"/>
        <v>0.8</v>
      </c>
      <c r="W630" s="1">
        <v>4</v>
      </c>
      <c r="X630" s="1">
        <v>4</v>
      </c>
      <c r="Y630" s="1">
        <v>4</v>
      </c>
      <c r="Z630" s="1">
        <f t="shared" si="116"/>
        <v>12</v>
      </c>
      <c r="AA630" s="12">
        <f t="shared" si="127"/>
        <v>0.8</v>
      </c>
      <c r="AB630" s="2" t="s">
        <v>571</v>
      </c>
    </row>
    <row r="631" spans="1:28" x14ac:dyDescent="0.25">
      <c r="A631" s="1" t="s">
        <v>1654</v>
      </c>
      <c r="B631" s="1" t="s">
        <v>35</v>
      </c>
      <c r="C631" s="1" t="s">
        <v>36</v>
      </c>
      <c r="D631" s="1">
        <v>5</v>
      </c>
      <c r="E631" s="1">
        <v>3</v>
      </c>
      <c r="F631" s="1">
        <v>6</v>
      </c>
      <c r="G631" s="1">
        <v>8</v>
      </c>
      <c r="H631" s="1">
        <v>7</v>
      </c>
      <c r="I631" s="1">
        <v>7</v>
      </c>
      <c r="J631" s="1">
        <v>4</v>
      </c>
      <c r="K631" s="1">
        <f t="shared" si="113"/>
        <v>26</v>
      </c>
      <c r="L631" s="12">
        <f t="shared" si="124"/>
        <v>0.74285714285714288</v>
      </c>
      <c r="M631" s="1">
        <v>8</v>
      </c>
      <c r="N631" s="1">
        <v>8</v>
      </c>
      <c r="O631" s="1">
        <v>7</v>
      </c>
      <c r="P631" s="1">
        <v>4</v>
      </c>
      <c r="Q631" s="1">
        <f t="shared" si="114"/>
        <v>27</v>
      </c>
      <c r="R631" s="12">
        <f t="shared" si="125"/>
        <v>0.77142857142857146</v>
      </c>
      <c r="S631" s="1">
        <v>7</v>
      </c>
      <c r="T631" s="1">
        <v>4</v>
      </c>
      <c r="U631" s="1">
        <f t="shared" si="115"/>
        <v>11</v>
      </c>
      <c r="V631" s="12">
        <f t="shared" si="126"/>
        <v>0.73333333333333328</v>
      </c>
      <c r="W631" s="1">
        <v>3</v>
      </c>
      <c r="X631" s="1">
        <v>3</v>
      </c>
      <c r="Y631" s="1">
        <v>3</v>
      </c>
      <c r="Z631" s="1">
        <f t="shared" si="116"/>
        <v>9</v>
      </c>
      <c r="AA631" s="12">
        <f t="shared" si="127"/>
        <v>0.6</v>
      </c>
      <c r="AB631" s="2" t="s">
        <v>572</v>
      </c>
    </row>
    <row r="632" spans="1:28" x14ac:dyDescent="0.25">
      <c r="A632" s="1" t="s">
        <v>1654</v>
      </c>
      <c r="B632" s="1" t="s">
        <v>35</v>
      </c>
      <c r="C632" s="1" t="s">
        <v>36</v>
      </c>
      <c r="D632" s="1">
        <v>5</v>
      </c>
      <c r="E632" s="1">
        <v>3</v>
      </c>
      <c r="F632" s="1">
        <v>6</v>
      </c>
      <c r="G632" s="1">
        <v>9</v>
      </c>
      <c r="H632" s="1">
        <v>9</v>
      </c>
      <c r="I632" s="1">
        <v>8</v>
      </c>
      <c r="J632" s="1">
        <v>4</v>
      </c>
      <c r="K632" s="1">
        <f t="shared" si="113"/>
        <v>30</v>
      </c>
      <c r="L632" s="12">
        <f t="shared" si="124"/>
        <v>0.8571428571428571</v>
      </c>
      <c r="M632" s="1">
        <v>9</v>
      </c>
      <c r="N632" s="1">
        <v>9</v>
      </c>
      <c r="O632" s="1">
        <v>8</v>
      </c>
      <c r="P632" s="1">
        <v>4</v>
      </c>
      <c r="Q632" s="1">
        <f t="shared" si="114"/>
        <v>30</v>
      </c>
      <c r="R632" s="12">
        <f t="shared" si="125"/>
        <v>0.8571428571428571</v>
      </c>
      <c r="S632" s="1">
        <v>8</v>
      </c>
      <c r="T632" s="1">
        <v>4</v>
      </c>
      <c r="U632" s="1">
        <f t="shared" si="115"/>
        <v>12</v>
      </c>
      <c r="V632" s="12">
        <f t="shared" si="126"/>
        <v>0.8</v>
      </c>
      <c r="W632" s="1">
        <v>4</v>
      </c>
      <c r="X632" s="1">
        <v>4</v>
      </c>
      <c r="Y632" s="1">
        <v>4</v>
      </c>
      <c r="Z632" s="1">
        <f t="shared" si="116"/>
        <v>12</v>
      </c>
      <c r="AA632" s="12">
        <f t="shared" si="127"/>
        <v>0.8</v>
      </c>
      <c r="AB632" s="2" t="s">
        <v>573</v>
      </c>
    </row>
    <row r="633" spans="1:28" x14ac:dyDescent="0.25">
      <c r="A633" s="1" t="s">
        <v>1654</v>
      </c>
      <c r="B633" s="1" t="s">
        <v>35</v>
      </c>
      <c r="C633" s="1" t="s">
        <v>36</v>
      </c>
      <c r="D633" s="1">
        <v>5</v>
      </c>
      <c r="E633" s="1">
        <v>3</v>
      </c>
      <c r="F633" s="1">
        <v>6</v>
      </c>
      <c r="G633" s="1">
        <v>9</v>
      </c>
      <c r="H633" s="1">
        <v>9</v>
      </c>
      <c r="I633" s="1">
        <v>9</v>
      </c>
      <c r="J633" s="1">
        <v>4</v>
      </c>
      <c r="K633" s="1">
        <f t="shared" si="113"/>
        <v>31</v>
      </c>
      <c r="L633" s="12">
        <f t="shared" si="124"/>
        <v>0.88571428571428568</v>
      </c>
      <c r="M633" s="1">
        <v>9</v>
      </c>
      <c r="N633" s="1">
        <v>9</v>
      </c>
      <c r="O633" s="1">
        <v>9</v>
      </c>
      <c r="P633" s="1">
        <v>4</v>
      </c>
      <c r="Q633" s="1">
        <f t="shared" si="114"/>
        <v>31</v>
      </c>
      <c r="R633" s="12">
        <f t="shared" si="125"/>
        <v>0.88571428571428568</v>
      </c>
      <c r="S633" s="1">
        <v>9</v>
      </c>
      <c r="T633" s="1">
        <v>4</v>
      </c>
      <c r="U633" s="1">
        <f t="shared" si="115"/>
        <v>13</v>
      </c>
      <c r="V633" s="12">
        <f t="shared" si="126"/>
        <v>0.8666666666666667</v>
      </c>
      <c r="W633" s="1">
        <v>4</v>
      </c>
      <c r="X633" s="1">
        <v>4</v>
      </c>
      <c r="Y633" s="1">
        <v>4</v>
      </c>
      <c r="Z633" s="1">
        <f t="shared" si="116"/>
        <v>12</v>
      </c>
      <c r="AA633" s="12">
        <f t="shared" si="127"/>
        <v>0.8</v>
      </c>
      <c r="AB633" s="2" t="s">
        <v>574</v>
      </c>
    </row>
    <row r="634" spans="1:28" x14ac:dyDescent="0.25">
      <c r="A634" s="1" t="s">
        <v>1654</v>
      </c>
      <c r="B634" s="1" t="s">
        <v>35</v>
      </c>
      <c r="C634" s="1" t="s">
        <v>36</v>
      </c>
      <c r="D634" s="1">
        <v>5</v>
      </c>
      <c r="E634" s="1">
        <v>3</v>
      </c>
      <c r="F634" s="1">
        <v>6</v>
      </c>
      <c r="G634" s="1">
        <v>9</v>
      </c>
      <c r="H634" s="1">
        <v>9</v>
      </c>
      <c r="I634" s="1">
        <v>8</v>
      </c>
      <c r="J634" s="1">
        <v>4</v>
      </c>
      <c r="K634" s="1">
        <f t="shared" si="113"/>
        <v>30</v>
      </c>
      <c r="L634" s="12">
        <f t="shared" si="124"/>
        <v>0.8571428571428571</v>
      </c>
      <c r="M634" s="1">
        <v>8</v>
      </c>
      <c r="N634" s="1">
        <v>9</v>
      </c>
      <c r="O634" s="1">
        <v>8</v>
      </c>
      <c r="P634" s="1">
        <v>4</v>
      </c>
      <c r="Q634" s="1">
        <f t="shared" si="114"/>
        <v>29</v>
      </c>
      <c r="R634" s="12">
        <f t="shared" si="125"/>
        <v>0.82857142857142863</v>
      </c>
      <c r="S634" s="1">
        <v>9</v>
      </c>
      <c r="T634" s="1">
        <v>4</v>
      </c>
      <c r="U634" s="1">
        <f t="shared" si="115"/>
        <v>13</v>
      </c>
      <c r="V634" s="12">
        <f t="shared" si="126"/>
        <v>0.8666666666666667</v>
      </c>
      <c r="W634" s="1">
        <v>4</v>
      </c>
      <c r="X634" s="1">
        <v>3</v>
      </c>
      <c r="Y634" s="1">
        <v>3</v>
      </c>
      <c r="Z634" s="1">
        <f t="shared" si="116"/>
        <v>10</v>
      </c>
      <c r="AA634" s="12">
        <f t="shared" si="127"/>
        <v>0.66666666666666663</v>
      </c>
      <c r="AB634" s="2" t="s">
        <v>575</v>
      </c>
    </row>
    <row r="635" spans="1:28" x14ac:dyDescent="0.25">
      <c r="A635" s="1" t="s">
        <v>1654</v>
      </c>
      <c r="B635" s="1" t="s">
        <v>576</v>
      </c>
      <c r="C635" s="1" t="s">
        <v>36</v>
      </c>
      <c r="D635" s="1">
        <v>26</v>
      </c>
      <c r="E635" s="1">
        <v>1</v>
      </c>
      <c r="F635" s="1">
        <v>3</v>
      </c>
      <c r="G635" s="1">
        <v>7</v>
      </c>
      <c r="H635" s="1">
        <v>8</v>
      </c>
      <c r="I635" s="1">
        <v>7</v>
      </c>
      <c r="J635" s="1">
        <v>4</v>
      </c>
      <c r="K635" s="1">
        <f t="shared" si="113"/>
        <v>26</v>
      </c>
      <c r="L635" s="12">
        <f t="shared" si="124"/>
        <v>0.74285714285714288</v>
      </c>
      <c r="M635" s="1">
        <v>7</v>
      </c>
      <c r="N635" s="1">
        <v>8</v>
      </c>
      <c r="O635" s="1">
        <v>9</v>
      </c>
      <c r="P635" s="1">
        <v>4</v>
      </c>
      <c r="Q635" s="1">
        <f t="shared" si="114"/>
        <v>28</v>
      </c>
      <c r="R635" s="12">
        <f t="shared" si="125"/>
        <v>0.8</v>
      </c>
      <c r="S635" s="1">
        <v>8</v>
      </c>
      <c r="T635" s="1">
        <v>5</v>
      </c>
      <c r="U635" s="1">
        <f t="shared" si="115"/>
        <v>13</v>
      </c>
      <c r="V635" s="12">
        <f t="shared" si="126"/>
        <v>0.8666666666666667</v>
      </c>
      <c r="W635" s="1">
        <v>5</v>
      </c>
      <c r="X635" s="1">
        <v>4</v>
      </c>
      <c r="Y635" s="1">
        <v>3</v>
      </c>
      <c r="Z635" s="1">
        <f t="shared" si="116"/>
        <v>12</v>
      </c>
      <c r="AA635" s="12">
        <f t="shared" si="127"/>
        <v>0.8</v>
      </c>
      <c r="AB635" s="2" t="s">
        <v>629</v>
      </c>
    </row>
    <row r="636" spans="1:28" x14ac:dyDescent="0.25">
      <c r="A636" s="1" t="s">
        <v>1654</v>
      </c>
      <c r="B636" s="1" t="s">
        <v>576</v>
      </c>
      <c r="C636" s="1" t="s">
        <v>36</v>
      </c>
      <c r="D636" s="1">
        <v>26</v>
      </c>
      <c r="E636" s="1">
        <v>1</v>
      </c>
      <c r="F636" s="1">
        <v>3</v>
      </c>
      <c r="G636" s="1">
        <v>6</v>
      </c>
      <c r="H636" s="1">
        <v>6</v>
      </c>
      <c r="I636" s="1">
        <v>6</v>
      </c>
      <c r="J636" s="1">
        <v>3</v>
      </c>
      <c r="K636" s="1">
        <f t="shared" si="113"/>
        <v>21</v>
      </c>
      <c r="L636" s="12">
        <f t="shared" si="124"/>
        <v>0.6</v>
      </c>
      <c r="M636" s="1">
        <v>7</v>
      </c>
      <c r="N636" s="1">
        <v>7</v>
      </c>
      <c r="O636" s="1">
        <v>6</v>
      </c>
      <c r="P636" s="1">
        <v>3</v>
      </c>
      <c r="Q636" s="1">
        <f t="shared" si="114"/>
        <v>23</v>
      </c>
      <c r="R636" s="12">
        <f t="shared" si="125"/>
        <v>0.65714285714285714</v>
      </c>
      <c r="S636" s="1">
        <v>7</v>
      </c>
      <c r="T636" s="1">
        <v>4</v>
      </c>
      <c r="U636" s="1">
        <f t="shared" si="115"/>
        <v>11</v>
      </c>
      <c r="V636" s="12">
        <f t="shared" si="126"/>
        <v>0.73333333333333328</v>
      </c>
      <c r="W636" s="1">
        <v>4</v>
      </c>
      <c r="X636" s="1">
        <v>3</v>
      </c>
      <c r="Y636" s="1">
        <v>3</v>
      </c>
      <c r="Z636" s="1">
        <f t="shared" si="116"/>
        <v>10</v>
      </c>
      <c r="AA636" s="12">
        <f t="shared" si="127"/>
        <v>0.66666666666666663</v>
      </c>
      <c r="AB636" s="2" t="s">
        <v>630</v>
      </c>
    </row>
    <row r="637" spans="1:28" x14ac:dyDescent="0.25">
      <c r="A637" s="1" t="s">
        <v>1654</v>
      </c>
      <c r="B637" s="1" t="s">
        <v>576</v>
      </c>
      <c r="C637" s="1" t="s">
        <v>36</v>
      </c>
      <c r="D637" s="1">
        <v>26</v>
      </c>
      <c r="E637" s="1">
        <v>1</v>
      </c>
      <c r="F637" s="1">
        <v>3</v>
      </c>
      <c r="G637" s="1">
        <v>7</v>
      </c>
      <c r="H637" s="1">
        <v>9</v>
      </c>
      <c r="I637" s="1">
        <v>8</v>
      </c>
      <c r="J637" s="1">
        <v>5</v>
      </c>
      <c r="K637" s="1">
        <f t="shared" si="113"/>
        <v>29</v>
      </c>
      <c r="L637" s="12">
        <f t="shared" si="124"/>
        <v>0.82857142857142863</v>
      </c>
      <c r="M637" s="1">
        <v>9</v>
      </c>
      <c r="N637" s="1">
        <v>8</v>
      </c>
      <c r="O637" s="1">
        <v>9</v>
      </c>
      <c r="P637" s="1">
        <v>5</v>
      </c>
      <c r="Q637" s="1">
        <f t="shared" si="114"/>
        <v>31</v>
      </c>
      <c r="R637" s="12">
        <f t="shared" si="125"/>
        <v>0.88571428571428568</v>
      </c>
      <c r="S637" s="1">
        <v>9</v>
      </c>
      <c r="T637" s="1">
        <v>5</v>
      </c>
      <c r="U637" s="1">
        <f t="shared" si="115"/>
        <v>14</v>
      </c>
      <c r="V637" s="12">
        <f t="shared" si="126"/>
        <v>0.93333333333333335</v>
      </c>
      <c r="W637" s="1">
        <v>5</v>
      </c>
      <c r="X637" s="1">
        <v>4</v>
      </c>
      <c r="Y637" s="1">
        <v>3</v>
      </c>
      <c r="Z637" s="1">
        <f t="shared" si="116"/>
        <v>12</v>
      </c>
      <c r="AA637" s="12">
        <f t="shared" si="127"/>
        <v>0.8</v>
      </c>
      <c r="AB637" s="2" t="s">
        <v>631</v>
      </c>
    </row>
    <row r="638" spans="1:28" x14ac:dyDescent="0.25">
      <c r="A638" s="1" t="s">
        <v>1654</v>
      </c>
      <c r="B638" s="1" t="s">
        <v>576</v>
      </c>
      <c r="C638" s="1" t="s">
        <v>36</v>
      </c>
      <c r="D638" s="1">
        <v>26</v>
      </c>
      <c r="E638" s="1">
        <v>1</v>
      </c>
      <c r="F638" s="1">
        <v>3</v>
      </c>
      <c r="G638" s="1">
        <v>6</v>
      </c>
      <c r="H638" s="1">
        <v>8</v>
      </c>
      <c r="I638" s="1">
        <v>7</v>
      </c>
      <c r="J638" s="1">
        <v>4</v>
      </c>
      <c r="K638" s="1">
        <f t="shared" si="113"/>
        <v>25</v>
      </c>
      <c r="L638" s="12">
        <f t="shared" si="124"/>
        <v>0.7142857142857143</v>
      </c>
      <c r="M638" s="1">
        <v>6</v>
      </c>
      <c r="N638" s="1">
        <v>7</v>
      </c>
      <c r="O638" s="1">
        <v>7</v>
      </c>
      <c r="P638" s="1">
        <v>4</v>
      </c>
      <c r="Q638" s="1">
        <f t="shared" si="114"/>
        <v>24</v>
      </c>
      <c r="R638" s="12">
        <f t="shared" si="125"/>
        <v>0.68571428571428572</v>
      </c>
      <c r="S638" s="1">
        <v>7</v>
      </c>
      <c r="T638" s="1">
        <v>4</v>
      </c>
      <c r="U638" s="1">
        <f t="shared" si="115"/>
        <v>11</v>
      </c>
      <c r="V638" s="12">
        <f t="shared" si="126"/>
        <v>0.73333333333333328</v>
      </c>
      <c r="W638" s="1">
        <v>4</v>
      </c>
      <c r="X638" s="1">
        <v>3</v>
      </c>
      <c r="Y638" s="1">
        <v>3</v>
      </c>
      <c r="Z638" s="1">
        <f t="shared" si="116"/>
        <v>10</v>
      </c>
      <c r="AA638" s="12">
        <f t="shared" si="127"/>
        <v>0.66666666666666663</v>
      </c>
      <c r="AB638" s="2" t="s">
        <v>632</v>
      </c>
    </row>
    <row r="639" spans="1:28" x14ac:dyDescent="0.25">
      <c r="A639" s="1" t="s">
        <v>1654</v>
      </c>
      <c r="B639" s="1" t="s">
        <v>576</v>
      </c>
      <c r="C639" s="1" t="s">
        <v>36</v>
      </c>
      <c r="D639" s="1">
        <v>26</v>
      </c>
      <c r="E639" s="1">
        <v>1</v>
      </c>
      <c r="F639" s="1">
        <v>3</v>
      </c>
      <c r="G639" s="1">
        <v>7</v>
      </c>
      <c r="H639" s="1">
        <v>7</v>
      </c>
      <c r="I639" s="1">
        <v>6</v>
      </c>
      <c r="J639" s="1">
        <v>4</v>
      </c>
      <c r="K639" s="1">
        <f t="shared" si="113"/>
        <v>24</v>
      </c>
      <c r="L639" s="12">
        <f t="shared" si="124"/>
        <v>0.68571428571428572</v>
      </c>
      <c r="M639" s="1">
        <v>7</v>
      </c>
      <c r="N639" s="1">
        <v>8</v>
      </c>
      <c r="O639" s="1">
        <v>8</v>
      </c>
      <c r="P639" s="1">
        <v>4</v>
      </c>
      <c r="Q639" s="1">
        <f t="shared" si="114"/>
        <v>27</v>
      </c>
      <c r="R639" s="12">
        <f t="shared" si="125"/>
        <v>0.77142857142857146</v>
      </c>
      <c r="S639" s="1">
        <v>8</v>
      </c>
      <c r="T639" s="1">
        <v>4</v>
      </c>
      <c r="U639" s="1">
        <f t="shared" si="115"/>
        <v>12</v>
      </c>
      <c r="V639" s="12">
        <f t="shared" si="126"/>
        <v>0.8</v>
      </c>
      <c r="W639" s="1">
        <v>5</v>
      </c>
      <c r="X639" s="1">
        <v>4</v>
      </c>
      <c r="Y639" s="1">
        <v>4</v>
      </c>
      <c r="Z639" s="1">
        <f t="shared" si="116"/>
        <v>13</v>
      </c>
      <c r="AA639" s="12">
        <f t="shared" si="127"/>
        <v>0.8666666666666667</v>
      </c>
      <c r="AB639" s="2" t="s">
        <v>633</v>
      </c>
    </row>
    <row r="640" spans="1:28" x14ac:dyDescent="0.25">
      <c r="A640" s="1" t="s">
        <v>1654</v>
      </c>
      <c r="B640" s="1" t="s">
        <v>576</v>
      </c>
      <c r="C640" s="1" t="s">
        <v>36</v>
      </c>
      <c r="D640" s="1">
        <v>26</v>
      </c>
      <c r="E640" s="1">
        <v>1</v>
      </c>
      <c r="F640" s="1">
        <v>3</v>
      </c>
      <c r="G640" s="1">
        <v>9</v>
      </c>
      <c r="H640" s="1">
        <v>9</v>
      </c>
      <c r="I640" s="1">
        <v>9</v>
      </c>
      <c r="J640" s="1">
        <v>5</v>
      </c>
      <c r="K640" s="1">
        <f t="shared" si="113"/>
        <v>32</v>
      </c>
      <c r="L640" s="12">
        <f t="shared" si="124"/>
        <v>0.91428571428571426</v>
      </c>
      <c r="M640" s="1">
        <v>8</v>
      </c>
      <c r="N640" s="1">
        <v>8</v>
      </c>
      <c r="O640" s="1">
        <v>9</v>
      </c>
      <c r="P640" s="1">
        <v>4</v>
      </c>
      <c r="Q640" s="1">
        <f t="shared" si="114"/>
        <v>29</v>
      </c>
      <c r="R640" s="12">
        <f t="shared" si="125"/>
        <v>0.82857142857142863</v>
      </c>
      <c r="S640" s="1">
        <v>9</v>
      </c>
      <c r="T640" s="1">
        <v>5</v>
      </c>
      <c r="U640" s="1">
        <f t="shared" si="115"/>
        <v>14</v>
      </c>
      <c r="V640" s="12">
        <f t="shared" si="126"/>
        <v>0.93333333333333335</v>
      </c>
      <c r="W640" s="1">
        <v>4</v>
      </c>
      <c r="X640" s="1">
        <v>4</v>
      </c>
      <c r="Y640" s="1">
        <v>3</v>
      </c>
      <c r="Z640" s="1">
        <f t="shared" si="116"/>
        <v>11</v>
      </c>
      <c r="AA640" s="12">
        <f t="shared" si="127"/>
        <v>0.73333333333333328</v>
      </c>
      <c r="AB640" s="2" t="s">
        <v>634</v>
      </c>
    </row>
    <row r="641" spans="1:28" x14ac:dyDescent="0.25">
      <c r="A641" s="1" t="s">
        <v>1654</v>
      </c>
      <c r="B641" s="1" t="s">
        <v>576</v>
      </c>
      <c r="C641" s="1" t="s">
        <v>36</v>
      </c>
      <c r="D641" s="1">
        <v>27</v>
      </c>
      <c r="E641" s="1">
        <v>2</v>
      </c>
      <c r="F641" s="1">
        <v>3</v>
      </c>
      <c r="G641" s="1">
        <v>6</v>
      </c>
      <c r="H641" s="1">
        <v>6</v>
      </c>
      <c r="I641" s="1">
        <v>6</v>
      </c>
      <c r="J641" s="1">
        <v>3</v>
      </c>
      <c r="K641" s="1">
        <f t="shared" si="113"/>
        <v>21</v>
      </c>
      <c r="L641" s="12">
        <f t="shared" si="124"/>
        <v>0.6</v>
      </c>
      <c r="M641" s="1">
        <v>7</v>
      </c>
      <c r="N641" s="1">
        <v>6</v>
      </c>
      <c r="O641" s="1">
        <v>6</v>
      </c>
      <c r="P641" s="1">
        <v>3</v>
      </c>
      <c r="Q641" s="1">
        <f t="shared" si="114"/>
        <v>22</v>
      </c>
      <c r="R641" s="12">
        <f t="shared" si="125"/>
        <v>0.62857142857142856</v>
      </c>
      <c r="S641" s="1">
        <v>5</v>
      </c>
      <c r="T641" s="1">
        <v>3</v>
      </c>
      <c r="U641" s="1">
        <f t="shared" si="115"/>
        <v>8</v>
      </c>
      <c r="V641" s="12">
        <f t="shared" si="126"/>
        <v>0.53333333333333333</v>
      </c>
      <c r="W641" s="1">
        <v>3</v>
      </c>
      <c r="X641" s="1">
        <v>3</v>
      </c>
      <c r="Y641" s="1">
        <v>4</v>
      </c>
      <c r="Z641" s="1">
        <f t="shared" si="116"/>
        <v>10</v>
      </c>
      <c r="AA641" s="12">
        <f t="shared" si="127"/>
        <v>0.66666666666666663</v>
      </c>
      <c r="AB641" s="2" t="s">
        <v>717</v>
      </c>
    </row>
    <row r="642" spans="1:28" x14ac:dyDescent="0.25">
      <c r="A642" s="1" t="s">
        <v>1654</v>
      </c>
      <c r="B642" s="1" t="s">
        <v>576</v>
      </c>
      <c r="C642" s="1" t="s">
        <v>36</v>
      </c>
      <c r="D642" s="1">
        <v>27</v>
      </c>
      <c r="E642" s="1">
        <v>2</v>
      </c>
      <c r="F642" s="1">
        <v>3</v>
      </c>
      <c r="G642" s="1">
        <v>7</v>
      </c>
      <c r="H642" s="1">
        <v>6</v>
      </c>
      <c r="I642" s="1">
        <v>6</v>
      </c>
      <c r="J642" s="1">
        <v>3</v>
      </c>
      <c r="K642" s="1">
        <f t="shared" si="113"/>
        <v>22</v>
      </c>
      <c r="L642" s="12">
        <f t="shared" si="124"/>
        <v>0.62857142857142856</v>
      </c>
      <c r="M642" s="1">
        <v>7</v>
      </c>
      <c r="N642" s="1">
        <v>7</v>
      </c>
      <c r="O642" s="1">
        <v>6</v>
      </c>
      <c r="P642" s="1">
        <v>4</v>
      </c>
      <c r="Q642" s="1">
        <f t="shared" si="114"/>
        <v>24</v>
      </c>
      <c r="R642" s="12">
        <f t="shared" si="125"/>
        <v>0.68571428571428572</v>
      </c>
      <c r="S642" s="1">
        <v>7</v>
      </c>
      <c r="T642" s="1">
        <v>2</v>
      </c>
      <c r="U642" s="1">
        <f t="shared" si="115"/>
        <v>9</v>
      </c>
      <c r="V642" s="12">
        <f t="shared" si="126"/>
        <v>0.6</v>
      </c>
      <c r="W642" s="1">
        <v>4</v>
      </c>
      <c r="X642" s="1">
        <v>4</v>
      </c>
      <c r="Y642" s="1">
        <v>3</v>
      </c>
      <c r="Z642" s="1">
        <f t="shared" si="116"/>
        <v>11</v>
      </c>
      <c r="AA642" s="12">
        <f t="shared" si="127"/>
        <v>0.73333333333333328</v>
      </c>
      <c r="AB642" s="2" t="s">
        <v>718</v>
      </c>
    </row>
    <row r="643" spans="1:28" x14ac:dyDescent="0.25">
      <c r="A643" s="1" t="s">
        <v>1654</v>
      </c>
      <c r="B643" s="1" t="s">
        <v>576</v>
      </c>
      <c r="C643" s="1" t="s">
        <v>36</v>
      </c>
      <c r="D643" s="1">
        <v>27</v>
      </c>
      <c r="E643" s="1">
        <v>2</v>
      </c>
      <c r="F643" s="1">
        <v>3</v>
      </c>
      <c r="G643" s="1">
        <v>6</v>
      </c>
      <c r="H643" s="1">
        <v>5</v>
      </c>
      <c r="I643" s="1">
        <v>5</v>
      </c>
      <c r="J643" s="1">
        <v>3</v>
      </c>
      <c r="K643" s="1">
        <f t="shared" ref="K643:K706" si="128">SUM(G643:J643)</f>
        <v>19</v>
      </c>
      <c r="L643" s="12">
        <f t="shared" si="124"/>
        <v>0.54285714285714282</v>
      </c>
      <c r="M643" s="1">
        <v>7</v>
      </c>
      <c r="N643" s="1">
        <v>6</v>
      </c>
      <c r="O643" s="1">
        <v>5</v>
      </c>
      <c r="P643" s="1">
        <v>3</v>
      </c>
      <c r="Q643" s="1">
        <f t="shared" ref="Q643:Q706" si="129">SUM(M643:P643)</f>
        <v>21</v>
      </c>
      <c r="R643" s="12">
        <f t="shared" si="125"/>
        <v>0.6</v>
      </c>
      <c r="S643" s="1">
        <v>6</v>
      </c>
      <c r="T643" s="1">
        <v>2</v>
      </c>
      <c r="U643" s="1">
        <f t="shared" ref="U643:U706" si="130">SUM(S643:T643)</f>
        <v>8</v>
      </c>
      <c r="V643" s="12">
        <f t="shared" si="126"/>
        <v>0.53333333333333333</v>
      </c>
      <c r="W643" s="1">
        <v>3</v>
      </c>
      <c r="X643" s="1">
        <v>3</v>
      </c>
      <c r="Y643" s="1">
        <v>2</v>
      </c>
      <c r="Z643" s="1">
        <f t="shared" ref="Z643:Z706" si="131">SUM(W643:Y643)</f>
        <v>8</v>
      </c>
      <c r="AA643" s="12">
        <f t="shared" si="127"/>
        <v>0.53333333333333333</v>
      </c>
      <c r="AB643" s="2" t="s">
        <v>719</v>
      </c>
    </row>
    <row r="644" spans="1:28" x14ac:dyDescent="0.25">
      <c r="A644" s="1" t="s">
        <v>1654</v>
      </c>
      <c r="B644" s="1" t="s">
        <v>576</v>
      </c>
      <c r="C644" s="1" t="s">
        <v>36</v>
      </c>
      <c r="D644" s="1">
        <v>27</v>
      </c>
      <c r="E644" s="1">
        <v>2</v>
      </c>
      <c r="F644" s="1">
        <v>3</v>
      </c>
      <c r="G644" s="1">
        <v>8</v>
      </c>
      <c r="H644" s="1">
        <v>8</v>
      </c>
      <c r="I644" s="1">
        <v>7</v>
      </c>
      <c r="J644" s="1">
        <v>4</v>
      </c>
      <c r="K644" s="1">
        <f t="shared" si="128"/>
        <v>27</v>
      </c>
      <c r="L644" s="12">
        <f t="shared" si="124"/>
        <v>0.77142857142857146</v>
      </c>
      <c r="M644" s="1">
        <v>7</v>
      </c>
      <c r="N644" s="1">
        <v>5</v>
      </c>
      <c r="O644" s="1">
        <v>6</v>
      </c>
      <c r="P644" s="1">
        <v>4</v>
      </c>
      <c r="Q644" s="1">
        <f t="shared" si="129"/>
        <v>22</v>
      </c>
      <c r="R644" s="12">
        <f t="shared" si="125"/>
        <v>0.62857142857142856</v>
      </c>
      <c r="S644" s="1">
        <v>8</v>
      </c>
      <c r="T644" s="1">
        <v>4</v>
      </c>
      <c r="U644" s="1">
        <f t="shared" si="130"/>
        <v>12</v>
      </c>
      <c r="V644" s="12">
        <f t="shared" si="126"/>
        <v>0.8</v>
      </c>
      <c r="W644" s="1">
        <v>4</v>
      </c>
      <c r="X644" s="1">
        <v>3</v>
      </c>
      <c r="Y644" s="1">
        <v>3</v>
      </c>
      <c r="Z644" s="1">
        <f t="shared" si="131"/>
        <v>10</v>
      </c>
      <c r="AA644" s="12">
        <f t="shared" si="127"/>
        <v>0.66666666666666663</v>
      </c>
      <c r="AB644" s="2" t="s">
        <v>720</v>
      </c>
    </row>
    <row r="645" spans="1:28" x14ac:dyDescent="0.25">
      <c r="A645" s="1" t="s">
        <v>1654</v>
      </c>
      <c r="B645" s="1" t="s">
        <v>576</v>
      </c>
      <c r="C645" s="1" t="s">
        <v>36</v>
      </c>
      <c r="D645" s="1">
        <v>27</v>
      </c>
      <c r="E645" s="1">
        <v>2</v>
      </c>
      <c r="F645" s="1">
        <v>3</v>
      </c>
      <c r="G645" s="1">
        <v>7</v>
      </c>
      <c r="H645" s="1">
        <v>6</v>
      </c>
      <c r="I645" s="1">
        <v>5</v>
      </c>
      <c r="J645" s="1">
        <v>2</v>
      </c>
      <c r="K645" s="1">
        <f t="shared" si="128"/>
        <v>20</v>
      </c>
      <c r="L645" s="12">
        <f t="shared" si="124"/>
        <v>0.5714285714285714</v>
      </c>
      <c r="M645" s="1">
        <v>5</v>
      </c>
      <c r="N645" s="1">
        <v>5</v>
      </c>
      <c r="O645" s="1">
        <v>5</v>
      </c>
      <c r="P645" s="1">
        <v>3</v>
      </c>
      <c r="Q645" s="1">
        <f t="shared" si="129"/>
        <v>18</v>
      </c>
      <c r="R645" s="12">
        <f t="shared" si="125"/>
        <v>0.51428571428571423</v>
      </c>
      <c r="S645" s="1">
        <v>6</v>
      </c>
      <c r="T645" s="1">
        <v>3</v>
      </c>
      <c r="U645" s="1">
        <f t="shared" si="130"/>
        <v>9</v>
      </c>
      <c r="V645" s="12">
        <f t="shared" si="126"/>
        <v>0.6</v>
      </c>
      <c r="W645" s="1">
        <v>3</v>
      </c>
      <c r="X645" s="1">
        <v>3</v>
      </c>
      <c r="Y645" s="1">
        <v>2</v>
      </c>
      <c r="Z645" s="1">
        <f t="shared" si="131"/>
        <v>8</v>
      </c>
      <c r="AA645" s="12">
        <f t="shared" si="127"/>
        <v>0.53333333333333333</v>
      </c>
      <c r="AB645" s="2" t="s">
        <v>721</v>
      </c>
    </row>
    <row r="646" spans="1:28" x14ac:dyDescent="0.25">
      <c r="A646" s="1" t="s">
        <v>1654</v>
      </c>
      <c r="B646" s="1" t="s">
        <v>35</v>
      </c>
      <c r="C646" s="1" t="s">
        <v>861</v>
      </c>
      <c r="D646" s="1">
        <v>17</v>
      </c>
      <c r="E646" s="1">
        <v>1</v>
      </c>
      <c r="F646" s="1">
        <v>7</v>
      </c>
      <c r="G646" s="1">
        <v>4</v>
      </c>
      <c r="H646" s="1">
        <v>3</v>
      </c>
      <c r="I646" s="1">
        <v>3</v>
      </c>
      <c r="J646" s="1">
        <v>3</v>
      </c>
      <c r="K646" s="1">
        <f t="shared" si="128"/>
        <v>13</v>
      </c>
      <c r="L646" s="12">
        <f t="shared" ref="L646:L666" si="132">K646/40</f>
        <v>0.32500000000000001</v>
      </c>
      <c r="M646" s="1">
        <v>2</v>
      </c>
      <c r="N646" s="1">
        <v>2</v>
      </c>
      <c r="O646" s="1">
        <v>2</v>
      </c>
      <c r="P646" s="1">
        <v>2</v>
      </c>
      <c r="Q646" s="1">
        <f t="shared" si="129"/>
        <v>8</v>
      </c>
      <c r="R646" s="12">
        <f t="shared" ref="R646:R666" si="133">Q646/40</f>
        <v>0.2</v>
      </c>
      <c r="S646" s="1">
        <v>2</v>
      </c>
      <c r="T646" s="1">
        <v>2</v>
      </c>
      <c r="U646" s="1">
        <f t="shared" si="130"/>
        <v>4</v>
      </c>
      <c r="V646" s="12">
        <f t="shared" ref="V646:V666" si="134">U646/20</f>
        <v>0.2</v>
      </c>
      <c r="Z646" s="1">
        <f t="shared" si="131"/>
        <v>0</v>
      </c>
      <c r="AB646" s="2" t="s">
        <v>1014</v>
      </c>
    </row>
    <row r="647" spans="1:28" x14ac:dyDescent="0.25">
      <c r="A647" s="1" t="s">
        <v>1654</v>
      </c>
      <c r="B647" s="1" t="s">
        <v>35</v>
      </c>
      <c r="C647" s="1" t="s">
        <v>861</v>
      </c>
      <c r="D647" s="1">
        <v>17</v>
      </c>
      <c r="E647" s="1">
        <v>1</v>
      </c>
      <c r="F647" s="1">
        <v>7</v>
      </c>
      <c r="G647" s="1">
        <v>3</v>
      </c>
      <c r="H647" s="1">
        <v>4</v>
      </c>
      <c r="I647" s="1">
        <v>5</v>
      </c>
      <c r="J647" s="1">
        <v>2</v>
      </c>
      <c r="K647" s="1">
        <f t="shared" si="128"/>
        <v>14</v>
      </c>
      <c r="L647" s="12">
        <f t="shared" si="132"/>
        <v>0.35</v>
      </c>
      <c r="M647" s="1">
        <v>7</v>
      </c>
      <c r="N647" s="1">
        <v>6</v>
      </c>
      <c r="O647" s="1">
        <v>5</v>
      </c>
      <c r="P647" s="1">
        <v>5</v>
      </c>
      <c r="Q647" s="1">
        <f t="shared" si="129"/>
        <v>23</v>
      </c>
      <c r="R647" s="12">
        <f t="shared" si="133"/>
        <v>0.57499999999999996</v>
      </c>
      <c r="S647" s="1">
        <v>5</v>
      </c>
      <c r="T647" s="1">
        <v>5</v>
      </c>
      <c r="U647" s="1">
        <f t="shared" si="130"/>
        <v>10</v>
      </c>
      <c r="V647" s="12">
        <f t="shared" si="134"/>
        <v>0.5</v>
      </c>
      <c r="Z647" s="1">
        <f t="shared" si="131"/>
        <v>0</v>
      </c>
      <c r="AB647" s="2" t="s">
        <v>1015</v>
      </c>
    </row>
    <row r="648" spans="1:28" x14ac:dyDescent="0.25">
      <c r="A648" s="1" t="s">
        <v>1654</v>
      </c>
      <c r="B648" s="1" t="s">
        <v>35</v>
      </c>
      <c r="C648" s="1" t="s">
        <v>861</v>
      </c>
      <c r="D648" s="1">
        <v>17</v>
      </c>
      <c r="E648" s="1">
        <v>1</v>
      </c>
      <c r="F648" s="1">
        <v>7</v>
      </c>
      <c r="G648" s="1">
        <v>6</v>
      </c>
      <c r="H648" s="1">
        <v>4</v>
      </c>
      <c r="I648" s="1">
        <v>5</v>
      </c>
      <c r="J648" s="1">
        <v>6</v>
      </c>
      <c r="K648" s="1">
        <f t="shared" si="128"/>
        <v>21</v>
      </c>
      <c r="L648" s="12">
        <f t="shared" si="132"/>
        <v>0.52500000000000002</v>
      </c>
      <c r="M648" s="1">
        <v>5</v>
      </c>
      <c r="N648" s="1">
        <v>5</v>
      </c>
      <c r="O648" s="1">
        <v>4</v>
      </c>
      <c r="P648" s="1">
        <v>6</v>
      </c>
      <c r="Q648" s="1">
        <f t="shared" si="129"/>
        <v>20</v>
      </c>
      <c r="R648" s="12">
        <f t="shared" si="133"/>
        <v>0.5</v>
      </c>
      <c r="S648" s="1">
        <v>6</v>
      </c>
      <c r="T648" s="1">
        <v>7</v>
      </c>
      <c r="U648" s="1">
        <f t="shared" si="130"/>
        <v>13</v>
      </c>
      <c r="V648" s="12">
        <f t="shared" si="134"/>
        <v>0.65</v>
      </c>
      <c r="Z648" s="1">
        <f t="shared" si="131"/>
        <v>0</v>
      </c>
      <c r="AB648" s="2" t="s">
        <v>1016</v>
      </c>
    </row>
    <row r="649" spans="1:28" x14ac:dyDescent="0.25">
      <c r="A649" s="1" t="s">
        <v>1654</v>
      </c>
      <c r="B649" s="1" t="s">
        <v>35</v>
      </c>
      <c r="C649" s="1" t="s">
        <v>861</v>
      </c>
      <c r="D649" s="1">
        <v>17</v>
      </c>
      <c r="E649" s="1">
        <v>1</v>
      </c>
      <c r="F649" s="1">
        <v>7</v>
      </c>
      <c r="G649" s="1">
        <v>9</v>
      </c>
      <c r="H649" s="1">
        <v>9</v>
      </c>
      <c r="I649" s="1">
        <v>9</v>
      </c>
      <c r="J649" s="1">
        <v>10</v>
      </c>
      <c r="K649" s="1">
        <f t="shared" si="128"/>
        <v>37</v>
      </c>
      <c r="L649" s="12">
        <f t="shared" si="132"/>
        <v>0.92500000000000004</v>
      </c>
      <c r="M649" s="1">
        <v>10</v>
      </c>
      <c r="N649" s="1">
        <v>10</v>
      </c>
      <c r="O649" s="1">
        <v>9</v>
      </c>
      <c r="P649" s="1">
        <v>10</v>
      </c>
      <c r="Q649" s="1">
        <f t="shared" si="129"/>
        <v>39</v>
      </c>
      <c r="R649" s="12">
        <f t="shared" si="133"/>
        <v>0.97499999999999998</v>
      </c>
      <c r="S649" s="1">
        <v>10</v>
      </c>
      <c r="T649" s="1">
        <v>10</v>
      </c>
      <c r="U649" s="1">
        <f t="shared" si="130"/>
        <v>20</v>
      </c>
      <c r="V649" s="12">
        <f t="shared" si="134"/>
        <v>1</v>
      </c>
      <c r="Z649" s="1">
        <f t="shared" si="131"/>
        <v>0</v>
      </c>
      <c r="AB649" s="2" t="s">
        <v>1017</v>
      </c>
    </row>
    <row r="650" spans="1:28" x14ac:dyDescent="0.25">
      <c r="A650" s="1" t="s">
        <v>1654</v>
      </c>
      <c r="B650" s="1" t="s">
        <v>35</v>
      </c>
      <c r="C650" s="1" t="s">
        <v>861</v>
      </c>
      <c r="D650" s="1">
        <v>17</v>
      </c>
      <c r="E650" s="1">
        <v>1</v>
      </c>
      <c r="F650" s="1">
        <v>7</v>
      </c>
      <c r="G650" s="1">
        <v>8</v>
      </c>
      <c r="H650" s="1">
        <v>8</v>
      </c>
      <c r="I650" s="1">
        <v>7</v>
      </c>
      <c r="J650" s="1">
        <v>6</v>
      </c>
      <c r="K650" s="1">
        <f t="shared" si="128"/>
        <v>29</v>
      </c>
      <c r="L650" s="12">
        <f t="shared" si="132"/>
        <v>0.72499999999999998</v>
      </c>
      <c r="M650" s="1">
        <v>7</v>
      </c>
      <c r="N650" s="1">
        <v>6</v>
      </c>
      <c r="O650" s="1">
        <v>6</v>
      </c>
      <c r="P650" s="1">
        <v>7</v>
      </c>
      <c r="Q650" s="1">
        <f t="shared" si="129"/>
        <v>26</v>
      </c>
      <c r="R650" s="12">
        <f t="shared" si="133"/>
        <v>0.65</v>
      </c>
      <c r="S650" s="1">
        <v>6</v>
      </c>
      <c r="T650" s="1">
        <v>7</v>
      </c>
      <c r="U650" s="1">
        <f t="shared" si="130"/>
        <v>13</v>
      </c>
      <c r="V650" s="12">
        <f t="shared" si="134"/>
        <v>0.65</v>
      </c>
      <c r="Z650" s="1">
        <f t="shared" si="131"/>
        <v>0</v>
      </c>
      <c r="AB650" s="2" t="s">
        <v>1018</v>
      </c>
    </row>
    <row r="651" spans="1:28" x14ac:dyDescent="0.25">
      <c r="A651" s="1" t="s">
        <v>1654</v>
      </c>
      <c r="B651" s="1" t="s">
        <v>35</v>
      </c>
      <c r="C651" s="1" t="s">
        <v>861</v>
      </c>
      <c r="D651" s="1">
        <v>17</v>
      </c>
      <c r="E651" s="1">
        <v>1</v>
      </c>
      <c r="F651" s="1">
        <v>7</v>
      </c>
      <c r="G651" s="1">
        <v>10</v>
      </c>
      <c r="H651" s="1">
        <v>9</v>
      </c>
      <c r="I651" s="1">
        <v>9</v>
      </c>
      <c r="J651" s="1">
        <v>10</v>
      </c>
      <c r="K651" s="1">
        <f t="shared" si="128"/>
        <v>38</v>
      </c>
      <c r="L651" s="12">
        <f t="shared" si="132"/>
        <v>0.95</v>
      </c>
      <c r="M651" s="1">
        <v>9</v>
      </c>
      <c r="N651" s="1">
        <v>9</v>
      </c>
      <c r="O651" s="1">
        <v>10</v>
      </c>
      <c r="P651" s="1">
        <v>10</v>
      </c>
      <c r="Q651" s="1">
        <f t="shared" si="129"/>
        <v>38</v>
      </c>
      <c r="R651" s="12">
        <f t="shared" si="133"/>
        <v>0.95</v>
      </c>
      <c r="S651" s="1">
        <v>10</v>
      </c>
      <c r="T651" s="1">
        <v>9</v>
      </c>
      <c r="U651" s="1">
        <f t="shared" si="130"/>
        <v>19</v>
      </c>
      <c r="V651" s="12">
        <f t="shared" si="134"/>
        <v>0.95</v>
      </c>
      <c r="Z651" s="1">
        <f t="shared" si="131"/>
        <v>0</v>
      </c>
      <c r="AB651" s="2" t="s">
        <v>1019</v>
      </c>
    </row>
    <row r="652" spans="1:28" x14ac:dyDescent="0.25">
      <c r="A652" s="1" t="s">
        <v>1654</v>
      </c>
      <c r="B652" s="1" t="s">
        <v>35</v>
      </c>
      <c r="C652" s="1" t="s">
        <v>861</v>
      </c>
      <c r="D652" s="1">
        <v>17</v>
      </c>
      <c r="E652" s="1">
        <v>1</v>
      </c>
      <c r="F652" s="1">
        <v>7</v>
      </c>
      <c r="G652" s="1">
        <v>7</v>
      </c>
      <c r="H652" s="1">
        <v>6</v>
      </c>
      <c r="I652" s="1">
        <v>7</v>
      </c>
      <c r="J652" s="1">
        <v>7</v>
      </c>
      <c r="K652" s="1">
        <f t="shared" si="128"/>
        <v>27</v>
      </c>
      <c r="L652" s="12">
        <f t="shared" si="132"/>
        <v>0.67500000000000004</v>
      </c>
      <c r="M652" s="1">
        <v>8</v>
      </c>
      <c r="N652" s="1">
        <v>9</v>
      </c>
      <c r="O652" s="1">
        <v>8</v>
      </c>
      <c r="P652" s="1">
        <v>9</v>
      </c>
      <c r="Q652" s="1">
        <f t="shared" si="129"/>
        <v>34</v>
      </c>
      <c r="R652" s="12">
        <f t="shared" si="133"/>
        <v>0.85</v>
      </c>
      <c r="S652" s="1">
        <v>9</v>
      </c>
      <c r="T652" s="1">
        <v>10</v>
      </c>
      <c r="U652" s="1">
        <f t="shared" si="130"/>
        <v>19</v>
      </c>
      <c r="V652" s="12">
        <f t="shared" si="134"/>
        <v>0.95</v>
      </c>
      <c r="Z652" s="1">
        <f t="shared" si="131"/>
        <v>0</v>
      </c>
      <c r="AB652" s="2" t="s">
        <v>1020</v>
      </c>
    </row>
    <row r="653" spans="1:28" x14ac:dyDescent="0.25">
      <c r="A653" s="1" t="s">
        <v>1654</v>
      </c>
      <c r="B653" s="1" t="s">
        <v>35</v>
      </c>
      <c r="C653" s="1" t="s">
        <v>861</v>
      </c>
      <c r="D653" s="1">
        <v>4</v>
      </c>
      <c r="E653" s="1">
        <v>3</v>
      </c>
      <c r="F653" s="1">
        <v>3</v>
      </c>
      <c r="G653" s="1">
        <v>6</v>
      </c>
      <c r="H653" s="1">
        <v>5</v>
      </c>
      <c r="I653" s="1">
        <v>5</v>
      </c>
      <c r="J653" s="1">
        <v>4</v>
      </c>
      <c r="K653" s="1">
        <f t="shared" si="128"/>
        <v>20</v>
      </c>
      <c r="L653" s="12">
        <f t="shared" si="132"/>
        <v>0.5</v>
      </c>
      <c r="M653" s="1">
        <v>6</v>
      </c>
      <c r="N653" s="1">
        <v>6</v>
      </c>
      <c r="O653" s="1">
        <v>6</v>
      </c>
      <c r="P653" s="1">
        <v>5</v>
      </c>
      <c r="Q653" s="1">
        <f t="shared" si="129"/>
        <v>23</v>
      </c>
      <c r="R653" s="12">
        <f t="shared" si="133"/>
        <v>0.57499999999999996</v>
      </c>
      <c r="S653" s="1">
        <v>5</v>
      </c>
      <c r="T653" s="1">
        <v>5</v>
      </c>
      <c r="U653" s="1">
        <f t="shared" si="130"/>
        <v>10</v>
      </c>
      <c r="V653" s="12">
        <f t="shared" si="134"/>
        <v>0.5</v>
      </c>
      <c r="Z653" s="1">
        <f t="shared" si="131"/>
        <v>0</v>
      </c>
      <c r="AB653" s="2" t="s">
        <v>1271</v>
      </c>
    </row>
    <row r="654" spans="1:28" x14ac:dyDescent="0.25">
      <c r="A654" s="1" t="s">
        <v>1654</v>
      </c>
      <c r="B654" s="1" t="s">
        <v>35</v>
      </c>
      <c r="C654" s="1" t="s">
        <v>861</v>
      </c>
      <c r="D654" s="1">
        <v>4</v>
      </c>
      <c r="E654" s="1">
        <v>3</v>
      </c>
      <c r="F654" s="1">
        <v>3</v>
      </c>
      <c r="G654" s="1">
        <v>7</v>
      </c>
      <c r="H654" s="1">
        <v>7</v>
      </c>
      <c r="I654" s="1">
        <v>7</v>
      </c>
      <c r="J654" s="1">
        <v>7</v>
      </c>
      <c r="K654" s="1">
        <f t="shared" si="128"/>
        <v>28</v>
      </c>
      <c r="L654" s="12">
        <f t="shared" si="132"/>
        <v>0.7</v>
      </c>
      <c r="M654" s="1">
        <v>7</v>
      </c>
      <c r="N654" s="1">
        <v>7</v>
      </c>
      <c r="O654" s="1">
        <v>7</v>
      </c>
      <c r="P654" s="1">
        <v>7</v>
      </c>
      <c r="Q654" s="1">
        <f t="shared" si="129"/>
        <v>28</v>
      </c>
      <c r="R654" s="12">
        <f t="shared" si="133"/>
        <v>0.7</v>
      </c>
      <c r="S654" s="1">
        <v>7</v>
      </c>
      <c r="T654" s="1">
        <v>8</v>
      </c>
      <c r="U654" s="1">
        <f t="shared" si="130"/>
        <v>15</v>
      </c>
      <c r="V654" s="12">
        <f t="shared" si="134"/>
        <v>0.75</v>
      </c>
      <c r="Z654" s="1">
        <f t="shared" si="131"/>
        <v>0</v>
      </c>
      <c r="AB654" s="2" t="s">
        <v>1272</v>
      </c>
    </row>
    <row r="655" spans="1:28" x14ac:dyDescent="0.25">
      <c r="A655" s="1" t="s">
        <v>1654</v>
      </c>
      <c r="B655" s="1" t="s">
        <v>35</v>
      </c>
      <c r="C655" s="1" t="s">
        <v>861</v>
      </c>
      <c r="D655" s="1">
        <v>4</v>
      </c>
      <c r="E655" s="1">
        <v>3</v>
      </c>
      <c r="F655" s="1">
        <v>3</v>
      </c>
      <c r="G655" s="1">
        <v>8</v>
      </c>
      <c r="H655" s="1">
        <v>8</v>
      </c>
      <c r="I655" s="1">
        <v>8</v>
      </c>
      <c r="J655" s="1">
        <v>8</v>
      </c>
      <c r="K655" s="1">
        <f t="shared" si="128"/>
        <v>32</v>
      </c>
      <c r="L655" s="12">
        <f t="shared" si="132"/>
        <v>0.8</v>
      </c>
      <c r="M655" s="1">
        <v>8</v>
      </c>
      <c r="N655" s="1">
        <v>9</v>
      </c>
      <c r="O655" s="1">
        <v>8</v>
      </c>
      <c r="P655" s="1">
        <v>8</v>
      </c>
      <c r="Q655" s="1">
        <f t="shared" si="129"/>
        <v>33</v>
      </c>
      <c r="R655" s="12">
        <f t="shared" si="133"/>
        <v>0.82499999999999996</v>
      </c>
      <c r="S655" s="1">
        <v>9</v>
      </c>
      <c r="T655" s="1">
        <v>9</v>
      </c>
      <c r="U655" s="1">
        <f t="shared" si="130"/>
        <v>18</v>
      </c>
      <c r="V655" s="12">
        <f t="shared" si="134"/>
        <v>0.9</v>
      </c>
      <c r="Z655" s="1">
        <f t="shared" si="131"/>
        <v>0</v>
      </c>
      <c r="AB655" s="2" t="s">
        <v>1273</v>
      </c>
    </row>
    <row r="656" spans="1:28" x14ac:dyDescent="0.25">
      <c r="A656" s="1" t="s">
        <v>1654</v>
      </c>
      <c r="B656" s="1" t="s">
        <v>35</v>
      </c>
      <c r="C656" s="1" t="s">
        <v>861</v>
      </c>
      <c r="D656" s="1">
        <v>4</v>
      </c>
      <c r="E656" s="1">
        <v>3</v>
      </c>
      <c r="F656" s="1">
        <v>3</v>
      </c>
      <c r="G656" s="1">
        <v>8</v>
      </c>
      <c r="H656" s="1">
        <v>9</v>
      </c>
      <c r="I656" s="1">
        <v>7</v>
      </c>
      <c r="J656" s="1">
        <v>8</v>
      </c>
      <c r="K656" s="1">
        <f t="shared" si="128"/>
        <v>32</v>
      </c>
      <c r="L656" s="12">
        <f t="shared" si="132"/>
        <v>0.8</v>
      </c>
      <c r="M656" s="1">
        <v>7</v>
      </c>
      <c r="N656" s="1">
        <v>9</v>
      </c>
      <c r="O656" s="1">
        <v>8</v>
      </c>
      <c r="P656" s="1">
        <v>7</v>
      </c>
      <c r="Q656" s="1">
        <f t="shared" si="129"/>
        <v>31</v>
      </c>
      <c r="R656" s="12">
        <f t="shared" si="133"/>
        <v>0.77500000000000002</v>
      </c>
      <c r="S656" s="1">
        <v>8</v>
      </c>
      <c r="T656" s="1">
        <v>8</v>
      </c>
      <c r="U656" s="1">
        <f t="shared" si="130"/>
        <v>16</v>
      </c>
      <c r="V656" s="12">
        <f t="shared" si="134"/>
        <v>0.8</v>
      </c>
      <c r="Z656" s="1">
        <f t="shared" si="131"/>
        <v>0</v>
      </c>
      <c r="AB656" s="2" t="s">
        <v>1274</v>
      </c>
    </row>
    <row r="657" spans="1:28" x14ac:dyDescent="0.25">
      <c r="A657" s="1" t="s">
        <v>1654</v>
      </c>
      <c r="B657" s="1" t="s">
        <v>35</v>
      </c>
      <c r="C657" s="1" t="s">
        <v>861</v>
      </c>
      <c r="D657" s="1">
        <v>4</v>
      </c>
      <c r="E657" s="1">
        <v>3</v>
      </c>
      <c r="F657" s="1">
        <v>3</v>
      </c>
      <c r="G657" s="1">
        <v>7</v>
      </c>
      <c r="H657" s="1">
        <v>7</v>
      </c>
      <c r="I657" s="1">
        <v>6</v>
      </c>
      <c r="J657" s="1">
        <v>7</v>
      </c>
      <c r="K657" s="1">
        <f t="shared" si="128"/>
        <v>27</v>
      </c>
      <c r="L657" s="12">
        <f t="shared" si="132"/>
        <v>0.67500000000000004</v>
      </c>
      <c r="M657" s="1">
        <v>6</v>
      </c>
      <c r="N657" s="1">
        <v>7</v>
      </c>
      <c r="O657" s="1">
        <v>6</v>
      </c>
      <c r="P657" s="1">
        <v>6</v>
      </c>
      <c r="Q657" s="1">
        <f t="shared" si="129"/>
        <v>25</v>
      </c>
      <c r="R657" s="12">
        <f t="shared" si="133"/>
        <v>0.625</v>
      </c>
      <c r="S657" s="1">
        <v>7</v>
      </c>
      <c r="T657" s="1">
        <v>8</v>
      </c>
      <c r="U657" s="1">
        <f t="shared" si="130"/>
        <v>15</v>
      </c>
      <c r="V657" s="12">
        <f t="shared" si="134"/>
        <v>0.75</v>
      </c>
      <c r="Z657" s="1">
        <f t="shared" si="131"/>
        <v>0</v>
      </c>
      <c r="AB657" s="2" t="s">
        <v>1275</v>
      </c>
    </row>
    <row r="658" spans="1:28" x14ac:dyDescent="0.25">
      <c r="A658" s="1" t="s">
        <v>1654</v>
      </c>
      <c r="B658" s="1" t="s">
        <v>35</v>
      </c>
      <c r="C658" s="1" t="s">
        <v>861</v>
      </c>
      <c r="D658" s="1">
        <v>4</v>
      </c>
      <c r="E658" s="1">
        <v>3</v>
      </c>
      <c r="F658" s="1">
        <v>3</v>
      </c>
      <c r="G658" s="1">
        <v>7</v>
      </c>
      <c r="H658" s="1">
        <v>7</v>
      </c>
      <c r="I658" s="1">
        <v>7</v>
      </c>
      <c r="J658" s="1">
        <v>7</v>
      </c>
      <c r="K658" s="1">
        <f t="shared" si="128"/>
        <v>28</v>
      </c>
      <c r="L658" s="12">
        <f t="shared" si="132"/>
        <v>0.7</v>
      </c>
      <c r="M658" s="1">
        <v>7</v>
      </c>
      <c r="N658" s="1">
        <v>6</v>
      </c>
      <c r="O658" s="1">
        <v>6</v>
      </c>
      <c r="P658" s="1">
        <v>6</v>
      </c>
      <c r="Q658" s="1">
        <f t="shared" si="129"/>
        <v>25</v>
      </c>
      <c r="R658" s="12">
        <f t="shared" si="133"/>
        <v>0.625</v>
      </c>
      <c r="S658" s="1">
        <v>6</v>
      </c>
      <c r="T658" s="1">
        <v>7</v>
      </c>
      <c r="U658" s="1">
        <f t="shared" si="130"/>
        <v>13</v>
      </c>
      <c r="V658" s="12">
        <f t="shared" si="134"/>
        <v>0.65</v>
      </c>
      <c r="Z658" s="1">
        <f t="shared" si="131"/>
        <v>0</v>
      </c>
      <c r="AB658" s="2" t="s">
        <v>1276</v>
      </c>
    </row>
    <row r="659" spans="1:28" x14ac:dyDescent="0.25">
      <c r="A659" s="1" t="s">
        <v>1654</v>
      </c>
      <c r="B659" s="1" t="s">
        <v>35</v>
      </c>
      <c r="C659" s="1" t="s">
        <v>861</v>
      </c>
      <c r="D659" s="1">
        <v>4</v>
      </c>
      <c r="E659" s="1">
        <v>3</v>
      </c>
      <c r="F659" s="1">
        <v>3</v>
      </c>
      <c r="G659" s="1">
        <v>5</v>
      </c>
      <c r="H659" s="1">
        <v>5</v>
      </c>
      <c r="I659" s="1">
        <v>5</v>
      </c>
      <c r="J659" s="1">
        <v>5</v>
      </c>
      <c r="K659" s="1">
        <f t="shared" si="128"/>
        <v>20</v>
      </c>
      <c r="L659" s="12">
        <f t="shared" si="132"/>
        <v>0.5</v>
      </c>
      <c r="M659" s="1">
        <v>7</v>
      </c>
      <c r="N659" s="1">
        <v>6</v>
      </c>
      <c r="O659" s="1">
        <v>6</v>
      </c>
      <c r="P659" s="1">
        <v>5</v>
      </c>
      <c r="Q659" s="1">
        <f t="shared" si="129"/>
        <v>24</v>
      </c>
      <c r="R659" s="12">
        <f t="shared" si="133"/>
        <v>0.6</v>
      </c>
      <c r="S659" s="1">
        <v>5</v>
      </c>
      <c r="T659" s="1">
        <v>5</v>
      </c>
      <c r="U659" s="1">
        <f t="shared" si="130"/>
        <v>10</v>
      </c>
      <c r="V659" s="12">
        <f t="shared" si="134"/>
        <v>0.5</v>
      </c>
      <c r="Z659" s="1">
        <f t="shared" si="131"/>
        <v>0</v>
      </c>
      <c r="AB659" s="2" t="s">
        <v>1277</v>
      </c>
    </row>
    <row r="660" spans="1:28" x14ac:dyDescent="0.25">
      <c r="A660" s="1" t="s">
        <v>1654</v>
      </c>
      <c r="B660" s="1" t="s">
        <v>35</v>
      </c>
      <c r="C660" s="1" t="s">
        <v>861</v>
      </c>
      <c r="D660" s="1">
        <v>4</v>
      </c>
      <c r="E660" s="1">
        <v>3</v>
      </c>
      <c r="F660" s="1">
        <v>3</v>
      </c>
      <c r="G660" s="1">
        <v>6</v>
      </c>
      <c r="H660" s="1">
        <v>5</v>
      </c>
      <c r="I660" s="1">
        <v>6</v>
      </c>
      <c r="J660" s="1">
        <v>6</v>
      </c>
      <c r="K660" s="1">
        <f t="shared" si="128"/>
        <v>23</v>
      </c>
      <c r="L660" s="12">
        <f t="shared" si="132"/>
        <v>0.57499999999999996</v>
      </c>
      <c r="M660" s="1">
        <v>6</v>
      </c>
      <c r="N660" s="1">
        <v>6</v>
      </c>
      <c r="O660" s="1">
        <v>5</v>
      </c>
      <c r="P660" s="1">
        <v>5</v>
      </c>
      <c r="Q660" s="1">
        <f t="shared" si="129"/>
        <v>22</v>
      </c>
      <c r="R660" s="12">
        <f t="shared" si="133"/>
        <v>0.55000000000000004</v>
      </c>
      <c r="S660" s="1">
        <v>5</v>
      </c>
      <c r="T660" s="1">
        <v>5</v>
      </c>
      <c r="U660" s="1">
        <f t="shared" si="130"/>
        <v>10</v>
      </c>
      <c r="V660" s="12">
        <f t="shared" si="134"/>
        <v>0.5</v>
      </c>
      <c r="Z660" s="1">
        <f t="shared" si="131"/>
        <v>0</v>
      </c>
      <c r="AB660" s="2" t="s">
        <v>1278</v>
      </c>
    </row>
    <row r="661" spans="1:28" x14ac:dyDescent="0.25">
      <c r="A661" s="1" t="s">
        <v>1654</v>
      </c>
      <c r="B661" s="1" t="s">
        <v>576</v>
      </c>
      <c r="C661" s="1" t="s">
        <v>861</v>
      </c>
      <c r="D661" s="1">
        <v>25</v>
      </c>
      <c r="E661" s="1">
        <v>2</v>
      </c>
      <c r="F661" s="1">
        <v>2</v>
      </c>
      <c r="G661" s="1">
        <v>6</v>
      </c>
      <c r="H661" s="1">
        <v>5</v>
      </c>
      <c r="I661" s="1">
        <v>6</v>
      </c>
      <c r="J661" s="1">
        <v>6</v>
      </c>
      <c r="K661" s="1">
        <f t="shared" si="128"/>
        <v>23</v>
      </c>
      <c r="L661" s="12">
        <f t="shared" si="132"/>
        <v>0.57499999999999996</v>
      </c>
      <c r="M661" s="1">
        <v>4</v>
      </c>
      <c r="N661" s="1">
        <v>3</v>
      </c>
      <c r="O661" s="1">
        <v>4</v>
      </c>
      <c r="P661" s="1">
        <v>4</v>
      </c>
      <c r="Q661" s="1">
        <f t="shared" si="129"/>
        <v>15</v>
      </c>
      <c r="R661" s="12">
        <f t="shared" si="133"/>
        <v>0.375</v>
      </c>
      <c r="S661" s="1">
        <v>3</v>
      </c>
      <c r="T661" s="1">
        <v>5</v>
      </c>
      <c r="U661" s="1">
        <f t="shared" si="130"/>
        <v>8</v>
      </c>
      <c r="V661" s="12">
        <f t="shared" si="134"/>
        <v>0.4</v>
      </c>
      <c r="Z661" s="1">
        <f t="shared" si="131"/>
        <v>0</v>
      </c>
      <c r="AB661" s="2" t="s">
        <v>1481</v>
      </c>
    </row>
    <row r="662" spans="1:28" x14ac:dyDescent="0.25">
      <c r="A662" s="1" t="s">
        <v>1654</v>
      </c>
      <c r="B662" s="1" t="s">
        <v>576</v>
      </c>
      <c r="C662" s="1" t="s">
        <v>861</v>
      </c>
      <c r="D662" s="1">
        <v>25</v>
      </c>
      <c r="E662" s="1">
        <v>2</v>
      </c>
      <c r="F662" s="1">
        <v>2</v>
      </c>
      <c r="G662" s="1">
        <v>8</v>
      </c>
      <c r="H662" s="1">
        <v>7</v>
      </c>
      <c r="I662" s="1">
        <v>8</v>
      </c>
      <c r="J662" s="1">
        <v>8</v>
      </c>
      <c r="K662" s="1">
        <f t="shared" si="128"/>
        <v>31</v>
      </c>
      <c r="L662" s="12">
        <f t="shared" si="132"/>
        <v>0.77500000000000002</v>
      </c>
      <c r="M662" s="1">
        <v>6</v>
      </c>
      <c r="N662" s="1">
        <v>6</v>
      </c>
      <c r="O662" s="1">
        <v>8</v>
      </c>
      <c r="P662" s="1">
        <v>9</v>
      </c>
      <c r="Q662" s="1">
        <f t="shared" si="129"/>
        <v>29</v>
      </c>
      <c r="R662" s="12">
        <f t="shared" si="133"/>
        <v>0.72499999999999998</v>
      </c>
      <c r="S662" s="1">
        <v>8</v>
      </c>
      <c r="T662" s="1">
        <v>9</v>
      </c>
      <c r="U662" s="1">
        <f t="shared" si="130"/>
        <v>17</v>
      </c>
      <c r="V662" s="12">
        <f t="shared" si="134"/>
        <v>0.85</v>
      </c>
      <c r="Z662" s="1">
        <f t="shared" si="131"/>
        <v>0</v>
      </c>
      <c r="AB662" s="2" t="s">
        <v>1482</v>
      </c>
    </row>
    <row r="663" spans="1:28" x14ac:dyDescent="0.25">
      <c r="A663" s="1" t="s">
        <v>1654</v>
      </c>
      <c r="B663" s="1" t="s">
        <v>576</v>
      </c>
      <c r="C663" s="1" t="s">
        <v>861</v>
      </c>
      <c r="D663" s="1">
        <v>25</v>
      </c>
      <c r="E663" s="1">
        <v>2</v>
      </c>
      <c r="F663" s="1">
        <v>2</v>
      </c>
      <c r="G663" s="1">
        <v>9</v>
      </c>
      <c r="H663" s="1">
        <v>9</v>
      </c>
      <c r="I663" s="1">
        <v>8</v>
      </c>
      <c r="J663" s="1">
        <v>9</v>
      </c>
      <c r="K663" s="1">
        <f t="shared" si="128"/>
        <v>35</v>
      </c>
      <c r="L663" s="12">
        <f t="shared" si="132"/>
        <v>0.875</v>
      </c>
      <c r="M663" s="1">
        <v>9</v>
      </c>
      <c r="N663" s="1">
        <v>10</v>
      </c>
      <c r="O663" s="1">
        <v>10</v>
      </c>
      <c r="P663" s="1">
        <v>10</v>
      </c>
      <c r="Q663" s="1">
        <f t="shared" si="129"/>
        <v>39</v>
      </c>
      <c r="R663" s="12">
        <f t="shared" si="133"/>
        <v>0.97499999999999998</v>
      </c>
      <c r="S663" s="1">
        <v>9</v>
      </c>
      <c r="T663" s="1">
        <v>9</v>
      </c>
      <c r="U663" s="1">
        <f t="shared" si="130"/>
        <v>18</v>
      </c>
      <c r="V663" s="12">
        <f t="shared" si="134"/>
        <v>0.9</v>
      </c>
      <c r="Z663" s="1">
        <f t="shared" si="131"/>
        <v>0</v>
      </c>
      <c r="AB663" s="2" t="s">
        <v>1483</v>
      </c>
    </row>
    <row r="664" spans="1:28" x14ac:dyDescent="0.25">
      <c r="A664" s="1" t="s">
        <v>1654</v>
      </c>
      <c r="B664" s="1" t="s">
        <v>576</v>
      </c>
      <c r="C664" s="1" t="s">
        <v>861</v>
      </c>
      <c r="D664" s="1">
        <v>25</v>
      </c>
      <c r="E664" s="1">
        <v>2</v>
      </c>
      <c r="F664" s="1">
        <v>2</v>
      </c>
      <c r="G664" s="1">
        <v>9</v>
      </c>
      <c r="H664" s="1">
        <v>7</v>
      </c>
      <c r="I664" s="1">
        <v>8</v>
      </c>
      <c r="J664" s="1">
        <v>8</v>
      </c>
      <c r="K664" s="1">
        <f t="shared" si="128"/>
        <v>32</v>
      </c>
      <c r="L664" s="12">
        <f t="shared" si="132"/>
        <v>0.8</v>
      </c>
      <c r="M664" s="1">
        <v>7</v>
      </c>
      <c r="N664" s="1">
        <v>6</v>
      </c>
      <c r="O664" s="1">
        <v>7</v>
      </c>
      <c r="P664" s="1">
        <v>6</v>
      </c>
      <c r="Q664" s="1">
        <f t="shared" si="129"/>
        <v>26</v>
      </c>
      <c r="R664" s="12">
        <f t="shared" si="133"/>
        <v>0.65</v>
      </c>
      <c r="S664" s="1">
        <v>8</v>
      </c>
      <c r="T664" s="1">
        <v>8</v>
      </c>
      <c r="U664" s="1">
        <f t="shared" si="130"/>
        <v>16</v>
      </c>
      <c r="V664" s="12">
        <f t="shared" si="134"/>
        <v>0.8</v>
      </c>
      <c r="Z664" s="1">
        <f t="shared" si="131"/>
        <v>0</v>
      </c>
      <c r="AB664" s="2" t="s">
        <v>1484</v>
      </c>
    </row>
    <row r="665" spans="1:28" x14ac:dyDescent="0.25">
      <c r="A665" s="1" t="s">
        <v>1654</v>
      </c>
      <c r="B665" s="1" t="s">
        <v>576</v>
      </c>
      <c r="C665" s="1" t="s">
        <v>861</v>
      </c>
      <c r="D665" s="1">
        <v>25</v>
      </c>
      <c r="E665" s="1">
        <v>2</v>
      </c>
      <c r="F665" s="1">
        <v>2</v>
      </c>
      <c r="G665" s="1">
        <v>7</v>
      </c>
      <c r="H665" s="1">
        <v>7</v>
      </c>
      <c r="I665" s="1">
        <v>8</v>
      </c>
      <c r="J665" s="1">
        <v>7</v>
      </c>
      <c r="K665" s="1">
        <f t="shared" si="128"/>
        <v>29</v>
      </c>
      <c r="L665" s="12">
        <f t="shared" si="132"/>
        <v>0.72499999999999998</v>
      </c>
      <c r="M665" s="1">
        <v>5</v>
      </c>
      <c r="N665" s="1">
        <v>5</v>
      </c>
      <c r="O665" s="1">
        <v>6</v>
      </c>
      <c r="P665" s="1">
        <v>6</v>
      </c>
      <c r="Q665" s="1">
        <f t="shared" si="129"/>
        <v>22</v>
      </c>
      <c r="R665" s="12">
        <f t="shared" si="133"/>
        <v>0.55000000000000004</v>
      </c>
      <c r="S665" s="1">
        <v>7</v>
      </c>
      <c r="T665" s="1">
        <v>8</v>
      </c>
      <c r="U665" s="1">
        <f t="shared" si="130"/>
        <v>15</v>
      </c>
      <c r="V665" s="12">
        <f t="shared" si="134"/>
        <v>0.75</v>
      </c>
      <c r="Z665" s="1">
        <f t="shared" si="131"/>
        <v>0</v>
      </c>
      <c r="AB665" s="2" t="s">
        <v>1485</v>
      </c>
    </row>
    <row r="666" spans="1:28" x14ac:dyDescent="0.25">
      <c r="A666" s="1" t="s">
        <v>1654</v>
      </c>
      <c r="B666" s="1" t="s">
        <v>576</v>
      </c>
      <c r="C666" s="1" t="s">
        <v>861</v>
      </c>
      <c r="D666" s="1">
        <v>25</v>
      </c>
      <c r="E666" s="1">
        <v>2</v>
      </c>
      <c r="F666" s="1">
        <v>2</v>
      </c>
      <c r="G666" s="1">
        <v>9</v>
      </c>
      <c r="H666" s="1">
        <v>8</v>
      </c>
      <c r="I666" s="1">
        <v>8</v>
      </c>
      <c r="J666" s="1">
        <v>9</v>
      </c>
      <c r="K666" s="1">
        <f t="shared" si="128"/>
        <v>34</v>
      </c>
      <c r="L666" s="12">
        <f t="shared" si="132"/>
        <v>0.85</v>
      </c>
      <c r="M666" s="1">
        <v>9</v>
      </c>
      <c r="N666" s="1">
        <v>9</v>
      </c>
      <c r="O666" s="1">
        <v>8</v>
      </c>
      <c r="P666" s="1">
        <v>8</v>
      </c>
      <c r="Q666" s="1">
        <f t="shared" si="129"/>
        <v>34</v>
      </c>
      <c r="R666" s="12">
        <f t="shared" si="133"/>
        <v>0.85</v>
      </c>
      <c r="S666" s="1">
        <v>8</v>
      </c>
      <c r="T666" s="1">
        <v>8</v>
      </c>
      <c r="U666" s="1">
        <f t="shared" si="130"/>
        <v>16</v>
      </c>
      <c r="V666" s="12">
        <f t="shared" si="134"/>
        <v>0.8</v>
      </c>
      <c r="Z666" s="1">
        <f t="shared" si="131"/>
        <v>0</v>
      </c>
      <c r="AB666" s="2" t="s">
        <v>1486</v>
      </c>
    </row>
    <row r="667" spans="1:28" x14ac:dyDescent="0.25">
      <c r="A667" s="1" t="s">
        <v>1670</v>
      </c>
      <c r="B667" s="1" t="s">
        <v>35</v>
      </c>
      <c r="C667" s="1" t="s">
        <v>36</v>
      </c>
      <c r="D667" s="1">
        <v>19</v>
      </c>
      <c r="E667" s="1">
        <v>1</v>
      </c>
      <c r="F667" s="1">
        <v>2</v>
      </c>
      <c r="G667" s="1">
        <v>8</v>
      </c>
      <c r="H667" s="1">
        <v>7</v>
      </c>
      <c r="I667" s="1">
        <v>8</v>
      </c>
      <c r="J667" s="1">
        <v>4</v>
      </c>
      <c r="K667" s="1">
        <f t="shared" si="128"/>
        <v>27</v>
      </c>
      <c r="L667" s="12">
        <f t="shared" ref="L667:L695" si="135">K667/35</f>
        <v>0.77142857142857146</v>
      </c>
      <c r="M667" s="1">
        <v>8</v>
      </c>
      <c r="N667" s="1">
        <v>8</v>
      </c>
      <c r="O667" s="1">
        <v>8</v>
      </c>
      <c r="P667" s="1">
        <v>4</v>
      </c>
      <c r="Q667" s="1">
        <f t="shared" si="129"/>
        <v>28</v>
      </c>
      <c r="R667" s="12">
        <f t="shared" ref="R667:R695" si="136">Q667/35</f>
        <v>0.8</v>
      </c>
      <c r="S667" s="1">
        <v>8</v>
      </c>
      <c r="T667" s="1">
        <v>5</v>
      </c>
      <c r="U667" s="1">
        <f t="shared" si="130"/>
        <v>13</v>
      </c>
      <c r="V667" s="12">
        <f t="shared" ref="V667:V695" si="137">U667/15</f>
        <v>0.8666666666666667</v>
      </c>
      <c r="W667" s="1">
        <v>4</v>
      </c>
      <c r="X667" s="1">
        <v>3</v>
      </c>
      <c r="Y667" s="1">
        <v>4</v>
      </c>
      <c r="Z667" s="1">
        <f t="shared" si="131"/>
        <v>11</v>
      </c>
      <c r="AA667" s="12">
        <f t="shared" ref="AA667:AA695" si="138">Z667/15</f>
        <v>0.73333333333333328</v>
      </c>
      <c r="AB667" s="2" t="s">
        <v>76</v>
      </c>
    </row>
    <row r="668" spans="1:28" x14ac:dyDescent="0.25">
      <c r="A668" s="1" t="s">
        <v>1670</v>
      </c>
      <c r="B668" s="1" t="s">
        <v>35</v>
      </c>
      <c r="C668" s="1" t="s">
        <v>36</v>
      </c>
      <c r="D668" s="1">
        <v>19</v>
      </c>
      <c r="E668" s="1">
        <v>1</v>
      </c>
      <c r="F668" s="1">
        <v>2</v>
      </c>
      <c r="G668" s="1">
        <v>5</v>
      </c>
      <c r="H668" s="1">
        <v>4</v>
      </c>
      <c r="I668" s="1">
        <v>4</v>
      </c>
      <c r="J668" s="1">
        <v>5</v>
      </c>
      <c r="K668" s="1">
        <f t="shared" si="128"/>
        <v>18</v>
      </c>
      <c r="L668" s="12">
        <f t="shared" si="135"/>
        <v>0.51428571428571423</v>
      </c>
      <c r="M668" s="1">
        <v>5</v>
      </c>
      <c r="N668" s="1">
        <v>6</v>
      </c>
      <c r="O668" s="1">
        <v>6</v>
      </c>
      <c r="P668" s="1">
        <v>2</v>
      </c>
      <c r="Q668" s="1">
        <f t="shared" si="129"/>
        <v>19</v>
      </c>
      <c r="R668" s="12">
        <f t="shared" si="136"/>
        <v>0.54285714285714282</v>
      </c>
      <c r="S668" s="1">
        <v>7</v>
      </c>
      <c r="T668" s="1">
        <v>4</v>
      </c>
      <c r="U668" s="1">
        <f t="shared" si="130"/>
        <v>11</v>
      </c>
      <c r="V668" s="12">
        <f t="shared" si="137"/>
        <v>0.73333333333333328</v>
      </c>
      <c r="W668" s="1">
        <v>4</v>
      </c>
      <c r="X668" s="1">
        <v>3</v>
      </c>
      <c r="Y668" s="1">
        <v>3</v>
      </c>
      <c r="Z668" s="1">
        <f t="shared" si="131"/>
        <v>10</v>
      </c>
      <c r="AA668" s="12">
        <f t="shared" si="138"/>
        <v>0.66666666666666663</v>
      </c>
      <c r="AB668" s="2" t="s">
        <v>77</v>
      </c>
    </row>
    <row r="669" spans="1:28" x14ac:dyDescent="0.25">
      <c r="A669" s="1" t="s">
        <v>1670</v>
      </c>
      <c r="B669" s="1" t="s">
        <v>35</v>
      </c>
      <c r="C669" s="1" t="s">
        <v>36</v>
      </c>
      <c r="D669" s="1">
        <v>19</v>
      </c>
      <c r="E669" s="1">
        <v>1</v>
      </c>
      <c r="F669" s="1">
        <v>2</v>
      </c>
      <c r="G669" s="1">
        <v>9</v>
      </c>
      <c r="H669" s="1">
        <v>9</v>
      </c>
      <c r="I669" s="1">
        <v>9</v>
      </c>
      <c r="J669" s="1">
        <v>5</v>
      </c>
      <c r="K669" s="1">
        <f t="shared" si="128"/>
        <v>32</v>
      </c>
      <c r="L669" s="12">
        <f t="shared" si="135"/>
        <v>0.91428571428571426</v>
      </c>
      <c r="M669" s="1">
        <v>8</v>
      </c>
      <c r="N669" s="1">
        <v>10</v>
      </c>
      <c r="O669" s="1">
        <v>9</v>
      </c>
      <c r="P669" s="1">
        <v>5</v>
      </c>
      <c r="Q669" s="1">
        <f t="shared" si="129"/>
        <v>32</v>
      </c>
      <c r="R669" s="12">
        <f t="shared" si="136"/>
        <v>0.91428571428571426</v>
      </c>
      <c r="S669" s="1">
        <v>9</v>
      </c>
      <c r="T669" s="1">
        <v>5</v>
      </c>
      <c r="U669" s="1">
        <f t="shared" si="130"/>
        <v>14</v>
      </c>
      <c r="V669" s="12">
        <f t="shared" si="137"/>
        <v>0.93333333333333335</v>
      </c>
      <c r="W669" s="1">
        <v>5</v>
      </c>
      <c r="X669" s="1">
        <v>4</v>
      </c>
      <c r="Y669" s="1">
        <v>5</v>
      </c>
      <c r="Z669" s="1">
        <f t="shared" si="131"/>
        <v>14</v>
      </c>
      <c r="AA669" s="12">
        <f t="shared" si="138"/>
        <v>0.93333333333333335</v>
      </c>
      <c r="AB669" s="2" t="s">
        <v>78</v>
      </c>
    </row>
    <row r="670" spans="1:28" x14ac:dyDescent="0.25">
      <c r="A670" s="1" t="s">
        <v>1670</v>
      </c>
      <c r="B670" s="1" t="s">
        <v>35</v>
      </c>
      <c r="C670" s="1" t="s">
        <v>36</v>
      </c>
      <c r="D670" s="1">
        <v>19</v>
      </c>
      <c r="E670" s="1">
        <v>1</v>
      </c>
      <c r="F670" s="1">
        <v>2</v>
      </c>
      <c r="G670" s="1">
        <v>8</v>
      </c>
      <c r="H670" s="1">
        <v>7</v>
      </c>
      <c r="I670" s="1">
        <v>7</v>
      </c>
      <c r="J670" s="1">
        <v>4</v>
      </c>
      <c r="K670" s="1">
        <f t="shared" si="128"/>
        <v>26</v>
      </c>
      <c r="L670" s="12">
        <f t="shared" si="135"/>
        <v>0.74285714285714288</v>
      </c>
      <c r="M670" s="1">
        <v>8</v>
      </c>
      <c r="N670" s="1">
        <v>7</v>
      </c>
      <c r="O670" s="1">
        <v>8</v>
      </c>
      <c r="P670" s="1">
        <v>5</v>
      </c>
      <c r="Q670" s="1">
        <f t="shared" si="129"/>
        <v>28</v>
      </c>
      <c r="R670" s="12">
        <f t="shared" si="136"/>
        <v>0.8</v>
      </c>
      <c r="S670" s="1">
        <v>8</v>
      </c>
      <c r="T670" s="1">
        <v>3</v>
      </c>
      <c r="U670" s="1">
        <f t="shared" si="130"/>
        <v>11</v>
      </c>
      <c r="V670" s="12">
        <f t="shared" si="137"/>
        <v>0.73333333333333328</v>
      </c>
      <c r="W670" s="1">
        <v>4</v>
      </c>
      <c r="X670" s="1">
        <v>3</v>
      </c>
      <c r="Y670" s="1">
        <v>4</v>
      </c>
      <c r="Z670" s="1">
        <f t="shared" si="131"/>
        <v>11</v>
      </c>
      <c r="AA670" s="12">
        <f t="shared" si="138"/>
        <v>0.73333333333333328</v>
      </c>
      <c r="AB670" s="2" t="s">
        <v>79</v>
      </c>
    </row>
    <row r="671" spans="1:28" x14ac:dyDescent="0.25">
      <c r="A671" s="1" t="s">
        <v>1670</v>
      </c>
      <c r="B671" s="1" t="s">
        <v>35</v>
      </c>
      <c r="C671" s="1" t="s">
        <v>36</v>
      </c>
      <c r="D671" s="1">
        <v>19</v>
      </c>
      <c r="E671" s="1">
        <v>1</v>
      </c>
      <c r="F671" s="1">
        <v>2</v>
      </c>
      <c r="G671" s="1">
        <v>7</v>
      </c>
      <c r="H671" s="1">
        <v>7</v>
      </c>
      <c r="I671" s="1">
        <v>7</v>
      </c>
      <c r="J671" s="1">
        <v>3</v>
      </c>
      <c r="K671" s="1">
        <f t="shared" si="128"/>
        <v>24</v>
      </c>
      <c r="L671" s="12">
        <f t="shared" si="135"/>
        <v>0.68571428571428572</v>
      </c>
      <c r="M671" s="1">
        <v>5</v>
      </c>
      <c r="N671" s="1">
        <v>7</v>
      </c>
      <c r="O671" s="1">
        <v>5</v>
      </c>
      <c r="P671" s="1">
        <v>3</v>
      </c>
      <c r="Q671" s="1">
        <f t="shared" si="129"/>
        <v>20</v>
      </c>
      <c r="R671" s="12">
        <f t="shared" si="136"/>
        <v>0.5714285714285714</v>
      </c>
      <c r="S671" s="1">
        <v>6</v>
      </c>
      <c r="T671" s="1">
        <v>5</v>
      </c>
      <c r="U671" s="1">
        <f t="shared" si="130"/>
        <v>11</v>
      </c>
      <c r="V671" s="12">
        <f t="shared" si="137"/>
        <v>0.73333333333333328</v>
      </c>
      <c r="W671" s="1">
        <v>4</v>
      </c>
      <c r="X671" s="1">
        <v>3</v>
      </c>
      <c r="Y671" s="1">
        <v>3</v>
      </c>
      <c r="Z671" s="1">
        <f t="shared" si="131"/>
        <v>10</v>
      </c>
      <c r="AA671" s="12">
        <f t="shared" si="138"/>
        <v>0.66666666666666663</v>
      </c>
      <c r="AB671" s="2" t="s">
        <v>80</v>
      </c>
    </row>
    <row r="672" spans="1:28" x14ac:dyDescent="0.25">
      <c r="A672" s="1" t="s">
        <v>1670</v>
      </c>
      <c r="B672" s="1" t="s">
        <v>35</v>
      </c>
      <c r="C672" s="1" t="s">
        <v>36</v>
      </c>
      <c r="D672" s="1">
        <v>19</v>
      </c>
      <c r="E672" s="1">
        <v>1</v>
      </c>
      <c r="F672" s="1">
        <v>2</v>
      </c>
      <c r="G672" s="1">
        <v>6</v>
      </c>
      <c r="H672" s="1">
        <v>7</v>
      </c>
      <c r="I672" s="1">
        <v>6</v>
      </c>
      <c r="J672" s="1">
        <v>3</v>
      </c>
      <c r="K672" s="1">
        <f t="shared" si="128"/>
        <v>22</v>
      </c>
      <c r="L672" s="12">
        <f t="shared" si="135"/>
        <v>0.62857142857142856</v>
      </c>
      <c r="M672" s="1">
        <v>7</v>
      </c>
      <c r="N672" s="1">
        <v>7</v>
      </c>
      <c r="O672" s="1">
        <v>6</v>
      </c>
      <c r="P672" s="1">
        <v>3</v>
      </c>
      <c r="Q672" s="1">
        <f t="shared" si="129"/>
        <v>23</v>
      </c>
      <c r="R672" s="12">
        <f t="shared" si="136"/>
        <v>0.65714285714285714</v>
      </c>
      <c r="S672" s="1">
        <v>7</v>
      </c>
      <c r="T672" s="1">
        <v>2</v>
      </c>
      <c r="U672" s="1">
        <f t="shared" si="130"/>
        <v>9</v>
      </c>
      <c r="V672" s="12">
        <f t="shared" si="137"/>
        <v>0.6</v>
      </c>
      <c r="W672" s="1">
        <v>4</v>
      </c>
      <c r="X672" s="1">
        <v>3</v>
      </c>
      <c r="Y672" s="1">
        <v>3</v>
      </c>
      <c r="Z672" s="1">
        <f t="shared" si="131"/>
        <v>10</v>
      </c>
      <c r="AA672" s="12">
        <f t="shared" si="138"/>
        <v>0.66666666666666663</v>
      </c>
      <c r="AB672" s="2" t="s">
        <v>81</v>
      </c>
    </row>
    <row r="673" spans="1:28" x14ac:dyDescent="0.25">
      <c r="A673" s="1" t="s">
        <v>1670</v>
      </c>
      <c r="B673" s="1" t="s">
        <v>35</v>
      </c>
      <c r="C673" s="1" t="s">
        <v>36</v>
      </c>
      <c r="D673" s="1">
        <v>19</v>
      </c>
      <c r="E673" s="1">
        <v>1</v>
      </c>
      <c r="F673" s="1">
        <v>2</v>
      </c>
      <c r="G673" s="1">
        <v>7</v>
      </c>
      <c r="H673" s="1">
        <v>6</v>
      </c>
      <c r="I673" s="1">
        <v>5</v>
      </c>
      <c r="J673" s="1">
        <v>3</v>
      </c>
      <c r="K673" s="1">
        <f t="shared" si="128"/>
        <v>21</v>
      </c>
      <c r="L673" s="12">
        <f t="shared" si="135"/>
        <v>0.6</v>
      </c>
      <c r="M673" s="1">
        <v>4</v>
      </c>
      <c r="N673" s="1">
        <v>5</v>
      </c>
      <c r="O673" s="1">
        <v>5</v>
      </c>
      <c r="P673" s="1">
        <v>2</v>
      </c>
      <c r="Q673" s="1">
        <f t="shared" si="129"/>
        <v>16</v>
      </c>
      <c r="R673" s="12">
        <f t="shared" si="136"/>
        <v>0.45714285714285713</v>
      </c>
      <c r="S673" s="1">
        <v>5</v>
      </c>
      <c r="T673" s="1">
        <v>5</v>
      </c>
      <c r="U673" s="1">
        <f t="shared" si="130"/>
        <v>10</v>
      </c>
      <c r="V673" s="12">
        <f t="shared" si="137"/>
        <v>0.66666666666666663</v>
      </c>
      <c r="W673" s="1">
        <v>4</v>
      </c>
      <c r="X673" s="1">
        <v>4</v>
      </c>
      <c r="Y673" s="1">
        <v>4</v>
      </c>
      <c r="Z673" s="1">
        <f t="shared" si="131"/>
        <v>12</v>
      </c>
      <c r="AA673" s="12">
        <f t="shared" si="138"/>
        <v>0.8</v>
      </c>
      <c r="AB673" s="2" t="s">
        <v>82</v>
      </c>
    </row>
    <row r="674" spans="1:28" x14ac:dyDescent="0.25">
      <c r="A674" s="1" t="s">
        <v>1670</v>
      </c>
      <c r="B674" s="1" t="s">
        <v>35</v>
      </c>
      <c r="C674" s="1" t="s">
        <v>36</v>
      </c>
      <c r="D674" s="1">
        <v>19</v>
      </c>
      <c r="E674" s="1">
        <v>1</v>
      </c>
      <c r="F674" s="1">
        <v>2</v>
      </c>
      <c r="G674" s="1">
        <v>9</v>
      </c>
      <c r="H674" s="1">
        <v>9</v>
      </c>
      <c r="I674" s="1">
        <v>9</v>
      </c>
      <c r="J674" s="1">
        <v>5</v>
      </c>
      <c r="K674" s="1">
        <f t="shared" si="128"/>
        <v>32</v>
      </c>
      <c r="L674" s="12">
        <f t="shared" si="135"/>
        <v>0.91428571428571426</v>
      </c>
      <c r="M674" s="1">
        <v>9</v>
      </c>
      <c r="N674" s="1">
        <v>9</v>
      </c>
      <c r="O674" s="1">
        <v>8</v>
      </c>
      <c r="P674" s="1">
        <v>5</v>
      </c>
      <c r="Q674" s="1">
        <f t="shared" si="129"/>
        <v>31</v>
      </c>
      <c r="R674" s="12">
        <f t="shared" si="136"/>
        <v>0.88571428571428568</v>
      </c>
      <c r="S674" s="1">
        <v>4</v>
      </c>
      <c r="T674" s="1">
        <v>5</v>
      </c>
      <c r="U674" s="1">
        <f t="shared" si="130"/>
        <v>9</v>
      </c>
      <c r="V674" s="12">
        <f t="shared" si="137"/>
        <v>0.6</v>
      </c>
      <c r="W674" s="1">
        <v>3</v>
      </c>
      <c r="X674" s="1">
        <v>3</v>
      </c>
      <c r="Y674" s="1">
        <v>3</v>
      </c>
      <c r="Z674" s="1">
        <f t="shared" si="131"/>
        <v>9</v>
      </c>
      <c r="AA674" s="12">
        <f t="shared" si="138"/>
        <v>0.6</v>
      </c>
      <c r="AB674" s="2" t="s">
        <v>83</v>
      </c>
    </row>
    <row r="675" spans="1:28" x14ac:dyDescent="0.25">
      <c r="A675" s="1" t="s">
        <v>1670</v>
      </c>
      <c r="B675" s="1" t="s">
        <v>35</v>
      </c>
      <c r="C675" s="1" t="s">
        <v>36</v>
      </c>
      <c r="D675" s="1">
        <v>20</v>
      </c>
      <c r="E675" s="1">
        <v>2</v>
      </c>
      <c r="F675" s="1">
        <v>4</v>
      </c>
      <c r="G675" s="1">
        <v>7</v>
      </c>
      <c r="H675" s="1">
        <v>7</v>
      </c>
      <c r="I675" s="1">
        <v>5</v>
      </c>
      <c r="J675" s="1">
        <v>3</v>
      </c>
      <c r="K675" s="1">
        <f t="shared" si="128"/>
        <v>22</v>
      </c>
      <c r="L675" s="12">
        <f t="shared" si="135"/>
        <v>0.62857142857142856</v>
      </c>
      <c r="M675" s="1">
        <v>7</v>
      </c>
      <c r="N675" s="1">
        <v>5</v>
      </c>
      <c r="O675" s="1">
        <v>7</v>
      </c>
      <c r="P675" s="1">
        <v>4</v>
      </c>
      <c r="Q675" s="1">
        <f t="shared" si="129"/>
        <v>23</v>
      </c>
      <c r="R675" s="12">
        <f t="shared" si="136"/>
        <v>0.65714285714285714</v>
      </c>
      <c r="S675" s="1">
        <v>5</v>
      </c>
      <c r="T675" s="1">
        <v>4</v>
      </c>
      <c r="U675" s="1">
        <f t="shared" si="130"/>
        <v>9</v>
      </c>
      <c r="V675" s="12">
        <f t="shared" si="137"/>
        <v>0.6</v>
      </c>
      <c r="W675" s="1">
        <v>4</v>
      </c>
      <c r="X675" s="1">
        <v>4</v>
      </c>
      <c r="Y675" s="1">
        <v>4</v>
      </c>
      <c r="Z675" s="1">
        <f t="shared" si="131"/>
        <v>12</v>
      </c>
      <c r="AA675" s="12">
        <f t="shared" si="138"/>
        <v>0.8</v>
      </c>
      <c r="AB675" s="2" t="s">
        <v>333</v>
      </c>
    </row>
    <row r="676" spans="1:28" x14ac:dyDescent="0.25">
      <c r="A676" s="1" t="s">
        <v>1670</v>
      </c>
      <c r="B676" s="1" t="s">
        <v>35</v>
      </c>
      <c r="C676" s="1" t="s">
        <v>36</v>
      </c>
      <c r="D676" s="1">
        <v>20</v>
      </c>
      <c r="E676" s="1">
        <v>2</v>
      </c>
      <c r="F676" s="1">
        <v>4</v>
      </c>
      <c r="G676" s="1">
        <v>8</v>
      </c>
      <c r="H676" s="1">
        <v>8</v>
      </c>
      <c r="I676" s="1">
        <v>9</v>
      </c>
      <c r="J676" s="1">
        <v>5</v>
      </c>
      <c r="K676" s="1">
        <f t="shared" si="128"/>
        <v>30</v>
      </c>
      <c r="L676" s="12">
        <f t="shared" si="135"/>
        <v>0.8571428571428571</v>
      </c>
      <c r="M676" s="1">
        <v>8</v>
      </c>
      <c r="N676" s="1">
        <v>7</v>
      </c>
      <c r="O676" s="1">
        <v>8</v>
      </c>
      <c r="P676" s="1">
        <v>4</v>
      </c>
      <c r="Q676" s="1">
        <f t="shared" si="129"/>
        <v>27</v>
      </c>
      <c r="R676" s="12">
        <f t="shared" si="136"/>
        <v>0.77142857142857146</v>
      </c>
      <c r="S676" s="1">
        <v>8</v>
      </c>
      <c r="T676" s="1">
        <v>4</v>
      </c>
      <c r="U676" s="1">
        <f t="shared" si="130"/>
        <v>12</v>
      </c>
      <c r="V676" s="12">
        <f t="shared" si="137"/>
        <v>0.8</v>
      </c>
      <c r="W676" s="1">
        <v>4</v>
      </c>
      <c r="X676" s="1">
        <v>4</v>
      </c>
      <c r="Y676" s="1">
        <v>0</v>
      </c>
      <c r="Z676" s="1">
        <f t="shared" si="131"/>
        <v>8</v>
      </c>
      <c r="AA676" s="12">
        <f t="shared" si="138"/>
        <v>0.53333333333333333</v>
      </c>
      <c r="AB676" s="2" t="s">
        <v>334</v>
      </c>
    </row>
    <row r="677" spans="1:28" x14ac:dyDescent="0.25">
      <c r="A677" s="1" t="s">
        <v>1670</v>
      </c>
      <c r="B677" s="1" t="s">
        <v>35</v>
      </c>
      <c r="C677" s="1" t="s">
        <v>36</v>
      </c>
      <c r="D677" s="1">
        <v>20</v>
      </c>
      <c r="E677" s="1">
        <v>2</v>
      </c>
      <c r="F677" s="1">
        <v>4</v>
      </c>
      <c r="G677" s="1">
        <v>8</v>
      </c>
      <c r="H677" s="1">
        <v>7</v>
      </c>
      <c r="I677" s="1">
        <v>6</v>
      </c>
      <c r="J677" s="1">
        <v>4</v>
      </c>
      <c r="K677" s="1">
        <f t="shared" si="128"/>
        <v>25</v>
      </c>
      <c r="L677" s="12">
        <f t="shared" si="135"/>
        <v>0.7142857142857143</v>
      </c>
      <c r="M677" s="1">
        <v>6</v>
      </c>
      <c r="N677" s="1">
        <v>7</v>
      </c>
      <c r="O677" s="1">
        <v>7</v>
      </c>
      <c r="P677" s="1">
        <v>3</v>
      </c>
      <c r="Q677" s="1">
        <f t="shared" si="129"/>
        <v>23</v>
      </c>
      <c r="R677" s="12">
        <f t="shared" si="136"/>
        <v>0.65714285714285714</v>
      </c>
      <c r="S677" s="1">
        <v>3</v>
      </c>
      <c r="T677" s="1">
        <v>4</v>
      </c>
      <c r="U677" s="1">
        <f t="shared" si="130"/>
        <v>7</v>
      </c>
      <c r="V677" s="12">
        <f t="shared" si="137"/>
        <v>0.46666666666666667</v>
      </c>
      <c r="W677" s="1">
        <v>4</v>
      </c>
      <c r="X677" s="1">
        <v>2</v>
      </c>
      <c r="Y677" s="1">
        <v>4</v>
      </c>
      <c r="Z677" s="1">
        <f t="shared" si="131"/>
        <v>10</v>
      </c>
      <c r="AA677" s="12">
        <f t="shared" si="138"/>
        <v>0.66666666666666663</v>
      </c>
      <c r="AB677" s="2" t="s">
        <v>335</v>
      </c>
    </row>
    <row r="678" spans="1:28" x14ac:dyDescent="0.25">
      <c r="A678" s="1" t="s">
        <v>1670</v>
      </c>
      <c r="B678" s="1" t="s">
        <v>35</v>
      </c>
      <c r="C678" s="1" t="s">
        <v>36</v>
      </c>
      <c r="D678" s="1">
        <v>20</v>
      </c>
      <c r="E678" s="1">
        <v>2</v>
      </c>
      <c r="F678" s="1">
        <v>4</v>
      </c>
      <c r="G678" s="1">
        <v>7</v>
      </c>
      <c r="H678" s="1">
        <v>8</v>
      </c>
      <c r="I678" s="1">
        <v>7</v>
      </c>
      <c r="J678" s="1">
        <v>3</v>
      </c>
      <c r="K678" s="1">
        <f t="shared" si="128"/>
        <v>25</v>
      </c>
      <c r="L678" s="12">
        <f t="shared" si="135"/>
        <v>0.7142857142857143</v>
      </c>
      <c r="M678" s="1">
        <v>7</v>
      </c>
      <c r="N678" s="1">
        <v>6</v>
      </c>
      <c r="O678" s="1">
        <v>6</v>
      </c>
      <c r="P678" s="1">
        <v>3</v>
      </c>
      <c r="Q678" s="1">
        <f t="shared" si="129"/>
        <v>22</v>
      </c>
      <c r="R678" s="12">
        <f t="shared" si="136"/>
        <v>0.62857142857142856</v>
      </c>
      <c r="S678" s="1">
        <v>6</v>
      </c>
      <c r="T678" s="1">
        <v>4</v>
      </c>
      <c r="U678" s="1">
        <f t="shared" si="130"/>
        <v>10</v>
      </c>
      <c r="V678" s="12">
        <f t="shared" si="137"/>
        <v>0.66666666666666663</v>
      </c>
      <c r="W678" s="1">
        <v>4</v>
      </c>
      <c r="X678" s="1">
        <v>3</v>
      </c>
      <c r="Y678" s="1">
        <v>3</v>
      </c>
      <c r="Z678" s="1">
        <f t="shared" si="131"/>
        <v>10</v>
      </c>
      <c r="AA678" s="12">
        <f t="shared" si="138"/>
        <v>0.66666666666666663</v>
      </c>
      <c r="AB678" s="2" t="s">
        <v>336</v>
      </c>
    </row>
    <row r="679" spans="1:28" x14ac:dyDescent="0.25">
      <c r="A679" s="1" t="s">
        <v>1670</v>
      </c>
      <c r="B679" s="1" t="s">
        <v>35</v>
      </c>
      <c r="C679" s="1" t="s">
        <v>36</v>
      </c>
      <c r="D679" s="1">
        <v>20</v>
      </c>
      <c r="E679" s="1">
        <v>2</v>
      </c>
      <c r="F679" s="1">
        <v>4</v>
      </c>
      <c r="G679" s="1">
        <v>9</v>
      </c>
      <c r="H679" s="1">
        <v>9</v>
      </c>
      <c r="I679" s="1">
        <v>10</v>
      </c>
      <c r="J679" s="1">
        <v>5</v>
      </c>
      <c r="K679" s="1">
        <f t="shared" si="128"/>
        <v>33</v>
      </c>
      <c r="L679" s="12">
        <f t="shared" si="135"/>
        <v>0.94285714285714284</v>
      </c>
      <c r="M679" s="1">
        <v>9</v>
      </c>
      <c r="N679" s="1">
        <v>10</v>
      </c>
      <c r="O679" s="1">
        <v>9</v>
      </c>
      <c r="P679" s="1">
        <v>5</v>
      </c>
      <c r="Q679" s="1">
        <f t="shared" si="129"/>
        <v>33</v>
      </c>
      <c r="R679" s="12">
        <f t="shared" si="136"/>
        <v>0.94285714285714284</v>
      </c>
      <c r="S679" s="1">
        <v>5</v>
      </c>
      <c r="T679" s="1">
        <v>5</v>
      </c>
      <c r="U679" s="1">
        <f t="shared" si="130"/>
        <v>10</v>
      </c>
      <c r="V679" s="12">
        <f t="shared" si="137"/>
        <v>0.66666666666666663</v>
      </c>
      <c r="W679" s="1">
        <v>5</v>
      </c>
      <c r="X679" s="1">
        <v>5</v>
      </c>
      <c r="Y679" s="1">
        <v>5</v>
      </c>
      <c r="Z679" s="1">
        <f t="shared" si="131"/>
        <v>15</v>
      </c>
      <c r="AA679" s="12">
        <f t="shared" si="138"/>
        <v>1</v>
      </c>
      <c r="AB679" s="2" t="s">
        <v>337</v>
      </c>
    </row>
    <row r="680" spans="1:28" x14ac:dyDescent="0.25">
      <c r="A680" s="1" t="s">
        <v>1670</v>
      </c>
      <c r="B680" s="1" t="s">
        <v>35</v>
      </c>
      <c r="C680" s="1" t="s">
        <v>36</v>
      </c>
      <c r="D680" s="1">
        <v>20</v>
      </c>
      <c r="E680" s="1">
        <v>2</v>
      </c>
      <c r="F680" s="1">
        <v>4</v>
      </c>
      <c r="G680" s="1">
        <v>8</v>
      </c>
      <c r="H680" s="1">
        <v>8</v>
      </c>
      <c r="I680" s="1">
        <v>8</v>
      </c>
      <c r="J680" s="1">
        <v>5</v>
      </c>
      <c r="K680" s="1">
        <f t="shared" si="128"/>
        <v>29</v>
      </c>
      <c r="L680" s="12">
        <f t="shared" si="135"/>
        <v>0.82857142857142863</v>
      </c>
      <c r="M680" s="1">
        <v>8</v>
      </c>
      <c r="N680" s="1">
        <v>8</v>
      </c>
      <c r="O680" s="1">
        <v>8</v>
      </c>
      <c r="P680" s="1">
        <v>5</v>
      </c>
      <c r="Q680" s="1">
        <f t="shared" si="129"/>
        <v>29</v>
      </c>
      <c r="R680" s="12">
        <f t="shared" si="136"/>
        <v>0.82857142857142863</v>
      </c>
      <c r="S680" s="1">
        <v>8</v>
      </c>
      <c r="T680" s="1">
        <v>5</v>
      </c>
      <c r="U680" s="1">
        <f t="shared" si="130"/>
        <v>13</v>
      </c>
      <c r="V680" s="12">
        <f t="shared" si="137"/>
        <v>0.8666666666666667</v>
      </c>
      <c r="W680" s="1">
        <v>5</v>
      </c>
      <c r="X680" s="1">
        <v>5</v>
      </c>
      <c r="Y680" s="1">
        <v>5</v>
      </c>
      <c r="Z680" s="1">
        <f t="shared" si="131"/>
        <v>15</v>
      </c>
      <c r="AA680" s="12">
        <f t="shared" si="138"/>
        <v>1</v>
      </c>
      <c r="AB680" s="2" t="s">
        <v>338</v>
      </c>
    </row>
    <row r="681" spans="1:28" x14ac:dyDescent="0.25">
      <c r="A681" s="1" t="s">
        <v>1670</v>
      </c>
      <c r="B681" s="1" t="s">
        <v>35</v>
      </c>
      <c r="C681" s="1" t="s">
        <v>36</v>
      </c>
      <c r="D681" s="1">
        <v>20</v>
      </c>
      <c r="E681" s="1">
        <v>2</v>
      </c>
      <c r="F681" s="1">
        <v>4</v>
      </c>
      <c r="G681" s="1">
        <v>8</v>
      </c>
      <c r="H681" s="1">
        <v>7</v>
      </c>
      <c r="I681" s="1">
        <v>7</v>
      </c>
      <c r="J681" s="1">
        <v>4</v>
      </c>
      <c r="K681" s="1">
        <f t="shared" si="128"/>
        <v>26</v>
      </c>
      <c r="L681" s="12">
        <f t="shared" si="135"/>
        <v>0.74285714285714288</v>
      </c>
      <c r="M681" s="1">
        <v>7</v>
      </c>
      <c r="N681" s="1">
        <v>8</v>
      </c>
      <c r="O681" s="1">
        <v>8</v>
      </c>
      <c r="P681" s="1">
        <v>4</v>
      </c>
      <c r="Q681" s="1">
        <f t="shared" si="129"/>
        <v>27</v>
      </c>
      <c r="R681" s="12">
        <f t="shared" si="136"/>
        <v>0.77142857142857146</v>
      </c>
      <c r="S681" s="1">
        <v>8</v>
      </c>
      <c r="T681" s="1">
        <v>5</v>
      </c>
      <c r="U681" s="1">
        <f t="shared" si="130"/>
        <v>13</v>
      </c>
      <c r="V681" s="12">
        <f t="shared" si="137"/>
        <v>0.8666666666666667</v>
      </c>
      <c r="W681" s="1">
        <v>5</v>
      </c>
      <c r="X681" s="1">
        <v>4</v>
      </c>
      <c r="Y681" s="1">
        <v>5</v>
      </c>
      <c r="Z681" s="1">
        <f t="shared" si="131"/>
        <v>14</v>
      </c>
      <c r="AA681" s="12">
        <f t="shared" si="138"/>
        <v>0.93333333333333335</v>
      </c>
      <c r="AB681" s="2" t="s">
        <v>339</v>
      </c>
    </row>
    <row r="682" spans="1:28" x14ac:dyDescent="0.25">
      <c r="A682" s="1" t="s">
        <v>1670</v>
      </c>
      <c r="B682" s="1" t="s">
        <v>35</v>
      </c>
      <c r="C682" s="1" t="s">
        <v>36</v>
      </c>
      <c r="D682" s="1">
        <v>20</v>
      </c>
      <c r="E682" s="1">
        <v>2</v>
      </c>
      <c r="F682" s="1">
        <v>4</v>
      </c>
      <c r="G682" s="1">
        <v>9</v>
      </c>
      <c r="H682" s="1">
        <v>10</v>
      </c>
      <c r="I682" s="1">
        <v>9</v>
      </c>
      <c r="J682" s="1">
        <v>5</v>
      </c>
      <c r="K682" s="1">
        <f t="shared" si="128"/>
        <v>33</v>
      </c>
      <c r="L682" s="12">
        <f t="shared" si="135"/>
        <v>0.94285714285714284</v>
      </c>
      <c r="M682" s="1">
        <v>9</v>
      </c>
      <c r="N682" s="1">
        <v>9</v>
      </c>
      <c r="O682" s="1">
        <v>10</v>
      </c>
      <c r="P682" s="1">
        <v>5</v>
      </c>
      <c r="Q682" s="1">
        <f t="shared" si="129"/>
        <v>33</v>
      </c>
      <c r="R682" s="12">
        <f t="shared" si="136"/>
        <v>0.94285714285714284</v>
      </c>
      <c r="S682" s="1">
        <v>9</v>
      </c>
      <c r="T682" s="1">
        <v>5</v>
      </c>
      <c r="U682" s="1">
        <f t="shared" si="130"/>
        <v>14</v>
      </c>
      <c r="V682" s="12">
        <f t="shared" si="137"/>
        <v>0.93333333333333335</v>
      </c>
      <c r="W682" s="1">
        <v>5</v>
      </c>
      <c r="X682" s="1">
        <v>5</v>
      </c>
      <c r="Y682" s="1">
        <v>5</v>
      </c>
      <c r="Z682" s="1">
        <f t="shared" si="131"/>
        <v>15</v>
      </c>
      <c r="AA682" s="12">
        <f t="shared" si="138"/>
        <v>1</v>
      </c>
      <c r="AB682" s="2" t="s">
        <v>340</v>
      </c>
    </row>
    <row r="683" spans="1:28" x14ac:dyDescent="0.25">
      <c r="A683" s="1" t="s">
        <v>1670</v>
      </c>
      <c r="B683" s="1" t="s">
        <v>576</v>
      </c>
      <c r="C683" s="1" t="s">
        <v>36</v>
      </c>
      <c r="D683" s="1">
        <v>26</v>
      </c>
      <c r="E683" s="1">
        <v>1</v>
      </c>
      <c r="F683" s="1">
        <v>3</v>
      </c>
      <c r="G683" s="1">
        <v>7</v>
      </c>
      <c r="H683" s="1">
        <v>7</v>
      </c>
      <c r="I683" s="1">
        <v>8</v>
      </c>
      <c r="J683" s="1">
        <v>3</v>
      </c>
      <c r="K683" s="1">
        <f t="shared" si="128"/>
        <v>25</v>
      </c>
      <c r="L683" s="12">
        <f t="shared" si="135"/>
        <v>0.7142857142857143</v>
      </c>
      <c r="M683" s="1">
        <v>6</v>
      </c>
      <c r="N683" s="1">
        <v>7</v>
      </c>
      <c r="O683" s="1">
        <v>6</v>
      </c>
      <c r="P683" s="1">
        <v>3</v>
      </c>
      <c r="Q683" s="1">
        <f t="shared" si="129"/>
        <v>22</v>
      </c>
      <c r="R683" s="12">
        <f t="shared" si="136"/>
        <v>0.62857142857142856</v>
      </c>
      <c r="S683" s="1">
        <v>7</v>
      </c>
      <c r="T683" s="1">
        <v>5</v>
      </c>
      <c r="U683" s="1">
        <f t="shared" si="130"/>
        <v>12</v>
      </c>
      <c r="V683" s="12">
        <f t="shared" si="137"/>
        <v>0.8</v>
      </c>
      <c r="W683" s="1">
        <v>5</v>
      </c>
      <c r="X683" s="1">
        <v>5</v>
      </c>
      <c r="Y683" s="1">
        <v>5</v>
      </c>
      <c r="Z683" s="1">
        <f t="shared" si="131"/>
        <v>15</v>
      </c>
      <c r="AA683" s="12">
        <f t="shared" si="138"/>
        <v>1</v>
      </c>
      <c r="AB683" s="2" t="s">
        <v>617</v>
      </c>
    </row>
    <row r="684" spans="1:28" x14ac:dyDescent="0.25">
      <c r="A684" s="1" t="s">
        <v>1670</v>
      </c>
      <c r="B684" s="1" t="s">
        <v>576</v>
      </c>
      <c r="C684" s="1" t="s">
        <v>36</v>
      </c>
      <c r="D684" s="1">
        <v>26</v>
      </c>
      <c r="E684" s="1">
        <v>1</v>
      </c>
      <c r="F684" s="1">
        <v>3</v>
      </c>
      <c r="G684" s="1">
        <v>8</v>
      </c>
      <c r="H684" s="1">
        <v>8</v>
      </c>
      <c r="I684" s="1">
        <v>8</v>
      </c>
      <c r="J684" s="1">
        <v>4</v>
      </c>
      <c r="K684" s="1">
        <f t="shared" si="128"/>
        <v>28</v>
      </c>
      <c r="L684" s="12">
        <f t="shared" si="135"/>
        <v>0.8</v>
      </c>
      <c r="M684" s="1">
        <v>7</v>
      </c>
      <c r="N684" s="1">
        <v>8</v>
      </c>
      <c r="O684" s="1">
        <v>8</v>
      </c>
      <c r="P684" s="1">
        <v>4</v>
      </c>
      <c r="Q684" s="1">
        <f t="shared" si="129"/>
        <v>27</v>
      </c>
      <c r="R684" s="12">
        <f t="shared" si="136"/>
        <v>0.77142857142857146</v>
      </c>
      <c r="S684" s="1">
        <v>7</v>
      </c>
      <c r="T684" s="1">
        <v>5</v>
      </c>
      <c r="U684" s="1">
        <f t="shared" si="130"/>
        <v>12</v>
      </c>
      <c r="V684" s="12">
        <f t="shared" si="137"/>
        <v>0.8</v>
      </c>
      <c r="W684" s="1">
        <v>5</v>
      </c>
      <c r="X684" s="1">
        <v>3</v>
      </c>
      <c r="Y684" s="1">
        <v>3</v>
      </c>
      <c r="Z684" s="1">
        <f t="shared" si="131"/>
        <v>11</v>
      </c>
      <c r="AA684" s="12">
        <f t="shared" si="138"/>
        <v>0.73333333333333328</v>
      </c>
      <c r="AB684" s="2" t="s">
        <v>618</v>
      </c>
    </row>
    <row r="685" spans="1:28" x14ac:dyDescent="0.25">
      <c r="A685" s="1" t="s">
        <v>1670</v>
      </c>
      <c r="B685" s="1" t="s">
        <v>576</v>
      </c>
      <c r="C685" s="1" t="s">
        <v>36</v>
      </c>
      <c r="D685" s="1">
        <v>26</v>
      </c>
      <c r="E685" s="1">
        <v>1</v>
      </c>
      <c r="F685" s="1">
        <v>3</v>
      </c>
      <c r="G685" s="1">
        <v>8</v>
      </c>
      <c r="H685" s="1">
        <v>8</v>
      </c>
      <c r="I685" s="1">
        <v>7</v>
      </c>
      <c r="J685" s="1">
        <v>4</v>
      </c>
      <c r="K685" s="1">
        <f t="shared" si="128"/>
        <v>27</v>
      </c>
      <c r="L685" s="12">
        <f t="shared" si="135"/>
        <v>0.77142857142857146</v>
      </c>
      <c r="M685" s="1">
        <v>7</v>
      </c>
      <c r="N685" s="1">
        <v>8</v>
      </c>
      <c r="O685" s="1">
        <v>7</v>
      </c>
      <c r="P685" s="1">
        <v>4</v>
      </c>
      <c r="Q685" s="1">
        <f t="shared" si="129"/>
        <v>26</v>
      </c>
      <c r="R685" s="12">
        <f t="shared" si="136"/>
        <v>0.74285714285714288</v>
      </c>
      <c r="S685" s="1">
        <v>7</v>
      </c>
      <c r="T685" s="1">
        <v>5</v>
      </c>
      <c r="U685" s="1">
        <f t="shared" si="130"/>
        <v>12</v>
      </c>
      <c r="V685" s="12">
        <f t="shared" si="137"/>
        <v>0.8</v>
      </c>
      <c r="W685" s="1">
        <v>4</v>
      </c>
      <c r="X685" s="1">
        <v>3</v>
      </c>
      <c r="Y685" s="1">
        <v>2</v>
      </c>
      <c r="Z685" s="1">
        <f t="shared" si="131"/>
        <v>9</v>
      </c>
      <c r="AA685" s="12">
        <f t="shared" si="138"/>
        <v>0.6</v>
      </c>
      <c r="AB685" s="2" t="s">
        <v>619</v>
      </c>
    </row>
    <row r="686" spans="1:28" x14ac:dyDescent="0.25">
      <c r="A686" s="1" t="s">
        <v>1670</v>
      </c>
      <c r="B686" s="1" t="s">
        <v>576</v>
      </c>
      <c r="C686" s="1" t="s">
        <v>36</v>
      </c>
      <c r="D686" s="1">
        <v>26</v>
      </c>
      <c r="E686" s="1">
        <v>1</v>
      </c>
      <c r="F686" s="1">
        <v>3</v>
      </c>
      <c r="G686" s="1">
        <v>8</v>
      </c>
      <c r="H686" s="1">
        <v>8</v>
      </c>
      <c r="I686" s="1">
        <v>7</v>
      </c>
      <c r="J686" s="1">
        <v>4</v>
      </c>
      <c r="K686" s="1">
        <f t="shared" si="128"/>
        <v>27</v>
      </c>
      <c r="L686" s="12">
        <f t="shared" si="135"/>
        <v>0.77142857142857146</v>
      </c>
      <c r="M686" s="1">
        <v>7</v>
      </c>
      <c r="N686" s="1">
        <v>8</v>
      </c>
      <c r="O686" s="1">
        <v>8</v>
      </c>
      <c r="P686" s="1">
        <v>3</v>
      </c>
      <c r="Q686" s="1">
        <f t="shared" si="129"/>
        <v>26</v>
      </c>
      <c r="R686" s="12">
        <f t="shared" si="136"/>
        <v>0.74285714285714288</v>
      </c>
      <c r="S686" s="1">
        <v>8</v>
      </c>
      <c r="T686" s="1">
        <v>5</v>
      </c>
      <c r="U686" s="1">
        <f t="shared" si="130"/>
        <v>13</v>
      </c>
      <c r="V686" s="12">
        <f t="shared" si="137"/>
        <v>0.8666666666666667</v>
      </c>
      <c r="W686" s="1">
        <v>4</v>
      </c>
      <c r="X686" s="1">
        <v>3</v>
      </c>
      <c r="Y686" s="1">
        <v>3</v>
      </c>
      <c r="Z686" s="1">
        <f t="shared" si="131"/>
        <v>10</v>
      </c>
      <c r="AA686" s="12">
        <f t="shared" si="138"/>
        <v>0.66666666666666663</v>
      </c>
      <c r="AB686" s="2" t="s">
        <v>620</v>
      </c>
    </row>
    <row r="687" spans="1:28" x14ac:dyDescent="0.25">
      <c r="A687" s="1" t="s">
        <v>1670</v>
      </c>
      <c r="B687" s="1" t="s">
        <v>576</v>
      </c>
      <c r="C687" s="1" t="s">
        <v>36</v>
      </c>
      <c r="D687" s="1">
        <v>26</v>
      </c>
      <c r="E687" s="1">
        <v>1</v>
      </c>
      <c r="F687" s="1">
        <v>3</v>
      </c>
      <c r="G687" s="1">
        <v>8</v>
      </c>
      <c r="H687" s="1">
        <v>9</v>
      </c>
      <c r="I687" s="1">
        <v>8</v>
      </c>
      <c r="J687" s="1">
        <v>4</v>
      </c>
      <c r="K687" s="1">
        <f t="shared" si="128"/>
        <v>29</v>
      </c>
      <c r="L687" s="12">
        <f t="shared" si="135"/>
        <v>0.82857142857142863</v>
      </c>
      <c r="M687" s="1">
        <v>8</v>
      </c>
      <c r="N687" s="1">
        <v>7</v>
      </c>
      <c r="O687" s="1">
        <v>7</v>
      </c>
      <c r="P687" s="1">
        <v>4</v>
      </c>
      <c r="Q687" s="1">
        <f t="shared" si="129"/>
        <v>26</v>
      </c>
      <c r="R687" s="12">
        <f t="shared" si="136"/>
        <v>0.74285714285714288</v>
      </c>
      <c r="S687" s="1">
        <v>8</v>
      </c>
      <c r="T687" s="1">
        <v>5</v>
      </c>
      <c r="U687" s="1">
        <f t="shared" si="130"/>
        <v>13</v>
      </c>
      <c r="V687" s="12">
        <f t="shared" si="137"/>
        <v>0.8666666666666667</v>
      </c>
      <c r="W687" s="1">
        <v>5</v>
      </c>
      <c r="X687" s="1">
        <v>4</v>
      </c>
      <c r="Y687" s="1">
        <v>5</v>
      </c>
      <c r="Z687" s="1">
        <f t="shared" si="131"/>
        <v>14</v>
      </c>
      <c r="AA687" s="12">
        <f t="shared" si="138"/>
        <v>0.93333333333333335</v>
      </c>
      <c r="AB687" s="2" t="s">
        <v>621</v>
      </c>
    </row>
    <row r="688" spans="1:28" x14ac:dyDescent="0.25">
      <c r="A688" s="1" t="s">
        <v>1670</v>
      </c>
      <c r="B688" s="1" t="s">
        <v>576</v>
      </c>
      <c r="C688" s="1" t="s">
        <v>36</v>
      </c>
      <c r="D688" s="1">
        <v>26</v>
      </c>
      <c r="E688" s="1">
        <v>1</v>
      </c>
      <c r="F688" s="1">
        <v>3</v>
      </c>
      <c r="G688" s="1">
        <v>9</v>
      </c>
      <c r="H688" s="1">
        <v>9</v>
      </c>
      <c r="I688" s="1">
        <v>9</v>
      </c>
      <c r="J688" s="1">
        <v>5</v>
      </c>
      <c r="K688" s="1">
        <f t="shared" si="128"/>
        <v>32</v>
      </c>
      <c r="L688" s="12">
        <f t="shared" si="135"/>
        <v>0.91428571428571426</v>
      </c>
      <c r="M688" s="1">
        <v>8</v>
      </c>
      <c r="N688" s="1">
        <v>8</v>
      </c>
      <c r="O688" s="1">
        <v>8</v>
      </c>
      <c r="P688" s="1">
        <v>5</v>
      </c>
      <c r="Q688" s="1">
        <f t="shared" si="129"/>
        <v>29</v>
      </c>
      <c r="R688" s="12">
        <f t="shared" si="136"/>
        <v>0.82857142857142863</v>
      </c>
      <c r="S688" s="1">
        <v>8</v>
      </c>
      <c r="T688" s="1">
        <v>5</v>
      </c>
      <c r="U688" s="1">
        <f t="shared" si="130"/>
        <v>13</v>
      </c>
      <c r="V688" s="12">
        <f t="shared" si="137"/>
        <v>0.8666666666666667</v>
      </c>
      <c r="W688" s="1">
        <v>5</v>
      </c>
      <c r="X688" s="1">
        <v>3</v>
      </c>
      <c r="Y688" s="1">
        <v>4</v>
      </c>
      <c r="Z688" s="1">
        <f t="shared" si="131"/>
        <v>12</v>
      </c>
      <c r="AA688" s="12">
        <f t="shared" si="138"/>
        <v>0.8</v>
      </c>
      <c r="AB688" s="2" t="s">
        <v>622</v>
      </c>
    </row>
    <row r="689" spans="1:28" x14ac:dyDescent="0.25">
      <c r="A689" s="1" t="s">
        <v>1670</v>
      </c>
      <c r="B689" s="1" t="s">
        <v>576</v>
      </c>
      <c r="C689" s="1" t="s">
        <v>36</v>
      </c>
      <c r="D689" s="1">
        <v>12</v>
      </c>
      <c r="E689" s="1">
        <v>3</v>
      </c>
      <c r="F689" s="1">
        <v>4</v>
      </c>
      <c r="G689" s="1">
        <v>8</v>
      </c>
      <c r="H689" s="1">
        <v>8</v>
      </c>
      <c r="I689" s="1">
        <v>8</v>
      </c>
      <c r="J689" s="1">
        <v>5</v>
      </c>
      <c r="K689" s="1">
        <f t="shared" si="128"/>
        <v>29</v>
      </c>
      <c r="L689" s="12">
        <f t="shared" si="135"/>
        <v>0.82857142857142863</v>
      </c>
      <c r="M689" s="1">
        <v>7</v>
      </c>
      <c r="N689" s="1">
        <v>7</v>
      </c>
      <c r="O689" s="1">
        <v>8</v>
      </c>
      <c r="P689" s="1">
        <v>4</v>
      </c>
      <c r="Q689" s="1">
        <f t="shared" si="129"/>
        <v>26</v>
      </c>
      <c r="R689" s="12">
        <f t="shared" si="136"/>
        <v>0.74285714285714288</v>
      </c>
      <c r="S689" s="1">
        <v>8</v>
      </c>
      <c r="T689" s="1">
        <v>4</v>
      </c>
      <c r="U689" s="1">
        <f t="shared" si="130"/>
        <v>12</v>
      </c>
      <c r="V689" s="12">
        <f t="shared" si="137"/>
        <v>0.8</v>
      </c>
      <c r="W689" s="1">
        <v>4</v>
      </c>
      <c r="X689" s="1">
        <v>3</v>
      </c>
      <c r="Y689" s="1">
        <v>3</v>
      </c>
      <c r="Z689" s="1">
        <f t="shared" si="131"/>
        <v>10</v>
      </c>
      <c r="AA689" s="12">
        <f t="shared" si="138"/>
        <v>0.66666666666666663</v>
      </c>
      <c r="AB689" s="2" t="s">
        <v>818</v>
      </c>
    </row>
    <row r="690" spans="1:28" x14ac:dyDescent="0.25">
      <c r="A690" s="1" t="s">
        <v>1670</v>
      </c>
      <c r="B690" s="1" t="s">
        <v>576</v>
      </c>
      <c r="C690" s="1" t="s">
        <v>36</v>
      </c>
      <c r="D690" s="1">
        <v>12</v>
      </c>
      <c r="E690" s="1">
        <v>3</v>
      </c>
      <c r="F690" s="1">
        <v>4</v>
      </c>
      <c r="G690" s="1">
        <v>9</v>
      </c>
      <c r="H690" s="1">
        <v>8</v>
      </c>
      <c r="I690" s="1">
        <v>9</v>
      </c>
      <c r="J690" s="1">
        <v>5</v>
      </c>
      <c r="K690" s="1">
        <f t="shared" si="128"/>
        <v>31</v>
      </c>
      <c r="L690" s="12">
        <f t="shared" si="135"/>
        <v>0.88571428571428568</v>
      </c>
      <c r="M690" s="1">
        <v>8</v>
      </c>
      <c r="N690" s="1">
        <v>8</v>
      </c>
      <c r="O690" s="1">
        <v>8</v>
      </c>
      <c r="P690" s="1">
        <v>5</v>
      </c>
      <c r="Q690" s="1">
        <f t="shared" si="129"/>
        <v>29</v>
      </c>
      <c r="R690" s="12">
        <f t="shared" si="136"/>
        <v>0.82857142857142863</v>
      </c>
      <c r="S690" s="1">
        <v>8</v>
      </c>
      <c r="T690" s="1">
        <v>4</v>
      </c>
      <c r="U690" s="1">
        <f t="shared" si="130"/>
        <v>12</v>
      </c>
      <c r="V690" s="12">
        <f t="shared" si="137"/>
        <v>0.8</v>
      </c>
      <c r="W690" s="1">
        <v>4</v>
      </c>
      <c r="X690" s="1">
        <v>3</v>
      </c>
      <c r="Y690" s="1">
        <v>4</v>
      </c>
      <c r="Z690" s="1">
        <f t="shared" si="131"/>
        <v>11</v>
      </c>
      <c r="AA690" s="12">
        <f t="shared" si="138"/>
        <v>0.73333333333333328</v>
      </c>
      <c r="AB690" s="2" t="s">
        <v>819</v>
      </c>
    </row>
    <row r="691" spans="1:28" x14ac:dyDescent="0.25">
      <c r="A691" s="1" t="s">
        <v>1670</v>
      </c>
      <c r="B691" s="1" t="s">
        <v>576</v>
      </c>
      <c r="C691" s="1" t="s">
        <v>36</v>
      </c>
      <c r="D691" s="1">
        <v>12</v>
      </c>
      <c r="E691" s="1">
        <v>3</v>
      </c>
      <c r="F691" s="1">
        <v>4</v>
      </c>
      <c r="G691" s="1">
        <v>9</v>
      </c>
      <c r="H691" s="1">
        <v>8</v>
      </c>
      <c r="I691" s="1">
        <v>8</v>
      </c>
      <c r="J691" s="1">
        <v>4</v>
      </c>
      <c r="K691" s="1">
        <f t="shared" si="128"/>
        <v>29</v>
      </c>
      <c r="L691" s="12">
        <f t="shared" si="135"/>
        <v>0.82857142857142863</v>
      </c>
      <c r="M691" s="1">
        <v>8</v>
      </c>
      <c r="N691" s="1">
        <v>9</v>
      </c>
      <c r="O691" s="1">
        <v>8</v>
      </c>
      <c r="P691" s="1">
        <v>5</v>
      </c>
      <c r="Q691" s="1">
        <f t="shared" si="129"/>
        <v>30</v>
      </c>
      <c r="R691" s="12">
        <f t="shared" si="136"/>
        <v>0.8571428571428571</v>
      </c>
      <c r="S691" s="1">
        <v>9</v>
      </c>
      <c r="T691" s="1">
        <v>4</v>
      </c>
      <c r="U691" s="1">
        <f t="shared" si="130"/>
        <v>13</v>
      </c>
      <c r="V691" s="12">
        <f t="shared" si="137"/>
        <v>0.8666666666666667</v>
      </c>
      <c r="W691" s="1">
        <v>5</v>
      </c>
      <c r="X691" s="1">
        <v>4</v>
      </c>
      <c r="Y691" s="1">
        <v>4</v>
      </c>
      <c r="Z691" s="1">
        <f t="shared" si="131"/>
        <v>13</v>
      </c>
      <c r="AA691" s="12">
        <f t="shared" si="138"/>
        <v>0.8666666666666667</v>
      </c>
      <c r="AB691" s="2" t="s">
        <v>820</v>
      </c>
    </row>
    <row r="692" spans="1:28" x14ac:dyDescent="0.25">
      <c r="A692" s="1" t="s">
        <v>1670</v>
      </c>
      <c r="B692" s="1" t="s">
        <v>576</v>
      </c>
      <c r="C692" s="1" t="s">
        <v>36</v>
      </c>
      <c r="D692" s="1">
        <v>12</v>
      </c>
      <c r="E692" s="1">
        <v>3</v>
      </c>
      <c r="F692" s="1">
        <v>4</v>
      </c>
      <c r="G692" s="1">
        <v>8</v>
      </c>
      <c r="H692" s="1">
        <v>7</v>
      </c>
      <c r="I692" s="1">
        <v>7</v>
      </c>
      <c r="J692" s="1">
        <v>4</v>
      </c>
      <c r="K692" s="1">
        <f t="shared" si="128"/>
        <v>26</v>
      </c>
      <c r="L692" s="12">
        <f t="shared" si="135"/>
        <v>0.74285714285714288</v>
      </c>
      <c r="M692" s="1">
        <v>8</v>
      </c>
      <c r="N692" s="1">
        <v>8</v>
      </c>
      <c r="O692" s="1">
        <v>7</v>
      </c>
      <c r="P692" s="1">
        <v>4</v>
      </c>
      <c r="Q692" s="1">
        <f t="shared" si="129"/>
        <v>27</v>
      </c>
      <c r="R692" s="12">
        <f t="shared" si="136"/>
        <v>0.77142857142857146</v>
      </c>
      <c r="S692" s="1">
        <v>8</v>
      </c>
      <c r="T692" s="1">
        <v>4</v>
      </c>
      <c r="U692" s="1">
        <f t="shared" si="130"/>
        <v>12</v>
      </c>
      <c r="V692" s="12">
        <f t="shared" si="137"/>
        <v>0.8</v>
      </c>
      <c r="W692" s="1">
        <v>3</v>
      </c>
      <c r="X692" s="1">
        <v>4</v>
      </c>
      <c r="Y692" s="1">
        <v>4</v>
      </c>
      <c r="Z692" s="1">
        <f t="shared" si="131"/>
        <v>11</v>
      </c>
      <c r="AA692" s="12">
        <f t="shared" si="138"/>
        <v>0.73333333333333328</v>
      </c>
      <c r="AB692" s="2" t="s">
        <v>821</v>
      </c>
    </row>
    <row r="693" spans="1:28" x14ac:dyDescent="0.25">
      <c r="A693" s="1" t="s">
        <v>1670</v>
      </c>
      <c r="B693" s="1" t="s">
        <v>576</v>
      </c>
      <c r="C693" s="1" t="s">
        <v>36</v>
      </c>
      <c r="D693" s="1">
        <v>12</v>
      </c>
      <c r="E693" s="1">
        <v>3</v>
      </c>
      <c r="F693" s="1">
        <v>4</v>
      </c>
      <c r="G693" s="1">
        <v>9</v>
      </c>
      <c r="H693" s="1">
        <v>9</v>
      </c>
      <c r="I693" s="1">
        <v>9</v>
      </c>
      <c r="J693" s="1">
        <v>5</v>
      </c>
      <c r="K693" s="1">
        <f t="shared" si="128"/>
        <v>32</v>
      </c>
      <c r="L693" s="12">
        <f t="shared" si="135"/>
        <v>0.91428571428571426</v>
      </c>
      <c r="M693" s="1">
        <v>9</v>
      </c>
      <c r="N693" s="1">
        <v>9</v>
      </c>
      <c r="O693" s="1">
        <v>9</v>
      </c>
      <c r="P693" s="1">
        <v>5</v>
      </c>
      <c r="Q693" s="1">
        <f t="shared" si="129"/>
        <v>32</v>
      </c>
      <c r="R693" s="12">
        <f t="shared" si="136"/>
        <v>0.91428571428571426</v>
      </c>
      <c r="S693" s="1">
        <v>9</v>
      </c>
      <c r="T693" s="1">
        <v>5</v>
      </c>
      <c r="U693" s="1">
        <f t="shared" si="130"/>
        <v>14</v>
      </c>
      <c r="V693" s="12">
        <f t="shared" si="137"/>
        <v>0.93333333333333335</v>
      </c>
      <c r="W693" s="1">
        <v>5</v>
      </c>
      <c r="X693" s="1">
        <v>5</v>
      </c>
      <c r="Y693" s="1">
        <v>5</v>
      </c>
      <c r="Z693" s="1">
        <f t="shared" si="131"/>
        <v>15</v>
      </c>
      <c r="AA693" s="12">
        <f t="shared" si="138"/>
        <v>1</v>
      </c>
      <c r="AB693" s="2" t="s">
        <v>822</v>
      </c>
    </row>
    <row r="694" spans="1:28" x14ac:dyDescent="0.25">
      <c r="A694" s="1" t="s">
        <v>1670</v>
      </c>
      <c r="B694" s="1" t="s">
        <v>576</v>
      </c>
      <c r="C694" s="1" t="s">
        <v>36</v>
      </c>
      <c r="D694" s="1">
        <v>12</v>
      </c>
      <c r="E694" s="1">
        <v>3</v>
      </c>
      <c r="F694" s="1">
        <v>4</v>
      </c>
      <c r="G694" s="1">
        <v>7</v>
      </c>
      <c r="H694" s="1">
        <v>8</v>
      </c>
      <c r="I694" s="1">
        <v>7</v>
      </c>
      <c r="J694" s="1">
        <v>3</v>
      </c>
      <c r="K694" s="1">
        <f t="shared" si="128"/>
        <v>25</v>
      </c>
      <c r="L694" s="12">
        <f t="shared" si="135"/>
        <v>0.7142857142857143</v>
      </c>
      <c r="M694" s="1">
        <v>8</v>
      </c>
      <c r="N694" s="1">
        <v>8</v>
      </c>
      <c r="O694" s="1">
        <v>7</v>
      </c>
      <c r="P694" s="1">
        <v>4</v>
      </c>
      <c r="Q694" s="1">
        <f t="shared" si="129"/>
        <v>27</v>
      </c>
      <c r="R694" s="12">
        <f t="shared" si="136"/>
        <v>0.77142857142857146</v>
      </c>
      <c r="S694" s="1">
        <v>8</v>
      </c>
      <c r="T694" s="1">
        <v>4</v>
      </c>
      <c r="U694" s="1">
        <f t="shared" si="130"/>
        <v>12</v>
      </c>
      <c r="V694" s="12">
        <f t="shared" si="137"/>
        <v>0.8</v>
      </c>
      <c r="W694" s="1">
        <v>4</v>
      </c>
      <c r="X694" s="1">
        <v>5</v>
      </c>
      <c r="Y694" s="1">
        <v>5</v>
      </c>
      <c r="Z694" s="1">
        <f t="shared" si="131"/>
        <v>14</v>
      </c>
      <c r="AA694" s="12">
        <f t="shared" si="138"/>
        <v>0.93333333333333335</v>
      </c>
      <c r="AB694" s="2" t="s">
        <v>823</v>
      </c>
    </row>
    <row r="695" spans="1:28" x14ac:dyDescent="0.25">
      <c r="A695" s="1" t="s">
        <v>1670</v>
      </c>
      <c r="B695" s="1" t="s">
        <v>576</v>
      </c>
      <c r="C695" s="1" t="s">
        <v>36</v>
      </c>
      <c r="D695" s="1">
        <v>12</v>
      </c>
      <c r="E695" s="1">
        <v>3</v>
      </c>
      <c r="F695" s="1">
        <v>4</v>
      </c>
      <c r="G695" s="1">
        <v>9</v>
      </c>
      <c r="H695" s="1">
        <v>9</v>
      </c>
      <c r="I695" s="1">
        <v>9</v>
      </c>
      <c r="J695" s="1">
        <v>5</v>
      </c>
      <c r="K695" s="1">
        <f t="shared" si="128"/>
        <v>32</v>
      </c>
      <c r="L695" s="12">
        <f t="shared" si="135"/>
        <v>0.91428571428571426</v>
      </c>
      <c r="M695" s="1">
        <v>9</v>
      </c>
      <c r="N695" s="1">
        <v>8</v>
      </c>
      <c r="O695" s="1">
        <v>8</v>
      </c>
      <c r="P695" s="1">
        <v>4</v>
      </c>
      <c r="Q695" s="1">
        <f t="shared" si="129"/>
        <v>29</v>
      </c>
      <c r="R695" s="12">
        <f t="shared" si="136"/>
        <v>0.82857142857142863</v>
      </c>
      <c r="S695" s="1">
        <v>8</v>
      </c>
      <c r="T695" s="1">
        <v>3</v>
      </c>
      <c r="U695" s="1">
        <f t="shared" si="130"/>
        <v>11</v>
      </c>
      <c r="V695" s="12">
        <f t="shared" si="137"/>
        <v>0.73333333333333328</v>
      </c>
      <c r="W695" s="1">
        <v>5</v>
      </c>
      <c r="X695" s="1">
        <v>4</v>
      </c>
      <c r="Y695" s="1">
        <v>4</v>
      </c>
      <c r="Z695" s="1">
        <f t="shared" si="131"/>
        <v>13</v>
      </c>
      <c r="AA695" s="12">
        <f t="shared" si="138"/>
        <v>0.8666666666666667</v>
      </c>
      <c r="AB695" s="2" t="s">
        <v>824</v>
      </c>
    </row>
    <row r="696" spans="1:28" x14ac:dyDescent="0.25">
      <c r="A696" s="1" t="s">
        <v>1670</v>
      </c>
      <c r="B696" s="1" t="s">
        <v>35</v>
      </c>
      <c r="C696" s="1" t="s">
        <v>861</v>
      </c>
      <c r="D696" s="1">
        <v>17</v>
      </c>
      <c r="E696" s="1">
        <v>1</v>
      </c>
      <c r="F696" s="1">
        <v>5</v>
      </c>
      <c r="G696" s="1">
        <v>6</v>
      </c>
      <c r="H696" s="1">
        <v>6</v>
      </c>
      <c r="I696" s="1">
        <v>7</v>
      </c>
      <c r="J696" s="1">
        <v>7</v>
      </c>
      <c r="K696" s="1">
        <f t="shared" si="128"/>
        <v>26</v>
      </c>
      <c r="L696" s="12">
        <f t="shared" ref="L696:L747" si="139">K696/40</f>
        <v>0.65</v>
      </c>
      <c r="M696" s="1">
        <v>6</v>
      </c>
      <c r="N696" s="1">
        <v>6</v>
      </c>
      <c r="O696" s="1">
        <v>5</v>
      </c>
      <c r="P696" s="1">
        <v>7</v>
      </c>
      <c r="Q696" s="1">
        <f t="shared" si="129"/>
        <v>24</v>
      </c>
      <c r="R696" s="12">
        <f t="shared" ref="R696:R747" si="140">Q696/40</f>
        <v>0.6</v>
      </c>
      <c r="S696" s="1">
        <v>6</v>
      </c>
      <c r="T696" s="1">
        <v>6</v>
      </c>
      <c r="U696" s="1">
        <f t="shared" si="130"/>
        <v>12</v>
      </c>
      <c r="V696" s="12">
        <f t="shared" ref="V696:V747" si="141">U696/20</f>
        <v>0.6</v>
      </c>
      <c r="Z696" s="1">
        <f t="shared" si="131"/>
        <v>0</v>
      </c>
      <c r="AB696" s="2" t="s">
        <v>970</v>
      </c>
    </row>
    <row r="697" spans="1:28" x14ac:dyDescent="0.25">
      <c r="A697" s="1" t="s">
        <v>1670</v>
      </c>
      <c r="B697" s="1" t="s">
        <v>35</v>
      </c>
      <c r="C697" s="1" t="s">
        <v>861</v>
      </c>
      <c r="D697" s="1">
        <v>17</v>
      </c>
      <c r="E697" s="1">
        <v>1</v>
      </c>
      <c r="F697" s="1">
        <v>5</v>
      </c>
      <c r="G697" s="1">
        <v>7</v>
      </c>
      <c r="H697" s="1">
        <v>4</v>
      </c>
      <c r="I697" s="1">
        <v>4</v>
      </c>
      <c r="J697" s="1">
        <v>5</v>
      </c>
      <c r="K697" s="1">
        <f t="shared" si="128"/>
        <v>20</v>
      </c>
      <c r="L697" s="12">
        <f t="shared" si="139"/>
        <v>0.5</v>
      </c>
      <c r="M697" s="1">
        <v>4</v>
      </c>
      <c r="N697" s="1">
        <v>4</v>
      </c>
      <c r="O697" s="1">
        <v>5</v>
      </c>
      <c r="P697" s="1">
        <v>3</v>
      </c>
      <c r="Q697" s="1">
        <f t="shared" si="129"/>
        <v>16</v>
      </c>
      <c r="R697" s="12">
        <f t="shared" si="140"/>
        <v>0.4</v>
      </c>
      <c r="S697" s="1">
        <v>3</v>
      </c>
      <c r="T697" s="1">
        <v>3</v>
      </c>
      <c r="U697" s="1">
        <f t="shared" si="130"/>
        <v>6</v>
      </c>
      <c r="V697" s="12">
        <f t="shared" si="141"/>
        <v>0.3</v>
      </c>
      <c r="Z697" s="1">
        <f t="shared" si="131"/>
        <v>0</v>
      </c>
      <c r="AB697" s="2" t="s">
        <v>971</v>
      </c>
    </row>
    <row r="698" spans="1:28" x14ac:dyDescent="0.25">
      <c r="A698" s="1" t="s">
        <v>1670</v>
      </c>
      <c r="B698" s="1" t="s">
        <v>35</v>
      </c>
      <c r="C698" s="1" t="s">
        <v>861</v>
      </c>
      <c r="D698" s="1">
        <v>17</v>
      </c>
      <c r="E698" s="1">
        <v>1</v>
      </c>
      <c r="F698" s="1">
        <v>5</v>
      </c>
      <c r="G698" s="1">
        <v>7</v>
      </c>
      <c r="H698" s="1">
        <v>6</v>
      </c>
      <c r="I698" s="1">
        <v>7</v>
      </c>
      <c r="J698" s="1">
        <v>7</v>
      </c>
      <c r="K698" s="1">
        <f t="shared" si="128"/>
        <v>27</v>
      </c>
      <c r="L698" s="12">
        <f t="shared" si="139"/>
        <v>0.67500000000000004</v>
      </c>
      <c r="M698" s="1">
        <v>8</v>
      </c>
      <c r="N698" s="1">
        <v>8</v>
      </c>
      <c r="O698" s="1">
        <v>6</v>
      </c>
      <c r="P698" s="1">
        <v>6</v>
      </c>
      <c r="Q698" s="1">
        <f t="shared" si="129"/>
        <v>28</v>
      </c>
      <c r="R698" s="12">
        <f t="shared" si="140"/>
        <v>0.7</v>
      </c>
      <c r="S698" s="1">
        <v>7</v>
      </c>
      <c r="T698" s="1">
        <v>5</v>
      </c>
      <c r="U698" s="1">
        <f t="shared" si="130"/>
        <v>12</v>
      </c>
      <c r="V698" s="12">
        <f t="shared" si="141"/>
        <v>0.6</v>
      </c>
      <c r="Z698" s="1">
        <f t="shared" si="131"/>
        <v>0</v>
      </c>
      <c r="AB698" s="2" t="s">
        <v>972</v>
      </c>
    </row>
    <row r="699" spans="1:28" x14ac:dyDescent="0.25">
      <c r="A699" s="1" t="s">
        <v>1670</v>
      </c>
      <c r="B699" s="1" t="s">
        <v>35</v>
      </c>
      <c r="C699" s="1" t="s">
        <v>861</v>
      </c>
      <c r="D699" s="1">
        <v>17</v>
      </c>
      <c r="E699" s="1">
        <v>1</v>
      </c>
      <c r="F699" s="1">
        <v>5</v>
      </c>
      <c r="G699" s="1">
        <v>7</v>
      </c>
      <c r="H699" s="1">
        <v>7</v>
      </c>
      <c r="I699" s="1">
        <v>7</v>
      </c>
      <c r="J699" s="1">
        <v>6</v>
      </c>
      <c r="K699" s="1">
        <f t="shared" si="128"/>
        <v>27</v>
      </c>
      <c r="L699" s="12">
        <f t="shared" si="139"/>
        <v>0.67500000000000004</v>
      </c>
      <c r="M699" s="1">
        <v>6</v>
      </c>
      <c r="N699" s="1">
        <v>6</v>
      </c>
      <c r="O699" s="1">
        <v>6</v>
      </c>
      <c r="P699" s="1">
        <v>6</v>
      </c>
      <c r="Q699" s="1">
        <f t="shared" si="129"/>
        <v>24</v>
      </c>
      <c r="R699" s="12">
        <f t="shared" si="140"/>
        <v>0.6</v>
      </c>
      <c r="S699" s="1">
        <v>7</v>
      </c>
      <c r="T699" s="1">
        <v>5</v>
      </c>
      <c r="U699" s="1">
        <f t="shared" si="130"/>
        <v>12</v>
      </c>
      <c r="V699" s="12">
        <f t="shared" si="141"/>
        <v>0.6</v>
      </c>
      <c r="Z699" s="1">
        <f t="shared" si="131"/>
        <v>0</v>
      </c>
      <c r="AB699" s="2" t="s">
        <v>973</v>
      </c>
    </row>
    <row r="700" spans="1:28" x14ac:dyDescent="0.25">
      <c r="A700" s="1" t="s">
        <v>1670</v>
      </c>
      <c r="B700" s="1" t="s">
        <v>35</v>
      </c>
      <c r="C700" s="1" t="s">
        <v>861</v>
      </c>
      <c r="D700" s="1">
        <v>17</v>
      </c>
      <c r="E700" s="1">
        <v>1</v>
      </c>
      <c r="F700" s="1">
        <v>5</v>
      </c>
      <c r="G700" s="1">
        <v>5</v>
      </c>
      <c r="H700" s="1">
        <v>5</v>
      </c>
      <c r="I700" s="1">
        <v>5</v>
      </c>
      <c r="J700" s="1">
        <v>5</v>
      </c>
      <c r="K700" s="1">
        <f t="shared" si="128"/>
        <v>20</v>
      </c>
      <c r="L700" s="12">
        <f t="shared" si="139"/>
        <v>0.5</v>
      </c>
      <c r="M700" s="1">
        <v>5</v>
      </c>
      <c r="N700" s="1">
        <v>6</v>
      </c>
      <c r="O700" s="1">
        <v>7</v>
      </c>
      <c r="P700" s="1">
        <v>7</v>
      </c>
      <c r="Q700" s="1">
        <f t="shared" si="129"/>
        <v>25</v>
      </c>
      <c r="R700" s="12">
        <f t="shared" si="140"/>
        <v>0.625</v>
      </c>
      <c r="S700" s="1">
        <v>7</v>
      </c>
      <c r="T700" s="1">
        <v>5</v>
      </c>
      <c r="U700" s="1">
        <f t="shared" si="130"/>
        <v>12</v>
      </c>
      <c r="V700" s="12">
        <f t="shared" si="141"/>
        <v>0.6</v>
      </c>
      <c r="Z700" s="1">
        <f t="shared" si="131"/>
        <v>0</v>
      </c>
      <c r="AB700" s="2" t="s">
        <v>974</v>
      </c>
    </row>
    <row r="701" spans="1:28" x14ac:dyDescent="0.25">
      <c r="A701" s="1" t="s">
        <v>1670</v>
      </c>
      <c r="B701" s="1" t="s">
        <v>35</v>
      </c>
      <c r="C701" s="1" t="s">
        <v>861</v>
      </c>
      <c r="D701" s="1">
        <v>17</v>
      </c>
      <c r="E701" s="1">
        <v>1</v>
      </c>
      <c r="F701" s="1">
        <v>5</v>
      </c>
      <c r="G701" s="1">
        <v>2</v>
      </c>
      <c r="H701" s="1">
        <v>3</v>
      </c>
      <c r="I701" s="1">
        <v>3</v>
      </c>
      <c r="J701" s="1">
        <v>3</v>
      </c>
      <c r="K701" s="1">
        <f t="shared" si="128"/>
        <v>11</v>
      </c>
      <c r="L701" s="12">
        <f t="shared" si="139"/>
        <v>0.27500000000000002</v>
      </c>
      <c r="M701" s="1">
        <v>3</v>
      </c>
      <c r="N701" s="1">
        <v>2</v>
      </c>
      <c r="O701" s="1">
        <v>2</v>
      </c>
      <c r="P701" s="1">
        <v>4</v>
      </c>
      <c r="Q701" s="1">
        <f t="shared" si="129"/>
        <v>11</v>
      </c>
      <c r="R701" s="12">
        <f t="shared" si="140"/>
        <v>0.27500000000000002</v>
      </c>
      <c r="S701" s="1">
        <v>3</v>
      </c>
      <c r="T701" s="1">
        <v>4</v>
      </c>
      <c r="U701" s="1">
        <f t="shared" si="130"/>
        <v>7</v>
      </c>
      <c r="V701" s="12">
        <f t="shared" si="141"/>
        <v>0.35</v>
      </c>
      <c r="Z701" s="1">
        <f t="shared" si="131"/>
        <v>0</v>
      </c>
      <c r="AB701" s="2" t="s">
        <v>975</v>
      </c>
    </row>
    <row r="702" spans="1:28" x14ac:dyDescent="0.25">
      <c r="A702" s="1" t="s">
        <v>1670</v>
      </c>
      <c r="B702" s="1" t="s">
        <v>35</v>
      </c>
      <c r="C702" s="1" t="s">
        <v>861</v>
      </c>
      <c r="D702" s="1">
        <v>17</v>
      </c>
      <c r="E702" s="1">
        <v>1</v>
      </c>
      <c r="F702" s="1">
        <v>5</v>
      </c>
      <c r="G702" s="1">
        <v>6</v>
      </c>
      <c r="H702" s="1">
        <v>4</v>
      </c>
      <c r="I702" s="1">
        <v>7</v>
      </c>
      <c r="J702" s="1">
        <v>6</v>
      </c>
      <c r="K702" s="1">
        <f t="shared" si="128"/>
        <v>23</v>
      </c>
      <c r="L702" s="12">
        <f t="shared" si="139"/>
        <v>0.57499999999999996</v>
      </c>
      <c r="M702" s="1">
        <v>8</v>
      </c>
      <c r="N702" s="1">
        <v>7</v>
      </c>
      <c r="O702" s="1">
        <v>7</v>
      </c>
      <c r="P702" s="1">
        <v>6</v>
      </c>
      <c r="Q702" s="1">
        <f t="shared" si="129"/>
        <v>28</v>
      </c>
      <c r="R702" s="12">
        <f t="shared" si="140"/>
        <v>0.7</v>
      </c>
      <c r="S702" s="1">
        <v>7</v>
      </c>
      <c r="T702" s="1">
        <v>7</v>
      </c>
      <c r="U702" s="1">
        <f t="shared" si="130"/>
        <v>14</v>
      </c>
      <c r="V702" s="12">
        <f t="shared" si="141"/>
        <v>0.7</v>
      </c>
      <c r="Z702" s="1">
        <f t="shared" si="131"/>
        <v>0</v>
      </c>
      <c r="AB702" s="2" t="s">
        <v>976</v>
      </c>
    </row>
    <row r="703" spans="1:28" x14ac:dyDescent="0.25">
      <c r="A703" s="1" t="s">
        <v>1670</v>
      </c>
      <c r="B703" s="1" t="s">
        <v>35</v>
      </c>
      <c r="C703" s="1" t="s">
        <v>861</v>
      </c>
      <c r="D703" s="1">
        <v>17</v>
      </c>
      <c r="E703" s="1">
        <v>1</v>
      </c>
      <c r="F703" s="1">
        <v>5</v>
      </c>
      <c r="G703" s="1">
        <v>8</v>
      </c>
      <c r="H703" s="1">
        <v>9</v>
      </c>
      <c r="I703" s="1">
        <v>8</v>
      </c>
      <c r="J703" s="1">
        <v>9</v>
      </c>
      <c r="K703" s="1">
        <f t="shared" si="128"/>
        <v>34</v>
      </c>
      <c r="L703" s="12">
        <f t="shared" si="139"/>
        <v>0.85</v>
      </c>
      <c r="M703" s="1">
        <v>8</v>
      </c>
      <c r="N703" s="1">
        <v>9</v>
      </c>
      <c r="O703" s="1">
        <v>9</v>
      </c>
      <c r="P703" s="1">
        <v>9</v>
      </c>
      <c r="Q703" s="1">
        <f t="shared" si="129"/>
        <v>35</v>
      </c>
      <c r="R703" s="12">
        <f t="shared" si="140"/>
        <v>0.875</v>
      </c>
      <c r="S703" s="1">
        <v>9</v>
      </c>
      <c r="T703" s="1">
        <v>7</v>
      </c>
      <c r="U703" s="1">
        <f t="shared" si="130"/>
        <v>16</v>
      </c>
      <c r="V703" s="12">
        <f t="shared" si="141"/>
        <v>0.8</v>
      </c>
      <c r="Z703" s="1">
        <f t="shared" si="131"/>
        <v>0</v>
      </c>
      <c r="AB703" s="2" t="s">
        <v>977</v>
      </c>
    </row>
    <row r="704" spans="1:28" x14ac:dyDescent="0.25">
      <c r="A704" s="1" t="s">
        <v>1670</v>
      </c>
      <c r="B704" s="1" t="s">
        <v>35</v>
      </c>
      <c r="C704" s="1" t="s">
        <v>861</v>
      </c>
      <c r="D704" s="1">
        <v>18</v>
      </c>
      <c r="E704" s="1">
        <v>2</v>
      </c>
      <c r="F704" s="1">
        <v>6</v>
      </c>
      <c r="G704" s="1">
        <v>9</v>
      </c>
      <c r="H704" s="1">
        <v>9</v>
      </c>
      <c r="I704" s="1">
        <v>8</v>
      </c>
      <c r="J704" s="1">
        <v>9</v>
      </c>
      <c r="K704" s="1">
        <f t="shared" si="128"/>
        <v>35</v>
      </c>
      <c r="L704" s="12">
        <f t="shared" si="139"/>
        <v>0.875</v>
      </c>
      <c r="M704" s="1">
        <v>6</v>
      </c>
      <c r="N704" s="1">
        <v>8</v>
      </c>
      <c r="O704" s="1">
        <v>8</v>
      </c>
      <c r="P704" s="1">
        <v>8</v>
      </c>
      <c r="Q704" s="1">
        <f t="shared" si="129"/>
        <v>30</v>
      </c>
      <c r="R704" s="12">
        <f t="shared" si="140"/>
        <v>0.75</v>
      </c>
      <c r="S704" s="1">
        <v>8</v>
      </c>
      <c r="T704" s="1">
        <v>9</v>
      </c>
      <c r="U704" s="1">
        <f t="shared" si="130"/>
        <v>17</v>
      </c>
      <c r="V704" s="12">
        <f t="shared" si="141"/>
        <v>0.85</v>
      </c>
      <c r="Z704" s="1">
        <f t="shared" si="131"/>
        <v>0</v>
      </c>
      <c r="AB704" s="2" t="s">
        <v>1148</v>
      </c>
    </row>
    <row r="705" spans="1:28" x14ac:dyDescent="0.25">
      <c r="A705" s="1" t="s">
        <v>1670</v>
      </c>
      <c r="B705" s="1" t="s">
        <v>35</v>
      </c>
      <c r="C705" s="1" t="s">
        <v>861</v>
      </c>
      <c r="D705" s="1">
        <v>18</v>
      </c>
      <c r="E705" s="1">
        <v>2</v>
      </c>
      <c r="F705" s="1">
        <v>6</v>
      </c>
      <c r="G705" s="1">
        <v>9</v>
      </c>
      <c r="H705" s="1">
        <v>10</v>
      </c>
      <c r="I705" s="1">
        <v>10</v>
      </c>
      <c r="J705" s="1">
        <v>10</v>
      </c>
      <c r="K705" s="1">
        <f t="shared" si="128"/>
        <v>39</v>
      </c>
      <c r="L705" s="12">
        <f t="shared" si="139"/>
        <v>0.97499999999999998</v>
      </c>
      <c r="M705" s="1">
        <v>8</v>
      </c>
      <c r="N705" s="1">
        <v>10</v>
      </c>
      <c r="O705" s="1">
        <v>8</v>
      </c>
      <c r="P705" s="1">
        <v>9</v>
      </c>
      <c r="Q705" s="1">
        <f t="shared" si="129"/>
        <v>35</v>
      </c>
      <c r="R705" s="12">
        <f t="shared" si="140"/>
        <v>0.875</v>
      </c>
      <c r="S705" s="1">
        <v>9</v>
      </c>
      <c r="T705" s="1">
        <v>9</v>
      </c>
      <c r="U705" s="1">
        <f t="shared" si="130"/>
        <v>18</v>
      </c>
      <c r="V705" s="12">
        <f t="shared" si="141"/>
        <v>0.9</v>
      </c>
      <c r="Z705" s="1">
        <f t="shared" si="131"/>
        <v>0</v>
      </c>
      <c r="AB705" s="2" t="s">
        <v>1149</v>
      </c>
    </row>
    <row r="706" spans="1:28" x14ac:dyDescent="0.25">
      <c r="A706" s="1" t="s">
        <v>1670</v>
      </c>
      <c r="B706" s="1" t="s">
        <v>35</v>
      </c>
      <c r="C706" s="1" t="s">
        <v>861</v>
      </c>
      <c r="D706" s="1">
        <v>18</v>
      </c>
      <c r="E706" s="1">
        <v>2</v>
      </c>
      <c r="F706" s="1">
        <v>6</v>
      </c>
      <c r="G706" s="1">
        <v>7</v>
      </c>
      <c r="H706" s="1">
        <v>7</v>
      </c>
      <c r="I706" s="1">
        <v>7</v>
      </c>
      <c r="J706" s="1">
        <v>7</v>
      </c>
      <c r="K706" s="1">
        <f t="shared" si="128"/>
        <v>28</v>
      </c>
      <c r="L706" s="12">
        <f t="shared" si="139"/>
        <v>0.7</v>
      </c>
      <c r="M706" s="1">
        <v>8</v>
      </c>
      <c r="N706" s="1">
        <v>8</v>
      </c>
      <c r="O706" s="1">
        <v>9</v>
      </c>
      <c r="P706" s="1">
        <v>8</v>
      </c>
      <c r="Q706" s="1">
        <f t="shared" si="129"/>
        <v>33</v>
      </c>
      <c r="R706" s="12">
        <f t="shared" si="140"/>
        <v>0.82499999999999996</v>
      </c>
      <c r="S706" s="1">
        <v>8</v>
      </c>
      <c r="T706" s="1">
        <v>8</v>
      </c>
      <c r="U706" s="1">
        <f t="shared" si="130"/>
        <v>16</v>
      </c>
      <c r="V706" s="12">
        <f t="shared" si="141"/>
        <v>0.8</v>
      </c>
      <c r="Z706" s="1">
        <f t="shared" si="131"/>
        <v>0</v>
      </c>
      <c r="AB706" s="2" t="s">
        <v>1150</v>
      </c>
    </row>
    <row r="707" spans="1:28" x14ac:dyDescent="0.25">
      <c r="A707" s="1" t="s">
        <v>1670</v>
      </c>
      <c r="B707" s="1" t="s">
        <v>35</v>
      </c>
      <c r="C707" s="1" t="s">
        <v>861</v>
      </c>
      <c r="D707" s="1">
        <v>18</v>
      </c>
      <c r="E707" s="1">
        <v>2</v>
      </c>
      <c r="F707" s="1">
        <v>6</v>
      </c>
      <c r="G707" s="1">
        <v>8</v>
      </c>
      <c r="H707" s="1">
        <v>8</v>
      </c>
      <c r="I707" s="1">
        <v>7</v>
      </c>
      <c r="J707" s="1">
        <v>7</v>
      </c>
      <c r="K707" s="1">
        <f t="shared" ref="K707:K770" si="142">SUM(G707:J707)</f>
        <v>30</v>
      </c>
      <c r="L707" s="12">
        <f t="shared" si="139"/>
        <v>0.75</v>
      </c>
      <c r="M707" s="1">
        <v>8</v>
      </c>
      <c r="N707" s="1">
        <v>8</v>
      </c>
      <c r="O707" s="1">
        <v>7</v>
      </c>
      <c r="P707" s="1">
        <v>8</v>
      </c>
      <c r="Q707" s="1">
        <f t="shared" ref="Q707:Q770" si="143">SUM(M707:P707)</f>
        <v>31</v>
      </c>
      <c r="R707" s="12">
        <f t="shared" si="140"/>
        <v>0.77500000000000002</v>
      </c>
      <c r="S707" s="1">
        <v>7</v>
      </c>
      <c r="T707" s="1">
        <v>6</v>
      </c>
      <c r="U707" s="1">
        <f t="shared" ref="U707:U770" si="144">SUM(S707:T707)</f>
        <v>13</v>
      </c>
      <c r="V707" s="12">
        <f t="shared" si="141"/>
        <v>0.65</v>
      </c>
      <c r="Z707" s="1">
        <f t="shared" ref="Z707:Z770" si="145">SUM(W707:Y707)</f>
        <v>0</v>
      </c>
      <c r="AB707" s="2" t="s">
        <v>1151</v>
      </c>
    </row>
    <row r="708" spans="1:28" x14ac:dyDescent="0.25">
      <c r="A708" s="1" t="s">
        <v>1670</v>
      </c>
      <c r="B708" s="1" t="s">
        <v>35</v>
      </c>
      <c r="C708" s="1" t="s">
        <v>861</v>
      </c>
      <c r="D708" s="1">
        <v>18</v>
      </c>
      <c r="E708" s="1">
        <v>2</v>
      </c>
      <c r="F708" s="1">
        <v>6</v>
      </c>
      <c r="G708" s="1">
        <v>9</v>
      </c>
      <c r="H708" s="1">
        <v>10</v>
      </c>
      <c r="I708" s="1">
        <v>10</v>
      </c>
      <c r="J708" s="1">
        <v>10</v>
      </c>
      <c r="K708" s="1">
        <f t="shared" si="142"/>
        <v>39</v>
      </c>
      <c r="L708" s="12">
        <f t="shared" si="139"/>
        <v>0.97499999999999998</v>
      </c>
      <c r="M708" s="1">
        <v>9</v>
      </c>
      <c r="N708" s="1">
        <v>10</v>
      </c>
      <c r="O708" s="1">
        <v>10</v>
      </c>
      <c r="P708" s="1">
        <v>9</v>
      </c>
      <c r="Q708" s="1">
        <f t="shared" si="143"/>
        <v>38</v>
      </c>
      <c r="R708" s="12">
        <f t="shared" si="140"/>
        <v>0.95</v>
      </c>
      <c r="S708" s="1">
        <v>9</v>
      </c>
      <c r="T708" s="1">
        <v>7</v>
      </c>
      <c r="U708" s="1">
        <f t="shared" si="144"/>
        <v>16</v>
      </c>
      <c r="V708" s="12">
        <f t="shared" si="141"/>
        <v>0.8</v>
      </c>
      <c r="Z708" s="1">
        <f t="shared" si="145"/>
        <v>0</v>
      </c>
      <c r="AB708" s="2" t="s">
        <v>1152</v>
      </c>
    </row>
    <row r="709" spans="1:28" x14ac:dyDescent="0.25">
      <c r="A709" s="1" t="s">
        <v>1670</v>
      </c>
      <c r="B709" s="1" t="s">
        <v>35</v>
      </c>
      <c r="C709" s="1" t="s">
        <v>861</v>
      </c>
      <c r="D709" s="1">
        <v>18</v>
      </c>
      <c r="E709" s="1">
        <v>2</v>
      </c>
      <c r="F709" s="1">
        <v>6</v>
      </c>
      <c r="G709" s="1">
        <v>4</v>
      </c>
      <c r="H709" s="1">
        <v>4</v>
      </c>
      <c r="I709" s="1">
        <v>3</v>
      </c>
      <c r="J709" s="1">
        <v>4</v>
      </c>
      <c r="K709" s="1">
        <f t="shared" si="142"/>
        <v>15</v>
      </c>
      <c r="L709" s="12">
        <f t="shared" si="139"/>
        <v>0.375</v>
      </c>
      <c r="M709" s="1">
        <v>6</v>
      </c>
      <c r="N709" s="1">
        <v>4</v>
      </c>
      <c r="O709" s="1">
        <v>5</v>
      </c>
      <c r="P709" s="1">
        <v>5</v>
      </c>
      <c r="Q709" s="1">
        <f t="shared" si="143"/>
        <v>20</v>
      </c>
      <c r="R709" s="12">
        <f t="shared" si="140"/>
        <v>0.5</v>
      </c>
      <c r="S709" s="1">
        <v>5</v>
      </c>
      <c r="T709" s="1">
        <v>4</v>
      </c>
      <c r="U709" s="1">
        <f t="shared" si="144"/>
        <v>9</v>
      </c>
      <c r="V709" s="12">
        <f t="shared" si="141"/>
        <v>0.45</v>
      </c>
      <c r="Z709" s="1">
        <f t="shared" si="145"/>
        <v>0</v>
      </c>
      <c r="AB709" s="2" t="s">
        <v>1153</v>
      </c>
    </row>
    <row r="710" spans="1:28" x14ac:dyDescent="0.25">
      <c r="A710" s="1" t="s">
        <v>1670</v>
      </c>
      <c r="B710" s="1" t="s">
        <v>35</v>
      </c>
      <c r="C710" s="1" t="s">
        <v>861</v>
      </c>
      <c r="D710" s="1">
        <v>18</v>
      </c>
      <c r="E710" s="1">
        <v>2</v>
      </c>
      <c r="F710" s="1">
        <v>6</v>
      </c>
      <c r="G710" s="1">
        <v>8</v>
      </c>
      <c r="H710" s="1">
        <v>8</v>
      </c>
      <c r="I710" s="1">
        <v>8</v>
      </c>
      <c r="J710" s="1">
        <v>8</v>
      </c>
      <c r="K710" s="1">
        <f t="shared" si="142"/>
        <v>32</v>
      </c>
      <c r="L710" s="12">
        <f t="shared" si="139"/>
        <v>0.8</v>
      </c>
      <c r="M710" s="1">
        <v>8</v>
      </c>
      <c r="N710" s="1">
        <v>7</v>
      </c>
      <c r="O710" s="1">
        <v>8</v>
      </c>
      <c r="P710" s="1">
        <v>8</v>
      </c>
      <c r="Q710" s="1">
        <f t="shared" si="143"/>
        <v>31</v>
      </c>
      <c r="R710" s="12">
        <f t="shared" si="140"/>
        <v>0.77500000000000002</v>
      </c>
      <c r="S710" s="1">
        <v>7</v>
      </c>
      <c r="T710" s="1">
        <v>8</v>
      </c>
      <c r="U710" s="1">
        <f t="shared" si="144"/>
        <v>15</v>
      </c>
      <c r="V710" s="12">
        <f t="shared" si="141"/>
        <v>0.75</v>
      </c>
      <c r="Z710" s="1">
        <f t="shared" si="145"/>
        <v>0</v>
      </c>
      <c r="AB710" s="2" t="s">
        <v>1154</v>
      </c>
    </row>
    <row r="711" spans="1:28" x14ac:dyDescent="0.25">
      <c r="A711" s="1" t="s">
        <v>1670</v>
      </c>
      <c r="B711" s="1" t="s">
        <v>35</v>
      </c>
      <c r="C711" s="1" t="s">
        <v>861</v>
      </c>
      <c r="D711" s="1">
        <v>18</v>
      </c>
      <c r="E711" s="1">
        <v>2</v>
      </c>
      <c r="F711" s="1">
        <v>6</v>
      </c>
      <c r="G711" s="1">
        <v>6</v>
      </c>
      <c r="H711" s="1">
        <v>4</v>
      </c>
      <c r="I711" s="1">
        <v>4</v>
      </c>
      <c r="J711" s="1">
        <v>4</v>
      </c>
      <c r="K711" s="1">
        <f t="shared" si="142"/>
        <v>18</v>
      </c>
      <c r="L711" s="12">
        <f t="shared" si="139"/>
        <v>0.45</v>
      </c>
      <c r="M711" s="1">
        <v>7</v>
      </c>
      <c r="N711" s="1">
        <v>6</v>
      </c>
      <c r="O711" s="1">
        <v>5</v>
      </c>
      <c r="P711" s="1">
        <v>7</v>
      </c>
      <c r="Q711" s="1">
        <f t="shared" si="143"/>
        <v>25</v>
      </c>
      <c r="R711" s="12">
        <f t="shared" si="140"/>
        <v>0.625</v>
      </c>
      <c r="S711" s="1">
        <v>6</v>
      </c>
      <c r="T711" s="1">
        <v>0</v>
      </c>
      <c r="U711" s="1">
        <f t="shared" si="144"/>
        <v>6</v>
      </c>
      <c r="V711" s="12">
        <f t="shared" si="141"/>
        <v>0.3</v>
      </c>
      <c r="Z711" s="1">
        <f t="shared" si="145"/>
        <v>0</v>
      </c>
      <c r="AB711" s="2" t="s">
        <v>1155</v>
      </c>
    </row>
    <row r="712" spans="1:28" x14ac:dyDescent="0.25">
      <c r="A712" s="1" t="s">
        <v>1670</v>
      </c>
      <c r="B712" s="1" t="s">
        <v>35</v>
      </c>
      <c r="C712" s="1" t="s">
        <v>861</v>
      </c>
      <c r="D712" s="1">
        <v>4</v>
      </c>
      <c r="E712" s="1">
        <v>3</v>
      </c>
      <c r="F712" s="1">
        <v>1</v>
      </c>
      <c r="G712" s="1">
        <v>6</v>
      </c>
      <c r="H712" s="1">
        <v>5</v>
      </c>
      <c r="I712" s="1">
        <v>6</v>
      </c>
      <c r="J712" s="1">
        <v>7</v>
      </c>
      <c r="K712" s="1">
        <f t="shared" si="142"/>
        <v>24</v>
      </c>
      <c r="L712" s="12">
        <f t="shared" si="139"/>
        <v>0.6</v>
      </c>
      <c r="M712" s="1">
        <v>5</v>
      </c>
      <c r="N712" s="1">
        <v>6</v>
      </c>
      <c r="O712" s="1">
        <v>6</v>
      </c>
      <c r="P712" s="1">
        <v>7</v>
      </c>
      <c r="Q712" s="1">
        <f t="shared" si="143"/>
        <v>24</v>
      </c>
      <c r="R712" s="12">
        <f t="shared" si="140"/>
        <v>0.6</v>
      </c>
      <c r="S712" s="1">
        <v>5</v>
      </c>
      <c r="T712" s="1">
        <v>8</v>
      </c>
      <c r="U712" s="1">
        <f t="shared" si="144"/>
        <v>13</v>
      </c>
      <c r="V712" s="12">
        <f t="shared" si="141"/>
        <v>0.65</v>
      </c>
      <c r="Z712" s="1">
        <f t="shared" si="145"/>
        <v>0</v>
      </c>
      <c r="AB712" s="2" t="s">
        <v>1213</v>
      </c>
    </row>
    <row r="713" spans="1:28" x14ac:dyDescent="0.25">
      <c r="A713" s="1" t="s">
        <v>1670</v>
      </c>
      <c r="B713" s="1" t="s">
        <v>35</v>
      </c>
      <c r="C713" s="1" t="s">
        <v>861</v>
      </c>
      <c r="D713" s="1">
        <v>4</v>
      </c>
      <c r="E713" s="1">
        <v>3</v>
      </c>
      <c r="F713" s="1">
        <v>1</v>
      </c>
      <c r="G713" s="1">
        <v>8</v>
      </c>
      <c r="H713" s="1">
        <v>6</v>
      </c>
      <c r="I713" s="1">
        <v>7</v>
      </c>
      <c r="J713" s="1">
        <v>7</v>
      </c>
      <c r="K713" s="1">
        <f t="shared" si="142"/>
        <v>28</v>
      </c>
      <c r="L713" s="12">
        <f t="shared" si="139"/>
        <v>0.7</v>
      </c>
      <c r="M713" s="1">
        <v>6</v>
      </c>
      <c r="N713" s="1">
        <v>7</v>
      </c>
      <c r="O713" s="1">
        <v>7</v>
      </c>
      <c r="P713" s="1">
        <v>7</v>
      </c>
      <c r="Q713" s="1">
        <f t="shared" si="143"/>
        <v>27</v>
      </c>
      <c r="R713" s="12">
        <f t="shared" si="140"/>
        <v>0.67500000000000004</v>
      </c>
      <c r="S713" s="1">
        <v>6</v>
      </c>
      <c r="T713" s="1">
        <v>9</v>
      </c>
      <c r="U713" s="1">
        <f t="shared" si="144"/>
        <v>15</v>
      </c>
      <c r="V713" s="12">
        <f t="shared" si="141"/>
        <v>0.75</v>
      </c>
      <c r="Z713" s="1">
        <f t="shared" si="145"/>
        <v>0</v>
      </c>
      <c r="AB713" s="2" t="s">
        <v>1214</v>
      </c>
    </row>
    <row r="714" spans="1:28" x14ac:dyDescent="0.25">
      <c r="A714" s="1" t="s">
        <v>1670</v>
      </c>
      <c r="B714" s="1" t="s">
        <v>35</v>
      </c>
      <c r="C714" s="1" t="s">
        <v>861</v>
      </c>
      <c r="D714" s="1">
        <v>4</v>
      </c>
      <c r="E714" s="1">
        <v>3</v>
      </c>
      <c r="F714" s="1">
        <v>1</v>
      </c>
      <c r="G714" s="1">
        <v>8</v>
      </c>
      <c r="H714" s="1">
        <v>8</v>
      </c>
      <c r="I714" s="1">
        <v>7</v>
      </c>
      <c r="J714" s="1">
        <v>8</v>
      </c>
      <c r="K714" s="1">
        <f t="shared" si="142"/>
        <v>31</v>
      </c>
      <c r="L714" s="12">
        <f t="shared" si="139"/>
        <v>0.77500000000000002</v>
      </c>
      <c r="M714" s="1">
        <v>6</v>
      </c>
      <c r="N714" s="1">
        <v>7</v>
      </c>
      <c r="O714" s="1">
        <v>7</v>
      </c>
      <c r="P714" s="1">
        <v>6</v>
      </c>
      <c r="Q714" s="1">
        <f t="shared" si="143"/>
        <v>26</v>
      </c>
      <c r="R714" s="12">
        <f t="shared" si="140"/>
        <v>0.65</v>
      </c>
      <c r="S714" s="1">
        <v>7</v>
      </c>
      <c r="T714" s="1">
        <v>8</v>
      </c>
      <c r="U714" s="1">
        <f t="shared" si="144"/>
        <v>15</v>
      </c>
      <c r="V714" s="12">
        <f t="shared" si="141"/>
        <v>0.75</v>
      </c>
      <c r="Z714" s="1">
        <f t="shared" si="145"/>
        <v>0</v>
      </c>
      <c r="AB714" s="2" t="s">
        <v>1215</v>
      </c>
    </row>
    <row r="715" spans="1:28" x14ac:dyDescent="0.25">
      <c r="A715" s="1" t="s">
        <v>1670</v>
      </c>
      <c r="B715" s="1" t="s">
        <v>35</v>
      </c>
      <c r="C715" s="1" t="s">
        <v>861</v>
      </c>
      <c r="D715" s="1">
        <v>4</v>
      </c>
      <c r="E715" s="1">
        <v>3</v>
      </c>
      <c r="F715" s="1">
        <v>1</v>
      </c>
      <c r="G715" s="1">
        <v>8</v>
      </c>
      <c r="H715" s="1">
        <v>8</v>
      </c>
      <c r="I715" s="1">
        <v>7</v>
      </c>
      <c r="J715" s="1">
        <v>8</v>
      </c>
      <c r="K715" s="1">
        <f t="shared" si="142"/>
        <v>31</v>
      </c>
      <c r="L715" s="12">
        <f t="shared" si="139"/>
        <v>0.77500000000000002</v>
      </c>
      <c r="M715" s="1">
        <v>7</v>
      </c>
      <c r="N715" s="1">
        <v>7</v>
      </c>
      <c r="O715" s="1">
        <v>8</v>
      </c>
      <c r="P715" s="1">
        <v>8</v>
      </c>
      <c r="Q715" s="1">
        <f t="shared" si="143"/>
        <v>30</v>
      </c>
      <c r="R715" s="12">
        <f t="shared" si="140"/>
        <v>0.75</v>
      </c>
      <c r="S715" s="1">
        <v>8</v>
      </c>
      <c r="T715" s="1">
        <v>9</v>
      </c>
      <c r="U715" s="1">
        <f t="shared" si="144"/>
        <v>17</v>
      </c>
      <c r="V715" s="12">
        <f t="shared" si="141"/>
        <v>0.85</v>
      </c>
      <c r="Z715" s="1">
        <f t="shared" si="145"/>
        <v>0</v>
      </c>
      <c r="AB715" s="2" t="s">
        <v>1216</v>
      </c>
    </row>
    <row r="716" spans="1:28" x14ac:dyDescent="0.25">
      <c r="A716" s="1" t="s">
        <v>1670</v>
      </c>
      <c r="B716" s="1" t="s">
        <v>35</v>
      </c>
      <c r="C716" s="1" t="s">
        <v>861</v>
      </c>
      <c r="D716" s="1">
        <v>4</v>
      </c>
      <c r="E716" s="1">
        <v>3</v>
      </c>
      <c r="F716" s="1">
        <v>1</v>
      </c>
      <c r="G716" s="1">
        <v>9</v>
      </c>
      <c r="H716" s="1">
        <v>9</v>
      </c>
      <c r="I716" s="1">
        <v>8</v>
      </c>
      <c r="J716" s="1">
        <v>9</v>
      </c>
      <c r="K716" s="1">
        <f t="shared" si="142"/>
        <v>35</v>
      </c>
      <c r="L716" s="12">
        <f t="shared" si="139"/>
        <v>0.875</v>
      </c>
      <c r="M716" s="1">
        <v>8</v>
      </c>
      <c r="N716" s="1">
        <v>7</v>
      </c>
      <c r="O716" s="1">
        <v>8</v>
      </c>
      <c r="P716" s="1">
        <v>8</v>
      </c>
      <c r="Q716" s="1">
        <f t="shared" si="143"/>
        <v>31</v>
      </c>
      <c r="R716" s="12">
        <f t="shared" si="140"/>
        <v>0.77500000000000002</v>
      </c>
      <c r="S716" s="1">
        <v>8</v>
      </c>
      <c r="T716" s="1">
        <v>9</v>
      </c>
      <c r="U716" s="1">
        <f t="shared" si="144"/>
        <v>17</v>
      </c>
      <c r="V716" s="12">
        <f t="shared" si="141"/>
        <v>0.85</v>
      </c>
      <c r="Z716" s="1">
        <f t="shared" si="145"/>
        <v>0</v>
      </c>
      <c r="AB716" s="2" t="s">
        <v>1217</v>
      </c>
    </row>
    <row r="717" spans="1:28" x14ac:dyDescent="0.25">
      <c r="A717" s="1" t="s">
        <v>1670</v>
      </c>
      <c r="B717" s="1" t="s">
        <v>35</v>
      </c>
      <c r="C717" s="1" t="s">
        <v>861</v>
      </c>
      <c r="D717" s="1">
        <v>4</v>
      </c>
      <c r="E717" s="1">
        <v>3</v>
      </c>
      <c r="F717" s="1">
        <v>1</v>
      </c>
      <c r="G717" s="1">
        <v>9</v>
      </c>
      <c r="H717" s="1">
        <v>9</v>
      </c>
      <c r="I717" s="1">
        <v>8</v>
      </c>
      <c r="J717" s="1">
        <v>9</v>
      </c>
      <c r="K717" s="1">
        <f t="shared" si="142"/>
        <v>35</v>
      </c>
      <c r="L717" s="12">
        <f t="shared" si="139"/>
        <v>0.875</v>
      </c>
      <c r="M717" s="1">
        <v>9</v>
      </c>
      <c r="N717" s="1">
        <v>9</v>
      </c>
      <c r="O717" s="1">
        <v>8</v>
      </c>
      <c r="P717" s="1">
        <v>9</v>
      </c>
      <c r="Q717" s="1">
        <f t="shared" si="143"/>
        <v>35</v>
      </c>
      <c r="R717" s="12">
        <f t="shared" si="140"/>
        <v>0.875</v>
      </c>
      <c r="S717" s="1">
        <v>9</v>
      </c>
      <c r="T717" s="1">
        <v>7</v>
      </c>
      <c r="U717" s="1">
        <f t="shared" si="144"/>
        <v>16</v>
      </c>
      <c r="V717" s="12">
        <f t="shared" si="141"/>
        <v>0.8</v>
      </c>
      <c r="Z717" s="1">
        <f t="shared" si="145"/>
        <v>0</v>
      </c>
      <c r="AB717" s="2" t="s">
        <v>1218</v>
      </c>
    </row>
    <row r="718" spans="1:28" x14ac:dyDescent="0.25">
      <c r="A718" s="1" t="s">
        <v>1670</v>
      </c>
      <c r="B718" s="1" t="s">
        <v>35</v>
      </c>
      <c r="C718" s="1" t="s">
        <v>861</v>
      </c>
      <c r="D718" s="1">
        <v>4</v>
      </c>
      <c r="E718" s="1">
        <v>3</v>
      </c>
      <c r="F718" s="1">
        <v>1</v>
      </c>
      <c r="G718" s="1">
        <v>8</v>
      </c>
      <c r="H718" s="1">
        <v>7</v>
      </c>
      <c r="I718" s="1">
        <v>8</v>
      </c>
      <c r="J718" s="1">
        <v>7</v>
      </c>
      <c r="K718" s="1">
        <f t="shared" si="142"/>
        <v>30</v>
      </c>
      <c r="L718" s="12">
        <f t="shared" si="139"/>
        <v>0.75</v>
      </c>
      <c r="M718" s="1">
        <v>7</v>
      </c>
      <c r="N718" s="1">
        <v>7</v>
      </c>
      <c r="O718" s="1">
        <v>8</v>
      </c>
      <c r="P718" s="1">
        <v>8</v>
      </c>
      <c r="Q718" s="1">
        <f t="shared" si="143"/>
        <v>30</v>
      </c>
      <c r="R718" s="12">
        <f t="shared" si="140"/>
        <v>0.75</v>
      </c>
      <c r="S718" s="1">
        <v>8</v>
      </c>
      <c r="T718" s="1">
        <v>8</v>
      </c>
      <c r="U718" s="1">
        <f t="shared" si="144"/>
        <v>16</v>
      </c>
      <c r="V718" s="12">
        <f t="shared" si="141"/>
        <v>0.8</v>
      </c>
      <c r="Z718" s="1">
        <f t="shared" si="145"/>
        <v>0</v>
      </c>
      <c r="AB718" s="2" t="s">
        <v>1219</v>
      </c>
    </row>
    <row r="719" spans="1:28" x14ac:dyDescent="0.25">
      <c r="A719" s="1" t="s">
        <v>1670</v>
      </c>
      <c r="B719" s="1" t="s">
        <v>35</v>
      </c>
      <c r="C719" s="1" t="s">
        <v>861</v>
      </c>
      <c r="D719" s="1">
        <v>4</v>
      </c>
      <c r="E719" s="1">
        <v>3</v>
      </c>
      <c r="F719" s="1">
        <v>1</v>
      </c>
      <c r="G719" s="1">
        <v>8</v>
      </c>
      <c r="H719" s="1">
        <v>8</v>
      </c>
      <c r="I719" s="1">
        <v>8</v>
      </c>
      <c r="J719" s="1">
        <v>9</v>
      </c>
      <c r="K719" s="1">
        <f t="shared" si="142"/>
        <v>33</v>
      </c>
      <c r="L719" s="12">
        <f t="shared" si="139"/>
        <v>0.82499999999999996</v>
      </c>
      <c r="M719" s="1">
        <v>8</v>
      </c>
      <c r="N719" s="1">
        <v>7</v>
      </c>
      <c r="O719" s="1">
        <v>9</v>
      </c>
      <c r="P719" s="1">
        <v>8</v>
      </c>
      <c r="Q719" s="1">
        <f t="shared" si="143"/>
        <v>32</v>
      </c>
      <c r="R719" s="12">
        <f t="shared" si="140"/>
        <v>0.8</v>
      </c>
      <c r="S719" s="1">
        <v>7</v>
      </c>
      <c r="T719" s="1">
        <v>8</v>
      </c>
      <c r="U719" s="1">
        <f t="shared" si="144"/>
        <v>15</v>
      </c>
      <c r="V719" s="12">
        <f t="shared" si="141"/>
        <v>0.75</v>
      </c>
      <c r="Z719" s="1">
        <f t="shared" si="145"/>
        <v>0</v>
      </c>
      <c r="AB719" s="2" t="s">
        <v>1220</v>
      </c>
    </row>
    <row r="720" spans="1:28" x14ac:dyDescent="0.25">
      <c r="A720" s="1" t="s">
        <v>1670</v>
      </c>
      <c r="B720" s="1" t="s">
        <v>35</v>
      </c>
      <c r="C720" s="1" t="s">
        <v>861</v>
      </c>
      <c r="D720" s="1">
        <v>4</v>
      </c>
      <c r="E720" s="1">
        <v>3</v>
      </c>
      <c r="F720" s="1">
        <v>1</v>
      </c>
      <c r="G720" s="1">
        <v>8</v>
      </c>
      <c r="H720" s="1">
        <v>7</v>
      </c>
      <c r="I720" s="1">
        <v>8</v>
      </c>
      <c r="J720" s="1">
        <v>7</v>
      </c>
      <c r="K720" s="1">
        <f t="shared" si="142"/>
        <v>30</v>
      </c>
      <c r="L720" s="12">
        <f t="shared" si="139"/>
        <v>0.75</v>
      </c>
      <c r="M720" s="1">
        <v>8</v>
      </c>
      <c r="N720" s="1">
        <v>9</v>
      </c>
      <c r="O720" s="1">
        <v>8</v>
      </c>
      <c r="P720" s="1">
        <v>9</v>
      </c>
      <c r="Q720" s="1">
        <f t="shared" si="143"/>
        <v>34</v>
      </c>
      <c r="R720" s="12">
        <f t="shared" si="140"/>
        <v>0.85</v>
      </c>
      <c r="S720" s="1">
        <v>8</v>
      </c>
      <c r="T720" s="1">
        <v>9</v>
      </c>
      <c r="U720" s="1">
        <f t="shared" si="144"/>
        <v>17</v>
      </c>
      <c r="V720" s="12">
        <f t="shared" si="141"/>
        <v>0.85</v>
      </c>
      <c r="Z720" s="1">
        <f t="shared" si="145"/>
        <v>0</v>
      </c>
      <c r="AB720" s="2" t="s">
        <v>1221</v>
      </c>
    </row>
    <row r="721" spans="1:28" x14ac:dyDescent="0.25">
      <c r="A721" s="1" t="s">
        <v>1670</v>
      </c>
      <c r="B721" s="1" t="s">
        <v>576</v>
      </c>
      <c r="C721" s="1" t="s">
        <v>861</v>
      </c>
      <c r="D721" s="1">
        <v>24</v>
      </c>
      <c r="E721" s="1">
        <v>1</v>
      </c>
      <c r="F721" s="1">
        <v>1</v>
      </c>
      <c r="G721" s="1">
        <v>7</v>
      </c>
      <c r="H721" s="1">
        <v>7</v>
      </c>
      <c r="I721" s="1">
        <v>8</v>
      </c>
      <c r="J721" s="1">
        <v>7</v>
      </c>
      <c r="K721" s="1">
        <f t="shared" si="142"/>
        <v>29</v>
      </c>
      <c r="L721" s="12">
        <f t="shared" si="139"/>
        <v>0.72499999999999998</v>
      </c>
      <c r="M721" s="1">
        <v>5</v>
      </c>
      <c r="N721" s="1">
        <v>5</v>
      </c>
      <c r="O721" s="1">
        <v>6</v>
      </c>
      <c r="P721" s="1">
        <v>5</v>
      </c>
      <c r="Q721" s="1">
        <f t="shared" si="143"/>
        <v>21</v>
      </c>
      <c r="R721" s="12">
        <f t="shared" si="140"/>
        <v>0.52500000000000002</v>
      </c>
      <c r="S721" s="1">
        <v>6</v>
      </c>
      <c r="T721" s="1">
        <v>4</v>
      </c>
      <c r="U721" s="1">
        <f t="shared" si="144"/>
        <v>10</v>
      </c>
      <c r="V721" s="12">
        <f t="shared" si="141"/>
        <v>0.5</v>
      </c>
      <c r="Z721" s="1">
        <f t="shared" si="145"/>
        <v>0</v>
      </c>
      <c r="AB721" s="2" t="s">
        <v>1354</v>
      </c>
    </row>
    <row r="722" spans="1:28" x14ac:dyDescent="0.25">
      <c r="A722" s="1" t="s">
        <v>1670</v>
      </c>
      <c r="B722" s="1" t="s">
        <v>576</v>
      </c>
      <c r="C722" s="1" t="s">
        <v>861</v>
      </c>
      <c r="D722" s="1">
        <v>24</v>
      </c>
      <c r="E722" s="1">
        <v>1</v>
      </c>
      <c r="F722" s="1">
        <v>1</v>
      </c>
      <c r="G722" s="1">
        <v>6</v>
      </c>
      <c r="H722" s="1">
        <v>6</v>
      </c>
      <c r="I722" s="1">
        <v>6</v>
      </c>
      <c r="J722" s="1">
        <v>6</v>
      </c>
      <c r="K722" s="1">
        <f t="shared" si="142"/>
        <v>24</v>
      </c>
      <c r="L722" s="12">
        <f t="shared" si="139"/>
        <v>0.6</v>
      </c>
      <c r="M722" s="1">
        <v>6</v>
      </c>
      <c r="N722" s="1">
        <v>7</v>
      </c>
      <c r="O722" s="1">
        <v>7</v>
      </c>
      <c r="P722" s="1">
        <v>5</v>
      </c>
      <c r="Q722" s="1">
        <f t="shared" si="143"/>
        <v>25</v>
      </c>
      <c r="R722" s="12">
        <f t="shared" si="140"/>
        <v>0.625</v>
      </c>
      <c r="S722" s="1">
        <v>8</v>
      </c>
      <c r="T722" s="1">
        <v>5</v>
      </c>
      <c r="U722" s="1">
        <f t="shared" si="144"/>
        <v>13</v>
      </c>
      <c r="V722" s="12">
        <f t="shared" si="141"/>
        <v>0.65</v>
      </c>
      <c r="Z722" s="1">
        <f t="shared" si="145"/>
        <v>0</v>
      </c>
      <c r="AB722" s="2" t="s">
        <v>1355</v>
      </c>
    </row>
    <row r="723" spans="1:28" x14ac:dyDescent="0.25">
      <c r="A723" s="1" t="s">
        <v>1670</v>
      </c>
      <c r="B723" s="1" t="s">
        <v>576</v>
      </c>
      <c r="C723" s="1" t="s">
        <v>861</v>
      </c>
      <c r="D723" s="1">
        <v>24</v>
      </c>
      <c r="E723" s="1">
        <v>1</v>
      </c>
      <c r="F723" s="1">
        <v>1</v>
      </c>
      <c r="G723" s="1">
        <v>8</v>
      </c>
      <c r="H723" s="1">
        <v>8</v>
      </c>
      <c r="I723" s="1">
        <v>7</v>
      </c>
      <c r="J723" s="1">
        <v>8</v>
      </c>
      <c r="K723" s="1">
        <f t="shared" si="142"/>
        <v>31</v>
      </c>
      <c r="L723" s="12">
        <f t="shared" si="139"/>
        <v>0.77500000000000002</v>
      </c>
      <c r="M723" s="1">
        <v>8</v>
      </c>
      <c r="N723" s="1">
        <v>8</v>
      </c>
      <c r="O723" s="1">
        <v>8</v>
      </c>
      <c r="P723" s="1">
        <v>8</v>
      </c>
      <c r="Q723" s="1">
        <f t="shared" si="143"/>
        <v>32</v>
      </c>
      <c r="R723" s="12">
        <f t="shared" si="140"/>
        <v>0.8</v>
      </c>
      <c r="S723" s="1">
        <v>8</v>
      </c>
      <c r="T723" s="1">
        <v>10</v>
      </c>
      <c r="U723" s="1">
        <f t="shared" si="144"/>
        <v>18</v>
      </c>
      <c r="V723" s="12">
        <f t="shared" si="141"/>
        <v>0.9</v>
      </c>
      <c r="Z723" s="1">
        <f t="shared" si="145"/>
        <v>0</v>
      </c>
      <c r="AB723" s="2" t="s">
        <v>1356</v>
      </c>
    </row>
    <row r="724" spans="1:28" x14ac:dyDescent="0.25">
      <c r="A724" s="1" t="s">
        <v>1670</v>
      </c>
      <c r="B724" s="1" t="s">
        <v>576</v>
      </c>
      <c r="C724" s="1" t="s">
        <v>861</v>
      </c>
      <c r="D724" s="1">
        <v>24</v>
      </c>
      <c r="E724" s="1">
        <v>1</v>
      </c>
      <c r="F724" s="1">
        <v>1</v>
      </c>
      <c r="G724" s="1">
        <v>7</v>
      </c>
      <c r="H724" s="1">
        <v>5</v>
      </c>
      <c r="I724" s="1">
        <v>6</v>
      </c>
      <c r="J724" s="1">
        <v>6</v>
      </c>
      <c r="K724" s="1">
        <f t="shared" si="142"/>
        <v>24</v>
      </c>
      <c r="L724" s="12">
        <f t="shared" si="139"/>
        <v>0.6</v>
      </c>
      <c r="M724" s="1">
        <v>7</v>
      </c>
      <c r="N724" s="1">
        <v>7</v>
      </c>
      <c r="O724" s="1">
        <v>7</v>
      </c>
      <c r="P724" s="1">
        <v>6</v>
      </c>
      <c r="Q724" s="1">
        <f t="shared" si="143"/>
        <v>27</v>
      </c>
      <c r="R724" s="12">
        <f t="shared" si="140"/>
        <v>0.67500000000000004</v>
      </c>
      <c r="S724" s="1">
        <v>7</v>
      </c>
      <c r="T724" s="1">
        <v>5</v>
      </c>
      <c r="U724" s="1">
        <f t="shared" si="144"/>
        <v>12</v>
      </c>
      <c r="V724" s="12">
        <f t="shared" si="141"/>
        <v>0.6</v>
      </c>
      <c r="Z724" s="1">
        <f t="shared" si="145"/>
        <v>0</v>
      </c>
      <c r="AB724" s="2" t="s">
        <v>1357</v>
      </c>
    </row>
    <row r="725" spans="1:28" x14ac:dyDescent="0.25">
      <c r="A725" s="1" t="s">
        <v>1670</v>
      </c>
      <c r="B725" s="1" t="s">
        <v>576</v>
      </c>
      <c r="C725" s="1" t="s">
        <v>861</v>
      </c>
      <c r="D725" s="1">
        <v>24</v>
      </c>
      <c r="E725" s="1">
        <v>1</v>
      </c>
      <c r="F725" s="1">
        <v>1</v>
      </c>
      <c r="G725" s="1">
        <v>8</v>
      </c>
      <c r="H725" s="1">
        <v>8</v>
      </c>
      <c r="I725" s="1">
        <v>8</v>
      </c>
      <c r="J725" s="1">
        <v>8</v>
      </c>
      <c r="K725" s="1">
        <f t="shared" si="142"/>
        <v>32</v>
      </c>
      <c r="L725" s="12">
        <f t="shared" si="139"/>
        <v>0.8</v>
      </c>
      <c r="M725" s="1">
        <v>7</v>
      </c>
      <c r="N725" s="1">
        <v>7</v>
      </c>
      <c r="O725" s="1">
        <v>7</v>
      </c>
      <c r="P725" s="1">
        <v>8</v>
      </c>
      <c r="Q725" s="1">
        <f t="shared" si="143"/>
        <v>29</v>
      </c>
      <c r="R725" s="12">
        <f t="shared" si="140"/>
        <v>0.72499999999999998</v>
      </c>
      <c r="S725" s="1">
        <v>7</v>
      </c>
      <c r="T725" s="1">
        <v>7</v>
      </c>
      <c r="U725" s="1">
        <f t="shared" si="144"/>
        <v>14</v>
      </c>
      <c r="V725" s="12">
        <f t="shared" si="141"/>
        <v>0.7</v>
      </c>
      <c r="Z725" s="1">
        <f t="shared" si="145"/>
        <v>0</v>
      </c>
      <c r="AB725" s="2" t="s">
        <v>1358</v>
      </c>
    </row>
    <row r="726" spans="1:28" x14ac:dyDescent="0.25">
      <c r="A726" s="1" t="s">
        <v>1670</v>
      </c>
      <c r="B726" s="1" t="s">
        <v>576</v>
      </c>
      <c r="C726" s="1" t="s">
        <v>861</v>
      </c>
      <c r="D726" s="1">
        <v>24</v>
      </c>
      <c r="E726" s="1">
        <v>1</v>
      </c>
      <c r="F726" s="1">
        <v>1</v>
      </c>
      <c r="G726" s="1">
        <v>6</v>
      </c>
      <c r="H726" s="1">
        <v>6</v>
      </c>
      <c r="I726" s="1">
        <v>6</v>
      </c>
      <c r="J726" s="1">
        <v>6</v>
      </c>
      <c r="K726" s="1">
        <f t="shared" si="142"/>
        <v>24</v>
      </c>
      <c r="L726" s="12">
        <f t="shared" si="139"/>
        <v>0.6</v>
      </c>
      <c r="M726" s="1">
        <v>7</v>
      </c>
      <c r="N726" s="1">
        <v>7</v>
      </c>
      <c r="O726" s="1">
        <v>7</v>
      </c>
      <c r="P726" s="1">
        <v>7</v>
      </c>
      <c r="Q726" s="1">
        <f t="shared" si="143"/>
        <v>28</v>
      </c>
      <c r="R726" s="12">
        <f t="shared" si="140"/>
        <v>0.7</v>
      </c>
      <c r="S726" s="1">
        <v>6</v>
      </c>
      <c r="T726" s="1">
        <v>8</v>
      </c>
      <c r="U726" s="1">
        <f t="shared" si="144"/>
        <v>14</v>
      </c>
      <c r="V726" s="12">
        <f t="shared" si="141"/>
        <v>0.7</v>
      </c>
      <c r="Z726" s="1">
        <f t="shared" si="145"/>
        <v>0</v>
      </c>
      <c r="AB726" s="2" t="s">
        <v>1359</v>
      </c>
    </row>
    <row r="727" spans="1:28" x14ac:dyDescent="0.25">
      <c r="A727" s="1" t="s">
        <v>1670</v>
      </c>
      <c r="B727" s="1" t="s">
        <v>576</v>
      </c>
      <c r="C727" s="1" t="s">
        <v>861</v>
      </c>
      <c r="D727" s="1">
        <v>24</v>
      </c>
      <c r="E727" s="1">
        <v>1</v>
      </c>
      <c r="F727" s="1">
        <v>1</v>
      </c>
      <c r="G727" s="1">
        <v>6</v>
      </c>
      <c r="H727" s="1">
        <v>5</v>
      </c>
      <c r="I727" s="1">
        <v>6</v>
      </c>
      <c r="J727" s="1">
        <v>6</v>
      </c>
      <c r="K727" s="1">
        <f t="shared" si="142"/>
        <v>23</v>
      </c>
      <c r="L727" s="12">
        <f t="shared" si="139"/>
        <v>0.57499999999999996</v>
      </c>
      <c r="M727" s="1">
        <v>5</v>
      </c>
      <c r="N727" s="1">
        <v>6</v>
      </c>
      <c r="O727" s="1">
        <v>7</v>
      </c>
      <c r="P727" s="1">
        <v>7</v>
      </c>
      <c r="Q727" s="1">
        <f t="shared" si="143"/>
        <v>25</v>
      </c>
      <c r="R727" s="12">
        <f t="shared" si="140"/>
        <v>0.625</v>
      </c>
      <c r="S727" s="1">
        <v>6</v>
      </c>
      <c r="T727" s="1">
        <v>7</v>
      </c>
      <c r="U727" s="1">
        <f t="shared" si="144"/>
        <v>13</v>
      </c>
      <c r="V727" s="12">
        <f t="shared" si="141"/>
        <v>0.65</v>
      </c>
      <c r="Z727" s="1">
        <f t="shared" si="145"/>
        <v>0</v>
      </c>
      <c r="AB727" s="2" t="s">
        <v>1360</v>
      </c>
    </row>
    <row r="728" spans="1:28" x14ac:dyDescent="0.25">
      <c r="A728" s="1" t="s">
        <v>1670</v>
      </c>
      <c r="B728" s="1" t="s">
        <v>576</v>
      </c>
      <c r="C728" s="1" t="s">
        <v>861</v>
      </c>
      <c r="D728" s="1">
        <v>25</v>
      </c>
      <c r="E728" s="1">
        <v>2</v>
      </c>
      <c r="F728" s="1">
        <v>3</v>
      </c>
      <c r="G728" s="1">
        <v>8</v>
      </c>
      <c r="H728" s="1">
        <v>8</v>
      </c>
      <c r="I728" s="1">
        <v>8</v>
      </c>
      <c r="J728" s="1">
        <v>9</v>
      </c>
      <c r="K728" s="1">
        <f t="shared" si="142"/>
        <v>33</v>
      </c>
      <c r="L728" s="12">
        <f t="shared" si="139"/>
        <v>0.82499999999999996</v>
      </c>
      <c r="M728" s="1">
        <v>7</v>
      </c>
      <c r="N728" s="1">
        <v>7</v>
      </c>
      <c r="O728" s="1">
        <v>7</v>
      </c>
      <c r="P728" s="1">
        <v>7</v>
      </c>
      <c r="Q728" s="1">
        <f t="shared" si="143"/>
        <v>28</v>
      </c>
      <c r="R728" s="12">
        <f t="shared" si="140"/>
        <v>0.7</v>
      </c>
      <c r="S728" s="1">
        <v>7</v>
      </c>
      <c r="T728" s="1">
        <v>8</v>
      </c>
      <c r="U728" s="1">
        <f t="shared" si="144"/>
        <v>15</v>
      </c>
      <c r="V728" s="12">
        <f t="shared" si="141"/>
        <v>0.75</v>
      </c>
      <c r="Z728" s="1">
        <f t="shared" si="145"/>
        <v>0</v>
      </c>
      <c r="AB728" s="2" t="s">
        <v>1487</v>
      </c>
    </row>
    <row r="729" spans="1:28" x14ac:dyDescent="0.25">
      <c r="A729" s="1" t="s">
        <v>1670</v>
      </c>
      <c r="B729" s="1" t="s">
        <v>576</v>
      </c>
      <c r="C729" s="1" t="s">
        <v>861</v>
      </c>
      <c r="D729" s="1">
        <v>25</v>
      </c>
      <c r="E729" s="1">
        <v>2</v>
      </c>
      <c r="F729" s="1">
        <v>3</v>
      </c>
      <c r="G729" s="1">
        <v>8</v>
      </c>
      <c r="H729" s="1">
        <v>6</v>
      </c>
      <c r="I729" s="1">
        <v>7</v>
      </c>
      <c r="J729" s="1">
        <v>7</v>
      </c>
      <c r="K729" s="1">
        <f t="shared" si="142"/>
        <v>28</v>
      </c>
      <c r="L729" s="12">
        <f t="shared" si="139"/>
        <v>0.7</v>
      </c>
      <c r="M729" s="1">
        <v>7</v>
      </c>
      <c r="N729" s="1">
        <v>8</v>
      </c>
      <c r="O729" s="1">
        <v>7</v>
      </c>
      <c r="P729" s="1">
        <v>7</v>
      </c>
      <c r="Q729" s="1">
        <f t="shared" si="143"/>
        <v>29</v>
      </c>
      <c r="R729" s="12">
        <f t="shared" si="140"/>
        <v>0.72499999999999998</v>
      </c>
      <c r="S729" s="1">
        <v>8</v>
      </c>
      <c r="T729" s="1">
        <v>9</v>
      </c>
      <c r="U729" s="1">
        <f t="shared" si="144"/>
        <v>17</v>
      </c>
      <c r="V729" s="12">
        <f t="shared" si="141"/>
        <v>0.85</v>
      </c>
      <c r="Z729" s="1">
        <f t="shared" si="145"/>
        <v>0</v>
      </c>
      <c r="AB729" s="2" t="s">
        <v>1488</v>
      </c>
    </row>
    <row r="730" spans="1:28" x14ac:dyDescent="0.25">
      <c r="A730" s="1" t="s">
        <v>1670</v>
      </c>
      <c r="B730" s="1" t="s">
        <v>576</v>
      </c>
      <c r="C730" s="1" t="s">
        <v>861</v>
      </c>
      <c r="D730" s="1">
        <v>25</v>
      </c>
      <c r="E730" s="1">
        <v>2</v>
      </c>
      <c r="F730" s="1">
        <v>3</v>
      </c>
      <c r="G730" s="1">
        <v>7</v>
      </c>
      <c r="H730" s="1">
        <v>6</v>
      </c>
      <c r="I730" s="1">
        <v>6</v>
      </c>
      <c r="J730" s="1">
        <v>7</v>
      </c>
      <c r="K730" s="1">
        <f t="shared" si="142"/>
        <v>26</v>
      </c>
      <c r="L730" s="12">
        <f t="shared" si="139"/>
        <v>0.65</v>
      </c>
      <c r="M730" s="1">
        <v>8</v>
      </c>
      <c r="N730" s="1">
        <v>6</v>
      </c>
      <c r="O730" s="1">
        <v>6</v>
      </c>
      <c r="P730" s="1">
        <v>7</v>
      </c>
      <c r="Q730" s="1">
        <f t="shared" si="143"/>
        <v>27</v>
      </c>
      <c r="R730" s="12">
        <f t="shared" si="140"/>
        <v>0.67500000000000004</v>
      </c>
      <c r="S730" s="1">
        <v>7</v>
      </c>
      <c r="T730" s="1">
        <v>6</v>
      </c>
      <c r="U730" s="1">
        <f t="shared" si="144"/>
        <v>13</v>
      </c>
      <c r="V730" s="12">
        <f t="shared" si="141"/>
        <v>0.65</v>
      </c>
      <c r="Z730" s="1">
        <f t="shared" si="145"/>
        <v>0</v>
      </c>
      <c r="AB730" s="2" t="s">
        <v>1489</v>
      </c>
    </row>
    <row r="731" spans="1:28" x14ac:dyDescent="0.25">
      <c r="A731" s="1" t="s">
        <v>1670</v>
      </c>
      <c r="B731" s="1" t="s">
        <v>576</v>
      </c>
      <c r="C731" s="1" t="s">
        <v>861</v>
      </c>
      <c r="D731" s="1">
        <v>25</v>
      </c>
      <c r="E731" s="1">
        <v>2</v>
      </c>
      <c r="F731" s="1">
        <v>3</v>
      </c>
      <c r="G731" s="1">
        <v>8</v>
      </c>
      <c r="H731" s="1">
        <v>7</v>
      </c>
      <c r="I731" s="1">
        <v>7</v>
      </c>
      <c r="J731" s="1">
        <v>8</v>
      </c>
      <c r="K731" s="1">
        <f t="shared" si="142"/>
        <v>30</v>
      </c>
      <c r="L731" s="12">
        <f t="shared" si="139"/>
        <v>0.75</v>
      </c>
      <c r="M731" s="1">
        <v>7</v>
      </c>
      <c r="N731" s="1">
        <v>7</v>
      </c>
      <c r="O731" s="1">
        <v>8</v>
      </c>
      <c r="P731" s="1">
        <v>8</v>
      </c>
      <c r="Q731" s="1">
        <f t="shared" si="143"/>
        <v>30</v>
      </c>
      <c r="R731" s="12">
        <f t="shared" si="140"/>
        <v>0.75</v>
      </c>
      <c r="S731" s="1">
        <v>8</v>
      </c>
      <c r="T731" s="1">
        <v>9</v>
      </c>
      <c r="U731" s="1">
        <f t="shared" si="144"/>
        <v>17</v>
      </c>
      <c r="V731" s="12">
        <f t="shared" si="141"/>
        <v>0.85</v>
      </c>
      <c r="Z731" s="1">
        <f t="shared" si="145"/>
        <v>0</v>
      </c>
      <c r="AB731" s="2" t="s">
        <v>1490</v>
      </c>
    </row>
    <row r="732" spans="1:28" x14ac:dyDescent="0.25">
      <c r="A732" s="1" t="s">
        <v>1670</v>
      </c>
      <c r="B732" s="1" t="s">
        <v>576</v>
      </c>
      <c r="C732" s="1" t="s">
        <v>861</v>
      </c>
      <c r="D732" s="1">
        <v>25</v>
      </c>
      <c r="E732" s="1">
        <v>2</v>
      </c>
      <c r="F732" s="1">
        <v>3</v>
      </c>
      <c r="G732" s="1">
        <v>8</v>
      </c>
      <c r="H732" s="1">
        <v>8</v>
      </c>
      <c r="I732" s="1">
        <v>7</v>
      </c>
      <c r="J732" s="1">
        <v>7</v>
      </c>
      <c r="K732" s="1">
        <f t="shared" si="142"/>
        <v>30</v>
      </c>
      <c r="L732" s="12">
        <f t="shared" si="139"/>
        <v>0.75</v>
      </c>
      <c r="M732" s="1">
        <v>9</v>
      </c>
      <c r="N732" s="1">
        <v>8</v>
      </c>
      <c r="O732" s="1">
        <v>8</v>
      </c>
      <c r="P732" s="1">
        <v>8</v>
      </c>
      <c r="Q732" s="1">
        <f t="shared" si="143"/>
        <v>33</v>
      </c>
      <c r="R732" s="12">
        <f t="shared" si="140"/>
        <v>0.82499999999999996</v>
      </c>
      <c r="S732" s="1">
        <v>8</v>
      </c>
      <c r="T732" s="1">
        <v>10</v>
      </c>
      <c r="U732" s="1">
        <f t="shared" si="144"/>
        <v>18</v>
      </c>
      <c r="V732" s="12">
        <f t="shared" si="141"/>
        <v>0.9</v>
      </c>
      <c r="Z732" s="1">
        <f t="shared" si="145"/>
        <v>0</v>
      </c>
      <c r="AB732" s="2" t="s">
        <v>1491</v>
      </c>
    </row>
    <row r="733" spans="1:28" x14ac:dyDescent="0.25">
      <c r="A733" s="1" t="s">
        <v>1670</v>
      </c>
      <c r="B733" s="1" t="s">
        <v>576</v>
      </c>
      <c r="C733" s="1" t="s">
        <v>861</v>
      </c>
      <c r="D733" s="1">
        <v>25</v>
      </c>
      <c r="E733" s="1">
        <v>2</v>
      </c>
      <c r="F733" s="1">
        <v>3</v>
      </c>
      <c r="G733" s="1">
        <v>8</v>
      </c>
      <c r="H733" s="1">
        <v>8</v>
      </c>
      <c r="I733" s="1">
        <v>7</v>
      </c>
      <c r="J733" s="1">
        <v>6</v>
      </c>
      <c r="K733" s="1">
        <f t="shared" si="142"/>
        <v>29</v>
      </c>
      <c r="L733" s="12">
        <f t="shared" si="139"/>
        <v>0.72499999999999998</v>
      </c>
      <c r="M733" s="1">
        <v>8</v>
      </c>
      <c r="N733" s="1">
        <v>7</v>
      </c>
      <c r="O733" s="1">
        <v>8</v>
      </c>
      <c r="P733" s="1">
        <v>8</v>
      </c>
      <c r="Q733" s="1">
        <f t="shared" si="143"/>
        <v>31</v>
      </c>
      <c r="R733" s="12">
        <f t="shared" si="140"/>
        <v>0.77500000000000002</v>
      </c>
      <c r="S733" s="1">
        <v>8</v>
      </c>
      <c r="T733" s="1">
        <v>9</v>
      </c>
      <c r="U733" s="1">
        <f t="shared" si="144"/>
        <v>17</v>
      </c>
      <c r="V733" s="12">
        <f t="shared" si="141"/>
        <v>0.85</v>
      </c>
      <c r="Z733" s="1">
        <f t="shared" si="145"/>
        <v>0</v>
      </c>
      <c r="AB733" s="2" t="s">
        <v>1492</v>
      </c>
    </row>
    <row r="734" spans="1:28" x14ac:dyDescent="0.25">
      <c r="A734" s="1" t="s">
        <v>1670</v>
      </c>
      <c r="B734" s="1" t="s">
        <v>576</v>
      </c>
      <c r="C734" s="1" t="s">
        <v>861</v>
      </c>
      <c r="D734" s="1">
        <v>11</v>
      </c>
      <c r="E734" s="1">
        <v>3</v>
      </c>
      <c r="F734" s="1">
        <v>4</v>
      </c>
      <c r="G734" s="1">
        <v>7</v>
      </c>
      <c r="H734" s="1">
        <v>6</v>
      </c>
      <c r="I734" s="1">
        <v>6</v>
      </c>
      <c r="J734" s="1">
        <v>6</v>
      </c>
      <c r="K734" s="1">
        <f t="shared" si="142"/>
        <v>25</v>
      </c>
      <c r="L734" s="12">
        <f t="shared" si="139"/>
        <v>0.625</v>
      </c>
      <c r="M734" s="1">
        <v>6</v>
      </c>
      <c r="N734" s="1">
        <v>5</v>
      </c>
      <c r="O734" s="1">
        <v>6</v>
      </c>
      <c r="P734" s="1">
        <v>5</v>
      </c>
      <c r="Q734" s="1">
        <f t="shared" si="143"/>
        <v>22</v>
      </c>
      <c r="R734" s="12">
        <f t="shared" si="140"/>
        <v>0.55000000000000004</v>
      </c>
      <c r="S734" s="1">
        <v>7</v>
      </c>
      <c r="T734" s="1">
        <v>6</v>
      </c>
      <c r="U734" s="1">
        <f t="shared" si="144"/>
        <v>13</v>
      </c>
      <c r="V734" s="12">
        <f t="shared" si="141"/>
        <v>0.65</v>
      </c>
      <c r="Z734" s="1">
        <f t="shared" si="145"/>
        <v>0</v>
      </c>
      <c r="AB734" s="2" t="s">
        <v>1617</v>
      </c>
    </row>
    <row r="735" spans="1:28" x14ac:dyDescent="0.25">
      <c r="A735" s="1" t="s">
        <v>1670</v>
      </c>
      <c r="B735" s="1" t="s">
        <v>576</v>
      </c>
      <c r="C735" s="1" t="s">
        <v>861</v>
      </c>
      <c r="D735" s="1">
        <v>11</v>
      </c>
      <c r="E735" s="1">
        <v>3</v>
      </c>
      <c r="F735" s="1">
        <v>4</v>
      </c>
      <c r="G735" s="1">
        <v>7</v>
      </c>
      <c r="H735" s="1">
        <v>7</v>
      </c>
      <c r="I735" s="1">
        <v>6</v>
      </c>
      <c r="J735" s="1">
        <v>6</v>
      </c>
      <c r="K735" s="1">
        <f t="shared" si="142"/>
        <v>26</v>
      </c>
      <c r="L735" s="12">
        <f t="shared" si="139"/>
        <v>0.65</v>
      </c>
      <c r="M735" s="1">
        <v>5</v>
      </c>
      <c r="N735" s="1">
        <v>4</v>
      </c>
      <c r="O735" s="1">
        <v>4</v>
      </c>
      <c r="P735" s="1">
        <v>4</v>
      </c>
      <c r="Q735" s="1">
        <f t="shared" si="143"/>
        <v>17</v>
      </c>
      <c r="R735" s="12">
        <f t="shared" si="140"/>
        <v>0.42499999999999999</v>
      </c>
      <c r="S735" s="1">
        <v>4</v>
      </c>
      <c r="T735" s="1">
        <v>5</v>
      </c>
      <c r="U735" s="1">
        <f t="shared" si="144"/>
        <v>9</v>
      </c>
      <c r="V735" s="12">
        <f t="shared" si="141"/>
        <v>0.45</v>
      </c>
      <c r="Z735" s="1">
        <f t="shared" si="145"/>
        <v>0</v>
      </c>
      <c r="AB735" s="2" t="s">
        <v>1618</v>
      </c>
    </row>
    <row r="736" spans="1:28" x14ac:dyDescent="0.25">
      <c r="A736" s="1" t="s">
        <v>1670</v>
      </c>
      <c r="B736" s="1" t="s">
        <v>576</v>
      </c>
      <c r="C736" s="1" t="s">
        <v>861</v>
      </c>
      <c r="D736" s="1">
        <v>11</v>
      </c>
      <c r="E736" s="1">
        <v>3</v>
      </c>
      <c r="F736" s="1">
        <v>4</v>
      </c>
      <c r="G736" s="1">
        <v>5</v>
      </c>
      <c r="H736" s="1">
        <v>5</v>
      </c>
      <c r="I736" s="1">
        <v>5</v>
      </c>
      <c r="J736" s="1">
        <v>5</v>
      </c>
      <c r="K736" s="1">
        <f t="shared" si="142"/>
        <v>20</v>
      </c>
      <c r="L736" s="12">
        <f t="shared" si="139"/>
        <v>0.5</v>
      </c>
      <c r="M736" s="1">
        <v>7</v>
      </c>
      <c r="N736" s="1">
        <v>7</v>
      </c>
      <c r="O736" s="1">
        <v>6</v>
      </c>
      <c r="P736" s="1">
        <v>6</v>
      </c>
      <c r="Q736" s="1">
        <f t="shared" si="143"/>
        <v>26</v>
      </c>
      <c r="R736" s="12">
        <f t="shared" si="140"/>
        <v>0.65</v>
      </c>
      <c r="S736" s="1">
        <v>6</v>
      </c>
      <c r="T736" s="1">
        <v>4</v>
      </c>
      <c r="U736" s="1">
        <f t="shared" si="144"/>
        <v>10</v>
      </c>
      <c r="V736" s="12">
        <f t="shared" si="141"/>
        <v>0.5</v>
      </c>
      <c r="Z736" s="1">
        <f t="shared" si="145"/>
        <v>0</v>
      </c>
      <c r="AB736" s="2" t="s">
        <v>1619</v>
      </c>
    </row>
    <row r="737" spans="1:28" x14ac:dyDescent="0.25">
      <c r="A737" s="1" t="s">
        <v>1670</v>
      </c>
      <c r="B737" s="1" t="s">
        <v>576</v>
      </c>
      <c r="C737" s="1" t="s">
        <v>861</v>
      </c>
      <c r="D737" s="1">
        <v>11</v>
      </c>
      <c r="E737" s="1">
        <v>3</v>
      </c>
      <c r="F737" s="1">
        <v>4</v>
      </c>
      <c r="G737" s="1">
        <v>7</v>
      </c>
      <c r="H737" s="1">
        <v>6</v>
      </c>
      <c r="I737" s="1">
        <v>6</v>
      </c>
      <c r="J737" s="1">
        <v>7</v>
      </c>
      <c r="K737" s="1">
        <f t="shared" si="142"/>
        <v>26</v>
      </c>
      <c r="L737" s="12">
        <f t="shared" si="139"/>
        <v>0.65</v>
      </c>
      <c r="M737" s="1">
        <v>6</v>
      </c>
      <c r="N737" s="1">
        <v>7</v>
      </c>
      <c r="O737" s="1">
        <v>7</v>
      </c>
      <c r="P737" s="1">
        <v>6</v>
      </c>
      <c r="Q737" s="1">
        <f t="shared" si="143"/>
        <v>26</v>
      </c>
      <c r="R737" s="12">
        <f t="shared" si="140"/>
        <v>0.65</v>
      </c>
      <c r="S737" s="1">
        <v>7</v>
      </c>
      <c r="T737" s="1">
        <v>6</v>
      </c>
      <c r="U737" s="1">
        <f t="shared" si="144"/>
        <v>13</v>
      </c>
      <c r="V737" s="12">
        <f t="shared" si="141"/>
        <v>0.65</v>
      </c>
      <c r="Z737" s="1">
        <f t="shared" si="145"/>
        <v>0</v>
      </c>
      <c r="AB737" s="2" t="s">
        <v>1620</v>
      </c>
    </row>
    <row r="738" spans="1:28" x14ac:dyDescent="0.25">
      <c r="A738" s="1" t="s">
        <v>1670</v>
      </c>
      <c r="B738" s="1" t="s">
        <v>576</v>
      </c>
      <c r="C738" s="1" t="s">
        <v>861</v>
      </c>
      <c r="D738" s="1">
        <v>11</v>
      </c>
      <c r="E738" s="1">
        <v>3</v>
      </c>
      <c r="F738" s="1">
        <v>4</v>
      </c>
      <c r="G738" s="1">
        <v>7</v>
      </c>
      <c r="H738" s="1">
        <v>4</v>
      </c>
      <c r="I738" s="1">
        <v>5</v>
      </c>
      <c r="J738" s="1">
        <v>4</v>
      </c>
      <c r="K738" s="1">
        <f t="shared" si="142"/>
        <v>20</v>
      </c>
      <c r="L738" s="12">
        <f t="shared" si="139"/>
        <v>0.5</v>
      </c>
      <c r="M738" s="1">
        <v>4</v>
      </c>
      <c r="N738" s="1">
        <v>5</v>
      </c>
      <c r="O738" s="1">
        <v>6</v>
      </c>
      <c r="P738" s="1">
        <v>6</v>
      </c>
      <c r="Q738" s="1">
        <f t="shared" si="143"/>
        <v>21</v>
      </c>
      <c r="R738" s="12">
        <f t="shared" si="140"/>
        <v>0.52500000000000002</v>
      </c>
      <c r="S738" s="1">
        <v>5</v>
      </c>
      <c r="T738" s="1">
        <v>4</v>
      </c>
      <c r="U738" s="1">
        <f t="shared" si="144"/>
        <v>9</v>
      </c>
      <c r="V738" s="12">
        <f t="shared" si="141"/>
        <v>0.45</v>
      </c>
      <c r="Z738" s="1">
        <f t="shared" si="145"/>
        <v>0</v>
      </c>
      <c r="AB738" s="2" t="s">
        <v>1621</v>
      </c>
    </row>
    <row r="739" spans="1:28" x14ac:dyDescent="0.25">
      <c r="A739" s="1" t="s">
        <v>1670</v>
      </c>
      <c r="B739" s="1" t="s">
        <v>576</v>
      </c>
      <c r="C739" s="1" t="s">
        <v>861</v>
      </c>
      <c r="D739" s="1">
        <v>11</v>
      </c>
      <c r="E739" s="1">
        <v>3</v>
      </c>
      <c r="F739" s="1">
        <v>4</v>
      </c>
      <c r="G739" s="1">
        <v>6</v>
      </c>
      <c r="H739" s="1">
        <v>4</v>
      </c>
      <c r="I739" s="1">
        <v>5</v>
      </c>
      <c r="J739" s="1">
        <v>4</v>
      </c>
      <c r="K739" s="1">
        <f t="shared" si="142"/>
        <v>19</v>
      </c>
      <c r="L739" s="12">
        <f t="shared" si="139"/>
        <v>0.47499999999999998</v>
      </c>
      <c r="M739" s="1">
        <v>4</v>
      </c>
      <c r="N739" s="1">
        <v>6</v>
      </c>
      <c r="O739" s="1">
        <v>6</v>
      </c>
      <c r="P739" s="1">
        <v>5</v>
      </c>
      <c r="Q739" s="1">
        <f t="shared" si="143"/>
        <v>21</v>
      </c>
      <c r="R739" s="12">
        <f t="shared" si="140"/>
        <v>0.52500000000000002</v>
      </c>
      <c r="S739" s="1">
        <v>6</v>
      </c>
      <c r="T739" s="1">
        <v>6</v>
      </c>
      <c r="U739" s="1">
        <f t="shared" si="144"/>
        <v>12</v>
      </c>
      <c r="V739" s="12">
        <f t="shared" si="141"/>
        <v>0.6</v>
      </c>
      <c r="Z739" s="1">
        <f t="shared" si="145"/>
        <v>0</v>
      </c>
      <c r="AB739" s="2" t="s">
        <v>1622</v>
      </c>
    </row>
    <row r="740" spans="1:28" x14ac:dyDescent="0.25">
      <c r="A740" s="1" t="s">
        <v>1670</v>
      </c>
      <c r="B740" s="1" t="s">
        <v>576</v>
      </c>
      <c r="C740" s="1" t="s">
        <v>861</v>
      </c>
      <c r="D740" s="1">
        <v>11</v>
      </c>
      <c r="E740" s="1">
        <v>3</v>
      </c>
      <c r="F740" s="1">
        <v>4</v>
      </c>
      <c r="G740" s="1">
        <v>6</v>
      </c>
      <c r="H740" s="1">
        <v>5</v>
      </c>
      <c r="I740" s="1">
        <v>6</v>
      </c>
      <c r="J740" s="1">
        <v>5</v>
      </c>
      <c r="K740" s="1">
        <f t="shared" si="142"/>
        <v>22</v>
      </c>
      <c r="L740" s="12">
        <f t="shared" si="139"/>
        <v>0.55000000000000004</v>
      </c>
      <c r="M740" s="1">
        <v>6</v>
      </c>
      <c r="N740" s="1">
        <v>6</v>
      </c>
      <c r="O740" s="1">
        <v>7</v>
      </c>
      <c r="P740" s="1">
        <v>7</v>
      </c>
      <c r="Q740" s="1">
        <f t="shared" si="143"/>
        <v>26</v>
      </c>
      <c r="R740" s="12">
        <f t="shared" si="140"/>
        <v>0.65</v>
      </c>
      <c r="S740" s="1">
        <v>5</v>
      </c>
      <c r="T740" s="1">
        <v>4</v>
      </c>
      <c r="U740" s="1">
        <f t="shared" si="144"/>
        <v>9</v>
      </c>
      <c r="V740" s="12">
        <f t="shared" si="141"/>
        <v>0.45</v>
      </c>
      <c r="Z740" s="1">
        <f t="shared" si="145"/>
        <v>0</v>
      </c>
      <c r="AB740" s="2" t="s">
        <v>1623</v>
      </c>
    </row>
    <row r="741" spans="1:28" x14ac:dyDescent="0.25">
      <c r="A741" s="1" t="s">
        <v>1670</v>
      </c>
      <c r="B741" s="1" t="s">
        <v>576</v>
      </c>
      <c r="C741" s="1" t="s">
        <v>861</v>
      </c>
      <c r="D741" s="1">
        <v>11</v>
      </c>
      <c r="E741" s="1">
        <v>3</v>
      </c>
      <c r="F741" s="1">
        <v>5</v>
      </c>
      <c r="G741" s="1">
        <v>6</v>
      </c>
      <c r="H741" s="1">
        <v>7</v>
      </c>
      <c r="I741" s="1">
        <v>6</v>
      </c>
      <c r="J741" s="1">
        <v>7</v>
      </c>
      <c r="K741" s="1">
        <f t="shared" si="142"/>
        <v>26</v>
      </c>
      <c r="L741" s="12">
        <f t="shared" si="139"/>
        <v>0.65</v>
      </c>
      <c r="M741" s="1">
        <v>8</v>
      </c>
      <c r="N741" s="1">
        <v>8</v>
      </c>
      <c r="O741" s="1">
        <v>7</v>
      </c>
      <c r="P741" s="1">
        <v>6</v>
      </c>
      <c r="Q741" s="1">
        <f t="shared" si="143"/>
        <v>29</v>
      </c>
      <c r="R741" s="12">
        <f t="shared" si="140"/>
        <v>0.72499999999999998</v>
      </c>
      <c r="S741" s="1">
        <v>7</v>
      </c>
      <c r="T741" s="1">
        <v>8</v>
      </c>
      <c r="U741" s="1">
        <f t="shared" si="144"/>
        <v>15</v>
      </c>
      <c r="V741" s="12">
        <f t="shared" si="141"/>
        <v>0.75</v>
      </c>
      <c r="Z741" s="1">
        <f t="shared" si="145"/>
        <v>0</v>
      </c>
      <c r="AB741" s="2" t="s">
        <v>1631</v>
      </c>
    </row>
    <row r="742" spans="1:28" x14ac:dyDescent="0.25">
      <c r="A742" s="1" t="s">
        <v>1670</v>
      </c>
      <c r="B742" s="1" t="s">
        <v>576</v>
      </c>
      <c r="C742" s="1" t="s">
        <v>861</v>
      </c>
      <c r="D742" s="1">
        <v>11</v>
      </c>
      <c r="E742" s="1">
        <v>3</v>
      </c>
      <c r="F742" s="1">
        <v>5</v>
      </c>
      <c r="G742" s="1">
        <v>7</v>
      </c>
      <c r="H742" s="1">
        <v>7</v>
      </c>
      <c r="I742" s="1">
        <v>6</v>
      </c>
      <c r="J742" s="1">
        <v>6</v>
      </c>
      <c r="K742" s="1">
        <f t="shared" si="142"/>
        <v>26</v>
      </c>
      <c r="L742" s="12">
        <f t="shared" si="139"/>
        <v>0.65</v>
      </c>
      <c r="M742" s="1">
        <v>7</v>
      </c>
      <c r="N742" s="1">
        <v>5</v>
      </c>
      <c r="O742" s="1">
        <v>5</v>
      </c>
      <c r="P742" s="1">
        <v>5</v>
      </c>
      <c r="Q742" s="1">
        <f t="shared" si="143"/>
        <v>22</v>
      </c>
      <c r="R742" s="12">
        <f t="shared" si="140"/>
        <v>0.55000000000000004</v>
      </c>
      <c r="S742" s="1">
        <v>5</v>
      </c>
      <c r="T742" s="1">
        <v>8</v>
      </c>
      <c r="U742" s="1">
        <f t="shared" si="144"/>
        <v>13</v>
      </c>
      <c r="V742" s="12">
        <f t="shared" si="141"/>
        <v>0.65</v>
      </c>
      <c r="Z742" s="1">
        <f t="shared" si="145"/>
        <v>0</v>
      </c>
      <c r="AB742" s="2" t="s">
        <v>1632</v>
      </c>
    </row>
    <row r="743" spans="1:28" x14ac:dyDescent="0.25">
      <c r="A743" s="1" t="s">
        <v>1670</v>
      </c>
      <c r="B743" s="1" t="s">
        <v>576</v>
      </c>
      <c r="C743" s="1" t="s">
        <v>861</v>
      </c>
      <c r="D743" s="1">
        <v>11</v>
      </c>
      <c r="E743" s="1">
        <v>3</v>
      </c>
      <c r="F743" s="1">
        <v>5</v>
      </c>
      <c r="G743" s="1">
        <v>8</v>
      </c>
      <c r="H743" s="1">
        <v>8</v>
      </c>
      <c r="I743" s="1">
        <v>8</v>
      </c>
      <c r="J743" s="1">
        <v>8</v>
      </c>
      <c r="K743" s="1">
        <f t="shared" si="142"/>
        <v>32</v>
      </c>
      <c r="L743" s="12">
        <f t="shared" si="139"/>
        <v>0.8</v>
      </c>
      <c r="M743" s="1">
        <v>7</v>
      </c>
      <c r="N743" s="1">
        <v>7</v>
      </c>
      <c r="O743" s="1">
        <v>7</v>
      </c>
      <c r="P743" s="1">
        <v>6</v>
      </c>
      <c r="Q743" s="1">
        <f t="shared" si="143"/>
        <v>27</v>
      </c>
      <c r="R743" s="12">
        <f t="shared" si="140"/>
        <v>0.67500000000000004</v>
      </c>
      <c r="S743" s="1">
        <v>8</v>
      </c>
      <c r="T743" s="1">
        <v>8</v>
      </c>
      <c r="U743" s="1">
        <f t="shared" si="144"/>
        <v>16</v>
      </c>
      <c r="V743" s="12">
        <f t="shared" si="141"/>
        <v>0.8</v>
      </c>
      <c r="Z743" s="1">
        <f t="shared" si="145"/>
        <v>0</v>
      </c>
      <c r="AB743" s="2" t="s">
        <v>1633</v>
      </c>
    </row>
    <row r="744" spans="1:28" x14ac:dyDescent="0.25">
      <c r="A744" s="1" t="s">
        <v>1670</v>
      </c>
      <c r="B744" s="1" t="s">
        <v>576</v>
      </c>
      <c r="C744" s="1" t="s">
        <v>861</v>
      </c>
      <c r="D744" s="1">
        <v>11</v>
      </c>
      <c r="E744" s="1">
        <v>3</v>
      </c>
      <c r="F744" s="1">
        <v>5</v>
      </c>
      <c r="G744" s="1">
        <v>9</v>
      </c>
      <c r="H744" s="1">
        <v>9</v>
      </c>
      <c r="I744" s="1">
        <v>8</v>
      </c>
      <c r="J744" s="1">
        <v>9</v>
      </c>
      <c r="K744" s="1">
        <f t="shared" si="142"/>
        <v>35</v>
      </c>
      <c r="L744" s="12">
        <f t="shared" si="139"/>
        <v>0.875</v>
      </c>
      <c r="M744" s="1">
        <v>8</v>
      </c>
      <c r="N744" s="1">
        <v>6</v>
      </c>
      <c r="O744" s="1">
        <v>7</v>
      </c>
      <c r="P744" s="1">
        <v>7</v>
      </c>
      <c r="Q744" s="1">
        <f t="shared" si="143"/>
        <v>28</v>
      </c>
      <c r="R744" s="12">
        <f t="shared" si="140"/>
        <v>0.7</v>
      </c>
      <c r="S744" s="1">
        <v>7</v>
      </c>
      <c r="T744" s="1">
        <v>7</v>
      </c>
      <c r="U744" s="1">
        <f t="shared" si="144"/>
        <v>14</v>
      </c>
      <c r="V744" s="12">
        <f t="shared" si="141"/>
        <v>0.7</v>
      </c>
      <c r="Z744" s="1">
        <f t="shared" si="145"/>
        <v>0</v>
      </c>
      <c r="AB744" s="2" t="s">
        <v>1634</v>
      </c>
    </row>
    <row r="745" spans="1:28" x14ac:dyDescent="0.25">
      <c r="A745" s="1" t="s">
        <v>1670</v>
      </c>
      <c r="B745" s="1" t="s">
        <v>576</v>
      </c>
      <c r="C745" s="1" t="s">
        <v>861</v>
      </c>
      <c r="D745" s="1">
        <v>11</v>
      </c>
      <c r="E745" s="1">
        <v>3</v>
      </c>
      <c r="F745" s="1">
        <v>5</v>
      </c>
      <c r="G745" s="1">
        <v>8</v>
      </c>
      <c r="H745" s="1">
        <v>8</v>
      </c>
      <c r="I745" s="1">
        <v>7</v>
      </c>
      <c r="J745" s="1">
        <v>8</v>
      </c>
      <c r="K745" s="1">
        <f t="shared" si="142"/>
        <v>31</v>
      </c>
      <c r="L745" s="12">
        <f t="shared" si="139"/>
        <v>0.77500000000000002</v>
      </c>
      <c r="M745" s="1">
        <v>7</v>
      </c>
      <c r="N745" s="1">
        <v>8</v>
      </c>
      <c r="O745" s="1">
        <v>7</v>
      </c>
      <c r="P745" s="1">
        <v>8</v>
      </c>
      <c r="Q745" s="1">
        <f t="shared" si="143"/>
        <v>30</v>
      </c>
      <c r="R745" s="12">
        <f t="shared" si="140"/>
        <v>0.75</v>
      </c>
      <c r="S745" s="1">
        <v>8</v>
      </c>
      <c r="T745" s="1">
        <v>7</v>
      </c>
      <c r="U745" s="1">
        <f t="shared" si="144"/>
        <v>15</v>
      </c>
      <c r="V745" s="12">
        <f t="shared" si="141"/>
        <v>0.75</v>
      </c>
      <c r="Z745" s="1">
        <f t="shared" si="145"/>
        <v>0</v>
      </c>
      <c r="AB745" s="2" t="s">
        <v>1635</v>
      </c>
    </row>
    <row r="746" spans="1:28" x14ac:dyDescent="0.25">
      <c r="A746" s="1" t="s">
        <v>1670</v>
      </c>
      <c r="B746" s="1" t="s">
        <v>576</v>
      </c>
      <c r="C746" s="1" t="s">
        <v>861</v>
      </c>
      <c r="D746" s="1">
        <v>11</v>
      </c>
      <c r="E746" s="1">
        <v>3</v>
      </c>
      <c r="F746" s="1">
        <v>5</v>
      </c>
      <c r="G746" s="1">
        <v>8</v>
      </c>
      <c r="H746" s="1">
        <v>8</v>
      </c>
      <c r="I746" s="1">
        <v>8</v>
      </c>
      <c r="J746" s="1">
        <v>8</v>
      </c>
      <c r="K746" s="1">
        <f t="shared" si="142"/>
        <v>32</v>
      </c>
      <c r="L746" s="12">
        <f t="shared" si="139"/>
        <v>0.8</v>
      </c>
      <c r="M746" s="1">
        <v>9</v>
      </c>
      <c r="N746" s="1">
        <v>7</v>
      </c>
      <c r="O746" s="1">
        <v>8</v>
      </c>
      <c r="P746" s="1">
        <v>7</v>
      </c>
      <c r="Q746" s="1">
        <f t="shared" si="143"/>
        <v>31</v>
      </c>
      <c r="R746" s="12">
        <f t="shared" si="140"/>
        <v>0.77500000000000002</v>
      </c>
      <c r="S746" s="1">
        <v>8</v>
      </c>
      <c r="T746" s="1">
        <v>7</v>
      </c>
      <c r="U746" s="1">
        <f t="shared" si="144"/>
        <v>15</v>
      </c>
      <c r="V746" s="12">
        <f t="shared" si="141"/>
        <v>0.75</v>
      </c>
      <c r="Z746" s="1">
        <f t="shared" si="145"/>
        <v>0</v>
      </c>
      <c r="AB746" s="2" t="s">
        <v>1636</v>
      </c>
    </row>
    <row r="747" spans="1:28" x14ac:dyDescent="0.25">
      <c r="A747" s="1" t="s">
        <v>1670</v>
      </c>
      <c r="B747" s="1" t="s">
        <v>576</v>
      </c>
      <c r="C747" s="1" t="s">
        <v>861</v>
      </c>
      <c r="D747" s="1">
        <v>11</v>
      </c>
      <c r="E747" s="1">
        <v>3</v>
      </c>
      <c r="F747" s="1">
        <v>5</v>
      </c>
      <c r="G747" s="1">
        <v>9</v>
      </c>
      <c r="H747" s="1">
        <v>8</v>
      </c>
      <c r="I747" s="1">
        <v>9</v>
      </c>
      <c r="J747" s="1">
        <v>8</v>
      </c>
      <c r="K747" s="1">
        <f t="shared" si="142"/>
        <v>34</v>
      </c>
      <c r="L747" s="12">
        <f t="shared" si="139"/>
        <v>0.85</v>
      </c>
      <c r="M747" s="1">
        <v>6</v>
      </c>
      <c r="N747" s="1">
        <v>7</v>
      </c>
      <c r="O747" s="1">
        <v>7</v>
      </c>
      <c r="P747" s="1">
        <v>8</v>
      </c>
      <c r="Q747" s="1">
        <f t="shared" si="143"/>
        <v>28</v>
      </c>
      <c r="R747" s="12">
        <f t="shared" si="140"/>
        <v>0.7</v>
      </c>
      <c r="S747" s="1">
        <v>8</v>
      </c>
      <c r="T747" s="1">
        <v>8</v>
      </c>
      <c r="U747" s="1">
        <f t="shared" si="144"/>
        <v>16</v>
      </c>
      <c r="V747" s="12">
        <f t="shared" si="141"/>
        <v>0.8</v>
      </c>
      <c r="Z747" s="1">
        <f t="shared" si="145"/>
        <v>0</v>
      </c>
      <c r="AB747" s="2" t="s">
        <v>1637</v>
      </c>
    </row>
    <row r="748" spans="1:28" x14ac:dyDescent="0.25">
      <c r="A748" s="1" t="s">
        <v>1671</v>
      </c>
      <c r="B748" s="1" t="s">
        <v>35</v>
      </c>
      <c r="C748" s="1" t="s">
        <v>36</v>
      </c>
      <c r="D748" s="1">
        <v>20</v>
      </c>
      <c r="E748" s="1">
        <v>2</v>
      </c>
      <c r="F748" s="1">
        <v>3</v>
      </c>
      <c r="G748" s="1">
        <v>8</v>
      </c>
      <c r="H748" s="1">
        <v>7</v>
      </c>
      <c r="I748" s="1">
        <v>7</v>
      </c>
      <c r="J748" s="1">
        <v>5</v>
      </c>
      <c r="K748" s="1">
        <f t="shared" si="142"/>
        <v>27</v>
      </c>
      <c r="L748" s="12">
        <f t="shared" ref="L748:L773" si="146">K748/35</f>
        <v>0.77142857142857146</v>
      </c>
      <c r="M748" s="1">
        <v>8</v>
      </c>
      <c r="N748" s="1">
        <v>7</v>
      </c>
      <c r="O748" s="1">
        <v>6</v>
      </c>
      <c r="P748" s="1">
        <v>5</v>
      </c>
      <c r="Q748" s="1">
        <f t="shared" si="143"/>
        <v>26</v>
      </c>
      <c r="R748" s="12">
        <f t="shared" ref="R748:R773" si="147">Q748/35</f>
        <v>0.74285714285714288</v>
      </c>
      <c r="S748" s="1">
        <v>5</v>
      </c>
      <c r="T748" s="1">
        <v>5</v>
      </c>
      <c r="U748" s="1">
        <f t="shared" si="144"/>
        <v>10</v>
      </c>
      <c r="V748" s="12">
        <f t="shared" ref="V748:V773" si="148">U748/15</f>
        <v>0.66666666666666663</v>
      </c>
      <c r="W748" s="1">
        <v>3</v>
      </c>
      <c r="X748" s="1">
        <v>3</v>
      </c>
      <c r="Y748" s="1">
        <v>3</v>
      </c>
      <c r="Z748" s="1">
        <f t="shared" si="145"/>
        <v>9</v>
      </c>
      <c r="AA748" s="12">
        <f t="shared" ref="AA748:AA773" si="149">Z748/15</f>
        <v>0.6</v>
      </c>
      <c r="AB748" s="2" t="s">
        <v>300</v>
      </c>
    </row>
    <row r="749" spans="1:28" x14ac:dyDescent="0.25">
      <c r="A749" s="1" t="s">
        <v>1671</v>
      </c>
      <c r="B749" s="1" t="s">
        <v>35</v>
      </c>
      <c r="C749" s="1" t="s">
        <v>36</v>
      </c>
      <c r="D749" s="1">
        <v>20</v>
      </c>
      <c r="E749" s="1">
        <v>2</v>
      </c>
      <c r="F749" s="1">
        <v>3</v>
      </c>
      <c r="G749" s="1">
        <v>6</v>
      </c>
      <c r="H749" s="1">
        <v>8</v>
      </c>
      <c r="I749" s="1">
        <v>8</v>
      </c>
      <c r="J749" s="1">
        <v>4</v>
      </c>
      <c r="K749" s="1">
        <f t="shared" si="142"/>
        <v>26</v>
      </c>
      <c r="L749" s="12">
        <f t="shared" si="146"/>
        <v>0.74285714285714288</v>
      </c>
      <c r="M749" s="1">
        <v>7</v>
      </c>
      <c r="N749" s="1">
        <v>6</v>
      </c>
      <c r="O749" s="1">
        <v>5</v>
      </c>
      <c r="P749" s="1">
        <v>4</v>
      </c>
      <c r="Q749" s="1">
        <f t="shared" si="143"/>
        <v>22</v>
      </c>
      <c r="R749" s="12">
        <f t="shared" si="147"/>
        <v>0.62857142857142856</v>
      </c>
      <c r="S749" s="1">
        <v>6</v>
      </c>
      <c r="T749" s="1">
        <v>4</v>
      </c>
      <c r="U749" s="1">
        <f t="shared" si="144"/>
        <v>10</v>
      </c>
      <c r="V749" s="12">
        <f t="shared" si="148"/>
        <v>0.66666666666666663</v>
      </c>
      <c r="W749" s="1">
        <v>3</v>
      </c>
      <c r="X749" s="1">
        <v>4</v>
      </c>
      <c r="Y749" s="1">
        <v>3</v>
      </c>
      <c r="Z749" s="1">
        <f t="shared" si="145"/>
        <v>10</v>
      </c>
      <c r="AA749" s="12">
        <f t="shared" si="149"/>
        <v>0.66666666666666663</v>
      </c>
      <c r="AB749" s="2" t="s">
        <v>301</v>
      </c>
    </row>
    <row r="750" spans="1:28" x14ac:dyDescent="0.25">
      <c r="A750" s="1" t="s">
        <v>1671</v>
      </c>
      <c r="B750" s="1" t="s">
        <v>35</v>
      </c>
      <c r="C750" s="1" t="s">
        <v>36</v>
      </c>
      <c r="D750" s="1">
        <v>20</v>
      </c>
      <c r="E750" s="1">
        <v>2</v>
      </c>
      <c r="F750" s="1">
        <v>3</v>
      </c>
      <c r="G750" s="1">
        <v>5</v>
      </c>
      <c r="H750" s="1">
        <v>5</v>
      </c>
      <c r="I750" s="1">
        <v>6</v>
      </c>
      <c r="J750" s="1">
        <v>3</v>
      </c>
      <c r="K750" s="1">
        <f t="shared" si="142"/>
        <v>19</v>
      </c>
      <c r="L750" s="12">
        <f t="shared" si="146"/>
        <v>0.54285714285714282</v>
      </c>
      <c r="M750" s="1">
        <v>7</v>
      </c>
      <c r="N750" s="1">
        <v>6</v>
      </c>
      <c r="O750" s="1">
        <v>6</v>
      </c>
      <c r="P750" s="1">
        <v>3</v>
      </c>
      <c r="Q750" s="1">
        <f t="shared" si="143"/>
        <v>22</v>
      </c>
      <c r="R750" s="12">
        <f t="shared" si="147"/>
        <v>0.62857142857142856</v>
      </c>
      <c r="S750" s="1">
        <v>6</v>
      </c>
      <c r="T750" s="1">
        <v>4</v>
      </c>
      <c r="U750" s="1">
        <f t="shared" si="144"/>
        <v>10</v>
      </c>
      <c r="V750" s="12">
        <f t="shared" si="148"/>
        <v>0.66666666666666663</v>
      </c>
      <c r="W750" s="1">
        <v>3</v>
      </c>
      <c r="X750" s="1">
        <v>3</v>
      </c>
      <c r="Y750" s="1">
        <v>2</v>
      </c>
      <c r="Z750" s="1">
        <f t="shared" si="145"/>
        <v>8</v>
      </c>
      <c r="AA750" s="12">
        <f t="shared" si="149"/>
        <v>0.53333333333333333</v>
      </c>
      <c r="AB750" s="2" t="s">
        <v>302</v>
      </c>
    </row>
    <row r="751" spans="1:28" x14ac:dyDescent="0.25">
      <c r="A751" s="1" t="s">
        <v>1671</v>
      </c>
      <c r="B751" s="1" t="s">
        <v>35</v>
      </c>
      <c r="C751" s="1" t="s">
        <v>36</v>
      </c>
      <c r="D751" s="1">
        <v>20</v>
      </c>
      <c r="E751" s="1">
        <v>2</v>
      </c>
      <c r="F751" s="1">
        <v>3</v>
      </c>
      <c r="G751" s="1">
        <v>6</v>
      </c>
      <c r="H751" s="1">
        <v>4</v>
      </c>
      <c r="I751" s="1">
        <v>4</v>
      </c>
      <c r="J751" s="1">
        <v>3</v>
      </c>
      <c r="K751" s="1">
        <f t="shared" si="142"/>
        <v>17</v>
      </c>
      <c r="L751" s="12">
        <f t="shared" si="146"/>
        <v>0.48571428571428571</v>
      </c>
      <c r="M751" s="1">
        <v>6</v>
      </c>
      <c r="N751" s="1">
        <v>7</v>
      </c>
      <c r="O751" s="1">
        <v>5</v>
      </c>
      <c r="P751" s="1">
        <v>4</v>
      </c>
      <c r="Q751" s="1">
        <f t="shared" si="143"/>
        <v>22</v>
      </c>
      <c r="R751" s="12">
        <f t="shared" si="147"/>
        <v>0.62857142857142856</v>
      </c>
      <c r="S751" s="1">
        <v>7</v>
      </c>
      <c r="T751" s="1">
        <v>4</v>
      </c>
      <c r="U751" s="1">
        <f t="shared" si="144"/>
        <v>11</v>
      </c>
      <c r="V751" s="12">
        <f t="shared" si="148"/>
        <v>0.73333333333333328</v>
      </c>
      <c r="W751" s="1">
        <v>3</v>
      </c>
      <c r="X751" s="1">
        <v>3</v>
      </c>
      <c r="Y751" s="1">
        <v>3</v>
      </c>
      <c r="Z751" s="1">
        <f t="shared" si="145"/>
        <v>9</v>
      </c>
      <c r="AA751" s="12">
        <f t="shared" si="149"/>
        <v>0.6</v>
      </c>
      <c r="AB751" s="2" t="s">
        <v>303</v>
      </c>
    </row>
    <row r="752" spans="1:28" x14ac:dyDescent="0.25">
      <c r="A752" s="1" t="s">
        <v>1671</v>
      </c>
      <c r="B752" s="1" t="s">
        <v>35</v>
      </c>
      <c r="C752" s="1" t="s">
        <v>36</v>
      </c>
      <c r="D752" s="1">
        <v>20</v>
      </c>
      <c r="E752" s="1">
        <v>2</v>
      </c>
      <c r="F752" s="1">
        <v>3</v>
      </c>
      <c r="G752" s="1">
        <v>7</v>
      </c>
      <c r="H752" s="1">
        <v>5</v>
      </c>
      <c r="I752" s="1">
        <v>6</v>
      </c>
      <c r="J752" s="1">
        <v>4</v>
      </c>
      <c r="K752" s="1">
        <f t="shared" si="142"/>
        <v>22</v>
      </c>
      <c r="L752" s="12">
        <f t="shared" si="146"/>
        <v>0.62857142857142856</v>
      </c>
      <c r="M752" s="1">
        <v>7</v>
      </c>
      <c r="N752" s="1">
        <v>6</v>
      </c>
      <c r="O752" s="1">
        <v>5</v>
      </c>
      <c r="P752" s="1">
        <v>3</v>
      </c>
      <c r="Q752" s="1">
        <f t="shared" si="143"/>
        <v>21</v>
      </c>
      <c r="R752" s="12">
        <f t="shared" si="147"/>
        <v>0.6</v>
      </c>
      <c r="S752" s="1">
        <v>6</v>
      </c>
      <c r="T752" s="1">
        <v>3</v>
      </c>
      <c r="U752" s="1">
        <f t="shared" si="144"/>
        <v>9</v>
      </c>
      <c r="V752" s="12">
        <f t="shared" si="148"/>
        <v>0.6</v>
      </c>
      <c r="W752" s="1">
        <v>5</v>
      </c>
      <c r="X752" s="1">
        <v>4</v>
      </c>
      <c r="Y752" s="1">
        <v>4</v>
      </c>
      <c r="Z752" s="1">
        <f t="shared" si="145"/>
        <v>13</v>
      </c>
      <c r="AA752" s="12">
        <f t="shared" si="149"/>
        <v>0.8666666666666667</v>
      </c>
      <c r="AB752" s="2" t="s">
        <v>304</v>
      </c>
    </row>
    <row r="753" spans="1:28" x14ac:dyDescent="0.25">
      <c r="A753" s="1" t="s">
        <v>1671</v>
      </c>
      <c r="B753" s="1" t="s">
        <v>35</v>
      </c>
      <c r="C753" s="1" t="s">
        <v>36</v>
      </c>
      <c r="D753" s="1">
        <v>20</v>
      </c>
      <c r="E753" s="1">
        <v>2</v>
      </c>
      <c r="F753" s="1">
        <v>3</v>
      </c>
      <c r="G753" s="1">
        <v>8</v>
      </c>
      <c r="H753" s="1">
        <v>7</v>
      </c>
      <c r="I753" s="1">
        <v>8</v>
      </c>
      <c r="J753" s="1">
        <v>5</v>
      </c>
      <c r="K753" s="1">
        <f t="shared" si="142"/>
        <v>28</v>
      </c>
      <c r="L753" s="12">
        <f t="shared" si="146"/>
        <v>0.8</v>
      </c>
      <c r="M753" s="1">
        <v>7</v>
      </c>
      <c r="N753" s="1">
        <v>5</v>
      </c>
      <c r="O753" s="1">
        <v>6</v>
      </c>
      <c r="P753" s="1">
        <v>4</v>
      </c>
      <c r="Q753" s="1">
        <f t="shared" si="143"/>
        <v>22</v>
      </c>
      <c r="R753" s="12">
        <f t="shared" si="147"/>
        <v>0.62857142857142856</v>
      </c>
      <c r="S753" s="1">
        <v>5</v>
      </c>
      <c r="T753" s="1">
        <v>3</v>
      </c>
      <c r="U753" s="1">
        <f t="shared" si="144"/>
        <v>8</v>
      </c>
      <c r="V753" s="12">
        <f t="shared" si="148"/>
        <v>0.53333333333333333</v>
      </c>
      <c r="W753" s="1">
        <v>3</v>
      </c>
      <c r="X753" s="1">
        <v>3</v>
      </c>
      <c r="Y753" s="1">
        <v>3</v>
      </c>
      <c r="Z753" s="1">
        <f t="shared" si="145"/>
        <v>9</v>
      </c>
      <c r="AA753" s="12">
        <f t="shared" si="149"/>
        <v>0.6</v>
      </c>
      <c r="AB753" s="2" t="s">
        <v>305</v>
      </c>
    </row>
    <row r="754" spans="1:28" x14ac:dyDescent="0.25">
      <c r="A754" s="1" t="s">
        <v>1671</v>
      </c>
      <c r="B754" s="1" t="s">
        <v>35</v>
      </c>
      <c r="C754" s="1" t="s">
        <v>36</v>
      </c>
      <c r="D754" s="1">
        <v>20</v>
      </c>
      <c r="E754" s="1">
        <v>2</v>
      </c>
      <c r="F754" s="1">
        <v>3</v>
      </c>
      <c r="G754" s="1">
        <v>7</v>
      </c>
      <c r="H754" s="1">
        <v>8</v>
      </c>
      <c r="I754" s="1">
        <v>8</v>
      </c>
      <c r="J754" s="1">
        <v>4</v>
      </c>
      <c r="K754" s="1">
        <f t="shared" si="142"/>
        <v>27</v>
      </c>
      <c r="L754" s="12">
        <f t="shared" si="146"/>
        <v>0.77142857142857146</v>
      </c>
      <c r="M754" s="1">
        <v>7</v>
      </c>
      <c r="N754" s="1">
        <v>7</v>
      </c>
      <c r="O754" s="1">
        <v>8</v>
      </c>
      <c r="P754" s="1">
        <v>4</v>
      </c>
      <c r="Q754" s="1">
        <f t="shared" si="143"/>
        <v>26</v>
      </c>
      <c r="R754" s="12">
        <f t="shared" si="147"/>
        <v>0.74285714285714288</v>
      </c>
      <c r="S754" s="1">
        <v>7</v>
      </c>
      <c r="T754" s="1">
        <v>3</v>
      </c>
      <c r="U754" s="1">
        <f t="shared" si="144"/>
        <v>10</v>
      </c>
      <c r="V754" s="12">
        <f t="shared" si="148"/>
        <v>0.66666666666666663</v>
      </c>
      <c r="W754" s="1">
        <v>4</v>
      </c>
      <c r="X754" s="1">
        <v>3</v>
      </c>
      <c r="Y754" s="1">
        <v>3</v>
      </c>
      <c r="Z754" s="1">
        <f t="shared" si="145"/>
        <v>10</v>
      </c>
      <c r="AA754" s="12">
        <f t="shared" si="149"/>
        <v>0.66666666666666663</v>
      </c>
      <c r="AB754" s="2" t="s">
        <v>306</v>
      </c>
    </row>
    <row r="755" spans="1:28" x14ac:dyDescent="0.25">
      <c r="A755" s="1" t="s">
        <v>1671</v>
      </c>
      <c r="B755" s="1" t="s">
        <v>35</v>
      </c>
      <c r="C755" s="1" t="s">
        <v>36</v>
      </c>
      <c r="D755" s="1">
        <v>20</v>
      </c>
      <c r="E755" s="1">
        <v>2</v>
      </c>
      <c r="F755" s="1">
        <v>3</v>
      </c>
      <c r="G755" s="1">
        <v>8</v>
      </c>
      <c r="H755" s="1">
        <v>7</v>
      </c>
      <c r="I755" s="1">
        <v>8</v>
      </c>
      <c r="J755" s="1">
        <v>4</v>
      </c>
      <c r="K755" s="1">
        <f t="shared" si="142"/>
        <v>27</v>
      </c>
      <c r="L755" s="12">
        <f t="shared" si="146"/>
        <v>0.77142857142857146</v>
      </c>
      <c r="M755" s="1">
        <v>8</v>
      </c>
      <c r="N755" s="1">
        <v>7</v>
      </c>
      <c r="O755" s="1">
        <v>7</v>
      </c>
      <c r="P755" s="1">
        <v>4</v>
      </c>
      <c r="Q755" s="1">
        <f t="shared" si="143"/>
        <v>26</v>
      </c>
      <c r="R755" s="12">
        <f t="shared" si="147"/>
        <v>0.74285714285714288</v>
      </c>
      <c r="S755" s="1">
        <v>7</v>
      </c>
      <c r="T755" s="1">
        <v>4</v>
      </c>
      <c r="U755" s="1">
        <f t="shared" si="144"/>
        <v>11</v>
      </c>
      <c r="V755" s="12">
        <f t="shared" si="148"/>
        <v>0.73333333333333328</v>
      </c>
      <c r="W755" s="1">
        <v>4</v>
      </c>
      <c r="X755" s="1">
        <v>4</v>
      </c>
      <c r="Y755" s="1">
        <v>3</v>
      </c>
      <c r="Z755" s="1">
        <f t="shared" si="145"/>
        <v>11</v>
      </c>
      <c r="AA755" s="12">
        <f t="shared" si="149"/>
        <v>0.73333333333333328</v>
      </c>
      <c r="AB755" s="2" t="s">
        <v>307</v>
      </c>
    </row>
    <row r="756" spans="1:28" x14ac:dyDescent="0.25">
      <c r="A756" s="1" t="s">
        <v>1671</v>
      </c>
      <c r="B756" s="1" t="s">
        <v>576</v>
      </c>
      <c r="C756" s="1" t="s">
        <v>36</v>
      </c>
      <c r="D756" s="1">
        <v>26</v>
      </c>
      <c r="E756" s="1">
        <v>1</v>
      </c>
      <c r="F756" s="1">
        <v>1</v>
      </c>
      <c r="G756" s="1">
        <v>8</v>
      </c>
      <c r="H756" s="1">
        <v>7</v>
      </c>
      <c r="I756" s="1">
        <v>8</v>
      </c>
      <c r="J756" s="1">
        <v>4</v>
      </c>
      <c r="K756" s="1">
        <f t="shared" si="142"/>
        <v>27</v>
      </c>
      <c r="L756" s="12">
        <f t="shared" si="146"/>
        <v>0.77142857142857146</v>
      </c>
      <c r="M756" s="1">
        <v>7</v>
      </c>
      <c r="N756" s="1">
        <v>7</v>
      </c>
      <c r="O756" s="1">
        <v>8</v>
      </c>
      <c r="P756" s="1">
        <v>5</v>
      </c>
      <c r="Q756" s="1">
        <f t="shared" si="143"/>
        <v>27</v>
      </c>
      <c r="R756" s="12">
        <f t="shared" si="147"/>
        <v>0.77142857142857146</v>
      </c>
      <c r="S756" s="1">
        <v>8</v>
      </c>
      <c r="T756" s="1">
        <v>5</v>
      </c>
      <c r="U756" s="1">
        <f t="shared" si="144"/>
        <v>13</v>
      </c>
      <c r="V756" s="12">
        <f t="shared" si="148"/>
        <v>0.8666666666666667</v>
      </c>
      <c r="W756" s="1">
        <v>5</v>
      </c>
      <c r="X756" s="1">
        <v>5</v>
      </c>
      <c r="Y756" s="1">
        <v>5</v>
      </c>
      <c r="Z756" s="1">
        <f t="shared" si="145"/>
        <v>15</v>
      </c>
      <c r="AA756" s="12">
        <f t="shared" si="149"/>
        <v>1</v>
      </c>
      <c r="AB756" s="2" t="s">
        <v>590</v>
      </c>
    </row>
    <row r="757" spans="1:28" x14ac:dyDescent="0.25">
      <c r="A757" s="1" t="s">
        <v>1671</v>
      </c>
      <c r="B757" s="1" t="s">
        <v>576</v>
      </c>
      <c r="C757" s="1" t="s">
        <v>36</v>
      </c>
      <c r="D757" s="1">
        <v>26</v>
      </c>
      <c r="E757" s="1">
        <v>1</v>
      </c>
      <c r="F757" s="1">
        <v>1</v>
      </c>
      <c r="G757" s="1">
        <v>6</v>
      </c>
      <c r="H757" s="1">
        <v>5</v>
      </c>
      <c r="I757" s="1">
        <v>6</v>
      </c>
      <c r="J757" s="1">
        <v>3</v>
      </c>
      <c r="K757" s="1">
        <f t="shared" si="142"/>
        <v>20</v>
      </c>
      <c r="L757" s="12">
        <f t="shared" si="146"/>
        <v>0.5714285714285714</v>
      </c>
      <c r="M757" s="1">
        <v>7</v>
      </c>
      <c r="N757" s="1">
        <v>6</v>
      </c>
      <c r="O757" s="1">
        <v>6</v>
      </c>
      <c r="P757" s="1">
        <v>3</v>
      </c>
      <c r="Q757" s="1">
        <f t="shared" si="143"/>
        <v>22</v>
      </c>
      <c r="R757" s="12">
        <f t="shared" si="147"/>
        <v>0.62857142857142856</v>
      </c>
      <c r="S757" s="1">
        <v>6</v>
      </c>
      <c r="T757" s="1">
        <v>4</v>
      </c>
      <c r="U757" s="1">
        <f t="shared" si="144"/>
        <v>10</v>
      </c>
      <c r="V757" s="12">
        <f t="shared" si="148"/>
        <v>0.66666666666666663</v>
      </c>
      <c r="W757" s="1">
        <v>5</v>
      </c>
      <c r="X757" s="1">
        <v>4</v>
      </c>
      <c r="Y757" s="1">
        <v>4</v>
      </c>
      <c r="Z757" s="1">
        <f t="shared" si="145"/>
        <v>13</v>
      </c>
      <c r="AA757" s="12">
        <f t="shared" si="149"/>
        <v>0.8666666666666667</v>
      </c>
      <c r="AB757" s="2" t="s">
        <v>591</v>
      </c>
    </row>
    <row r="758" spans="1:28" x14ac:dyDescent="0.25">
      <c r="A758" s="1" t="s">
        <v>1671</v>
      </c>
      <c r="B758" s="1" t="s">
        <v>576</v>
      </c>
      <c r="C758" s="1" t="s">
        <v>36</v>
      </c>
      <c r="D758" s="1">
        <v>26</v>
      </c>
      <c r="E758" s="1">
        <v>1</v>
      </c>
      <c r="F758" s="1">
        <v>1</v>
      </c>
      <c r="G758" s="1">
        <v>8</v>
      </c>
      <c r="H758" s="1">
        <v>7</v>
      </c>
      <c r="I758" s="1">
        <v>8</v>
      </c>
      <c r="J758" s="1">
        <v>5</v>
      </c>
      <c r="K758" s="1">
        <f t="shared" si="142"/>
        <v>28</v>
      </c>
      <c r="L758" s="12">
        <f t="shared" si="146"/>
        <v>0.8</v>
      </c>
      <c r="M758" s="1">
        <v>7</v>
      </c>
      <c r="N758" s="1">
        <v>8</v>
      </c>
      <c r="O758" s="1">
        <v>8</v>
      </c>
      <c r="P758" s="1">
        <v>5</v>
      </c>
      <c r="Q758" s="1">
        <f t="shared" si="143"/>
        <v>28</v>
      </c>
      <c r="R758" s="12">
        <f t="shared" si="147"/>
        <v>0.8</v>
      </c>
      <c r="S758" s="1">
        <v>8</v>
      </c>
      <c r="T758" s="1">
        <v>5</v>
      </c>
      <c r="U758" s="1">
        <f t="shared" si="144"/>
        <v>13</v>
      </c>
      <c r="V758" s="12">
        <f t="shared" si="148"/>
        <v>0.8666666666666667</v>
      </c>
      <c r="W758" s="1">
        <v>5</v>
      </c>
      <c r="X758" s="1">
        <v>5</v>
      </c>
      <c r="Y758" s="1">
        <v>5</v>
      </c>
      <c r="Z758" s="1">
        <f t="shared" si="145"/>
        <v>15</v>
      </c>
      <c r="AA758" s="12">
        <f t="shared" si="149"/>
        <v>1</v>
      </c>
      <c r="AB758" s="2" t="s">
        <v>592</v>
      </c>
    </row>
    <row r="759" spans="1:28" x14ac:dyDescent="0.25">
      <c r="A759" s="1" t="s">
        <v>1671</v>
      </c>
      <c r="B759" s="1" t="s">
        <v>576</v>
      </c>
      <c r="C759" s="1" t="s">
        <v>36</v>
      </c>
      <c r="D759" s="1">
        <v>26</v>
      </c>
      <c r="E759" s="1">
        <v>1</v>
      </c>
      <c r="F759" s="1">
        <v>1</v>
      </c>
      <c r="G759" s="1">
        <v>8</v>
      </c>
      <c r="H759" s="1">
        <v>6</v>
      </c>
      <c r="I759" s="1">
        <v>7</v>
      </c>
      <c r="J759" s="1">
        <v>4</v>
      </c>
      <c r="K759" s="1">
        <f t="shared" si="142"/>
        <v>25</v>
      </c>
      <c r="L759" s="12">
        <f t="shared" si="146"/>
        <v>0.7142857142857143</v>
      </c>
      <c r="M759" s="1">
        <v>7</v>
      </c>
      <c r="N759" s="1">
        <v>8</v>
      </c>
      <c r="O759" s="1">
        <v>9</v>
      </c>
      <c r="P759" s="1">
        <v>5</v>
      </c>
      <c r="Q759" s="1">
        <f t="shared" si="143"/>
        <v>29</v>
      </c>
      <c r="R759" s="12">
        <f t="shared" si="147"/>
        <v>0.82857142857142863</v>
      </c>
      <c r="S759" s="1">
        <v>8</v>
      </c>
      <c r="T759" s="1">
        <v>5</v>
      </c>
      <c r="U759" s="1">
        <f t="shared" si="144"/>
        <v>13</v>
      </c>
      <c r="V759" s="12">
        <f t="shared" si="148"/>
        <v>0.8666666666666667</v>
      </c>
      <c r="W759" s="1">
        <v>5</v>
      </c>
      <c r="X759" s="1">
        <v>5</v>
      </c>
      <c r="Y759" s="1">
        <v>5</v>
      </c>
      <c r="Z759" s="1">
        <f t="shared" si="145"/>
        <v>15</v>
      </c>
      <c r="AA759" s="12">
        <f t="shared" si="149"/>
        <v>1</v>
      </c>
      <c r="AB759" s="2" t="s">
        <v>593</v>
      </c>
    </row>
    <row r="760" spans="1:28" x14ac:dyDescent="0.25">
      <c r="A760" s="1" t="s">
        <v>1671</v>
      </c>
      <c r="B760" s="1" t="s">
        <v>576</v>
      </c>
      <c r="C760" s="1" t="s">
        <v>36</v>
      </c>
      <c r="D760" s="1">
        <v>26</v>
      </c>
      <c r="E760" s="1">
        <v>1</v>
      </c>
      <c r="F760" s="1">
        <v>1</v>
      </c>
      <c r="G760" s="1">
        <v>6</v>
      </c>
      <c r="H760" s="1">
        <v>6</v>
      </c>
      <c r="I760" s="1">
        <v>6</v>
      </c>
      <c r="J760" s="1">
        <v>4</v>
      </c>
      <c r="K760" s="1">
        <f t="shared" si="142"/>
        <v>22</v>
      </c>
      <c r="L760" s="12">
        <f t="shared" si="146"/>
        <v>0.62857142857142856</v>
      </c>
      <c r="M760" s="1">
        <v>7</v>
      </c>
      <c r="N760" s="1">
        <v>7</v>
      </c>
      <c r="O760" s="1">
        <v>7</v>
      </c>
      <c r="P760" s="1">
        <v>5</v>
      </c>
      <c r="Q760" s="1">
        <f t="shared" si="143"/>
        <v>26</v>
      </c>
      <c r="R760" s="12">
        <f t="shared" si="147"/>
        <v>0.74285714285714288</v>
      </c>
      <c r="S760" s="1">
        <v>8</v>
      </c>
      <c r="T760" s="1">
        <v>5</v>
      </c>
      <c r="U760" s="1">
        <f t="shared" si="144"/>
        <v>13</v>
      </c>
      <c r="V760" s="12">
        <f t="shared" si="148"/>
        <v>0.8666666666666667</v>
      </c>
      <c r="W760" s="1">
        <v>5</v>
      </c>
      <c r="X760" s="1">
        <v>4</v>
      </c>
      <c r="Y760" s="1">
        <v>5</v>
      </c>
      <c r="Z760" s="1">
        <f t="shared" si="145"/>
        <v>14</v>
      </c>
      <c r="AA760" s="12">
        <f t="shared" si="149"/>
        <v>0.93333333333333335</v>
      </c>
      <c r="AB760" s="2" t="s">
        <v>594</v>
      </c>
    </row>
    <row r="761" spans="1:28" x14ac:dyDescent="0.25">
      <c r="A761" s="1" t="s">
        <v>1671</v>
      </c>
      <c r="B761" s="1" t="s">
        <v>576</v>
      </c>
      <c r="C761" s="1" t="s">
        <v>36</v>
      </c>
      <c r="D761" s="1">
        <v>26</v>
      </c>
      <c r="E761" s="1">
        <v>1</v>
      </c>
      <c r="F761" s="1">
        <v>1</v>
      </c>
      <c r="G761" s="1">
        <v>9</v>
      </c>
      <c r="H761" s="1">
        <v>8</v>
      </c>
      <c r="I761" s="1">
        <v>8</v>
      </c>
      <c r="J761" s="1">
        <v>5</v>
      </c>
      <c r="K761" s="1">
        <f t="shared" si="142"/>
        <v>30</v>
      </c>
      <c r="L761" s="12">
        <f t="shared" si="146"/>
        <v>0.8571428571428571</v>
      </c>
      <c r="M761" s="1">
        <v>6</v>
      </c>
      <c r="N761" s="1">
        <v>6</v>
      </c>
      <c r="O761" s="1">
        <v>7</v>
      </c>
      <c r="P761" s="1">
        <v>4</v>
      </c>
      <c r="Q761" s="1">
        <f t="shared" si="143"/>
        <v>23</v>
      </c>
      <c r="R761" s="12">
        <f t="shared" si="147"/>
        <v>0.65714285714285714</v>
      </c>
      <c r="S761" s="1">
        <v>6</v>
      </c>
      <c r="T761" s="1">
        <v>5</v>
      </c>
      <c r="U761" s="1">
        <f t="shared" si="144"/>
        <v>11</v>
      </c>
      <c r="V761" s="12">
        <f t="shared" si="148"/>
        <v>0.73333333333333328</v>
      </c>
      <c r="W761" s="1">
        <v>5</v>
      </c>
      <c r="X761" s="1">
        <v>4</v>
      </c>
      <c r="Y761" s="1">
        <v>5</v>
      </c>
      <c r="Z761" s="1">
        <f t="shared" si="145"/>
        <v>14</v>
      </c>
      <c r="AA761" s="12">
        <f t="shared" si="149"/>
        <v>0.93333333333333335</v>
      </c>
      <c r="AB761" s="2" t="s">
        <v>595</v>
      </c>
    </row>
    <row r="762" spans="1:28" x14ac:dyDescent="0.25">
      <c r="A762" s="1" t="s">
        <v>1671</v>
      </c>
      <c r="B762" s="1" t="s">
        <v>576</v>
      </c>
      <c r="C762" s="1" t="s">
        <v>36</v>
      </c>
      <c r="D762" s="1">
        <v>27</v>
      </c>
      <c r="E762" s="1">
        <v>2</v>
      </c>
      <c r="F762" s="1">
        <v>5</v>
      </c>
      <c r="G762" s="1">
        <v>6</v>
      </c>
      <c r="H762" s="1">
        <v>4</v>
      </c>
      <c r="I762" s="1">
        <v>5</v>
      </c>
      <c r="J762" s="1">
        <v>4</v>
      </c>
      <c r="K762" s="1">
        <f t="shared" si="142"/>
        <v>19</v>
      </c>
      <c r="L762" s="12">
        <f t="shared" si="146"/>
        <v>0.54285714285714282</v>
      </c>
      <c r="M762" s="1">
        <v>6</v>
      </c>
      <c r="N762" s="1">
        <v>5</v>
      </c>
      <c r="O762" s="1">
        <v>5</v>
      </c>
      <c r="P762" s="1">
        <v>4</v>
      </c>
      <c r="Q762" s="1">
        <f t="shared" si="143"/>
        <v>20</v>
      </c>
      <c r="R762" s="12">
        <f t="shared" si="147"/>
        <v>0.5714285714285714</v>
      </c>
      <c r="S762" s="1">
        <v>5</v>
      </c>
      <c r="T762" s="1">
        <v>4</v>
      </c>
      <c r="U762" s="1">
        <f t="shared" si="144"/>
        <v>9</v>
      </c>
      <c r="V762" s="12">
        <f t="shared" si="148"/>
        <v>0.6</v>
      </c>
      <c r="W762" s="1">
        <v>5</v>
      </c>
      <c r="X762" s="1">
        <v>4</v>
      </c>
      <c r="Y762" s="1">
        <v>4</v>
      </c>
      <c r="Z762" s="1">
        <f t="shared" si="145"/>
        <v>13</v>
      </c>
      <c r="AA762" s="12">
        <f t="shared" si="149"/>
        <v>0.8666666666666667</v>
      </c>
      <c r="AB762" s="2" t="s">
        <v>742</v>
      </c>
    </row>
    <row r="763" spans="1:28" x14ac:dyDescent="0.25">
      <c r="A763" s="1" t="s">
        <v>1671</v>
      </c>
      <c r="B763" s="1" t="s">
        <v>576</v>
      </c>
      <c r="C763" s="1" t="s">
        <v>36</v>
      </c>
      <c r="D763" s="1">
        <v>27</v>
      </c>
      <c r="E763" s="1">
        <v>2</v>
      </c>
      <c r="F763" s="1">
        <v>5</v>
      </c>
      <c r="G763" s="1">
        <v>7</v>
      </c>
      <c r="H763" s="1">
        <v>6</v>
      </c>
      <c r="I763" s="1">
        <v>7</v>
      </c>
      <c r="J763" s="1">
        <v>4</v>
      </c>
      <c r="K763" s="1">
        <f t="shared" si="142"/>
        <v>24</v>
      </c>
      <c r="L763" s="12">
        <f t="shared" si="146"/>
        <v>0.68571428571428572</v>
      </c>
      <c r="M763" s="1">
        <v>7</v>
      </c>
      <c r="N763" s="1">
        <v>6</v>
      </c>
      <c r="O763" s="1">
        <v>7</v>
      </c>
      <c r="P763" s="1">
        <v>5</v>
      </c>
      <c r="Q763" s="1">
        <f t="shared" si="143"/>
        <v>25</v>
      </c>
      <c r="R763" s="12">
        <f t="shared" si="147"/>
        <v>0.7142857142857143</v>
      </c>
      <c r="S763" s="1">
        <v>6</v>
      </c>
      <c r="T763" s="1">
        <v>5</v>
      </c>
      <c r="U763" s="1">
        <f t="shared" si="144"/>
        <v>11</v>
      </c>
      <c r="V763" s="12">
        <f t="shared" si="148"/>
        <v>0.73333333333333328</v>
      </c>
      <c r="W763" s="1">
        <v>5</v>
      </c>
      <c r="X763" s="1">
        <v>5</v>
      </c>
      <c r="Y763" s="1">
        <v>5</v>
      </c>
      <c r="Z763" s="1">
        <f t="shared" si="145"/>
        <v>15</v>
      </c>
      <c r="AA763" s="12">
        <f t="shared" si="149"/>
        <v>1</v>
      </c>
      <c r="AB763" s="2" t="s">
        <v>743</v>
      </c>
    </row>
    <row r="764" spans="1:28" x14ac:dyDescent="0.25">
      <c r="A764" s="1" t="s">
        <v>1671</v>
      </c>
      <c r="B764" s="1" t="s">
        <v>576</v>
      </c>
      <c r="C764" s="1" t="s">
        <v>36</v>
      </c>
      <c r="D764" s="1">
        <v>27</v>
      </c>
      <c r="E764" s="1">
        <v>2</v>
      </c>
      <c r="F764" s="1">
        <v>5</v>
      </c>
      <c r="G764" s="1">
        <v>7</v>
      </c>
      <c r="H764" s="1">
        <v>7</v>
      </c>
      <c r="I764" s="1">
        <v>8</v>
      </c>
      <c r="J764" s="1">
        <v>5</v>
      </c>
      <c r="K764" s="1">
        <f t="shared" si="142"/>
        <v>27</v>
      </c>
      <c r="L764" s="12">
        <f t="shared" si="146"/>
        <v>0.77142857142857146</v>
      </c>
      <c r="M764" s="1">
        <v>7</v>
      </c>
      <c r="N764" s="1">
        <v>7</v>
      </c>
      <c r="O764" s="1">
        <v>8</v>
      </c>
      <c r="P764" s="1">
        <v>5</v>
      </c>
      <c r="Q764" s="1">
        <f t="shared" si="143"/>
        <v>27</v>
      </c>
      <c r="R764" s="12">
        <f t="shared" si="147"/>
        <v>0.77142857142857146</v>
      </c>
      <c r="S764" s="1">
        <v>7</v>
      </c>
      <c r="T764" s="1">
        <v>5</v>
      </c>
      <c r="U764" s="1">
        <f t="shared" si="144"/>
        <v>12</v>
      </c>
      <c r="V764" s="12">
        <f t="shared" si="148"/>
        <v>0.8</v>
      </c>
      <c r="W764" s="1">
        <v>5</v>
      </c>
      <c r="X764" s="1">
        <v>5</v>
      </c>
      <c r="Y764" s="1">
        <v>5</v>
      </c>
      <c r="Z764" s="1">
        <f t="shared" si="145"/>
        <v>15</v>
      </c>
      <c r="AA764" s="12">
        <f t="shared" si="149"/>
        <v>1</v>
      </c>
      <c r="AB764" s="2" t="s">
        <v>744</v>
      </c>
    </row>
    <row r="765" spans="1:28" x14ac:dyDescent="0.25">
      <c r="A765" s="1" t="s">
        <v>1671</v>
      </c>
      <c r="B765" s="1" t="s">
        <v>576</v>
      </c>
      <c r="C765" s="1" t="s">
        <v>36</v>
      </c>
      <c r="D765" s="1">
        <v>27</v>
      </c>
      <c r="E765" s="1">
        <v>2</v>
      </c>
      <c r="F765" s="1">
        <v>5</v>
      </c>
      <c r="G765" s="1">
        <v>6</v>
      </c>
      <c r="H765" s="1">
        <v>6</v>
      </c>
      <c r="I765" s="1">
        <v>5</v>
      </c>
      <c r="J765" s="1">
        <v>4</v>
      </c>
      <c r="K765" s="1">
        <f t="shared" si="142"/>
        <v>21</v>
      </c>
      <c r="L765" s="12">
        <f t="shared" si="146"/>
        <v>0.6</v>
      </c>
      <c r="M765" s="1">
        <v>6</v>
      </c>
      <c r="N765" s="1">
        <v>5</v>
      </c>
      <c r="O765" s="1">
        <v>6</v>
      </c>
      <c r="P765" s="1">
        <v>4</v>
      </c>
      <c r="Q765" s="1">
        <f t="shared" si="143"/>
        <v>21</v>
      </c>
      <c r="R765" s="12">
        <f t="shared" si="147"/>
        <v>0.6</v>
      </c>
      <c r="S765" s="1">
        <v>6</v>
      </c>
      <c r="T765" s="1">
        <v>4</v>
      </c>
      <c r="U765" s="1">
        <f t="shared" si="144"/>
        <v>10</v>
      </c>
      <c r="V765" s="12">
        <f t="shared" si="148"/>
        <v>0.66666666666666663</v>
      </c>
      <c r="W765" s="1">
        <v>5</v>
      </c>
      <c r="X765" s="1">
        <v>4</v>
      </c>
      <c r="Y765" s="1">
        <v>4</v>
      </c>
      <c r="Z765" s="1">
        <f t="shared" si="145"/>
        <v>13</v>
      </c>
      <c r="AA765" s="12">
        <f t="shared" si="149"/>
        <v>0.8666666666666667</v>
      </c>
      <c r="AB765" s="2" t="s">
        <v>745</v>
      </c>
    </row>
    <row r="766" spans="1:28" x14ac:dyDescent="0.25">
      <c r="A766" s="1" t="s">
        <v>1671</v>
      </c>
      <c r="B766" s="1" t="s">
        <v>576</v>
      </c>
      <c r="C766" s="1" t="s">
        <v>36</v>
      </c>
      <c r="D766" s="1">
        <v>27</v>
      </c>
      <c r="E766" s="1">
        <v>2</v>
      </c>
      <c r="F766" s="1">
        <v>5</v>
      </c>
      <c r="G766" s="1">
        <v>6</v>
      </c>
      <c r="H766" s="1">
        <v>5</v>
      </c>
      <c r="I766" s="1">
        <v>6</v>
      </c>
      <c r="J766" s="1">
        <v>4</v>
      </c>
      <c r="K766" s="1">
        <f t="shared" si="142"/>
        <v>21</v>
      </c>
      <c r="L766" s="12">
        <f t="shared" si="146"/>
        <v>0.6</v>
      </c>
      <c r="M766" s="1">
        <v>7</v>
      </c>
      <c r="N766" s="1">
        <v>6</v>
      </c>
      <c r="O766" s="1">
        <v>5</v>
      </c>
      <c r="P766" s="1">
        <v>4</v>
      </c>
      <c r="Q766" s="1">
        <f t="shared" si="143"/>
        <v>22</v>
      </c>
      <c r="R766" s="12">
        <f t="shared" si="147"/>
        <v>0.62857142857142856</v>
      </c>
      <c r="S766" s="1">
        <v>6</v>
      </c>
      <c r="T766" s="1">
        <v>3</v>
      </c>
      <c r="U766" s="1">
        <f t="shared" si="144"/>
        <v>9</v>
      </c>
      <c r="V766" s="12">
        <f t="shared" si="148"/>
        <v>0.6</v>
      </c>
      <c r="W766" s="1">
        <v>5</v>
      </c>
      <c r="X766" s="1">
        <v>4</v>
      </c>
      <c r="Y766" s="1">
        <v>4</v>
      </c>
      <c r="Z766" s="1">
        <f t="shared" si="145"/>
        <v>13</v>
      </c>
      <c r="AA766" s="12">
        <f t="shared" si="149"/>
        <v>0.8666666666666667</v>
      </c>
      <c r="AB766" s="2" t="s">
        <v>746</v>
      </c>
    </row>
    <row r="767" spans="1:28" x14ac:dyDescent="0.25">
      <c r="A767" s="1" t="s">
        <v>1671</v>
      </c>
      <c r="B767" s="1" t="s">
        <v>576</v>
      </c>
      <c r="C767" s="1" t="s">
        <v>36</v>
      </c>
      <c r="D767" s="1">
        <v>12</v>
      </c>
      <c r="E767" s="1">
        <v>3</v>
      </c>
      <c r="F767" s="1">
        <v>5</v>
      </c>
      <c r="G767" s="1">
        <v>7</v>
      </c>
      <c r="H767" s="1">
        <v>6</v>
      </c>
      <c r="I767" s="1">
        <v>6</v>
      </c>
      <c r="J767" s="1">
        <v>5</v>
      </c>
      <c r="K767" s="1">
        <f t="shared" si="142"/>
        <v>24</v>
      </c>
      <c r="L767" s="12">
        <f t="shared" si="146"/>
        <v>0.68571428571428572</v>
      </c>
      <c r="M767" s="1">
        <v>6</v>
      </c>
      <c r="N767" s="1">
        <v>7</v>
      </c>
      <c r="O767" s="1">
        <v>6</v>
      </c>
      <c r="P767" s="1">
        <v>4</v>
      </c>
      <c r="Q767" s="1">
        <f t="shared" si="143"/>
        <v>23</v>
      </c>
      <c r="R767" s="12">
        <f t="shared" si="147"/>
        <v>0.65714285714285714</v>
      </c>
      <c r="S767" s="1">
        <v>6</v>
      </c>
      <c r="T767" s="1">
        <v>5</v>
      </c>
      <c r="U767" s="1">
        <f t="shared" si="144"/>
        <v>11</v>
      </c>
      <c r="V767" s="12">
        <f t="shared" si="148"/>
        <v>0.73333333333333328</v>
      </c>
      <c r="W767" s="1">
        <v>5</v>
      </c>
      <c r="X767" s="1">
        <v>4</v>
      </c>
      <c r="Y767" s="1">
        <v>4</v>
      </c>
      <c r="Z767" s="1">
        <f t="shared" si="145"/>
        <v>13</v>
      </c>
      <c r="AA767" s="12">
        <f t="shared" si="149"/>
        <v>0.8666666666666667</v>
      </c>
      <c r="AB767" s="2" t="s">
        <v>846</v>
      </c>
    </row>
    <row r="768" spans="1:28" x14ac:dyDescent="0.25">
      <c r="A768" s="1" t="s">
        <v>1671</v>
      </c>
      <c r="B768" s="1" t="s">
        <v>576</v>
      </c>
      <c r="C768" s="1" t="s">
        <v>36</v>
      </c>
      <c r="D768" s="1">
        <v>12</v>
      </c>
      <c r="E768" s="1">
        <v>3</v>
      </c>
      <c r="F768" s="1">
        <v>5</v>
      </c>
      <c r="G768" s="1">
        <v>7</v>
      </c>
      <c r="H768" s="1">
        <v>6</v>
      </c>
      <c r="I768" s="1">
        <v>6</v>
      </c>
      <c r="J768" s="1">
        <v>5</v>
      </c>
      <c r="K768" s="1">
        <f t="shared" si="142"/>
        <v>24</v>
      </c>
      <c r="L768" s="12">
        <f t="shared" si="146"/>
        <v>0.68571428571428572</v>
      </c>
      <c r="M768" s="1">
        <v>6</v>
      </c>
      <c r="N768" s="1">
        <v>5</v>
      </c>
      <c r="O768" s="1">
        <v>5</v>
      </c>
      <c r="P768" s="1">
        <v>5</v>
      </c>
      <c r="Q768" s="1">
        <f t="shared" si="143"/>
        <v>21</v>
      </c>
      <c r="R768" s="12">
        <f t="shared" si="147"/>
        <v>0.6</v>
      </c>
      <c r="S768" s="1">
        <v>7</v>
      </c>
      <c r="T768" s="1">
        <v>4</v>
      </c>
      <c r="U768" s="1">
        <f t="shared" si="144"/>
        <v>11</v>
      </c>
      <c r="V768" s="12">
        <f t="shared" si="148"/>
        <v>0.73333333333333328</v>
      </c>
      <c r="W768" s="1">
        <v>5</v>
      </c>
      <c r="X768" s="1">
        <v>5</v>
      </c>
      <c r="Y768" s="1">
        <v>4</v>
      </c>
      <c r="Z768" s="1">
        <f t="shared" si="145"/>
        <v>14</v>
      </c>
      <c r="AA768" s="12">
        <f t="shared" si="149"/>
        <v>0.93333333333333335</v>
      </c>
      <c r="AB768" s="2" t="s">
        <v>847</v>
      </c>
    </row>
    <row r="769" spans="1:28" x14ac:dyDescent="0.25">
      <c r="A769" s="1" t="s">
        <v>1671</v>
      </c>
      <c r="B769" s="1" t="s">
        <v>576</v>
      </c>
      <c r="C769" s="1" t="s">
        <v>36</v>
      </c>
      <c r="D769" s="1">
        <v>12</v>
      </c>
      <c r="E769" s="1">
        <v>3</v>
      </c>
      <c r="F769" s="1">
        <v>5</v>
      </c>
      <c r="G769" s="1">
        <v>7</v>
      </c>
      <c r="H769" s="1">
        <v>6</v>
      </c>
      <c r="I769" s="1">
        <v>5</v>
      </c>
      <c r="J769" s="1">
        <v>4</v>
      </c>
      <c r="K769" s="1">
        <f t="shared" si="142"/>
        <v>22</v>
      </c>
      <c r="L769" s="12">
        <f t="shared" si="146"/>
        <v>0.62857142857142856</v>
      </c>
      <c r="M769" s="1">
        <v>6</v>
      </c>
      <c r="N769" s="1">
        <v>6</v>
      </c>
      <c r="O769" s="1">
        <v>5</v>
      </c>
      <c r="P769" s="1">
        <v>4</v>
      </c>
      <c r="Q769" s="1">
        <f t="shared" si="143"/>
        <v>21</v>
      </c>
      <c r="R769" s="12">
        <f t="shared" si="147"/>
        <v>0.6</v>
      </c>
      <c r="S769" s="1">
        <v>5</v>
      </c>
      <c r="T769" s="1">
        <v>4</v>
      </c>
      <c r="U769" s="1">
        <f t="shared" si="144"/>
        <v>9</v>
      </c>
      <c r="V769" s="12">
        <f t="shared" si="148"/>
        <v>0.6</v>
      </c>
      <c r="W769" s="1">
        <v>4</v>
      </c>
      <c r="X769" s="1">
        <v>4</v>
      </c>
      <c r="Y769" s="1">
        <v>4</v>
      </c>
      <c r="Z769" s="1">
        <f t="shared" si="145"/>
        <v>12</v>
      </c>
      <c r="AA769" s="12">
        <f t="shared" si="149"/>
        <v>0.8</v>
      </c>
      <c r="AB769" s="2" t="s">
        <v>848</v>
      </c>
    </row>
    <row r="770" spans="1:28" x14ac:dyDescent="0.25">
      <c r="A770" s="1" t="s">
        <v>1671</v>
      </c>
      <c r="B770" s="1" t="s">
        <v>576</v>
      </c>
      <c r="C770" s="1" t="s">
        <v>36</v>
      </c>
      <c r="D770" s="1">
        <v>12</v>
      </c>
      <c r="E770" s="1">
        <v>3</v>
      </c>
      <c r="F770" s="1">
        <v>5</v>
      </c>
      <c r="G770" s="1">
        <v>7</v>
      </c>
      <c r="H770" s="1">
        <v>7</v>
      </c>
      <c r="I770" s="1">
        <v>6</v>
      </c>
      <c r="J770" s="1">
        <v>4</v>
      </c>
      <c r="K770" s="1">
        <f t="shared" si="142"/>
        <v>24</v>
      </c>
      <c r="L770" s="12">
        <f t="shared" si="146"/>
        <v>0.68571428571428572</v>
      </c>
      <c r="M770" s="1">
        <v>8</v>
      </c>
      <c r="N770" s="1">
        <v>7</v>
      </c>
      <c r="O770" s="1">
        <v>7</v>
      </c>
      <c r="P770" s="1">
        <v>5</v>
      </c>
      <c r="Q770" s="1">
        <f t="shared" si="143"/>
        <v>27</v>
      </c>
      <c r="R770" s="12">
        <f t="shared" si="147"/>
        <v>0.77142857142857146</v>
      </c>
      <c r="S770" s="1">
        <v>7</v>
      </c>
      <c r="T770" s="1">
        <v>4</v>
      </c>
      <c r="U770" s="1">
        <f t="shared" si="144"/>
        <v>11</v>
      </c>
      <c r="V770" s="12">
        <f t="shared" si="148"/>
        <v>0.73333333333333328</v>
      </c>
      <c r="W770" s="1">
        <v>4</v>
      </c>
      <c r="X770" s="1">
        <v>4</v>
      </c>
      <c r="Y770" s="1">
        <v>4</v>
      </c>
      <c r="Z770" s="1">
        <f t="shared" si="145"/>
        <v>12</v>
      </c>
      <c r="AA770" s="12">
        <f t="shared" si="149"/>
        <v>0.8</v>
      </c>
      <c r="AB770" s="2" t="s">
        <v>849</v>
      </c>
    </row>
    <row r="771" spans="1:28" x14ac:dyDescent="0.25">
      <c r="A771" s="1" t="s">
        <v>1671</v>
      </c>
      <c r="B771" s="1" t="s">
        <v>576</v>
      </c>
      <c r="C771" s="1" t="s">
        <v>36</v>
      </c>
      <c r="D771" s="1">
        <v>12</v>
      </c>
      <c r="E771" s="1">
        <v>3</v>
      </c>
      <c r="F771" s="1">
        <v>5</v>
      </c>
      <c r="G771" s="1">
        <v>8</v>
      </c>
      <c r="H771" s="1">
        <v>6</v>
      </c>
      <c r="I771" s="1">
        <v>7</v>
      </c>
      <c r="J771" s="1">
        <v>5</v>
      </c>
      <c r="K771" s="1">
        <f t="shared" ref="K771:K834" si="150">SUM(G771:J771)</f>
        <v>26</v>
      </c>
      <c r="L771" s="12">
        <f t="shared" si="146"/>
        <v>0.74285714285714288</v>
      </c>
      <c r="M771" s="1">
        <v>7</v>
      </c>
      <c r="N771" s="1">
        <v>7</v>
      </c>
      <c r="O771" s="1">
        <v>7</v>
      </c>
      <c r="P771" s="1">
        <v>4</v>
      </c>
      <c r="Q771" s="1">
        <f t="shared" ref="Q771:Q834" si="151">SUM(M771:P771)</f>
        <v>25</v>
      </c>
      <c r="R771" s="12">
        <f t="shared" si="147"/>
        <v>0.7142857142857143</v>
      </c>
      <c r="S771" s="1">
        <v>6</v>
      </c>
      <c r="T771" s="1">
        <v>4</v>
      </c>
      <c r="U771" s="1">
        <f t="shared" ref="U771:U834" si="152">SUM(S771:T771)</f>
        <v>10</v>
      </c>
      <c r="V771" s="12">
        <f t="shared" si="148"/>
        <v>0.66666666666666663</v>
      </c>
      <c r="W771" s="1">
        <v>5</v>
      </c>
      <c r="X771" s="1">
        <v>4</v>
      </c>
      <c r="Y771" s="1">
        <v>5</v>
      </c>
      <c r="Z771" s="1">
        <f t="shared" ref="Z771:Z834" si="153">SUM(W771:Y771)</f>
        <v>14</v>
      </c>
      <c r="AA771" s="12">
        <f t="shared" si="149"/>
        <v>0.93333333333333335</v>
      </c>
      <c r="AB771" s="2" t="s">
        <v>850</v>
      </c>
    </row>
    <row r="772" spans="1:28" x14ac:dyDescent="0.25">
      <c r="A772" s="1" t="s">
        <v>1671</v>
      </c>
      <c r="B772" s="1" t="s">
        <v>576</v>
      </c>
      <c r="C772" s="1" t="s">
        <v>36</v>
      </c>
      <c r="D772" s="1">
        <v>12</v>
      </c>
      <c r="E772" s="1">
        <v>3</v>
      </c>
      <c r="F772" s="1">
        <v>5</v>
      </c>
      <c r="G772" s="1">
        <v>7</v>
      </c>
      <c r="H772" s="1">
        <v>6</v>
      </c>
      <c r="I772" s="1">
        <v>6</v>
      </c>
      <c r="J772" s="1">
        <v>4</v>
      </c>
      <c r="K772" s="1">
        <f t="shared" si="150"/>
        <v>23</v>
      </c>
      <c r="L772" s="12">
        <f t="shared" si="146"/>
        <v>0.65714285714285714</v>
      </c>
      <c r="M772" s="1">
        <v>6</v>
      </c>
      <c r="N772" s="1">
        <v>7</v>
      </c>
      <c r="O772" s="1">
        <v>7</v>
      </c>
      <c r="P772" s="1">
        <v>4</v>
      </c>
      <c r="Q772" s="1">
        <f t="shared" si="151"/>
        <v>24</v>
      </c>
      <c r="R772" s="12">
        <f t="shared" si="147"/>
        <v>0.68571428571428572</v>
      </c>
      <c r="S772" s="1">
        <v>7</v>
      </c>
      <c r="T772" s="1">
        <v>5</v>
      </c>
      <c r="U772" s="1">
        <f t="shared" si="152"/>
        <v>12</v>
      </c>
      <c r="V772" s="12">
        <f t="shared" si="148"/>
        <v>0.8</v>
      </c>
      <c r="W772" s="1">
        <v>4</v>
      </c>
      <c r="X772" s="1">
        <v>4</v>
      </c>
      <c r="Y772" s="1">
        <v>5</v>
      </c>
      <c r="Z772" s="1">
        <f t="shared" si="153"/>
        <v>13</v>
      </c>
      <c r="AA772" s="12">
        <f t="shared" si="149"/>
        <v>0.8666666666666667</v>
      </c>
      <c r="AB772" s="2" t="s">
        <v>851</v>
      </c>
    </row>
    <row r="773" spans="1:28" x14ac:dyDescent="0.25">
      <c r="A773" s="1" t="s">
        <v>1671</v>
      </c>
      <c r="B773" s="1" t="s">
        <v>576</v>
      </c>
      <c r="C773" s="1" t="s">
        <v>36</v>
      </c>
      <c r="D773" s="1">
        <v>12</v>
      </c>
      <c r="E773" s="1">
        <v>3</v>
      </c>
      <c r="F773" s="1">
        <v>5</v>
      </c>
      <c r="G773" s="1">
        <v>7</v>
      </c>
      <c r="H773" s="1">
        <v>7</v>
      </c>
      <c r="I773" s="1">
        <v>8</v>
      </c>
      <c r="J773" s="1">
        <v>5</v>
      </c>
      <c r="K773" s="1">
        <f t="shared" si="150"/>
        <v>27</v>
      </c>
      <c r="L773" s="12">
        <f t="shared" si="146"/>
        <v>0.77142857142857146</v>
      </c>
      <c r="M773" s="1">
        <v>7</v>
      </c>
      <c r="N773" s="1">
        <v>6</v>
      </c>
      <c r="O773" s="1">
        <v>6</v>
      </c>
      <c r="P773" s="1">
        <v>4</v>
      </c>
      <c r="Q773" s="1">
        <f t="shared" si="151"/>
        <v>23</v>
      </c>
      <c r="R773" s="12">
        <f t="shared" si="147"/>
        <v>0.65714285714285714</v>
      </c>
      <c r="S773" s="1">
        <v>7</v>
      </c>
      <c r="T773" s="1">
        <v>3</v>
      </c>
      <c r="U773" s="1">
        <f t="shared" si="152"/>
        <v>10</v>
      </c>
      <c r="V773" s="12">
        <f t="shared" si="148"/>
        <v>0.66666666666666663</v>
      </c>
      <c r="W773" s="1">
        <v>4</v>
      </c>
      <c r="X773" s="1">
        <v>5</v>
      </c>
      <c r="Y773" s="1">
        <v>4</v>
      </c>
      <c r="Z773" s="1">
        <f t="shared" si="153"/>
        <v>13</v>
      </c>
      <c r="AA773" s="12">
        <f t="shared" si="149"/>
        <v>0.8666666666666667</v>
      </c>
      <c r="AB773" s="2" t="s">
        <v>852</v>
      </c>
    </row>
    <row r="774" spans="1:28" x14ac:dyDescent="0.25">
      <c r="A774" s="1" t="s">
        <v>1671</v>
      </c>
      <c r="B774" s="1" t="s">
        <v>35</v>
      </c>
      <c r="C774" s="1" t="s">
        <v>861</v>
      </c>
      <c r="D774" s="1">
        <v>17</v>
      </c>
      <c r="E774" s="1">
        <v>1</v>
      </c>
      <c r="F774" s="1">
        <v>4</v>
      </c>
      <c r="G774" s="1">
        <v>6</v>
      </c>
      <c r="H774" s="1">
        <v>6</v>
      </c>
      <c r="I774" s="1">
        <v>5</v>
      </c>
      <c r="J774" s="1">
        <v>6</v>
      </c>
      <c r="K774" s="1">
        <f t="shared" si="150"/>
        <v>23</v>
      </c>
      <c r="L774" s="12">
        <f t="shared" ref="L774:L795" si="154">K774/40</f>
        <v>0.57499999999999996</v>
      </c>
      <c r="M774" s="1">
        <v>6</v>
      </c>
      <c r="N774" s="1">
        <v>5</v>
      </c>
      <c r="O774" s="1">
        <v>6</v>
      </c>
      <c r="P774" s="1">
        <v>5</v>
      </c>
      <c r="Q774" s="1">
        <f t="shared" si="151"/>
        <v>22</v>
      </c>
      <c r="R774" s="12">
        <f t="shared" ref="R774:R795" si="155">Q774/40</f>
        <v>0.55000000000000004</v>
      </c>
      <c r="S774" s="1">
        <v>6</v>
      </c>
      <c r="T774" s="1">
        <v>6</v>
      </c>
      <c r="U774" s="1">
        <f t="shared" si="152"/>
        <v>12</v>
      </c>
      <c r="V774" s="12">
        <f t="shared" ref="V774:V795" si="156">U774/20</f>
        <v>0.6</v>
      </c>
      <c r="Z774" s="1">
        <f t="shared" si="153"/>
        <v>0</v>
      </c>
      <c r="AB774" s="2" t="s">
        <v>938</v>
      </c>
    </row>
    <row r="775" spans="1:28" x14ac:dyDescent="0.25">
      <c r="A775" s="1" t="s">
        <v>1671</v>
      </c>
      <c r="B775" s="1" t="s">
        <v>35</v>
      </c>
      <c r="C775" s="1" t="s">
        <v>861</v>
      </c>
      <c r="D775" s="1">
        <v>17</v>
      </c>
      <c r="E775" s="1">
        <v>1</v>
      </c>
      <c r="F775" s="1">
        <v>4</v>
      </c>
      <c r="G775" s="1">
        <v>5</v>
      </c>
      <c r="H775" s="1">
        <v>4</v>
      </c>
      <c r="I775" s="1">
        <v>4</v>
      </c>
      <c r="J775" s="1">
        <v>4</v>
      </c>
      <c r="K775" s="1">
        <f t="shared" si="150"/>
        <v>17</v>
      </c>
      <c r="L775" s="12">
        <f t="shared" si="154"/>
        <v>0.42499999999999999</v>
      </c>
      <c r="M775" s="1">
        <v>5</v>
      </c>
      <c r="N775" s="1">
        <v>5</v>
      </c>
      <c r="O775" s="1">
        <v>4</v>
      </c>
      <c r="P775" s="1">
        <v>4</v>
      </c>
      <c r="Q775" s="1">
        <f t="shared" si="151"/>
        <v>18</v>
      </c>
      <c r="R775" s="12">
        <f t="shared" si="155"/>
        <v>0.45</v>
      </c>
      <c r="S775" s="1">
        <v>5</v>
      </c>
      <c r="T775" s="1">
        <v>3</v>
      </c>
      <c r="U775" s="1">
        <f t="shared" si="152"/>
        <v>8</v>
      </c>
      <c r="V775" s="12">
        <f t="shared" si="156"/>
        <v>0.4</v>
      </c>
      <c r="Z775" s="1">
        <f t="shared" si="153"/>
        <v>0</v>
      </c>
      <c r="AB775" s="2" t="s">
        <v>939</v>
      </c>
    </row>
    <row r="776" spans="1:28" x14ac:dyDescent="0.25">
      <c r="A776" s="1" t="s">
        <v>1671</v>
      </c>
      <c r="B776" s="1" t="s">
        <v>35</v>
      </c>
      <c r="C776" s="1" t="s">
        <v>861</v>
      </c>
      <c r="D776" s="1">
        <v>17</v>
      </c>
      <c r="E776" s="1">
        <v>1</v>
      </c>
      <c r="F776" s="1">
        <v>4</v>
      </c>
      <c r="G776" s="1">
        <v>6</v>
      </c>
      <c r="H776" s="1">
        <v>5</v>
      </c>
      <c r="I776" s="1">
        <v>5</v>
      </c>
      <c r="J776" s="1">
        <v>6</v>
      </c>
      <c r="K776" s="1">
        <f t="shared" si="150"/>
        <v>22</v>
      </c>
      <c r="L776" s="12">
        <f t="shared" si="154"/>
        <v>0.55000000000000004</v>
      </c>
      <c r="M776" s="1">
        <v>6</v>
      </c>
      <c r="N776" s="1">
        <v>6</v>
      </c>
      <c r="O776" s="1">
        <v>5</v>
      </c>
      <c r="P776" s="1">
        <v>6</v>
      </c>
      <c r="Q776" s="1">
        <f t="shared" si="151"/>
        <v>23</v>
      </c>
      <c r="R776" s="12">
        <f t="shared" si="155"/>
        <v>0.57499999999999996</v>
      </c>
      <c r="S776" s="1">
        <v>5</v>
      </c>
      <c r="T776" s="1">
        <v>4</v>
      </c>
      <c r="U776" s="1">
        <f t="shared" si="152"/>
        <v>9</v>
      </c>
      <c r="V776" s="12">
        <f t="shared" si="156"/>
        <v>0.45</v>
      </c>
      <c r="Z776" s="1">
        <f t="shared" si="153"/>
        <v>0</v>
      </c>
      <c r="AB776" s="2" t="s">
        <v>940</v>
      </c>
    </row>
    <row r="777" spans="1:28" x14ac:dyDescent="0.25">
      <c r="A777" s="1" t="s">
        <v>1671</v>
      </c>
      <c r="B777" s="1" t="s">
        <v>35</v>
      </c>
      <c r="C777" s="1" t="s">
        <v>861</v>
      </c>
      <c r="D777" s="1">
        <v>17</v>
      </c>
      <c r="E777" s="1">
        <v>1</v>
      </c>
      <c r="F777" s="1">
        <v>4</v>
      </c>
      <c r="G777" s="1">
        <v>6</v>
      </c>
      <c r="H777" s="1">
        <v>4</v>
      </c>
      <c r="I777" s="1">
        <v>4</v>
      </c>
      <c r="J777" s="1">
        <v>5</v>
      </c>
      <c r="K777" s="1">
        <f t="shared" si="150"/>
        <v>19</v>
      </c>
      <c r="L777" s="12">
        <f t="shared" si="154"/>
        <v>0.47499999999999998</v>
      </c>
      <c r="M777" s="1">
        <v>6</v>
      </c>
      <c r="N777" s="1">
        <v>7</v>
      </c>
      <c r="O777" s="1">
        <v>5</v>
      </c>
      <c r="P777" s="1">
        <v>7</v>
      </c>
      <c r="Q777" s="1">
        <f t="shared" si="151"/>
        <v>25</v>
      </c>
      <c r="R777" s="12">
        <f t="shared" si="155"/>
        <v>0.625</v>
      </c>
      <c r="S777" s="1">
        <v>5</v>
      </c>
      <c r="T777" s="1">
        <v>4</v>
      </c>
      <c r="U777" s="1">
        <f t="shared" si="152"/>
        <v>9</v>
      </c>
      <c r="V777" s="12">
        <f t="shared" si="156"/>
        <v>0.45</v>
      </c>
      <c r="Z777" s="1">
        <f t="shared" si="153"/>
        <v>0</v>
      </c>
      <c r="AB777" s="2" t="s">
        <v>941</v>
      </c>
    </row>
    <row r="778" spans="1:28" x14ac:dyDescent="0.25">
      <c r="A778" s="1" t="s">
        <v>1671</v>
      </c>
      <c r="B778" s="1" t="s">
        <v>35</v>
      </c>
      <c r="C778" s="1" t="s">
        <v>861</v>
      </c>
      <c r="D778" s="1">
        <v>17</v>
      </c>
      <c r="E778" s="1">
        <v>1</v>
      </c>
      <c r="F778" s="1">
        <v>4</v>
      </c>
      <c r="G778" s="1">
        <v>7</v>
      </c>
      <c r="H778" s="1">
        <v>6</v>
      </c>
      <c r="I778" s="1">
        <v>6</v>
      </c>
      <c r="J778" s="1">
        <v>6</v>
      </c>
      <c r="K778" s="1">
        <f t="shared" si="150"/>
        <v>25</v>
      </c>
      <c r="L778" s="12">
        <f t="shared" si="154"/>
        <v>0.625</v>
      </c>
      <c r="M778" s="1">
        <v>7</v>
      </c>
      <c r="N778" s="1">
        <v>7</v>
      </c>
      <c r="O778" s="1">
        <v>6</v>
      </c>
      <c r="P778" s="1">
        <v>7</v>
      </c>
      <c r="Q778" s="1">
        <f t="shared" si="151"/>
        <v>27</v>
      </c>
      <c r="R778" s="12">
        <f t="shared" si="155"/>
        <v>0.67500000000000004</v>
      </c>
      <c r="S778" s="1">
        <v>6</v>
      </c>
      <c r="T778" s="1">
        <v>6</v>
      </c>
      <c r="U778" s="1">
        <f t="shared" si="152"/>
        <v>12</v>
      </c>
      <c r="V778" s="12">
        <f t="shared" si="156"/>
        <v>0.6</v>
      </c>
      <c r="Z778" s="1">
        <f t="shared" si="153"/>
        <v>0</v>
      </c>
      <c r="AB778" s="2" t="s">
        <v>942</v>
      </c>
    </row>
    <row r="779" spans="1:28" x14ac:dyDescent="0.25">
      <c r="A779" s="1" t="s">
        <v>1671</v>
      </c>
      <c r="B779" s="1" t="s">
        <v>35</v>
      </c>
      <c r="C779" s="1" t="s">
        <v>861</v>
      </c>
      <c r="D779" s="1">
        <v>17</v>
      </c>
      <c r="E779" s="1">
        <v>1</v>
      </c>
      <c r="F779" s="1">
        <v>4</v>
      </c>
      <c r="G779" s="1">
        <v>7</v>
      </c>
      <c r="H779" s="1">
        <v>6</v>
      </c>
      <c r="I779" s="1">
        <v>6</v>
      </c>
      <c r="J779" s="1">
        <v>5</v>
      </c>
      <c r="K779" s="1">
        <f t="shared" si="150"/>
        <v>24</v>
      </c>
      <c r="L779" s="12">
        <f t="shared" si="154"/>
        <v>0.6</v>
      </c>
      <c r="M779" s="1">
        <v>7</v>
      </c>
      <c r="N779" s="1">
        <v>7</v>
      </c>
      <c r="O779" s="1">
        <v>6</v>
      </c>
      <c r="P779" s="1">
        <v>7</v>
      </c>
      <c r="Q779" s="1">
        <f t="shared" si="151"/>
        <v>27</v>
      </c>
      <c r="R779" s="12">
        <f t="shared" si="155"/>
        <v>0.67500000000000004</v>
      </c>
      <c r="S779" s="1">
        <v>6</v>
      </c>
      <c r="T779" s="1">
        <v>6</v>
      </c>
      <c r="U779" s="1">
        <f t="shared" si="152"/>
        <v>12</v>
      </c>
      <c r="V779" s="12">
        <f t="shared" si="156"/>
        <v>0.6</v>
      </c>
      <c r="Z779" s="1">
        <f t="shared" si="153"/>
        <v>0</v>
      </c>
      <c r="AB779" s="2" t="s">
        <v>943</v>
      </c>
    </row>
    <row r="780" spans="1:28" x14ac:dyDescent="0.25">
      <c r="A780" s="1" t="s">
        <v>1671</v>
      </c>
      <c r="B780" s="1" t="s">
        <v>35</v>
      </c>
      <c r="C780" s="1" t="s">
        <v>861</v>
      </c>
      <c r="D780" s="1">
        <v>17</v>
      </c>
      <c r="E780" s="1">
        <v>1</v>
      </c>
      <c r="F780" s="1">
        <v>4</v>
      </c>
      <c r="G780" s="1">
        <v>7</v>
      </c>
      <c r="H780" s="1">
        <v>5</v>
      </c>
      <c r="I780" s="1">
        <v>5</v>
      </c>
      <c r="J780" s="1">
        <v>4</v>
      </c>
      <c r="K780" s="1">
        <f t="shared" si="150"/>
        <v>21</v>
      </c>
      <c r="L780" s="12">
        <f t="shared" si="154"/>
        <v>0.52500000000000002</v>
      </c>
      <c r="M780" s="1">
        <v>6</v>
      </c>
      <c r="N780" s="1">
        <v>7</v>
      </c>
      <c r="O780" s="1">
        <v>5</v>
      </c>
      <c r="P780" s="1">
        <v>6</v>
      </c>
      <c r="Q780" s="1">
        <f t="shared" si="151"/>
        <v>24</v>
      </c>
      <c r="R780" s="12">
        <f t="shared" si="155"/>
        <v>0.6</v>
      </c>
      <c r="S780" s="1">
        <v>6</v>
      </c>
      <c r="T780" s="1">
        <v>7</v>
      </c>
      <c r="U780" s="1">
        <f t="shared" si="152"/>
        <v>13</v>
      </c>
      <c r="V780" s="12">
        <f t="shared" si="156"/>
        <v>0.65</v>
      </c>
      <c r="Z780" s="1">
        <f t="shared" si="153"/>
        <v>0</v>
      </c>
      <c r="AB780" s="2" t="s">
        <v>944</v>
      </c>
    </row>
    <row r="781" spans="1:28" x14ac:dyDescent="0.25">
      <c r="A781" s="1" t="s">
        <v>1671</v>
      </c>
      <c r="B781" s="1" t="s">
        <v>35</v>
      </c>
      <c r="C781" s="1" t="s">
        <v>861</v>
      </c>
      <c r="D781" s="1">
        <v>17</v>
      </c>
      <c r="E781" s="1">
        <v>1</v>
      </c>
      <c r="F781" s="1">
        <v>4</v>
      </c>
      <c r="G781" s="1">
        <v>6</v>
      </c>
      <c r="H781" s="1">
        <v>5</v>
      </c>
      <c r="I781" s="1">
        <v>5</v>
      </c>
      <c r="J781" s="1">
        <v>5</v>
      </c>
      <c r="K781" s="1">
        <f t="shared" si="150"/>
        <v>21</v>
      </c>
      <c r="L781" s="12">
        <f t="shared" si="154"/>
        <v>0.52500000000000002</v>
      </c>
      <c r="M781" s="1">
        <v>7</v>
      </c>
      <c r="N781" s="1">
        <v>7</v>
      </c>
      <c r="O781" s="1">
        <v>6</v>
      </c>
      <c r="P781" s="1">
        <v>6</v>
      </c>
      <c r="Q781" s="1">
        <f t="shared" si="151"/>
        <v>26</v>
      </c>
      <c r="R781" s="12">
        <f t="shared" si="155"/>
        <v>0.65</v>
      </c>
      <c r="S781" s="1">
        <v>6</v>
      </c>
      <c r="T781" s="1">
        <v>7</v>
      </c>
      <c r="U781" s="1">
        <f t="shared" si="152"/>
        <v>13</v>
      </c>
      <c r="V781" s="12">
        <f t="shared" si="156"/>
        <v>0.65</v>
      </c>
      <c r="Z781" s="1">
        <f t="shared" si="153"/>
        <v>0</v>
      </c>
      <c r="AB781" s="2" t="s">
        <v>945</v>
      </c>
    </row>
    <row r="782" spans="1:28" x14ac:dyDescent="0.25">
      <c r="A782" s="1" t="s">
        <v>1671</v>
      </c>
      <c r="B782" s="1" t="s">
        <v>35</v>
      </c>
      <c r="C782" s="1" t="s">
        <v>861</v>
      </c>
      <c r="D782" s="1">
        <v>18</v>
      </c>
      <c r="E782" s="1">
        <v>2</v>
      </c>
      <c r="F782" s="1">
        <v>6</v>
      </c>
      <c r="G782" s="1">
        <v>6</v>
      </c>
      <c r="H782" s="1">
        <v>5</v>
      </c>
      <c r="I782" s="1">
        <v>5</v>
      </c>
      <c r="J782" s="1">
        <v>6</v>
      </c>
      <c r="K782" s="1">
        <f t="shared" si="150"/>
        <v>22</v>
      </c>
      <c r="L782" s="12">
        <f t="shared" si="154"/>
        <v>0.55000000000000004</v>
      </c>
      <c r="M782" s="1">
        <v>4</v>
      </c>
      <c r="N782" s="1">
        <v>5</v>
      </c>
      <c r="O782" s="1">
        <v>6</v>
      </c>
      <c r="P782" s="1">
        <v>6</v>
      </c>
      <c r="Q782" s="1">
        <f t="shared" si="151"/>
        <v>21</v>
      </c>
      <c r="R782" s="12">
        <f t="shared" si="155"/>
        <v>0.52500000000000002</v>
      </c>
      <c r="S782" s="1">
        <v>6</v>
      </c>
      <c r="T782" s="1">
        <v>7</v>
      </c>
      <c r="U782" s="1">
        <f t="shared" si="152"/>
        <v>13</v>
      </c>
      <c r="V782" s="12">
        <f t="shared" si="156"/>
        <v>0.65</v>
      </c>
      <c r="Z782" s="1">
        <f t="shared" si="153"/>
        <v>0</v>
      </c>
      <c r="AB782" s="2" t="s">
        <v>1156</v>
      </c>
    </row>
    <row r="783" spans="1:28" x14ac:dyDescent="0.25">
      <c r="A783" s="1" t="s">
        <v>1671</v>
      </c>
      <c r="B783" s="1" t="s">
        <v>35</v>
      </c>
      <c r="C783" s="1" t="s">
        <v>861</v>
      </c>
      <c r="D783" s="1">
        <v>18</v>
      </c>
      <c r="E783" s="1">
        <v>2</v>
      </c>
      <c r="F783" s="1">
        <v>6</v>
      </c>
      <c r="G783" s="1">
        <v>7</v>
      </c>
      <c r="H783" s="1">
        <v>6</v>
      </c>
      <c r="I783" s="1">
        <v>6</v>
      </c>
      <c r="J783" s="1">
        <v>7</v>
      </c>
      <c r="K783" s="1">
        <f t="shared" si="150"/>
        <v>26</v>
      </c>
      <c r="L783" s="12">
        <f t="shared" si="154"/>
        <v>0.65</v>
      </c>
      <c r="M783" s="1">
        <v>6</v>
      </c>
      <c r="N783" s="1">
        <v>5</v>
      </c>
      <c r="O783" s="1">
        <v>6</v>
      </c>
      <c r="P783" s="1">
        <v>5</v>
      </c>
      <c r="Q783" s="1">
        <f t="shared" si="151"/>
        <v>22</v>
      </c>
      <c r="R783" s="12">
        <f t="shared" si="155"/>
        <v>0.55000000000000004</v>
      </c>
      <c r="S783" s="1">
        <v>6</v>
      </c>
      <c r="T783" s="1">
        <v>7</v>
      </c>
      <c r="U783" s="1">
        <f t="shared" si="152"/>
        <v>13</v>
      </c>
      <c r="V783" s="12">
        <f t="shared" si="156"/>
        <v>0.65</v>
      </c>
      <c r="Z783" s="1">
        <f t="shared" si="153"/>
        <v>0</v>
      </c>
      <c r="AB783" s="2" t="s">
        <v>1157</v>
      </c>
    </row>
    <row r="784" spans="1:28" x14ac:dyDescent="0.25">
      <c r="A784" s="1" t="s">
        <v>1671</v>
      </c>
      <c r="B784" s="1" t="s">
        <v>35</v>
      </c>
      <c r="C784" s="1" t="s">
        <v>861</v>
      </c>
      <c r="D784" s="1">
        <v>18</v>
      </c>
      <c r="E784" s="1">
        <v>2</v>
      </c>
      <c r="F784" s="1">
        <v>6</v>
      </c>
      <c r="G784" s="1">
        <v>6</v>
      </c>
      <c r="H784" s="1">
        <v>4</v>
      </c>
      <c r="I784" s="1">
        <v>5</v>
      </c>
      <c r="J784" s="1">
        <v>5</v>
      </c>
      <c r="K784" s="1">
        <f t="shared" si="150"/>
        <v>20</v>
      </c>
      <c r="L784" s="12">
        <f t="shared" si="154"/>
        <v>0.5</v>
      </c>
      <c r="M784" s="1">
        <v>4</v>
      </c>
      <c r="N784" s="1">
        <v>4</v>
      </c>
      <c r="O784" s="1">
        <v>5</v>
      </c>
      <c r="P784" s="1">
        <v>4</v>
      </c>
      <c r="Q784" s="1">
        <f t="shared" si="151"/>
        <v>17</v>
      </c>
      <c r="R784" s="12">
        <f t="shared" si="155"/>
        <v>0.42499999999999999</v>
      </c>
      <c r="S784" s="1">
        <v>5</v>
      </c>
      <c r="T784" s="1">
        <v>7</v>
      </c>
      <c r="U784" s="1">
        <f t="shared" si="152"/>
        <v>12</v>
      </c>
      <c r="V784" s="12">
        <f t="shared" si="156"/>
        <v>0.6</v>
      </c>
      <c r="Z784" s="1">
        <f t="shared" si="153"/>
        <v>0</v>
      </c>
      <c r="AB784" s="2" t="s">
        <v>1158</v>
      </c>
    </row>
    <row r="785" spans="1:28" x14ac:dyDescent="0.25">
      <c r="A785" s="1" t="s">
        <v>1671</v>
      </c>
      <c r="B785" s="1" t="s">
        <v>35</v>
      </c>
      <c r="C785" s="1" t="s">
        <v>861</v>
      </c>
      <c r="D785" s="1">
        <v>18</v>
      </c>
      <c r="E785" s="1">
        <v>2</v>
      </c>
      <c r="F785" s="1">
        <v>6</v>
      </c>
      <c r="G785" s="1">
        <v>4</v>
      </c>
      <c r="H785" s="1">
        <v>3</v>
      </c>
      <c r="I785" s="1">
        <v>4</v>
      </c>
      <c r="J785" s="1">
        <v>3</v>
      </c>
      <c r="K785" s="1">
        <f t="shared" si="150"/>
        <v>14</v>
      </c>
      <c r="L785" s="12">
        <f t="shared" si="154"/>
        <v>0.35</v>
      </c>
      <c r="M785" s="1">
        <v>3</v>
      </c>
      <c r="N785" s="1">
        <v>4</v>
      </c>
      <c r="O785" s="1">
        <v>3</v>
      </c>
      <c r="P785" s="1">
        <v>4</v>
      </c>
      <c r="Q785" s="1">
        <f t="shared" si="151"/>
        <v>14</v>
      </c>
      <c r="R785" s="12">
        <f t="shared" si="155"/>
        <v>0.35</v>
      </c>
      <c r="S785" s="1">
        <v>4</v>
      </c>
      <c r="T785" s="1">
        <v>3</v>
      </c>
      <c r="U785" s="1">
        <f t="shared" si="152"/>
        <v>7</v>
      </c>
      <c r="V785" s="12">
        <f t="shared" si="156"/>
        <v>0.35</v>
      </c>
      <c r="Z785" s="1">
        <f t="shared" si="153"/>
        <v>0</v>
      </c>
      <c r="AB785" s="2" t="s">
        <v>1159</v>
      </c>
    </row>
    <row r="786" spans="1:28" x14ac:dyDescent="0.25">
      <c r="A786" s="1" t="s">
        <v>1671</v>
      </c>
      <c r="B786" s="1" t="s">
        <v>35</v>
      </c>
      <c r="C786" s="1" t="s">
        <v>861</v>
      </c>
      <c r="D786" s="1">
        <v>18</v>
      </c>
      <c r="E786" s="1">
        <v>2</v>
      </c>
      <c r="F786" s="1">
        <v>6</v>
      </c>
      <c r="G786" s="1">
        <v>7</v>
      </c>
      <c r="H786" s="1">
        <v>6</v>
      </c>
      <c r="I786" s="1">
        <v>7</v>
      </c>
      <c r="J786" s="1">
        <v>7</v>
      </c>
      <c r="K786" s="1">
        <f t="shared" si="150"/>
        <v>27</v>
      </c>
      <c r="L786" s="12">
        <f t="shared" si="154"/>
        <v>0.67500000000000004</v>
      </c>
      <c r="M786" s="1">
        <v>7</v>
      </c>
      <c r="N786" s="1">
        <v>6</v>
      </c>
      <c r="O786" s="1">
        <v>7</v>
      </c>
      <c r="P786" s="1">
        <v>7</v>
      </c>
      <c r="Q786" s="1">
        <f t="shared" si="151"/>
        <v>27</v>
      </c>
      <c r="R786" s="12">
        <f t="shared" si="155"/>
        <v>0.67500000000000004</v>
      </c>
      <c r="S786" s="1">
        <v>7</v>
      </c>
      <c r="T786" s="1">
        <v>6</v>
      </c>
      <c r="U786" s="1">
        <f t="shared" si="152"/>
        <v>13</v>
      </c>
      <c r="V786" s="12">
        <f t="shared" si="156"/>
        <v>0.65</v>
      </c>
      <c r="Z786" s="1">
        <f t="shared" si="153"/>
        <v>0</v>
      </c>
      <c r="AB786" s="2" t="s">
        <v>1160</v>
      </c>
    </row>
    <row r="787" spans="1:28" x14ac:dyDescent="0.25">
      <c r="A787" s="1" t="s">
        <v>1671</v>
      </c>
      <c r="B787" s="1" t="s">
        <v>35</v>
      </c>
      <c r="C787" s="1" t="s">
        <v>861</v>
      </c>
      <c r="D787" s="1">
        <v>18</v>
      </c>
      <c r="E787" s="1">
        <v>2</v>
      </c>
      <c r="F787" s="1">
        <v>6</v>
      </c>
      <c r="G787" s="1">
        <v>4</v>
      </c>
      <c r="H787" s="1">
        <v>4</v>
      </c>
      <c r="I787" s="1">
        <v>3</v>
      </c>
      <c r="J787" s="1">
        <v>3</v>
      </c>
      <c r="K787" s="1">
        <f t="shared" si="150"/>
        <v>14</v>
      </c>
      <c r="L787" s="12">
        <f t="shared" si="154"/>
        <v>0.35</v>
      </c>
      <c r="M787" s="1">
        <v>5</v>
      </c>
      <c r="N787" s="1">
        <v>5</v>
      </c>
      <c r="O787" s="1">
        <v>3</v>
      </c>
      <c r="P787" s="1">
        <v>4</v>
      </c>
      <c r="Q787" s="1">
        <f t="shared" si="151"/>
        <v>17</v>
      </c>
      <c r="R787" s="12">
        <f t="shared" si="155"/>
        <v>0.42499999999999999</v>
      </c>
      <c r="S787" s="1">
        <v>4</v>
      </c>
      <c r="T787" s="1">
        <v>3</v>
      </c>
      <c r="U787" s="1">
        <f t="shared" si="152"/>
        <v>7</v>
      </c>
      <c r="V787" s="12">
        <f t="shared" si="156"/>
        <v>0.35</v>
      </c>
      <c r="Z787" s="1">
        <f t="shared" si="153"/>
        <v>0</v>
      </c>
      <c r="AB787" s="2" t="s">
        <v>1161</v>
      </c>
    </row>
    <row r="788" spans="1:28" x14ac:dyDescent="0.25">
      <c r="A788" s="1" t="s">
        <v>1671</v>
      </c>
      <c r="B788" s="1" t="s">
        <v>35</v>
      </c>
      <c r="C788" s="1" t="s">
        <v>861</v>
      </c>
      <c r="D788" s="1">
        <v>18</v>
      </c>
      <c r="E788" s="1">
        <v>2</v>
      </c>
      <c r="F788" s="1">
        <v>6</v>
      </c>
      <c r="G788" s="1">
        <v>6</v>
      </c>
      <c r="H788" s="1">
        <v>5</v>
      </c>
      <c r="I788" s="1">
        <v>5</v>
      </c>
      <c r="J788" s="1">
        <v>4</v>
      </c>
      <c r="K788" s="1">
        <f t="shared" si="150"/>
        <v>20</v>
      </c>
      <c r="L788" s="12">
        <f t="shared" si="154"/>
        <v>0.5</v>
      </c>
      <c r="M788" s="1">
        <v>6</v>
      </c>
      <c r="N788" s="1">
        <v>6</v>
      </c>
      <c r="O788" s="1">
        <v>5</v>
      </c>
      <c r="P788" s="1">
        <v>6</v>
      </c>
      <c r="Q788" s="1">
        <f t="shared" si="151"/>
        <v>23</v>
      </c>
      <c r="R788" s="12">
        <f t="shared" si="155"/>
        <v>0.57499999999999996</v>
      </c>
      <c r="S788" s="1">
        <v>6</v>
      </c>
      <c r="T788" s="1">
        <v>5</v>
      </c>
      <c r="U788" s="1">
        <f t="shared" si="152"/>
        <v>11</v>
      </c>
      <c r="V788" s="12">
        <f t="shared" si="156"/>
        <v>0.55000000000000004</v>
      </c>
      <c r="Z788" s="1">
        <f t="shared" si="153"/>
        <v>0</v>
      </c>
      <c r="AB788" s="2" t="s">
        <v>1162</v>
      </c>
    </row>
    <row r="789" spans="1:28" x14ac:dyDescent="0.25">
      <c r="A789" s="1" t="s">
        <v>1671</v>
      </c>
      <c r="B789" s="1" t="s">
        <v>35</v>
      </c>
      <c r="C789" s="1" t="s">
        <v>861</v>
      </c>
      <c r="D789" s="1">
        <v>18</v>
      </c>
      <c r="E789" s="1">
        <v>2</v>
      </c>
      <c r="F789" s="1">
        <v>6</v>
      </c>
      <c r="G789" s="1">
        <v>4</v>
      </c>
      <c r="H789" s="1">
        <v>3</v>
      </c>
      <c r="I789" s="1">
        <v>4</v>
      </c>
      <c r="J789" s="1">
        <v>3</v>
      </c>
      <c r="K789" s="1">
        <f t="shared" si="150"/>
        <v>14</v>
      </c>
      <c r="L789" s="12">
        <f t="shared" si="154"/>
        <v>0.35</v>
      </c>
      <c r="M789" s="1">
        <v>5</v>
      </c>
      <c r="N789" s="1">
        <v>6</v>
      </c>
      <c r="O789" s="1">
        <v>3</v>
      </c>
      <c r="P789" s="1">
        <v>4</v>
      </c>
      <c r="Q789" s="1">
        <f t="shared" si="151"/>
        <v>18</v>
      </c>
      <c r="R789" s="12">
        <f t="shared" si="155"/>
        <v>0.45</v>
      </c>
      <c r="S789" s="1">
        <v>6</v>
      </c>
      <c r="T789" s="1">
        <v>5</v>
      </c>
      <c r="U789" s="1">
        <f t="shared" si="152"/>
        <v>11</v>
      </c>
      <c r="V789" s="12">
        <f t="shared" si="156"/>
        <v>0.55000000000000004</v>
      </c>
      <c r="Z789" s="1">
        <f t="shared" si="153"/>
        <v>0</v>
      </c>
      <c r="AB789" s="2" t="s">
        <v>1163</v>
      </c>
    </row>
    <row r="790" spans="1:28" x14ac:dyDescent="0.25">
      <c r="A790" s="1" t="s">
        <v>1671</v>
      </c>
      <c r="B790" s="1" t="s">
        <v>576</v>
      </c>
      <c r="C790" s="1" t="s">
        <v>861</v>
      </c>
      <c r="D790" s="1">
        <v>24</v>
      </c>
      <c r="E790" s="1">
        <v>1</v>
      </c>
      <c r="F790" s="1">
        <v>5</v>
      </c>
      <c r="G790" s="1">
        <v>6</v>
      </c>
      <c r="H790" s="1">
        <v>5</v>
      </c>
      <c r="I790" s="1">
        <v>4</v>
      </c>
      <c r="J790" s="1">
        <v>4</v>
      </c>
      <c r="K790" s="1">
        <f t="shared" si="150"/>
        <v>19</v>
      </c>
      <c r="L790" s="12">
        <f t="shared" si="154"/>
        <v>0.47499999999999998</v>
      </c>
      <c r="M790" s="1">
        <v>4</v>
      </c>
      <c r="N790" s="1">
        <v>3</v>
      </c>
      <c r="O790" s="1">
        <v>4</v>
      </c>
      <c r="P790" s="1">
        <v>4</v>
      </c>
      <c r="Q790" s="1">
        <f t="shared" si="151"/>
        <v>15</v>
      </c>
      <c r="R790" s="12">
        <f t="shared" si="155"/>
        <v>0.375</v>
      </c>
      <c r="S790" s="1">
        <v>4</v>
      </c>
      <c r="T790" s="1">
        <v>4</v>
      </c>
      <c r="U790" s="1">
        <f t="shared" si="152"/>
        <v>8</v>
      </c>
      <c r="V790" s="12">
        <f t="shared" si="156"/>
        <v>0.4</v>
      </c>
      <c r="Z790" s="1">
        <f t="shared" si="153"/>
        <v>0</v>
      </c>
      <c r="AB790" s="2" t="s">
        <v>1439</v>
      </c>
    </row>
    <row r="791" spans="1:28" x14ac:dyDescent="0.25">
      <c r="A791" s="1" t="s">
        <v>1671</v>
      </c>
      <c r="B791" s="1" t="s">
        <v>576</v>
      </c>
      <c r="C791" s="1" t="s">
        <v>861</v>
      </c>
      <c r="D791" s="1">
        <v>24</v>
      </c>
      <c r="E791" s="1">
        <v>1</v>
      </c>
      <c r="F791" s="1">
        <v>5</v>
      </c>
      <c r="G791" s="1">
        <v>7</v>
      </c>
      <c r="H791" s="1">
        <v>5</v>
      </c>
      <c r="I791" s="1">
        <v>5</v>
      </c>
      <c r="J791" s="1">
        <v>5</v>
      </c>
      <c r="K791" s="1">
        <f t="shared" si="150"/>
        <v>22</v>
      </c>
      <c r="L791" s="12">
        <f t="shared" si="154"/>
        <v>0.55000000000000004</v>
      </c>
      <c r="M791" s="1">
        <v>6</v>
      </c>
      <c r="N791" s="1">
        <v>6</v>
      </c>
      <c r="O791" s="1">
        <v>6</v>
      </c>
      <c r="P791" s="1">
        <v>7</v>
      </c>
      <c r="Q791" s="1">
        <f t="shared" si="151"/>
        <v>25</v>
      </c>
      <c r="R791" s="12">
        <f t="shared" si="155"/>
        <v>0.625</v>
      </c>
      <c r="S791" s="1">
        <v>6</v>
      </c>
      <c r="T791" s="1">
        <v>6</v>
      </c>
      <c r="U791" s="1">
        <f t="shared" si="152"/>
        <v>12</v>
      </c>
      <c r="V791" s="12">
        <f t="shared" si="156"/>
        <v>0.6</v>
      </c>
      <c r="Z791" s="1">
        <f t="shared" si="153"/>
        <v>0</v>
      </c>
      <c r="AB791" s="2" t="s">
        <v>1440</v>
      </c>
    </row>
    <row r="792" spans="1:28" x14ac:dyDescent="0.25">
      <c r="A792" s="1" t="s">
        <v>1671</v>
      </c>
      <c r="B792" s="1" t="s">
        <v>576</v>
      </c>
      <c r="C792" s="1" t="s">
        <v>861</v>
      </c>
      <c r="D792" s="1">
        <v>24</v>
      </c>
      <c r="E792" s="1">
        <v>1</v>
      </c>
      <c r="F792" s="1">
        <v>5</v>
      </c>
      <c r="G792" s="1">
        <v>7</v>
      </c>
      <c r="H792" s="1">
        <v>5</v>
      </c>
      <c r="I792" s="1">
        <v>6</v>
      </c>
      <c r="J792" s="1">
        <v>6</v>
      </c>
      <c r="K792" s="1">
        <f t="shared" si="150"/>
        <v>24</v>
      </c>
      <c r="L792" s="12">
        <f t="shared" si="154"/>
        <v>0.6</v>
      </c>
      <c r="M792" s="1">
        <v>3</v>
      </c>
      <c r="N792" s="1">
        <v>5</v>
      </c>
      <c r="O792" s="1">
        <v>5</v>
      </c>
      <c r="P792" s="1">
        <v>4</v>
      </c>
      <c r="Q792" s="1">
        <f t="shared" si="151"/>
        <v>17</v>
      </c>
      <c r="R792" s="12">
        <f t="shared" si="155"/>
        <v>0.42499999999999999</v>
      </c>
      <c r="S792" s="1">
        <v>5</v>
      </c>
      <c r="T792" s="1">
        <v>4</v>
      </c>
      <c r="U792" s="1">
        <f t="shared" si="152"/>
        <v>9</v>
      </c>
      <c r="V792" s="12">
        <f t="shared" si="156"/>
        <v>0.45</v>
      </c>
      <c r="Z792" s="1">
        <f t="shared" si="153"/>
        <v>0</v>
      </c>
      <c r="AB792" s="2" t="s">
        <v>1441</v>
      </c>
    </row>
    <row r="793" spans="1:28" x14ac:dyDescent="0.25">
      <c r="A793" s="1" t="s">
        <v>1671</v>
      </c>
      <c r="B793" s="1" t="s">
        <v>576</v>
      </c>
      <c r="C793" s="1" t="s">
        <v>861</v>
      </c>
      <c r="D793" s="1">
        <v>24</v>
      </c>
      <c r="E793" s="1">
        <v>1</v>
      </c>
      <c r="F793" s="1">
        <v>5</v>
      </c>
      <c r="G793" s="1">
        <v>6</v>
      </c>
      <c r="H793" s="1">
        <v>5</v>
      </c>
      <c r="I793" s="1">
        <v>5</v>
      </c>
      <c r="J793" s="1">
        <v>5</v>
      </c>
      <c r="K793" s="1">
        <f t="shared" si="150"/>
        <v>21</v>
      </c>
      <c r="L793" s="12">
        <f t="shared" si="154"/>
        <v>0.52500000000000002</v>
      </c>
      <c r="M793" s="1">
        <v>4</v>
      </c>
      <c r="N793" s="1">
        <v>5</v>
      </c>
      <c r="O793" s="1">
        <v>6</v>
      </c>
      <c r="P793" s="1">
        <v>5</v>
      </c>
      <c r="Q793" s="1">
        <f t="shared" si="151"/>
        <v>20</v>
      </c>
      <c r="R793" s="12">
        <f t="shared" si="155"/>
        <v>0.5</v>
      </c>
      <c r="S793" s="1">
        <v>6</v>
      </c>
      <c r="T793" s="1">
        <v>4</v>
      </c>
      <c r="U793" s="1">
        <f t="shared" si="152"/>
        <v>10</v>
      </c>
      <c r="V793" s="12">
        <f t="shared" si="156"/>
        <v>0.5</v>
      </c>
      <c r="Z793" s="1">
        <f t="shared" si="153"/>
        <v>0</v>
      </c>
      <c r="AB793" s="2" t="s">
        <v>1442</v>
      </c>
    </row>
    <row r="794" spans="1:28" x14ac:dyDescent="0.25">
      <c r="A794" s="1" t="s">
        <v>1671</v>
      </c>
      <c r="B794" s="1" t="s">
        <v>576</v>
      </c>
      <c r="C794" s="1" t="s">
        <v>861</v>
      </c>
      <c r="D794" s="1">
        <v>24</v>
      </c>
      <c r="E794" s="1">
        <v>1</v>
      </c>
      <c r="F794" s="1">
        <v>5</v>
      </c>
      <c r="G794" s="1">
        <v>6</v>
      </c>
      <c r="H794" s="1">
        <v>4</v>
      </c>
      <c r="I794" s="1">
        <v>4</v>
      </c>
      <c r="J794" s="1">
        <v>5</v>
      </c>
      <c r="K794" s="1">
        <f t="shared" si="150"/>
        <v>19</v>
      </c>
      <c r="L794" s="12">
        <f t="shared" si="154"/>
        <v>0.47499999999999998</v>
      </c>
      <c r="M794" s="1">
        <v>6</v>
      </c>
      <c r="N794" s="1">
        <v>5</v>
      </c>
      <c r="O794" s="1">
        <v>5</v>
      </c>
      <c r="P794" s="1">
        <v>4</v>
      </c>
      <c r="Q794" s="1">
        <f t="shared" si="151"/>
        <v>20</v>
      </c>
      <c r="R794" s="12">
        <f t="shared" si="155"/>
        <v>0.5</v>
      </c>
      <c r="S794" s="1">
        <v>5</v>
      </c>
      <c r="T794" s="1">
        <v>4</v>
      </c>
      <c r="U794" s="1">
        <f t="shared" si="152"/>
        <v>9</v>
      </c>
      <c r="V794" s="12">
        <f t="shared" si="156"/>
        <v>0.45</v>
      </c>
      <c r="Z794" s="1">
        <f t="shared" si="153"/>
        <v>0</v>
      </c>
      <c r="AB794" s="2" t="s">
        <v>1443</v>
      </c>
    </row>
    <row r="795" spans="1:28" x14ac:dyDescent="0.25">
      <c r="A795" s="1" t="s">
        <v>1671</v>
      </c>
      <c r="B795" s="1" t="s">
        <v>576</v>
      </c>
      <c r="C795" s="1" t="s">
        <v>861</v>
      </c>
      <c r="D795" s="1">
        <v>24</v>
      </c>
      <c r="E795" s="1">
        <v>1</v>
      </c>
      <c r="F795" s="1">
        <v>5</v>
      </c>
      <c r="G795" s="1">
        <v>5</v>
      </c>
      <c r="H795" s="1">
        <v>3</v>
      </c>
      <c r="I795" s="1">
        <v>4</v>
      </c>
      <c r="J795" s="1">
        <v>4</v>
      </c>
      <c r="K795" s="1">
        <f t="shared" si="150"/>
        <v>16</v>
      </c>
      <c r="L795" s="12">
        <f t="shared" si="154"/>
        <v>0.4</v>
      </c>
      <c r="M795" s="1">
        <v>5</v>
      </c>
      <c r="N795" s="1">
        <v>3</v>
      </c>
      <c r="O795" s="1">
        <v>3</v>
      </c>
      <c r="P795" s="1">
        <v>3</v>
      </c>
      <c r="Q795" s="1">
        <f t="shared" si="151"/>
        <v>14</v>
      </c>
      <c r="R795" s="12">
        <f t="shared" si="155"/>
        <v>0.35</v>
      </c>
      <c r="S795" s="1">
        <v>3</v>
      </c>
      <c r="T795" s="1">
        <v>3</v>
      </c>
      <c r="U795" s="1">
        <f t="shared" si="152"/>
        <v>6</v>
      </c>
      <c r="V795" s="12">
        <f t="shared" si="156"/>
        <v>0.3</v>
      </c>
      <c r="Z795" s="1">
        <f t="shared" si="153"/>
        <v>0</v>
      </c>
      <c r="AB795" s="2" t="s">
        <v>1444</v>
      </c>
    </row>
    <row r="796" spans="1:28" x14ac:dyDescent="0.25">
      <c r="A796" s="1" t="s">
        <v>1672</v>
      </c>
      <c r="B796" s="1" t="s">
        <v>35</v>
      </c>
      <c r="C796" s="1" t="s">
        <v>36</v>
      </c>
      <c r="D796" s="1">
        <v>19</v>
      </c>
      <c r="E796" s="1">
        <v>1</v>
      </c>
      <c r="F796" s="1">
        <v>4</v>
      </c>
      <c r="G796" s="1">
        <v>3</v>
      </c>
      <c r="H796" s="1">
        <v>2</v>
      </c>
      <c r="I796" s="1">
        <v>3</v>
      </c>
      <c r="J796" s="1">
        <v>5</v>
      </c>
      <c r="K796" s="1">
        <f t="shared" si="150"/>
        <v>13</v>
      </c>
      <c r="L796" s="12">
        <f t="shared" ref="L796:L827" si="157">K796/35</f>
        <v>0.37142857142857144</v>
      </c>
      <c r="M796" s="1">
        <v>1</v>
      </c>
      <c r="N796" s="1">
        <v>2</v>
      </c>
      <c r="O796" s="1">
        <v>3</v>
      </c>
      <c r="P796" s="1">
        <v>2</v>
      </c>
      <c r="Q796" s="1">
        <f t="shared" si="151"/>
        <v>8</v>
      </c>
      <c r="R796" s="12">
        <f t="shared" ref="R796:R827" si="158">Q796/35</f>
        <v>0.22857142857142856</v>
      </c>
      <c r="S796" s="1">
        <v>3</v>
      </c>
      <c r="T796" s="1">
        <v>3</v>
      </c>
      <c r="U796" s="1">
        <f t="shared" si="152"/>
        <v>6</v>
      </c>
      <c r="V796" s="12">
        <f t="shared" ref="V796:V827" si="159">U796/15</f>
        <v>0.4</v>
      </c>
      <c r="W796" s="1">
        <v>4</v>
      </c>
      <c r="X796" s="1">
        <v>3</v>
      </c>
      <c r="Y796" s="1">
        <v>2</v>
      </c>
      <c r="Z796" s="1">
        <f t="shared" si="153"/>
        <v>9</v>
      </c>
      <c r="AA796" s="12">
        <f t="shared" ref="AA796:AA827" si="160">Z796/15</f>
        <v>0.6</v>
      </c>
      <c r="AB796" s="2" t="s">
        <v>139</v>
      </c>
    </row>
    <row r="797" spans="1:28" x14ac:dyDescent="0.25">
      <c r="A797" s="1" t="s">
        <v>1672</v>
      </c>
      <c r="B797" s="1" t="s">
        <v>35</v>
      </c>
      <c r="C797" s="1" t="s">
        <v>36</v>
      </c>
      <c r="D797" s="1">
        <v>19</v>
      </c>
      <c r="E797" s="1">
        <v>1</v>
      </c>
      <c r="F797" s="1">
        <v>4</v>
      </c>
      <c r="G797" s="1">
        <v>4</v>
      </c>
      <c r="H797" s="1">
        <v>3</v>
      </c>
      <c r="I797" s="1">
        <v>5</v>
      </c>
      <c r="J797" s="1">
        <v>4</v>
      </c>
      <c r="K797" s="1">
        <f t="shared" si="150"/>
        <v>16</v>
      </c>
      <c r="L797" s="12">
        <f t="shared" si="157"/>
        <v>0.45714285714285713</v>
      </c>
      <c r="M797" s="1">
        <v>5</v>
      </c>
      <c r="N797" s="1">
        <v>3</v>
      </c>
      <c r="O797" s="1">
        <v>6</v>
      </c>
      <c r="P797" s="1">
        <v>3</v>
      </c>
      <c r="Q797" s="1">
        <f t="shared" si="151"/>
        <v>17</v>
      </c>
      <c r="R797" s="12">
        <f t="shared" si="158"/>
        <v>0.48571428571428571</v>
      </c>
      <c r="S797" s="1">
        <v>5</v>
      </c>
      <c r="T797" s="1">
        <v>4</v>
      </c>
      <c r="U797" s="1">
        <f t="shared" si="152"/>
        <v>9</v>
      </c>
      <c r="V797" s="12">
        <f t="shared" si="159"/>
        <v>0.6</v>
      </c>
      <c r="W797" s="1">
        <v>4</v>
      </c>
      <c r="X797" s="1">
        <v>5</v>
      </c>
      <c r="Y797" s="1">
        <v>4</v>
      </c>
      <c r="Z797" s="1">
        <f t="shared" si="153"/>
        <v>13</v>
      </c>
      <c r="AA797" s="12">
        <f t="shared" si="160"/>
        <v>0.8666666666666667</v>
      </c>
      <c r="AB797" s="2" t="s">
        <v>140</v>
      </c>
    </row>
    <row r="798" spans="1:28" x14ac:dyDescent="0.25">
      <c r="A798" s="1" t="s">
        <v>1672</v>
      </c>
      <c r="B798" s="1" t="s">
        <v>35</v>
      </c>
      <c r="C798" s="1" t="s">
        <v>36</v>
      </c>
      <c r="D798" s="1">
        <v>19</v>
      </c>
      <c r="E798" s="1">
        <v>1</v>
      </c>
      <c r="F798" s="1">
        <v>4</v>
      </c>
      <c r="G798" s="1">
        <v>3</v>
      </c>
      <c r="H798" s="1">
        <v>6</v>
      </c>
      <c r="I798" s="1">
        <v>4</v>
      </c>
      <c r="J798" s="1">
        <v>5</v>
      </c>
      <c r="K798" s="1">
        <f t="shared" si="150"/>
        <v>18</v>
      </c>
      <c r="L798" s="12">
        <f t="shared" si="157"/>
        <v>0.51428571428571423</v>
      </c>
      <c r="M798" s="1">
        <v>6</v>
      </c>
      <c r="N798" s="1">
        <v>4</v>
      </c>
      <c r="O798" s="1">
        <v>5</v>
      </c>
      <c r="P798" s="1">
        <v>3</v>
      </c>
      <c r="Q798" s="1">
        <f t="shared" si="151"/>
        <v>18</v>
      </c>
      <c r="R798" s="12">
        <f t="shared" si="158"/>
        <v>0.51428571428571423</v>
      </c>
      <c r="S798" s="1">
        <v>5</v>
      </c>
      <c r="T798" s="1">
        <v>4</v>
      </c>
      <c r="U798" s="1">
        <f t="shared" si="152"/>
        <v>9</v>
      </c>
      <c r="V798" s="12">
        <f t="shared" si="159"/>
        <v>0.6</v>
      </c>
      <c r="W798" s="1">
        <v>4</v>
      </c>
      <c r="X798" s="1">
        <v>3</v>
      </c>
      <c r="Y798" s="1">
        <v>2</v>
      </c>
      <c r="Z798" s="1">
        <f t="shared" si="153"/>
        <v>9</v>
      </c>
      <c r="AA798" s="12">
        <f t="shared" si="160"/>
        <v>0.6</v>
      </c>
      <c r="AB798" s="2" t="s">
        <v>141</v>
      </c>
    </row>
    <row r="799" spans="1:28" x14ac:dyDescent="0.25">
      <c r="A799" s="1" t="s">
        <v>1672</v>
      </c>
      <c r="B799" s="1" t="s">
        <v>35</v>
      </c>
      <c r="C799" s="1" t="s">
        <v>36</v>
      </c>
      <c r="D799" s="1">
        <v>19</v>
      </c>
      <c r="E799" s="1">
        <v>1</v>
      </c>
      <c r="F799" s="1">
        <v>4</v>
      </c>
      <c r="G799" s="1">
        <v>6</v>
      </c>
      <c r="H799" s="1">
        <v>5</v>
      </c>
      <c r="I799" s="1">
        <v>5</v>
      </c>
      <c r="J799" s="1">
        <v>4</v>
      </c>
      <c r="K799" s="1">
        <f t="shared" si="150"/>
        <v>20</v>
      </c>
      <c r="L799" s="12">
        <f t="shared" si="157"/>
        <v>0.5714285714285714</v>
      </c>
      <c r="M799" s="1">
        <v>7</v>
      </c>
      <c r="N799" s="1">
        <v>6</v>
      </c>
      <c r="O799" s="1">
        <v>7</v>
      </c>
      <c r="P799" s="1">
        <v>5</v>
      </c>
      <c r="Q799" s="1">
        <f t="shared" si="151"/>
        <v>25</v>
      </c>
      <c r="R799" s="12">
        <f t="shared" si="158"/>
        <v>0.7142857142857143</v>
      </c>
      <c r="S799" s="1">
        <v>6</v>
      </c>
      <c r="T799" s="1">
        <v>5</v>
      </c>
      <c r="U799" s="1">
        <f t="shared" si="152"/>
        <v>11</v>
      </c>
      <c r="V799" s="12">
        <f t="shared" si="159"/>
        <v>0.73333333333333328</v>
      </c>
      <c r="W799" s="1">
        <v>5</v>
      </c>
      <c r="X799" s="1">
        <v>4</v>
      </c>
      <c r="Y799" s="1">
        <v>4</v>
      </c>
      <c r="Z799" s="1">
        <f t="shared" si="153"/>
        <v>13</v>
      </c>
      <c r="AA799" s="12">
        <f t="shared" si="160"/>
        <v>0.8666666666666667</v>
      </c>
      <c r="AB799" s="2" t="s">
        <v>142</v>
      </c>
    </row>
    <row r="800" spans="1:28" x14ac:dyDescent="0.25">
      <c r="A800" s="1" t="s">
        <v>1672</v>
      </c>
      <c r="B800" s="1" t="s">
        <v>35</v>
      </c>
      <c r="C800" s="1" t="s">
        <v>36</v>
      </c>
      <c r="D800" s="1">
        <v>19</v>
      </c>
      <c r="E800" s="1">
        <v>1</v>
      </c>
      <c r="F800" s="1">
        <v>4</v>
      </c>
      <c r="G800" s="1">
        <v>5</v>
      </c>
      <c r="H800" s="1">
        <v>4</v>
      </c>
      <c r="I800" s="1">
        <v>3</v>
      </c>
      <c r="J800" s="1">
        <v>3</v>
      </c>
      <c r="K800" s="1">
        <f t="shared" si="150"/>
        <v>15</v>
      </c>
      <c r="L800" s="12">
        <f t="shared" si="157"/>
        <v>0.42857142857142855</v>
      </c>
      <c r="M800" s="1">
        <v>3</v>
      </c>
      <c r="N800" s="1">
        <v>2</v>
      </c>
      <c r="O800" s="1">
        <v>2</v>
      </c>
      <c r="P800" s="1">
        <v>3</v>
      </c>
      <c r="Q800" s="1">
        <f t="shared" si="151"/>
        <v>10</v>
      </c>
      <c r="R800" s="12">
        <f t="shared" si="158"/>
        <v>0.2857142857142857</v>
      </c>
      <c r="S800" s="1">
        <v>2</v>
      </c>
      <c r="T800" s="1">
        <v>2</v>
      </c>
      <c r="U800" s="1">
        <f t="shared" si="152"/>
        <v>4</v>
      </c>
      <c r="V800" s="12">
        <f t="shared" si="159"/>
        <v>0.26666666666666666</v>
      </c>
      <c r="W800" s="1">
        <v>4</v>
      </c>
      <c r="X800" s="1">
        <v>2</v>
      </c>
      <c r="Y800" s="1">
        <v>2</v>
      </c>
      <c r="Z800" s="1">
        <f t="shared" si="153"/>
        <v>8</v>
      </c>
      <c r="AA800" s="12">
        <f t="shared" si="160"/>
        <v>0.53333333333333333</v>
      </c>
      <c r="AB800" s="2" t="s">
        <v>143</v>
      </c>
    </row>
    <row r="801" spans="1:28" x14ac:dyDescent="0.25">
      <c r="A801" s="1" t="s">
        <v>1672</v>
      </c>
      <c r="B801" s="1" t="s">
        <v>35</v>
      </c>
      <c r="C801" s="1" t="s">
        <v>36</v>
      </c>
      <c r="D801" s="1">
        <v>19</v>
      </c>
      <c r="E801" s="1">
        <v>1</v>
      </c>
      <c r="F801" s="1">
        <v>4</v>
      </c>
      <c r="G801" s="1">
        <v>7</v>
      </c>
      <c r="H801" s="1">
        <v>6</v>
      </c>
      <c r="I801" s="1">
        <v>8</v>
      </c>
      <c r="J801" s="1">
        <v>5</v>
      </c>
      <c r="K801" s="1">
        <f t="shared" si="150"/>
        <v>26</v>
      </c>
      <c r="L801" s="12">
        <f t="shared" si="157"/>
        <v>0.74285714285714288</v>
      </c>
      <c r="M801" s="1">
        <v>6</v>
      </c>
      <c r="N801" s="1">
        <v>5</v>
      </c>
      <c r="O801" s="1">
        <v>6</v>
      </c>
      <c r="P801" s="1">
        <v>5</v>
      </c>
      <c r="Q801" s="1">
        <f t="shared" si="151"/>
        <v>22</v>
      </c>
      <c r="R801" s="12">
        <f t="shared" si="158"/>
        <v>0.62857142857142856</v>
      </c>
      <c r="S801" s="1">
        <v>6</v>
      </c>
      <c r="T801" s="1">
        <v>5</v>
      </c>
      <c r="U801" s="1">
        <f t="shared" si="152"/>
        <v>11</v>
      </c>
      <c r="V801" s="12">
        <f t="shared" si="159"/>
        <v>0.73333333333333328</v>
      </c>
      <c r="W801" s="1">
        <v>4</v>
      </c>
      <c r="X801" s="1">
        <v>4</v>
      </c>
      <c r="Y801" s="1">
        <v>5</v>
      </c>
      <c r="Z801" s="1">
        <f t="shared" si="153"/>
        <v>13</v>
      </c>
      <c r="AA801" s="12">
        <f t="shared" si="160"/>
        <v>0.8666666666666667</v>
      </c>
      <c r="AB801" s="2" t="s">
        <v>144</v>
      </c>
    </row>
    <row r="802" spans="1:28" x14ac:dyDescent="0.25">
      <c r="A802" s="1" t="s">
        <v>1672</v>
      </c>
      <c r="B802" s="1" t="s">
        <v>35</v>
      </c>
      <c r="C802" s="1" t="s">
        <v>36</v>
      </c>
      <c r="D802" s="1">
        <v>19</v>
      </c>
      <c r="E802" s="1">
        <v>1</v>
      </c>
      <c r="F802" s="1">
        <v>4</v>
      </c>
      <c r="G802" s="1">
        <v>7</v>
      </c>
      <c r="H802" s="1">
        <v>7</v>
      </c>
      <c r="I802" s="1">
        <v>6</v>
      </c>
      <c r="J802" s="1">
        <v>5</v>
      </c>
      <c r="K802" s="1">
        <f t="shared" si="150"/>
        <v>25</v>
      </c>
      <c r="L802" s="12">
        <f t="shared" si="157"/>
        <v>0.7142857142857143</v>
      </c>
      <c r="M802" s="1">
        <v>8</v>
      </c>
      <c r="N802" s="1">
        <v>7</v>
      </c>
      <c r="O802" s="1">
        <v>7</v>
      </c>
      <c r="P802" s="1">
        <v>5</v>
      </c>
      <c r="Q802" s="1">
        <f t="shared" si="151"/>
        <v>27</v>
      </c>
      <c r="R802" s="12">
        <f t="shared" si="158"/>
        <v>0.77142857142857146</v>
      </c>
      <c r="S802" s="1">
        <v>7</v>
      </c>
      <c r="T802" s="1">
        <v>5</v>
      </c>
      <c r="U802" s="1">
        <f t="shared" si="152"/>
        <v>12</v>
      </c>
      <c r="V802" s="12">
        <f t="shared" si="159"/>
        <v>0.8</v>
      </c>
      <c r="W802" s="1">
        <v>5</v>
      </c>
      <c r="X802" s="1">
        <v>3</v>
      </c>
      <c r="Y802" s="1">
        <v>3</v>
      </c>
      <c r="Z802" s="1">
        <f t="shared" si="153"/>
        <v>11</v>
      </c>
      <c r="AA802" s="12">
        <f t="shared" si="160"/>
        <v>0.73333333333333328</v>
      </c>
      <c r="AB802" s="2" t="s">
        <v>145</v>
      </c>
    </row>
    <row r="803" spans="1:28" x14ac:dyDescent="0.25">
      <c r="A803" s="1" t="s">
        <v>1672</v>
      </c>
      <c r="B803" s="1" t="s">
        <v>35</v>
      </c>
      <c r="C803" s="1" t="s">
        <v>36</v>
      </c>
      <c r="D803" s="1">
        <v>19</v>
      </c>
      <c r="E803" s="1">
        <v>1</v>
      </c>
      <c r="F803" s="1">
        <v>4</v>
      </c>
      <c r="G803" s="1">
        <v>7</v>
      </c>
      <c r="H803" s="1">
        <v>4</v>
      </c>
      <c r="I803" s="1">
        <v>5</v>
      </c>
      <c r="J803" s="1">
        <v>3</v>
      </c>
      <c r="K803" s="1">
        <f t="shared" si="150"/>
        <v>19</v>
      </c>
      <c r="L803" s="12">
        <f t="shared" si="157"/>
        <v>0.54285714285714282</v>
      </c>
      <c r="M803" s="1">
        <v>6</v>
      </c>
      <c r="N803" s="1">
        <v>4</v>
      </c>
      <c r="O803" s="1">
        <v>5</v>
      </c>
      <c r="P803" s="1">
        <v>3</v>
      </c>
      <c r="Q803" s="1">
        <f t="shared" si="151"/>
        <v>18</v>
      </c>
      <c r="R803" s="12">
        <f t="shared" si="158"/>
        <v>0.51428571428571423</v>
      </c>
      <c r="S803" s="1">
        <v>5</v>
      </c>
      <c r="T803" s="1">
        <v>4</v>
      </c>
      <c r="U803" s="1">
        <f t="shared" si="152"/>
        <v>9</v>
      </c>
      <c r="V803" s="12">
        <f t="shared" si="159"/>
        <v>0.6</v>
      </c>
      <c r="W803" s="1">
        <v>4</v>
      </c>
      <c r="X803" s="1">
        <v>4</v>
      </c>
      <c r="Y803" s="1">
        <v>5</v>
      </c>
      <c r="Z803" s="1">
        <f t="shared" si="153"/>
        <v>13</v>
      </c>
      <c r="AA803" s="12">
        <f t="shared" si="160"/>
        <v>0.8666666666666667</v>
      </c>
      <c r="AB803" s="2" t="s">
        <v>146</v>
      </c>
    </row>
    <row r="804" spans="1:28" x14ac:dyDescent="0.25">
      <c r="A804" s="1" t="s">
        <v>1672</v>
      </c>
      <c r="B804" s="1" t="s">
        <v>35</v>
      </c>
      <c r="C804" s="1" t="s">
        <v>36</v>
      </c>
      <c r="D804" s="1">
        <v>20</v>
      </c>
      <c r="E804" s="1">
        <v>2</v>
      </c>
      <c r="F804" s="1">
        <v>5</v>
      </c>
      <c r="G804" s="1">
        <v>7</v>
      </c>
      <c r="H804" s="1">
        <v>5</v>
      </c>
      <c r="I804" s="1">
        <v>5</v>
      </c>
      <c r="J804" s="1">
        <v>4</v>
      </c>
      <c r="K804" s="1">
        <f t="shared" si="150"/>
        <v>21</v>
      </c>
      <c r="L804" s="12">
        <f t="shared" si="157"/>
        <v>0.6</v>
      </c>
      <c r="M804" s="1">
        <v>4</v>
      </c>
      <c r="N804" s="1">
        <v>5</v>
      </c>
      <c r="O804" s="1">
        <v>4</v>
      </c>
      <c r="P804" s="1">
        <v>5</v>
      </c>
      <c r="Q804" s="1">
        <f t="shared" si="151"/>
        <v>18</v>
      </c>
      <c r="R804" s="12">
        <f t="shared" si="158"/>
        <v>0.51428571428571423</v>
      </c>
      <c r="S804" s="1">
        <v>4</v>
      </c>
      <c r="T804" s="1">
        <v>5</v>
      </c>
      <c r="U804" s="1">
        <f t="shared" si="152"/>
        <v>9</v>
      </c>
      <c r="V804" s="12">
        <f t="shared" si="159"/>
        <v>0.6</v>
      </c>
      <c r="W804" s="1">
        <v>4</v>
      </c>
      <c r="X804" s="1">
        <v>3</v>
      </c>
      <c r="Y804" s="1">
        <v>4</v>
      </c>
      <c r="Z804" s="1">
        <f t="shared" si="153"/>
        <v>11</v>
      </c>
      <c r="AA804" s="12">
        <f t="shared" si="160"/>
        <v>0.73333333333333328</v>
      </c>
      <c r="AB804" s="2" t="s">
        <v>365</v>
      </c>
    </row>
    <row r="805" spans="1:28" x14ac:dyDescent="0.25">
      <c r="A805" s="1" t="s">
        <v>1672</v>
      </c>
      <c r="B805" s="1" t="s">
        <v>35</v>
      </c>
      <c r="C805" s="1" t="s">
        <v>36</v>
      </c>
      <c r="D805" s="1">
        <v>20</v>
      </c>
      <c r="E805" s="1">
        <v>2</v>
      </c>
      <c r="F805" s="1">
        <v>5</v>
      </c>
      <c r="G805" s="1">
        <v>8</v>
      </c>
      <c r="H805" s="1">
        <v>8</v>
      </c>
      <c r="I805" s="1">
        <v>8</v>
      </c>
      <c r="J805" s="1">
        <v>5</v>
      </c>
      <c r="K805" s="1">
        <f t="shared" si="150"/>
        <v>29</v>
      </c>
      <c r="L805" s="12">
        <f t="shared" si="157"/>
        <v>0.82857142857142863</v>
      </c>
      <c r="M805" s="1">
        <v>7</v>
      </c>
      <c r="N805" s="1">
        <v>4</v>
      </c>
      <c r="O805" s="1">
        <v>6</v>
      </c>
      <c r="P805" s="1">
        <v>3</v>
      </c>
      <c r="Q805" s="1">
        <f t="shared" si="151"/>
        <v>20</v>
      </c>
      <c r="R805" s="12">
        <f t="shared" si="158"/>
        <v>0.5714285714285714</v>
      </c>
      <c r="S805" s="1">
        <v>6</v>
      </c>
      <c r="T805" s="1">
        <v>4</v>
      </c>
      <c r="U805" s="1">
        <f t="shared" si="152"/>
        <v>10</v>
      </c>
      <c r="V805" s="12">
        <f t="shared" si="159"/>
        <v>0.66666666666666663</v>
      </c>
      <c r="W805" s="1">
        <v>3</v>
      </c>
      <c r="X805" s="1">
        <v>2</v>
      </c>
      <c r="Y805" s="1">
        <v>3</v>
      </c>
      <c r="Z805" s="1">
        <f t="shared" si="153"/>
        <v>8</v>
      </c>
      <c r="AA805" s="12">
        <f t="shared" si="160"/>
        <v>0.53333333333333333</v>
      </c>
      <c r="AB805" s="2" t="s">
        <v>366</v>
      </c>
    </row>
    <row r="806" spans="1:28" x14ac:dyDescent="0.25">
      <c r="A806" s="1" t="s">
        <v>1672</v>
      </c>
      <c r="B806" s="1" t="s">
        <v>35</v>
      </c>
      <c r="C806" s="1" t="s">
        <v>36</v>
      </c>
      <c r="D806" s="1">
        <v>20</v>
      </c>
      <c r="E806" s="1">
        <v>2</v>
      </c>
      <c r="F806" s="1">
        <v>5</v>
      </c>
      <c r="G806" s="1">
        <v>6</v>
      </c>
      <c r="H806" s="1">
        <v>7</v>
      </c>
      <c r="I806" s="1">
        <v>7</v>
      </c>
      <c r="J806" s="1">
        <v>5</v>
      </c>
      <c r="K806" s="1">
        <f t="shared" si="150"/>
        <v>25</v>
      </c>
      <c r="L806" s="12">
        <f t="shared" si="157"/>
        <v>0.7142857142857143</v>
      </c>
      <c r="M806" s="1">
        <v>6</v>
      </c>
      <c r="N806" s="1">
        <v>7</v>
      </c>
      <c r="O806" s="1">
        <v>7</v>
      </c>
      <c r="P806" s="1">
        <v>5</v>
      </c>
      <c r="Q806" s="1">
        <f t="shared" si="151"/>
        <v>25</v>
      </c>
      <c r="R806" s="12">
        <f t="shared" si="158"/>
        <v>0.7142857142857143</v>
      </c>
      <c r="S806" s="1">
        <v>5</v>
      </c>
      <c r="T806" s="1">
        <v>4</v>
      </c>
      <c r="U806" s="1">
        <f t="shared" si="152"/>
        <v>9</v>
      </c>
      <c r="V806" s="12">
        <f t="shared" si="159"/>
        <v>0.6</v>
      </c>
      <c r="W806" s="1">
        <v>5</v>
      </c>
      <c r="X806" s="1">
        <v>4</v>
      </c>
      <c r="Y806" s="1">
        <v>4</v>
      </c>
      <c r="Z806" s="1">
        <f t="shared" si="153"/>
        <v>13</v>
      </c>
      <c r="AA806" s="12">
        <f t="shared" si="160"/>
        <v>0.8666666666666667</v>
      </c>
      <c r="AB806" s="2" t="s">
        <v>367</v>
      </c>
    </row>
    <row r="807" spans="1:28" x14ac:dyDescent="0.25">
      <c r="A807" s="1" t="s">
        <v>1672</v>
      </c>
      <c r="B807" s="1" t="s">
        <v>35</v>
      </c>
      <c r="C807" s="1" t="s">
        <v>36</v>
      </c>
      <c r="D807" s="1">
        <v>20</v>
      </c>
      <c r="E807" s="1">
        <v>2</v>
      </c>
      <c r="F807" s="1">
        <v>5</v>
      </c>
      <c r="G807" s="1">
        <v>5</v>
      </c>
      <c r="H807" s="1">
        <v>4</v>
      </c>
      <c r="I807" s="1">
        <v>3</v>
      </c>
      <c r="J807" s="1">
        <v>3</v>
      </c>
      <c r="K807" s="1">
        <f t="shared" si="150"/>
        <v>15</v>
      </c>
      <c r="L807" s="12">
        <f t="shared" si="157"/>
        <v>0.42857142857142855</v>
      </c>
      <c r="M807" s="1">
        <v>5</v>
      </c>
      <c r="N807" s="1">
        <v>6</v>
      </c>
      <c r="O807" s="1">
        <v>4</v>
      </c>
      <c r="P807" s="1">
        <v>4</v>
      </c>
      <c r="Q807" s="1">
        <f t="shared" si="151"/>
        <v>19</v>
      </c>
      <c r="R807" s="12">
        <f t="shared" si="158"/>
        <v>0.54285714285714282</v>
      </c>
      <c r="S807" s="1">
        <v>6</v>
      </c>
      <c r="T807" s="1">
        <v>2</v>
      </c>
      <c r="U807" s="1">
        <f t="shared" si="152"/>
        <v>8</v>
      </c>
      <c r="V807" s="12">
        <f t="shared" si="159"/>
        <v>0.53333333333333333</v>
      </c>
      <c r="W807" s="1">
        <v>4</v>
      </c>
      <c r="X807" s="1">
        <v>3</v>
      </c>
      <c r="Y807" s="1">
        <v>3</v>
      </c>
      <c r="Z807" s="1">
        <f t="shared" si="153"/>
        <v>10</v>
      </c>
      <c r="AA807" s="12">
        <f t="shared" si="160"/>
        <v>0.66666666666666663</v>
      </c>
      <c r="AB807" s="2" t="s">
        <v>368</v>
      </c>
    </row>
    <row r="808" spans="1:28" x14ac:dyDescent="0.25">
      <c r="A808" s="1" t="s">
        <v>1672</v>
      </c>
      <c r="B808" s="1" t="s">
        <v>35</v>
      </c>
      <c r="C808" s="1" t="s">
        <v>36</v>
      </c>
      <c r="D808" s="1">
        <v>20</v>
      </c>
      <c r="E808" s="1">
        <v>2</v>
      </c>
      <c r="F808" s="1">
        <v>5</v>
      </c>
      <c r="G808" s="1">
        <v>5</v>
      </c>
      <c r="H808" s="1">
        <v>7</v>
      </c>
      <c r="I808" s="1">
        <v>5</v>
      </c>
      <c r="J808" s="1">
        <v>4</v>
      </c>
      <c r="K808" s="1">
        <f t="shared" si="150"/>
        <v>21</v>
      </c>
      <c r="L808" s="12">
        <f t="shared" si="157"/>
        <v>0.6</v>
      </c>
      <c r="M808" s="1">
        <v>6</v>
      </c>
      <c r="N808" s="1">
        <v>5</v>
      </c>
      <c r="O808" s="1">
        <v>6</v>
      </c>
      <c r="P808" s="1">
        <v>4</v>
      </c>
      <c r="Q808" s="1">
        <f t="shared" si="151"/>
        <v>21</v>
      </c>
      <c r="R808" s="12">
        <f t="shared" si="158"/>
        <v>0.6</v>
      </c>
      <c r="S808" s="1">
        <v>7</v>
      </c>
      <c r="T808" s="1">
        <v>4</v>
      </c>
      <c r="U808" s="1">
        <f t="shared" si="152"/>
        <v>11</v>
      </c>
      <c r="V808" s="12">
        <f t="shared" si="159"/>
        <v>0.73333333333333328</v>
      </c>
      <c r="W808" s="1">
        <v>3</v>
      </c>
      <c r="X808" s="1">
        <v>2</v>
      </c>
      <c r="Y808" s="1">
        <v>2</v>
      </c>
      <c r="Z808" s="1">
        <f t="shared" si="153"/>
        <v>7</v>
      </c>
      <c r="AA808" s="12">
        <f t="shared" si="160"/>
        <v>0.46666666666666667</v>
      </c>
      <c r="AB808" s="2" t="s">
        <v>369</v>
      </c>
    </row>
    <row r="809" spans="1:28" x14ac:dyDescent="0.25">
      <c r="A809" s="1" t="s">
        <v>1672</v>
      </c>
      <c r="B809" s="1" t="s">
        <v>35</v>
      </c>
      <c r="C809" s="1" t="s">
        <v>36</v>
      </c>
      <c r="D809" s="1">
        <v>20</v>
      </c>
      <c r="E809" s="1">
        <v>2</v>
      </c>
      <c r="F809" s="1">
        <v>5</v>
      </c>
      <c r="G809" s="1">
        <v>5</v>
      </c>
      <c r="H809" s="1">
        <v>4</v>
      </c>
      <c r="I809" s="1">
        <v>5</v>
      </c>
      <c r="J809" s="1">
        <v>4</v>
      </c>
      <c r="K809" s="1">
        <f t="shared" si="150"/>
        <v>18</v>
      </c>
      <c r="L809" s="12">
        <f t="shared" si="157"/>
        <v>0.51428571428571423</v>
      </c>
      <c r="M809" s="1">
        <v>5</v>
      </c>
      <c r="N809" s="1">
        <v>4</v>
      </c>
      <c r="O809" s="1">
        <v>6</v>
      </c>
      <c r="P809" s="1">
        <v>4</v>
      </c>
      <c r="Q809" s="1">
        <f t="shared" si="151"/>
        <v>19</v>
      </c>
      <c r="R809" s="12">
        <f t="shared" si="158"/>
        <v>0.54285714285714282</v>
      </c>
      <c r="S809" s="1">
        <v>5</v>
      </c>
      <c r="T809" s="1">
        <v>4</v>
      </c>
      <c r="U809" s="1">
        <f t="shared" si="152"/>
        <v>9</v>
      </c>
      <c r="V809" s="12">
        <f t="shared" si="159"/>
        <v>0.6</v>
      </c>
      <c r="W809" s="1">
        <v>3</v>
      </c>
      <c r="X809" s="1">
        <v>2</v>
      </c>
      <c r="Y809" s="1">
        <v>3</v>
      </c>
      <c r="Z809" s="1">
        <f t="shared" si="153"/>
        <v>8</v>
      </c>
      <c r="AA809" s="12">
        <f t="shared" si="160"/>
        <v>0.53333333333333333</v>
      </c>
      <c r="AB809" s="2" t="s">
        <v>370</v>
      </c>
    </row>
    <row r="810" spans="1:28" x14ac:dyDescent="0.25">
      <c r="A810" s="1" t="s">
        <v>1672</v>
      </c>
      <c r="B810" s="1" t="s">
        <v>35</v>
      </c>
      <c r="C810" s="1" t="s">
        <v>36</v>
      </c>
      <c r="D810" s="1">
        <v>20</v>
      </c>
      <c r="E810" s="1">
        <v>2</v>
      </c>
      <c r="F810" s="1">
        <v>5</v>
      </c>
      <c r="G810" s="1">
        <v>6</v>
      </c>
      <c r="H810" s="1">
        <v>7</v>
      </c>
      <c r="I810" s="1">
        <v>6</v>
      </c>
      <c r="J810" s="1">
        <v>5</v>
      </c>
      <c r="K810" s="1">
        <f t="shared" si="150"/>
        <v>24</v>
      </c>
      <c r="L810" s="12">
        <f t="shared" si="157"/>
        <v>0.68571428571428572</v>
      </c>
      <c r="M810" s="1">
        <v>7</v>
      </c>
      <c r="N810" s="1">
        <v>5</v>
      </c>
      <c r="O810" s="1">
        <v>5</v>
      </c>
      <c r="P810" s="1">
        <v>3</v>
      </c>
      <c r="Q810" s="1">
        <f t="shared" si="151"/>
        <v>20</v>
      </c>
      <c r="R810" s="12">
        <f t="shared" si="158"/>
        <v>0.5714285714285714</v>
      </c>
      <c r="S810" s="1">
        <v>4</v>
      </c>
      <c r="T810" s="1">
        <v>4</v>
      </c>
      <c r="U810" s="1">
        <f t="shared" si="152"/>
        <v>8</v>
      </c>
      <c r="V810" s="12">
        <f t="shared" si="159"/>
        <v>0.53333333333333333</v>
      </c>
      <c r="W810" s="1">
        <v>4</v>
      </c>
      <c r="X810" s="1">
        <v>2</v>
      </c>
      <c r="Y810" s="1">
        <v>3</v>
      </c>
      <c r="Z810" s="1">
        <f t="shared" si="153"/>
        <v>9</v>
      </c>
      <c r="AA810" s="12">
        <f t="shared" si="160"/>
        <v>0.6</v>
      </c>
      <c r="AB810" s="2" t="s">
        <v>371</v>
      </c>
    </row>
    <row r="811" spans="1:28" x14ac:dyDescent="0.25">
      <c r="A811" s="1" t="s">
        <v>1672</v>
      </c>
      <c r="B811" s="1" t="s">
        <v>35</v>
      </c>
      <c r="C811" s="1" t="s">
        <v>36</v>
      </c>
      <c r="D811" s="1">
        <v>20</v>
      </c>
      <c r="E811" s="1">
        <v>2</v>
      </c>
      <c r="F811" s="1">
        <v>5</v>
      </c>
      <c r="G811" s="1">
        <v>6</v>
      </c>
      <c r="H811" s="1">
        <v>5</v>
      </c>
      <c r="I811" s="1">
        <v>6</v>
      </c>
      <c r="J811" s="1">
        <v>3</v>
      </c>
      <c r="K811" s="1">
        <f t="shared" si="150"/>
        <v>20</v>
      </c>
      <c r="L811" s="12">
        <f t="shared" si="157"/>
        <v>0.5714285714285714</v>
      </c>
      <c r="M811" s="1">
        <v>7</v>
      </c>
      <c r="N811" s="1">
        <v>7</v>
      </c>
      <c r="O811" s="1">
        <v>6</v>
      </c>
      <c r="P811" s="1">
        <v>4</v>
      </c>
      <c r="Q811" s="1">
        <f t="shared" si="151"/>
        <v>24</v>
      </c>
      <c r="R811" s="12">
        <f t="shared" si="158"/>
        <v>0.68571428571428572</v>
      </c>
      <c r="S811" s="1">
        <v>5</v>
      </c>
      <c r="T811" s="1">
        <v>4</v>
      </c>
      <c r="U811" s="1">
        <f t="shared" si="152"/>
        <v>9</v>
      </c>
      <c r="V811" s="12">
        <f t="shared" si="159"/>
        <v>0.6</v>
      </c>
      <c r="W811" s="1">
        <v>3</v>
      </c>
      <c r="X811" s="1">
        <v>3</v>
      </c>
      <c r="Y811" s="1">
        <v>2</v>
      </c>
      <c r="Z811" s="1">
        <f t="shared" si="153"/>
        <v>8</v>
      </c>
      <c r="AA811" s="12">
        <f t="shared" si="160"/>
        <v>0.53333333333333333</v>
      </c>
      <c r="AB811" s="2" t="s">
        <v>372</v>
      </c>
    </row>
    <row r="812" spans="1:28" x14ac:dyDescent="0.25">
      <c r="A812" s="1" t="s">
        <v>1672</v>
      </c>
      <c r="B812" s="1" t="s">
        <v>35</v>
      </c>
      <c r="C812" s="1" t="s">
        <v>36</v>
      </c>
      <c r="D812" s="1">
        <v>5</v>
      </c>
      <c r="E812" s="1">
        <v>3</v>
      </c>
      <c r="F812" s="1">
        <v>1</v>
      </c>
      <c r="G812" s="1">
        <v>6</v>
      </c>
      <c r="H812" s="1">
        <v>5</v>
      </c>
      <c r="I812" s="1">
        <v>6</v>
      </c>
      <c r="J812" s="1">
        <v>5</v>
      </c>
      <c r="K812" s="1">
        <f t="shared" si="150"/>
        <v>22</v>
      </c>
      <c r="L812" s="12">
        <f t="shared" si="157"/>
        <v>0.62857142857142856</v>
      </c>
      <c r="M812" s="1">
        <v>6</v>
      </c>
      <c r="N812" s="1">
        <v>5</v>
      </c>
      <c r="O812" s="1">
        <v>5</v>
      </c>
      <c r="P812" s="1">
        <v>4</v>
      </c>
      <c r="Q812" s="1">
        <f t="shared" si="151"/>
        <v>20</v>
      </c>
      <c r="R812" s="12">
        <f t="shared" si="158"/>
        <v>0.5714285714285714</v>
      </c>
      <c r="S812" s="1">
        <v>6</v>
      </c>
      <c r="T812" s="1">
        <v>4</v>
      </c>
      <c r="U812" s="1">
        <f t="shared" si="152"/>
        <v>10</v>
      </c>
      <c r="V812" s="12">
        <f t="shared" si="159"/>
        <v>0.66666666666666663</v>
      </c>
      <c r="W812" s="1">
        <v>4</v>
      </c>
      <c r="X812" s="1">
        <v>4</v>
      </c>
      <c r="Y812" s="1">
        <v>5</v>
      </c>
      <c r="Z812" s="1">
        <f t="shared" si="153"/>
        <v>13</v>
      </c>
      <c r="AA812" s="12">
        <f t="shared" si="160"/>
        <v>0.8666666666666667</v>
      </c>
      <c r="AB812" s="2" t="s">
        <v>431</v>
      </c>
    </row>
    <row r="813" spans="1:28" x14ac:dyDescent="0.25">
      <c r="A813" s="1" t="s">
        <v>1672</v>
      </c>
      <c r="B813" s="1" t="s">
        <v>35</v>
      </c>
      <c r="C813" s="1" t="s">
        <v>36</v>
      </c>
      <c r="D813" s="1">
        <v>5</v>
      </c>
      <c r="E813" s="1">
        <v>3</v>
      </c>
      <c r="F813" s="1">
        <v>1</v>
      </c>
      <c r="G813" s="1">
        <v>4</v>
      </c>
      <c r="H813" s="1">
        <v>5</v>
      </c>
      <c r="I813" s="1">
        <v>6</v>
      </c>
      <c r="J813" s="1">
        <v>4</v>
      </c>
      <c r="K813" s="1">
        <f t="shared" si="150"/>
        <v>19</v>
      </c>
      <c r="L813" s="12">
        <f t="shared" si="157"/>
        <v>0.54285714285714282</v>
      </c>
      <c r="M813" s="1">
        <v>4</v>
      </c>
      <c r="N813" s="1">
        <v>3</v>
      </c>
      <c r="O813" s="1">
        <v>4</v>
      </c>
      <c r="P813" s="1">
        <v>4</v>
      </c>
      <c r="Q813" s="1">
        <f t="shared" si="151"/>
        <v>15</v>
      </c>
      <c r="R813" s="12">
        <f t="shared" si="158"/>
        <v>0.42857142857142855</v>
      </c>
      <c r="S813" s="1">
        <v>3</v>
      </c>
      <c r="T813" s="1">
        <v>4</v>
      </c>
      <c r="U813" s="1">
        <f t="shared" si="152"/>
        <v>7</v>
      </c>
      <c r="V813" s="12">
        <f t="shared" si="159"/>
        <v>0.46666666666666667</v>
      </c>
      <c r="W813" s="1">
        <v>3</v>
      </c>
      <c r="X813" s="1">
        <v>3</v>
      </c>
      <c r="Y813" s="1">
        <v>2</v>
      </c>
      <c r="Z813" s="1">
        <f t="shared" si="153"/>
        <v>8</v>
      </c>
      <c r="AA813" s="12">
        <f t="shared" si="160"/>
        <v>0.53333333333333333</v>
      </c>
      <c r="AB813" s="2" t="s">
        <v>432</v>
      </c>
    </row>
    <row r="814" spans="1:28" x14ac:dyDescent="0.25">
      <c r="A814" s="1" t="s">
        <v>1672</v>
      </c>
      <c r="B814" s="1" t="s">
        <v>35</v>
      </c>
      <c r="C814" s="1" t="s">
        <v>36</v>
      </c>
      <c r="D814" s="1">
        <v>5</v>
      </c>
      <c r="E814" s="1">
        <v>3</v>
      </c>
      <c r="F814" s="1">
        <v>1</v>
      </c>
      <c r="G814" s="1">
        <v>6</v>
      </c>
      <c r="H814" s="1">
        <v>6</v>
      </c>
      <c r="I814" s="1">
        <v>5</v>
      </c>
      <c r="J814" s="1">
        <v>5</v>
      </c>
      <c r="K814" s="1">
        <f t="shared" si="150"/>
        <v>22</v>
      </c>
      <c r="L814" s="12">
        <f t="shared" si="157"/>
        <v>0.62857142857142856</v>
      </c>
      <c r="M814" s="1">
        <v>7</v>
      </c>
      <c r="N814" s="1">
        <v>6</v>
      </c>
      <c r="O814" s="1">
        <v>6</v>
      </c>
      <c r="P814" s="1">
        <v>5</v>
      </c>
      <c r="Q814" s="1">
        <f t="shared" si="151"/>
        <v>24</v>
      </c>
      <c r="R814" s="12">
        <f t="shared" si="158"/>
        <v>0.68571428571428572</v>
      </c>
      <c r="S814" s="1">
        <v>6</v>
      </c>
      <c r="T814" s="1">
        <v>4</v>
      </c>
      <c r="U814" s="1">
        <f t="shared" si="152"/>
        <v>10</v>
      </c>
      <c r="V814" s="12">
        <f t="shared" si="159"/>
        <v>0.66666666666666663</v>
      </c>
      <c r="W814" s="1">
        <v>5</v>
      </c>
      <c r="X814" s="1">
        <v>4</v>
      </c>
      <c r="Y814" s="1">
        <v>5</v>
      </c>
      <c r="Z814" s="1">
        <f t="shared" si="153"/>
        <v>14</v>
      </c>
      <c r="AA814" s="12">
        <f t="shared" si="160"/>
        <v>0.93333333333333335</v>
      </c>
      <c r="AB814" s="2" t="s">
        <v>433</v>
      </c>
    </row>
    <row r="815" spans="1:28" x14ac:dyDescent="0.25">
      <c r="A815" s="1" t="s">
        <v>1672</v>
      </c>
      <c r="B815" s="1" t="s">
        <v>35</v>
      </c>
      <c r="C815" s="1" t="s">
        <v>36</v>
      </c>
      <c r="D815" s="1">
        <v>5</v>
      </c>
      <c r="E815" s="1">
        <v>3</v>
      </c>
      <c r="F815" s="1">
        <v>1</v>
      </c>
      <c r="G815" s="1">
        <v>6</v>
      </c>
      <c r="H815" s="1">
        <v>5</v>
      </c>
      <c r="I815" s="1">
        <v>4</v>
      </c>
      <c r="J815" s="1">
        <v>4</v>
      </c>
      <c r="K815" s="1">
        <f t="shared" si="150"/>
        <v>19</v>
      </c>
      <c r="L815" s="12">
        <f t="shared" si="157"/>
        <v>0.54285714285714282</v>
      </c>
      <c r="M815" s="1">
        <v>5</v>
      </c>
      <c r="N815" s="1">
        <v>5</v>
      </c>
      <c r="O815" s="1">
        <v>4</v>
      </c>
      <c r="P815" s="1">
        <v>4</v>
      </c>
      <c r="Q815" s="1">
        <f t="shared" si="151"/>
        <v>18</v>
      </c>
      <c r="R815" s="12">
        <f t="shared" si="158"/>
        <v>0.51428571428571423</v>
      </c>
      <c r="S815" s="1">
        <v>5</v>
      </c>
      <c r="T815" s="1">
        <v>4</v>
      </c>
      <c r="U815" s="1">
        <f t="shared" si="152"/>
        <v>9</v>
      </c>
      <c r="V815" s="12">
        <f t="shared" si="159"/>
        <v>0.6</v>
      </c>
      <c r="W815" s="1">
        <v>4</v>
      </c>
      <c r="X815" s="1">
        <v>4</v>
      </c>
      <c r="Y815" s="1">
        <v>4</v>
      </c>
      <c r="Z815" s="1">
        <f t="shared" si="153"/>
        <v>12</v>
      </c>
      <c r="AA815" s="12">
        <f t="shared" si="160"/>
        <v>0.8</v>
      </c>
      <c r="AB815" s="2" t="s">
        <v>434</v>
      </c>
    </row>
    <row r="816" spans="1:28" x14ac:dyDescent="0.25">
      <c r="A816" s="1" t="s">
        <v>1672</v>
      </c>
      <c r="B816" s="1" t="s">
        <v>35</v>
      </c>
      <c r="C816" s="1" t="s">
        <v>36</v>
      </c>
      <c r="D816" s="1">
        <v>5</v>
      </c>
      <c r="E816" s="1">
        <v>3</v>
      </c>
      <c r="F816" s="1">
        <v>1</v>
      </c>
      <c r="G816" s="1">
        <v>6</v>
      </c>
      <c r="H816" s="1">
        <v>6</v>
      </c>
      <c r="I816" s="1">
        <v>6</v>
      </c>
      <c r="J816" s="1">
        <v>4</v>
      </c>
      <c r="K816" s="1">
        <f t="shared" si="150"/>
        <v>22</v>
      </c>
      <c r="L816" s="12">
        <f t="shared" si="157"/>
        <v>0.62857142857142856</v>
      </c>
      <c r="M816" s="1">
        <v>6</v>
      </c>
      <c r="N816" s="1">
        <v>5</v>
      </c>
      <c r="O816" s="1">
        <v>5</v>
      </c>
      <c r="P816" s="1">
        <v>5</v>
      </c>
      <c r="Q816" s="1">
        <f t="shared" si="151"/>
        <v>21</v>
      </c>
      <c r="R816" s="12">
        <f t="shared" si="158"/>
        <v>0.6</v>
      </c>
      <c r="S816" s="1">
        <v>5</v>
      </c>
      <c r="T816" s="1">
        <v>5</v>
      </c>
      <c r="U816" s="1">
        <f t="shared" si="152"/>
        <v>10</v>
      </c>
      <c r="V816" s="12">
        <f t="shared" si="159"/>
        <v>0.66666666666666663</v>
      </c>
      <c r="W816" s="1">
        <v>4</v>
      </c>
      <c r="X816" s="1">
        <v>4</v>
      </c>
      <c r="Y816" s="1">
        <v>4</v>
      </c>
      <c r="Z816" s="1">
        <f t="shared" si="153"/>
        <v>12</v>
      </c>
      <c r="AA816" s="12">
        <f t="shared" si="160"/>
        <v>0.8</v>
      </c>
      <c r="AB816" s="2" t="s">
        <v>435</v>
      </c>
    </row>
    <row r="817" spans="1:28" x14ac:dyDescent="0.25">
      <c r="A817" s="1" t="s">
        <v>1672</v>
      </c>
      <c r="B817" s="1" t="s">
        <v>35</v>
      </c>
      <c r="C817" s="1" t="s">
        <v>36</v>
      </c>
      <c r="D817" s="1">
        <v>5</v>
      </c>
      <c r="E817" s="1">
        <v>3</v>
      </c>
      <c r="F817" s="1">
        <v>1</v>
      </c>
      <c r="G817" s="1">
        <v>4</v>
      </c>
      <c r="H817" s="1">
        <v>4</v>
      </c>
      <c r="I817" s="1">
        <v>3</v>
      </c>
      <c r="J817" s="1">
        <v>3</v>
      </c>
      <c r="K817" s="1">
        <f t="shared" si="150"/>
        <v>14</v>
      </c>
      <c r="L817" s="12">
        <f t="shared" si="157"/>
        <v>0.4</v>
      </c>
      <c r="M817" s="1">
        <v>5</v>
      </c>
      <c r="N817" s="1">
        <v>4</v>
      </c>
      <c r="O817" s="1">
        <v>4</v>
      </c>
      <c r="P817" s="1">
        <v>4</v>
      </c>
      <c r="Q817" s="1">
        <f t="shared" si="151"/>
        <v>17</v>
      </c>
      <c r="R817" s="12">
        <f t="shared" si="158"/>
        <v>0.48571428571428571</v>
      </c>
      <c r="S817" s="1">
        <v>4</v>
      </c>
      <c r="T817" s="1">
        <v>4</v>
      </c>
      <c r="U817" s="1">
        <f t="shared" si="152"/>
        <v>8</v>
      </c>
      <c r="V817" s="12">
        <f t="shared" si="159"/>
        <v>0.53333333333333333</v>
      </c>
      <c r="W817" s="1">
        <v>5</v>
      </c>
      <c r="X817" s="1">
        <v>4</v>
      </c>
      <c r="Y817" s="1">
        <v>4</v>
      </c>
      <c r="Z817" s="1">
        <f t="shared" si="153"/>
        <v>13</v>
      </c>
      <c r="AA817" s="12">
        <f t="shared" si="160"/>
        <v>0.8666666666666667</v>
      </c>
      <c r="AB817" s="2" t="s">
        <v>436</v>
      </c>
    </row>
    <row r="818" spans="1:28" x14ac:dyDescent="0.25">
      <c r="A818" s="1" t="s">
        <v>1672</v>
      </c>
      <c r="B818" s="1" t="s">
        <v>35</v>
      </c>
      <c r="C818" s="1" t="s">
        <v>36</v>
      </c>
      <c r="D818" s="1">
        <v>5</v>
      </c>
      <c r="E818" s="1">
        <v>3</v>
      </c>
      <c r="F818" s="1">
        <v>1</v>
      </c>
      <c r="G818" s="1">
        <v>4</v>
      </c>
      <c r="H818" s="1">
        <v>5</v>
      </c>
      <c r="I818" s="1">
        <v>4</v>
      </c>
      <c r="J818" s="1">
        <v>4</v>
      </c>
      <c r="K818" s="1">
        <f t="shared" si="150"/>
        <v>17</v>
      </c>
      <c r="L818" s="12">
        <f t="shared" si="157"/>
        <v>0.48571428571428571</v>
      </c>
      <c r="M818" s="1">
        <v>4</v>
      </c>
      <c r="N818" s="1">
        <v>4</v>
      </c>
      <c r="O818" s="1">
        <v>3</v>
      </c>
      <c r="P818" s="1">
        <v>4</v>
      </c>
      <c r="Q818" s="1">
        <f t="shared" si="151"/>
        <v>15</v>
      </c>
      <c r="R818" s="12">
        <f t="shared" si="158"/>
        <v>0.42857142857142855</v>
      </c>
      <c r="S818" s="1">
        <v>3</v>
      </c>
      <c r="T818" s="1">
        <v>4</v>
      </c>
      <c r="U818" s="1">
        <f t="shared" si="152"/>
        <v>7</v>
      </c>
      <c r="V818" s="12">
        <f t="shared" si="159"/>
        <v>0.46666666666666667</v>
      </c>
      <c r="W818" s="1">
        <v>4</v>
      </c>
      <c r="X818" s="1">
        <v>3</v>
      </c>
      <c r="Y818" s="1">
        <v>3</v>
      </c>
      <c r="Z818" s="1">
        <f t="shared" si="153"/>
        <v>10</v>
      </c>
      <c r="AA818" s="12">
        <f t="shared" si="160"/>
        <v>0.66666666666666663</v>
      </c>
      <c r="AB818" s="2" t="s">
        <v>437</v>
      </c>
    </row>
    <row r="819" spans="1:28" x14ac:dyDescent="0.25">
      <c r="A819" s="1" t="s">
        <v>1672</v>
      </c>
      <c r="B819" s="1" t="s">
        <v>35</v>
      </c>
      <c r="C819" s="1" t="s">
        <v>36</v>
      </c>
      <c r="D819" s="1">
        <v>5</v>
      </c>
      <c r="E819" s="1">
        <v>3</v>
      </c>
      <c r="F819" s="1">
        <v>1</v>
      </c>
      <c r="G819" s="1">
        <v>5</v>
      </c>
      <c r="H819" s="1">
        <v>4</v>
      </c>
      <c r="I819" s="1">
        <v>3</v>
      </c>
      <c r="J819" s="1">
        <v>3</v>
      </c>
      <c r="K819" s="1">
        <f t="shared" si="150"/>
        <v>15</v>
      </c>
      <c r="L819" s="12">
        <f t="shared" si="157"/>
        <v>0.42857142857142855</v>
      </c>
      <c r="M819" s="1">
        <v>4</v>
      </c>
      <c r="N819" s="1">
        <v>3</v>
      </c>
      <c r="O819" s="1">
        <v>3</v>
      </c>
      <c r="P819" s="1">
        <v>3</v>
      </c>
      <c r="Q819" s="1">
        <f t="shared" si="151"/>
        <v>13</v>
      </c>
      <c r="R819" s="12">
        <f t="shared" si="158"/>
        <v>0.37142857142857144</v>
      </c>
      <c r="S819" s="1">
        <v>2</v>
      </c>
      <c r="T819" s="1">
        <v>3</v>
      </c>
      <c r="U819" s="1">
        <f t="shared" si="152"/>
        <v>5</v>
      </c>
      <c r="V819" s="12">
        <f t="shared" si="159"/>
        <v>0.33333333333333331</v>
      </c>
      <c r="W819" s="1">
        <v>4</v>
      </c>
      <c r="X819" s="1">
        <v>3</v>
      </c>
      <c r="Y819" s="1">
        <v>3</v>
      </c>
      <c r="Z819" s="1">
        <f t="shared" si="153"/>
        <v>10</v>
      </c>
      <c r="AA819" s="12">
        <f t="shared" si="160"/>
        <v>0.66666666666666663</v>
      </c>
      <c r="AB819" s="2" t="s">
        <v>438</v>
      </c>
    </row>
    <row r="820" spans="1:28" x14ac:dyDescent="0.25">
      <c r="A820" s="1" t="s">
        <v>1672</v>
      </c>
      <c r="B820" s="1" t="s">
        <v>35</v>
      </c>
      <c r="C820" s="1" t="s">
        <v>36</v>
      </c>
      <c r="D820" s="1">
        <v>5</v>
      </c>
      <c r="E820" s="1">
        <v>3</v>
      </c>
      <c r="F820" s="1">
        <v>1</v>
      </c>
      <c r="G820" s="1">
        <v>4</v>
      </c>
      <c r="H820" s="1">
        <v>4</v>
      </c>
      <c r="I820" s="1">
        <v>4</v>
      </c>
      <c r="J820" s="1">
        <v>3</v>
      </c>
      <c r="K820" s="1">
        <f t="shared" si="150"/>
        <v>15</v>
      </c>
      <c r="L820" s="12">
        <f t="shared" si="157"/>
        <v>0.42857142857142855</v>
      </c>
      <c r="M820" s="1">
        <v>4</v>
      </c>
      <c r="N820" s="1">
        <v>3</v>
      </c>
      <c r="O820" s="1">
        <v>3</v>
      </c>
      <c r="P820" s="1">
        <v>3</v>
      </c>
      <c r="Q820" s="1">
        <f t="shared" si="151"/>
        <v>13</v>
      </c>
      <c r="R820" s="12">
        <f t="shared" si="158"/>
        <v>0.37142857142857144</v>
      </c>
      <c r="S820" s="1">
        <v>4</v>
      </c>
      <c r="T820" s="1">
        <v>3</v>
      </c>
      <c r="U820" s="1">
        <f t="shared" si="152"/>
        <v>7</v>
      </c>
      <c r="V820" s="12">
        <f t="shared" si="159"/>
        <v>0.46666666666666667</v>
      </c>
      <c r="W820" s="1">
        <v>4</v>
      </c>
      <c r="X820" s="1">
        <v>3</v>
      </c>
      <c r="Y820" s="1">
        <v>3</v>
      </c>
      <c r="Z820" s="1">
        <f t="shared" si="153"/>
        <v>10</v>
      </c>
      <c r="AA820" s="12">
        <f t="shared" si="160"/>
        <v>0.66666666666666663</v>
      </c>
      <c r="AB820" s="2" t="s">
        <v>439</v>
      </c>
    </row>
    <row r="821" spans="1:28" x14ac:dyDescent="0.25">
      <c r="A821" s="1" t="s">
        <v>1672</v>
      </c>
      <c r="B821" s="1" t="s">
        <v>576</v>
      </c>
      <c r="C821" s="1" t="s">
        <v>36</v>
      </c>
      <c r="D821" s="1">
        <v>12</v>
      </c>
      <c r="E821" s="1">
        <v>3</v>
      </c>
      <c r="F821" s="1">
        <v>5</v>
      </c>
      <c r="G821" s="1">
        <v>7</v>
      </c>
      <c r="H821" s="1">
        <v>6</v>
      </c>
      <c r="I821" s="1">
        <v>5</v>
      </c>
      <c r="J821" s="1">
        <v>4</v>
      </c>
      <c r="K821" s="1">
        <f t="shared" si="150"/>
        <v>22</v>
      </c>
      <c r="L821" s="12">
        <f t="shared" si="157"/>
        <v>0.62857142857142856</v>
      </c>
      <c r="M821" s="1">
        <v>4</v>
      </c>
      <c r="N821" s="1">
        <v>4</v>
      </c>
      <c r="O821" s="1">
        <v>6</v>
      </c>
      <c r="P821" s="1">
        <v>4</v>
      </c>
      <c r="Q821" s="1">
        <f t="shared" si="151"/>
        <v>18</v>
      </c>
      <c r="R821" s="12">
        <f t="shared" si="158"/>
        <v>0.51428571428571423</v>
      </c>
      <c r="S821" s="1">
        <v>4</v>
      </c>
      <c r="T821" s="1">
        <v>3</v>
      </c>
      <c r="U821" s="1">
        <f t="shared" si="152"/>
        <v>7</v>
      </c>
      <c r="V821" s="12">
        <f t="shared" si="159"/>
        <v>0.46666666666666667</v>
      </c>
      <c r="W821" s="1">
        <v>4</v>
      </c>
      <c r="X821" s="1">
        <v>3</v>
      </c>
      <c r="Y821" s="1">
        <v>3</v>
      </c>
      <c r="Z821" s="1">
        <f t="shared" si="153"/>
        <v>10</v>
      </c>
      <c r="AA821" s="12">
        <f t="shared" si="160"/>
        <v>0.66666666666666663</v>
      </c>
      <c r="AB821" s="2" t="s">
        <v>853</v>
      </c>
    </row>
    <row r="822" spans="1:28" x14ac:dyDescent="0.25">
      <c r="A822" s="1" t="s">
        <v>1672</v>
      </c>
      <c r="B822" s="1" t="s">
        <v>576</v>
      </c>
      <c r="C822" s="1" t="s">
        <v>36</v>
      </c>
      <c r="D822" s="1">
        <v>12</v>
      </c>
      <c r="E822" s="1">
        <v>3</v>
      </c>
      <c r="F822" s="1">
        <v>5</v>
      </c>
      <c r="G822" s="1">
        <v>7</v>
      </c>
      <c r="H822" s="1">
        <v>7</v>
      </c>
      <c r="I822" s="1">
        <v>6</v>
      </c>
      <c r="J822" s="1">
        <v>4</v>
      </c>
      <c r="K822" s="1">
        <f t="shared" si="150"/>
        <v>24</v>
      </c>
      <c r="L822" s="12">
        <f t="shared" si="157"/>
        <v>0.68571428571428572</v>
      </c>
      <c r="M822" s="1">
        <v>4</v>
      </c>
      <c r="N822" s="1">
        <v>6</v>
      </c>
      <c r="O822" s="1">
        <v>7</v>
      </c>
      <c r="P822" s="1">
        <v>5</v>
      </c>
      <c r="Q822" s="1">
        <f t="shared" si="151"/>
        <v>22</v>
      </c>
      <c r="R822" s="12">
        <f t="shared" si="158"/>
        <v>0.62857142857142856</v>
      </c>
      <c r="S822" s="1">
        <v>5</v>
      </c>
      <c r="T822" s="1">
        <v>5</v>
      </c>
      <c r="U822" s="1">
        <f t="shared" si="152"/>
        <v>10</v>
      </c>
      <c r="V822" s="12">
        <f t="shared" si="159"/>
        <v>0.66666666666666663</v>
      </c>
      <c r="W822" s="1">
        <v>4</v>
      </c>
      <c r="X822" s="1">
        <v>4</v>
      </c>
      <c r="Y822" s="1">
        <v>3</v>
      </c>
      <c r="Z822" s="1">
        <f t="shared" si="153"/>
        <v>11</v>
      </c>
      <c r="AA822" s="12">
        <f t="shared" si="160"/>
        <v>0.73333333333333328</v>
      </c>
      <c r="AB822" s="2" t="s">
        <v>854</v>
      </c>
    </row>
    <row r="823" spans="1:28" x14ac:dyDescent="0.25">
      <c r="A823" s="1" t="s">
        <v>1672</v>
      </c>
      <c r="B823" s="1" t="s">
        <v>576</v>
      </c>
      <c r="C823" s="1" t="s">
        <v>36</v>
      </c>
      <c r="D823" s="1">
        <v>12</v>
      </c>
      <c r="E823" s="1">
        <v>3</v>
      </c>
      <c r="F823" s="1">
        <v>5</v>
      </c>
      <c r="G823" s="1">
        <v>6</v>
      </c>
      <c r="H823" s="1">
        <v>8</v>
      </c>
      <c r="I823" s="1">
        <v>6</v>
      </c>
      <c r="J823" s="1">
        <v>5</v>
      </c>
      <c r="K823" s="1">
        <f t="shared" si="150"/>
        <v>25</v>
      </c>
      <c r="L823" s="12">
        <f t="shared" si="157"/>
        <v>0.7142857142857143</v>
      </c>
      <c r="M823" s="1">
        <v>7</v>
      </c>
      <c r="N823" s="1">
        <v>5</v>
      </c>
      <c r="O823" s="1">
        <v>6</v>
      </c>
      <c r="P823" s="1">
        <v>4</v>
      </c>
      <c r="Q823" s="1">
        <f t="shared" si="151"/>
        <v>22</v>
      </c>
      <c r="R823" s="12">
        <f t="shared" si="158"/>
        <v>0.62857142857142856</v>
      </c>
      <c r="S823" s="1">
        <v>5</v>
      </c>
      <c r="T823" s="1">
        <v>4</v>
      </c>
      <c r="U823" s="1">
        <f t="shared" si="152"/>
        <v>9</v>
      </c>
      <c r="V823" s="12">
        <f t="shared" si="159"/>
        <v>0.6</v>
      </c>
      <c r="W823" s="1">
        <v>4</v>
      </c>
      <c r="X823" s="1">
        <v>5</v>
      </c>
      <c r="Y823" s="1">
        <v>4</v>
      </c>
      <c r="Z823" s="1">
        <f t="shared" si="153"/>
        <v>13</v>
      </c>
      <c r="AA823" s="12">
        <f t="shared" si="160"/>
        <v>0.8666666666666667</v>
      </c>
      <c r="AB823" s="2" t="s">
        <v>855</v>
      </c>
    </row>
    <row r="824" spans="1:28" x14ac:dyDescent="0.25">
      <c r="A824" s="1" t="s">
        <v>1672</v>
      </c>
      <c r="B824" s="1" t="s">
        <v>576</v>
      </c>
      <c r="C824" s="1" t="s">
        <v>36</v>
      </c>
      <c r="D824" s="1">
        <v>12</v>
      </c>
      <c r="E824" s="1">
        <v>3</v>
      </c>
      <c r="F824" s="1">
        <v>5</v>
      </c>
      <c r="G824" s="1">
        <v>7</v>
      </c>
      <c r="H824" s="1">
        <v>6</v>
      </c>
      <c r="I824" s="1">
        <v>6</v>
      </c>
      <c r="J824" s="1">
        <v>5</v>
      </c>
      <c r="K824" s="1">
        <f t="shared" si="150"/>
        <v>24</v>
      </c>
      <c r="L824" s="12">
        <f t="shared" si="157"/>
        <v>0.68571428571428572</v>
      </c>
      <c r="M824" s="1">
        <v>5</v>
      </c>
      <c r="N824" s="1">
        <v>6</v>
      </c>
      <c r="O824" s="1">
        <v>8</v>
      </c>
      <c r="P824" s="1">
        <v>4</v>
      </c>
      <c r="Q824" s="1">
        <f t="shared" si="151"/>
        <v>23</v>
      </c>
      <c r="R824" s="12">
        <f t="shared" si="158"/>
        <v>0.65714285714285714</v>
      </c>
      <c r="S824" s="1">
        <v>6</v>
      </c>
      <c r="T824" s="1">
        <v>4</v>
      </c>
      <c r="U824" s="1">
        <f t="shared" si="152"/>
        <v>10</v>
      </c>
      <c r="V824" s="12">
        <f t="shared" si="159"/>
        <v>0.66666666666666663</v>
      </c>
      <c r="W824" s="1">
        <v>4</v>
      </c>
      <c r="X824" s="1">
        <v>4</v>
      </c>
      <c r="Y824" s="1">
        <v>5</v>
      </c>
      <c r="Z824" s="1">
        <f t="shared" si="153"/>
        <v>13</v>
      </c>
      <c r="AA824" s="12">
        <f t="shared" si="160"/>
        <v>0.8666666666666667</v>
      </c>
      <c r="AB824" s="2" t="s">
        <v>856</v>
      </c>
    </row>
    <row r="825" spans="1:28" x14ac:dyDescent="0.25">
      <c r="A825" s="1" t="s">
        <v>1672</v>
      </c>
      <c r="B825" s="1" t="s">
        <v>576</v>
      </c>
      <c r="C825" s="1" t="s">
        <v>36</v>
      </c>
      <c r="D825" s="1">
        <v>12</v>
      </c>
      <c r="E825" s="1">
        <v>3</v>
      </c>
      <c r="F825" s="1">
        <v>5</v>
      </c>
      <c r="G825" s="1">
        <v>6</v>
      </c>
      <c r="H825" s="1">
        <v>6</v>
      </c>
      <c r="I825" s="1">
        <v>5</v>
      </c>
      <c r="J825" s="1">
        <v>4</v>
      </c>
      <c r="K825" s="1">
        <f t="shared" si="150"/>
        <v>21</v>
      </c>
      <c r="L825" s="12">
        <f t="shared" si="157"/>
        <v>0.6</v>
      </c>
      <c r="M825" s="1">
        <v>5</v>
      </c>
      <c r="N825" s="1">
        <v>5</v>
      </c>
      <c r="O825" s="1">
        <v>6</v>
      </c>
      <c r="P825" s="1">
        <v>4</v>
      </c>
      <c r="Q825" s="1">
        <f t="shared" si="151"/>
        <v>20</v>
      </c>
      <c r="R825" s="12">
        <f t="shared" si="158"/>
        <v>0.5714285714285714</v>
      </c>
      <c r="S825" s="1">
        <v>5</v>
      </c>
      <c r="T825" s="1">
        <v>4</v>
      </c>
      <c r="U825" s="1">
        <f t="shared" si="152"/>
        <v>9</v>
      </c>
      <c r="V825" s="12">
        <f t="shared" si="159"/>
        <v>0.6</v>
      </c>
      <c r="W825" s="1">
        <v>4</v>
      </c>
      <c r="X825" s="1">
        <v>4</v>
      </c>
      <c r="Y825" s="1">
        <v>5</v>
      </c>
      <c r="Z825" s="1">
        <f t="shared" si="153"/>
        <v>13</v>
      </c>
      <c r="AA825" s="12">
        <f t="shared" si="160"/>
        <v>0.8666666666666667</v>
      </c>
      <c r="AB825" s="2" t="s">
        <v>857</v>
      </c>
    </row>
    <row r="826" spans="1:28" x14ac:dyDescent="0.25">
      <c r="A826" s="1" t="s">
        <v>1672</v>
      </c>
      <c r="B826" s="1" t="s">
        <v>576</v>
      </c>
      <c r="C826" s="1" t="s">
        <v>36</v>
      </c>
      <c r="D826" s="1">
        <v>12</v>
      </c>
      <c r="E826" s="1">
        <v>3</v>
      </c>
      <c r="F826" s="1">
        <v>5</v>
      </c>
      <c r="G826" s="1">
        <v>7</v>
      </c>
      <c r="H826" s="1">
        <v>7</v>
      </c>
      <c r="I826" s="1">
        <v>7</v>
      </c>
      <c r="J826" s="1">
        <v>5</v>
      </c>
      <c r="K826" s="1">
        <f t="shared" si="150"/>
        <v>26</v>
      </c>
      <c r="L826" s="12">
        <f t="shared" si="157"/>
        <v>0.74285714285714288</v>
      </c>
      <c r="M826" s="1">
        <v>6</v>
      </c>
      <c r="N826" s="1">
        <v>5</v>
      </c>
      <c r="O826" s="1">
        <v>7</v>
      </c>
      <c r="P826" s="1">
        <v>4</v>
      </c>
      <c r="Q826" s="1">
        <f t="shared" si="151"/>
        <v>22</v>
      </c>
      <c r="R826" s="12">
        <f t="shared" si="158"/>
        <v>0.62857142857142856</v>
      </c>
      <c r="S826" s="1">
        <v>6</v>
      </c>
      <c r="T826" s="1">
        <v>4</v>
      </c>
      <c r="U826" s="1">
        <f t="shared" si="152"/>
        <v>10</v>
      </c>
      <c r="V826" s="12">
        <f t="shared" si="159"/>
        <v>0.66666666666666663</v>
      </c>
      <c r="W826" s="1">
        <v>5</v>
      </c>
      <c r="X826" s="1">
        <v>4</v>
      </c>
      <c r="Y826" s="1">
        <v>5</v>
      </c>
      <c r="Z826" s="1">
        <f t="shared" si="153"/>
        <v>14</v>
      </c>
      <c r="AA826" s="12">
        <f t="shared" si="160"/>
        <v>0.93333333333333335</v>
      </c>
      <c r="AB826" s="2" t="s">
        <v>858</v>
      </c>
    </row>
    <row r="827" spans="1:28" x14ac:dyDescent="0.25">
      <c r="A827" s="1" t="s">
        <v>1672</v>
      </c>
      <c r="B827" s="1" t="s">
        <v>576</v>
      </c>
      <c r="C827" s="1" t="s">
        <v>36</v>
      </c>
      <c r="D827" s="1">
        <v>12</v>
      </c>
      <c r="E827" s="1">
        <v>3</v>
      </c>
      <c r="F827" s="1">
        <v>5</v>
      </c>
      <c r="G827" s="1">
        <v>7</v>
      </c>
      <c r="H827" s="1">
        <v>7</v>
      </c>
      <c r="I827" s="1">
        <v>6</v>
      </c>
      <c r="J827" s="1">
        <v>4</v>
      </c>
      <c r="K827" s="1">
        <f t="shared" si="150"/>
        <v>24</v>
      </c>
      <c r="L827" s="12">
        <f t="shared" si="157"/>
        <v>0.68571428571428572</v>
      </c>
      <c r="M827" s="1">
        <v>7</v>
      </c>
      <c r="N827" s="1">
        <v>6</v>
      </c>
      <c r="O827" s="1">
        <v>5</v>
      </c>
      <c r="P827" s="1">
        <v>4</v>
      </c>
      <c r="Q827" s="1">
        <f t="shared" si="151"/>
        <v>22</v>
      </c>
      <c r="R827" s="12">
        <f t="shared" si="158"/>
        <v>0.62857142857142856</v>
      </c>
      <c r="S827" s="1">
        <v>6</v>
      </c>
      <c r="T827" s="1">
        <v>3</v>
      </c>
      <c r="U827" s="1">
        <f t="shared" si="152"/>
        <v>9</v>
      </c>
      <c r="V827" s="12">
        <f t="shared" si="159"/>
        <v>0.6</v>
      </c>
      <c r="W827" s="1">
        <v>4</v>
      </c>
      <c r="X827" s="1">
        <v>3</v>
      </c>
      <c r="Y827" s="1">
        <v>3</v>
      </c>
      <c r="Z827" s="1">
        <f t="shared" si="153"/>
        <v>10</v>
      </c>
      <c r="AA827" s="12">
        <f t="shared" si="160"/>
        <v>0.66666666666666663</v>
      </c>
      <c r="AB827" s="2" t="s">
        <v>859</v>
      </c>
    </row>
    <row r="828" spans="1:28" x14ac:dyDescent="0.25">
      <c r="A828" s="1" t="s">
        <v>1672</v>
      </c>
      <c r="B828" s="1" t="s">
        <v>35</v>
      </c>
      <c r="C828" s="1" t="s">
        <v>861</v>
      </c>
      <c r="D828" s="1">
        <v>4</v>
      </c>
      <c r="E828" s="1">
        <v>3</v>
      </c>
      <c r="F828" s="1">
        <v>5</v>
      </c>
      <c r="G828" s="1">
        <v>5</v>
      </c>
      <c r="H828" s="1">
        <v>6</v>
      </c>
      <c r="I828" s="1">
        <v>4</v>
      </c>
      <c r="J828" s="1">
        <v>5</v>
      </c>
      <c r="K828" s="1">
        <f t="shared" si="150"/>
        <v>20</v>
      </c>
      <c r="L828" s="12">
        <f t="shared" ref="L828:L849" si="161">K828/40</f>
        <v>0.5</v>
      </c>
      <c r="M828" s="1">
        <v>4</v>
      </c>
      <c r="N828" s="1">
        <v>5</v>
      </c>
      <c r="O828" s="1">
        <v>6</v>
      </c>
      <c r="P828" s="1">
        <v>5</v>
      </c>
      <c r="Q828" s="1">
        <f t="shared" si="151"/>
        <v>20</v>
      </c>
      <c r="R828" s="12">
        <f t="shared" ref="R828:R849" si="162">Q828/40</f>
        <v>0.5</v>
      </c>
      <c r="S828" s="1">
        <v>5</v>
      </c>
      <c r="T828" s="1">
        <v>6</v>
      </c>
      <c r="U828" s="1">
        <f t="shared" si="152"/>
        <v>11</v>
      </c>
      <c r="V828" s="12">
        <f t="shared" ref="V828:V849" si="163">U828/20</f>
        <v>0.55000000000000004</v>
      </c>
      <c r="Z828" s="1">
        <f t="shared" si="153"/>
        <v>0</v>
      </c>
      <c r="AB828" s="2" t="s">
        <v>1312</v>
      </c>
    </row>
    <row r="829" spans="1:28" x14ac:dyDescent="0.25">
      <c r="A829" s="1" t="s">
        <v>1672</v>
      </c>
      <c r="B829" s="1" t="s">
        <v>35</v>
      </c>
      <c r="C829" s="1" t="s">
        <v>861</v>
      </c>
      <c r="D829" s="1">
        <v>4</v>
      </c>
      <c r="E829" s="1">
        <v>3</v>
      </c>
      <c r="F829" s="1">
        <v>5</v>
      </c>
      <c r="G829" s="1">
        <v>5</v>
      </c>
      <c r="H829" s="1">
        <v>4</v>
      </c>
      <c r="I829" s="1">
        <v>4</v>
      </c>
      <c r="J829" s="1">
        <v>4</v>
      </c>
      <c r="K829" s="1">
        <f t="shared" si="150"/>
        <v>17</v>
      </c>
      <c r="L829" s="12">
        <f t="shared" si="161"/>
        <v>0.42499999999999999</v>
      </c>
      <c r="M829" s="1">
        <v>5</v>
      </c>
      <c r="N829" s="1">
        <v>6</v>
      </c>
      <c r="O829" s="1">
        <v>5</v>
      </c>
      <c r="P829" s="1">
        <v>4</v>
      </c>
      <c r="Q829" s="1">
        <f t="shared" si="151"/>
        <v>20</v>
      </c>
      <c r="R829" s="12">
        <f t="shared" si="162"/>
        <v>0.5</v>
      </c>
      <c r="S829" s="1">
        <v>4</v>
      </c>
      <c r="T829" s="1">
        <v>5</v>
      </c>
      <c r="U829" s="1">
        <f t="shared" si="152"/>
        <v>9</v>
      </c>
      <c r="V829" s="12">
        <f t="shared" si="163"/>
        <v>0.45</v>
      </c>
      <c r="Z829" s="1">
        <f t="shared" si="153"/>
        <v>0</v>
      </c>
      <c r="AB829" s="2" t="s">
        <v>1313</v>
      </c>
    </row>
    <row r="830" spans="1:28" x14ac:dyDescent="0.25">
      <c r="A830" s="1" t="s">
        <v>1672</v>
      </c>
      <c r="B830" s="1" t="s">
        <v>35</v>
      </c>
      <c r="C830" s="1" t="s">
        <v>861</v>
      </c>
      <c r="D830" s="1">
        <v>4</v>
      </c>
      <c r="E830" s="1">
        <v>3</v>
      </c>
      <c r="F830" s="1">
        <v>5</v>
      </c>
      <c r="G830" s="1">
        <v>6</v>
      </c>
      <c r="H830" s="1">
        <v>5</v>
      </c>
      <c r="I830" s="1">
        <v>4</v>
      </c>
      <c r="J830" s="1">
        <v>5</v>
      </c>
      <c r="K830" s="1">
        <f t="shared" si="150"/>
        <v>20</v>
      </c>
      <c r="L830" s="12">
        <f t="shared" si="161"/>
        <v>0.5</v>
      </c>
      <c r="M830" s="1">
        <v>6</v>
      </c>
      <c r="N830" s="1">
        <v>5</v>
      </c>
      <c r="O830" s="1">
        <v>5</v>
      </c>
      <c r="P830" s="1">
        <v>6</v>
      </c>
      <c r="Q830" s="1">
        <f t="shared" si="151"/>
        <v>22</v>
      </c>
      <c r="R830" s="12">
        <f t="shared" si="162"/>
        <v>0.55000000000000004</v>
      </c>
      <c r="S830" s="1">
        <v>6</v>
      </c>
      <c r="T830" s="1">
        <v>5</v>
      </c>
      <c r="U830" s="1">
        <f t="shared" si="152"/>
        <v>11</v>
      </c>
      <c r="V830" s="12">
        <f t="shared" si="163"/>
        <v>0.55000000000000004</v>
      </c>
      <c r="Z830" s="1">
        <f t="shared" si="153"/>
        <v>0</v>
      </c>
      <c r="AB830" s="2" t="s">
        <v>1314</v>
      </c>
    </row>
    <row r="831" spans="1:28" x14ac:dyDescent="0.25">
      <c r="A831" s="1" t="s">
        <v>1672</v>
      </c>
      <c r="B831" s="1" t="s">
        <v>35</v>
      </c>
      <c r="C831" s="1" t="s">
        <v>861</v>
      </c>
      <c r="D831" s="1">
        <v>4</v>
      </c>
      <c r="E831" s="1">
        <v>3</v>
      </c>
      <c r="F831" s="1">
        <v>5</v>
      </c>
      <c r="G831" s="1">
        <v>4</v>
      </c>
      <c r="H831" s="1">
        <v>4</v>
      </c>
      <c r="I831" s="1">
        <v>3</v>
      </c>
      <c r="J831" s="1">
        <v>4</v>
      </c>
      <c r="K831" s="1">
        <f t="shared" si="150"/>
        <v>15</v>
      </c>
      <c r="L831" s="12">
        <f t="shared" si="161"/>
        <v>0.375</v>
      </c>
      <c r="M831" s="1">
        <v>5</v>
      </c>
      <c r="N831" s="1">
        <v>4</v>
      </c>
      <c r="O831" s="1">
        <v>3</v>
      </c>
      <c r="P831" s="1">
        <v>4</v>
      </c>
      <c r="Q831" s="1">
        <f t="shared" si="151"/>
        <v>16</v>
      </c>
      <c r="R831" s="12">
        <f t="shared" si="162"/>
        <v>0.4</v>
      </c>
      <c r="S831" s="1">
        <v>4</v>
      </c>
      <c r="T831" s="1">
        <v>3</v>
      </c>
      <c r="U831" s="1">
        <f t="shared" si="152"/>
        <v>7</v>
      </c>
      <c r="V831" s="12">
        <f t="shared" si="163"/>
        <v>0.35</v>
      </c>
      <c r="Z831" s="1">
        <f t="shared" si="153"/>
        <v>0</v>
      </c>
      <c r="AB831" s="2" t="s">
        <v>1315</v>
      </c>
    </row>
    <row r="832" spans="1:28" x14ac:dyDescent="0.25">
      <c r="A832" s="1" t="s">
        <v>1672</v>
      </c>
      <c r="B832" s="1" t="s">
        <v>35</v>
      </c>
      <c r="C832" s="1" t="s">
        <v>861</v>
      </c>
      <c r="D832" s="1">
        <v>4</v>
      </c>
      <c r="E832" s="1">
        <v>3</v>
      </c>
      <c r="F832" s="1">
        <v>5</v>
      </c>
      <c r="G832" s="1">
        <v>6</v>
      </c>
      <c r="H832" s="1">
        <v>6</v>
      </c>
      <c r="I832" s="1">
        <v>6</v>
      </c>
      <c r="J832" s="1">
        <v>5</v>
      </c>
      <c r="K832" s="1">
        <f t="shared" si="150"/>
        <v>23</v>
      </c>
      <c r="L832" s="12">
        <f t="shared" si="161"/>
        <v>0.57499999999999996</v>
      </c>
      <c r="M832" s="1">
        <v>5</v>
      </c>
      <c r="N832" s="1">
        <v>5</v>
      </c>
      <c r="O832" s="1">
        <v>6</v>
      </c>
      <c r="P832" s="1">
        <v>6</v>
      </c>
      <c r="Q832" s="1">
        <f t="shared" si="151"/>
        <v>22</v>
      </c>
      <c r="R832" s="12">
        <f t="shared" si="162"/>
        <v>0.55000000000000004</v>
      </c>
      <c r="S832" s="1">
        <v>5</v>
      </c>
      <c r="T832" s="1">
        <v>4</v>
      </c>
      <c r="U832" s="1">
        <f t="shared" si="152"/>
        <v>9</v>
      </c>
      <c r="V832" s="12">
        <f t="shared" si="163"/>
        <v>0.45</v>
      </c>
      <c r="Z832" s="1">
        <f t="shared" si="153"/>
        <v>0</v>
      </c>
      <c r="AB832" s="2" t="s">
        <v>1316</v>
      </c>
    </row>
    <row r="833" spans="1:28" x14ac:dyDescent="0.25">
      <c r="A833" s="1" t="s">
        <v>1672</v>
      </c>
      <c r="B833" s="1" t="s">
        <v>35</v>
      </c>
      <c r="C833" s="1" t="s">
        <v>861</v>
      </c>
      <c r="D833" s="1">
        <v>4</v>
      </c>
      <c r="E833" s="1">
        <v>3</v>
      </c>
      <c r="F833" s="1">
        <v>5</v>
      </c>
      <c r="G833" s="1">
        <v>5</v>
      </c>
      <c r="H833" s="1">
        <v>6</v>
      </c>
      <c r="I833" s="1">
        <v>4</v>
      </c>
      <c r="J833" s="1">
        <v>4</v>
      </c>
      <c r="K833" s="1">
        <f t="shared" si="150"/>
        <v>19</v>
      </c>
      <c r="L833" s="12">
        <f t="shared" si="161"/>
        <v>0.47499999999999998</v>
      </c>
      <c r="M833" s="1">
        <v>5</v>
      </c>
      <c r="N833" s="1">
        <v>4</v>
      </c>
      <c r="O833" s="1">
        <v>4</v>
      </c>
      <c r="P833" s="1">
        <v>5</v>
      </c>
      <c r="Q833" s="1">
        <f t="shared" si="151"/>
        <v>18</v>
      </c>
      <c r="R833" s="12">
        <f t="shared" si="162"/>
        <v>0.45</v>
      </c>
      <c r="S833" s="1">
        <v>5</v>
      </c>
      <c r="T833" s="1">
        <v>6</v>
      </c>
      <c r="U833" s="1">
        <f t="shared" si="152"/>
        <v>11</v>
      </c>
      <c r="V833" s="12">
        <f t="shared" si="163"/>
        <v>0.55000000000000004</v>
      </c>
      <c r="Z833" s="1">
        <f t="shared" si="153"/>
        <v>0</v>
      </c>
      <c r="AB833" s="2" t="s">
        <v>1317</v>
      </c>
    </row>
    <row r="834" spans="1:28" x14ac:dyDescent="0.25">
      <c r="A834" s="1" t="s">
        <v>1672</v>
      </c>
      <c r="B834" s="1" t="s">
        <v>35</v>
      </c>
      <c r="C834" s="1" t="s">
        <v>861</v>
      </c>
      <c r="D834" s="1">
        <v>4</v>
      </c>
      <c r="E834" s="1">
        <v>3</v>
      </c>
      <c r="F834" s="1">
        <v>5</v>
      </c>
      <c r="G834" s="1">
        <v>6</v>
      </c>
      <c r="H834" s="1">
        <v>6</v>
      </c>
      <c r="I834" s="1">
        <v>5</v>
      </c>
      <c r="J834" s="1">
        <v>5</v>
      </c>
      <c r="K834" s="1">
        <f t="shared" si="150"/>
        <v>22</v>
      </c>
      <c r="L834" s="12">
        <f t="shared" si="161"/>
        <v>0.55000000000000004</v>
      </c>
      <c r="M834" s="1">
        <v>5</v>
      </c>
      <c r="N834" s="1">
        <v>4</v>
      </c>
      <c r="O834" s="1">
        <v>5</v>
      </c>
      <c r="P834" s="1">
        <v>6</v>
      </c>
      <c r="Q834" s="1">
        <f t="shared" si="151"/>
        <v>20</v>
      </c>
      <c r="R834" s="12">
        <f t="shared" si="162"/>
        <v>0.5</v>
      </c>
      <c r="S834" s="1">
        <v>4</v>
      </c>
      <c r="T834" s="1">
        <v>6</v>
      </c>
      <c r="U834" s="1">
        <f t="shared" si="152"/>
        <v>10</v>
      </c>
      <c r="V834" s="12">
        <f t="shared" si="163"/>
        <v>0.5</v>
      </c>
      <c r="Z834" s="1">
        <f t="shared" si="153"/>
        <v>0</v>
      </c>
      <c r="AB834" s="2" t="s">
        <v>1318</v>
      </c>
    </row>
    <row r="835" spans="1:28" x14ac:dyDescent="0.25">
      <c r="A835" s="1" t="s">
        <v>1672</v>
      </c>
      <c r="B835" s="1" t="s">
        <v>35</v>
      </c>
      <c r="C835" s="1" t="s">
        <v>861</v>
      </c>
      <c r="D835" s="1">
        <v>4</v>
      </c>
      <c r="E835" s="1">
        <v>3</v>
      </c>
      <c r="F835" s="1">
        <v>5</v>
      </c>
      <c r="G835" s="1">
        <v>6</v>
      </c>
      <c r="H835" s="1">
        <v>6</v>
      </c>
      <c r="I835" s="1">
        <v>6</v>
      </c>
      <c r="J835" s="1">
        <v>6</v>
      </c>
      <c r="K835" s="1">
        <f t="shared" ref="K835:K898" si="164">SUM(G835:J835)</f>
        <v>24</v>
      </c>
      <c r="L835" s="12">
        <f t="shared" si="161"/>
        <v>0.6</v>
      </c>
      <c r="M835" s="1">
        <v>5</v>
      </c>
      <c r="N835" s="1">
        <v>5</v>
      </c>
      <c r="O835" s="1">
        <v>5</v>
      </c>
      <c r="P835" s="1">
        <v>5</v>
      </c>
      <c r="Q835" s="1">
        <f t="shared" ref="Q835:Q898" si="165">SUM(M835:P835)</f>
        <v>20</v>
      </c>
      <c r="R835" s="12">
        <f t="shared" si="162"/>
        <v>0.5</v>
      </c>
      <c r="S835" s="1">
        <v>6</v>
      </c>
      <c r="T835" s="1">
        <v>5</v>
      </c>
      <c r="U835" s="1">
        <f t="shared" ref="U835:U898" si="166">SUM(S835:T835)</f>
        <v>11</v>
      </c>
      <c r="V835" s="12">
        <f t="shared" si="163"/>
        <v>0.55000000000000004</v>
      </c>
      <c r="Z835" s="1">
        <f t="shared" ref="Z835:Z898" si="167">SUM(W835:Y835)</f>
        <v>0</v>
      </c>
      <c r="AB835" s="2" t="s">
        <v>1319</v>
      </c>
    </row>
    <row r="836" spans="1:28" x14ac:dyDescent="0.25">
      <c r="A836" s="1" t="s">
        <v>1672</v>
      </c>
      <c r="B836" s="1" t="s">
        <v>35</v>
      </c>
      <c r="C836" s="1" t="s">
        <v>861</v>
      </c>
      <c r="D836" s="1">
        <v>4</v>
      </c>
      <c r="E836" s="1">
        <v>3</v>
      </c>
      <c r="F836" s="1">
        <v>5</v>
      </c>
      <c r="G836" s="1">
        <v>6</v>
      </c>
      <c r="H836" s="1">
        <v>5</v>
      </c>
      <c r="I836" s="1">
        <v>4</v>
      </c>
      <c r="J836" s="1">
        <v>5</v>
      </c>
      <c r="K836" s="1">
        <f t="shared" si="164"/>
        <v>20</v>
      </c>
      <c r="L836" s="12">
        <f t="shared" si="161"/>
        <v>0.5</v>
      </c>
      <c r="M836" s="1">
        <v>4</v>
      </c>
      <c r="N836" s="1">
        <v>4</v>
      </c>
      <c r="O836" s="1">
        <v>5</v>
      </c>
      <c r="P836" s="1">
        <v>5</v>
      </c>
      <c r="Q836" s="1">
        <f t="shared" si="165"/>
        <v>18</v>
      </c>
      <c r="R836" s="12">
        <f t="shared" si="162"/>
        <v>0.45</v>
      </c>
      <c r="S836" s="1">
        <v>5</v>
      </c>
      <c r="T836" s="1">
        <v>6</v>
      </c>
      <c r="U836" s="1">
        <f t="shared" si="166"/>
        <v>11</v>
      </c>
      <c r="V836" s="12">
        <f t="shared" si="163"/>
        <v>0.55000000000000004</v>
      </c>
      <c r="Z836" s="1">
        <f t="shared" si="167"/>
        <v>0</v>
      </c>
      <c r="AB836" s="2" t="s">
        <v>1320</v>
      </c>
    </row>
    <row r="837" spans="1:28" x14ac:dyDescent="0.25">
      <c r="A837" s="1" t="s">
        <v>1672</v>
      </c>
      <c r="B837" s="1" t="s">
        <v>576</v>
      </c>
      <c r="C837" s="1" t="s">
        <v>861</v>
      </c>
      <c r="D837" s="1">
        <v>24</v>
      </c>
      <c r="E837" s="1">
        <v>1</v>
      </c>
      <c r="F837" s="1">
        <v>5</v>
      </c>
      <c r="G837" s="1">
        <v>4</v>
      </c>
      <c r="H837" s="1">
        <v>3</v>
      </c>
      <c r="I837" s="1">
        <v>3</v>
      </c>
      <c r="J837" s="1">
        <v>4</v>
      </c>
      <c r="K837" s="1">
        <f t="shared" si="164"/>
        <v>14</v>
      </c>
      <c r="L837" s="12">
        <f t="shared" si="161"/>
        <v>0.35</v>
      </c>
      <c r="M837" s="1">
        <v>4</v>
      </c>
      <c r="N837" s="1">
        <v>4</v>
      </c>
      <c r="O837" s="1">
        <v>3</v>
      </c>
      <c r="P837" s="1">
        <v>4</v>
      </c>
      <c r="Q837" s="1">
        <f t="shared" si="165"/>
        <v>15</v>
      </c>
      <c r="R837" s="12">
        <f t="shared" si="162"/>
        <v>0.375</v>
      </c>
      <c r="S837" s="1">
        <v>4</v>
      </c>
      <c r="T837" s="1">
        <v>4</v>
      </c>
      <c r="U837" s="1">
        <f t="shared" si="166"/>
        <v>8</v>
      </c>
      <c r="V837" s="12">
        <f t="shared" si="163"/>
        <v>0.4</v>
      </c>
      <c r="Z837" s="1">
        <f t="shared" si="167"/>
        <v>0</v>
      </c>
      <c r="AB837" s="2" t="s">
        <v>1445</v>
      </c>
    </row>
    <row r="838" spans="1:28" x14ac:dyDescent="0.25">
      <c r="A838" s="1" t="s">
        <v>1672</v>
      </c>
      <c r="B838" s="1" t="s">
        <v>576</v>
      </c>
      <c r="C838" s="1" t="s">
        <v>861</v>
      </c>
      <c r="D838" s="1">
        <v>24</v>
      </c>
      <c r="E838" s="1">
        <v>1</v>
      </c>
      <c r="F838" s="1">
        <v>5</v>
      </c>
      <c r="G838" s="1">
        <v>5</v>
      </c>
      <c r="H838" s="1">
        <v>6</v>
      </c>
      <c r="I838" s="1">
        <v>5</v>
      </c>
      <c r="J838" s="1">
        <v>6</v>
      </c>
      <c r="K838" s="1">
        <f t="shared" si="164"/>
        <v>22</v>
      </c>
      <c r="L838" s="12">
        <f t="shared" si="161"/>
        <v>0.55000000000000004</v>
      </c>
      <c r="M838" s="1">
        <v>5</v>
      </c>
      <c r="N838" s="1">
        <v>6</v>
      </c>
      <c r="O838" s="1">
        <v>6</v>
      </c>
      <c r="P838" s="1">
        <v>6</v>
      </c>
      <c r="Q838" s="1">
        <f t="shared" si="165"/>
        <v>23</v>
      </c>
      <c r="R838" s="12">
        <f t="shared" si="162"/>
        <v>0.57499999999999996</v>
      </c>
      <c r="S838" s="1">
        <v>6</v>
      </c>
      <c r="T838" s="1">
        <v>5</v>
      </c>
      <c r="U838" s="1">
        <f t="shared" si="166"/>
        <v>11</v>
      </c>
      <c r="V838" s="12">
        <f t="shared" si="163"/>
        <v>0.55000000000000004</v>
      </c>
      <c r="Z838" s="1">
        <f t="shared" si="167"/>
        <v>0</v>
      </c>
      <c r="AB838" s="2" t="s">
        <v>1446</v>
      </c>
    </row>
    <row r="839" spans="1:28" x14ac:dyDescent="0.25">
      <c r="A839" s="1" t="s">
        <v>1672</v>
      </c>
      <c r="B839" s="1" t="s">
        <v>576</v>
      </c>
      <c r="C839" s="1" t="s">
        <v>861</v>
      </c>
      <c r="D839" s="1">
        <v>24</v>
      </c>
      <c r="E839" s="1">
        <v>1</v>
      </c>
      <c r="F839" s="1">
        <v>5</v>
      </c>
      <c r="G839" s="1">
        <v>5</v>
      </c>
      <c r="H839" s="1">
        <v>6</v>
      </c>
      <c r="I839" s="1">
        <v>4</v>
      </c>
      <c r="J839" s="1">
        <v>6</v>
      </c>
      <c r="K839" s="1">
        <f t="shared" si="164"/>
        <v>21</v>
      </c>
      <c r="L839" s="12">
        <f t="shared" si="161"/>
        <v>0.52500000000000002</v>
      </c>
      <c r="M839" s="1">
        <v>4</v>
      </c>
      <c r="N839" s="1">
        <v>4</v>
      </c>
      <c r="O839" s="1">
        <v>5</v>
      </c>
      <c r="P839" s="1">
        <v>5</v>
      </c>
      <c r="Q839" s="1">
        <f t="shared" si="165"/>
        <v>18</v>
      </c>
      <c r="R839" s="12">
        <f t="shared" si="162"/>
        <v>0.45</v>
      </c>
      <c r="S839" s="1">
        <v>4</v>
      </c>
      <c r="T839" s="1">
        <v>4</v>
      </c>
      <c r="U839" s="1">
        <f t="shared" si="166"/>
        <v>8</v>
      </c>
      <c r="V839" s="12">
        <f t="shared" si="163"/>
        <v>0.4</v>
      </c>
      <c r="Z839" s="1">
        <f t="shared" si="167"/>
        <v>0</v>
      </c>
      <c r="AB839" s="2" t="s">
        <v>1447</v>
      </c>
    </row>
    <row r="840" spans="1:28" x14ac:dyDescent="0.25">
      <c r="A840" s="1" t="s">
        <v>1672</v>
      </c>
      <c r="B840" s="1" t="s">
        <v>576</v>
      </c>
      <c r="C840" s="1" t="s">
        <v>861</v>
      </c>
      <c r="D840" s="1">
        <v>24</v>
      </c>
      <c r="E840" s="1">
        <v>1</v>
      </c>
      <c r="F840" s="1">
        <v>5</v>
      </c>
      <c r="G840" s="1">
        <v>5</v>
      </c>
      <c r="H840" s="1">
        <v>6</v>
      </c>
      <c r="I840" s="1">
        <v>5</v>
      </c>
      <c r="J840" s="1">
        <v>4</v>
      </c>
      <c r="K840" s="1">
        <f t="shared" si="164"/>
        <v>20</v>
      </c>
      <c r="L840" s="12">
        <f t="shared" si="161"/>
        <v>0.5</v>
      </c>
      <c r="M840" s="1">
        <v>4</v>
      </c>
      <c r="N840" s="1">
        <v>6</v>
      </c>
      <c r="O840" s="1">
        <v>6</v>
      </c>
      <c r="P840" s="1">
        <v>6</v>
      </c>
      <c r="Q840" s="1">
        <f t="shared" si="165"/>
        <v>22</v>
      </c>
      <c r="R840" s="12">
        <f t="shared" si="162"/>
        <v>0.55000000000000004</v>
      </c>
      <c r="S840" s="1">
        <v>5</v>
      </c>
      <c r="T840" s="1">
        <v>5</v>
      </c>
      <c r="U840" s="1">
        <f t="shared" si="166"/>
        <v>10</v>
      </c>
      <c r="V840" s="12">
        <f t="shared" si="163"/>
        <v>0.5</v>
      </c>
      <c r="Z840" s="1">
        <f t="shared" si="167"/>
        <v>0</v>
      </c>
      <c r="AB840" s="2" t="s">
        <v>1448</v>
      </c>
    </row>
    <row r="841" spans="1:28" x14ac:dyDescent="0.25">
      <c r="A841" s="1" t="s">
        <v>1672</v>
      </c>
      <c r="B841" s="1" t="s">
        <v>576</v>
      </c>
      <c r="C841" s="1" t="s">
        <v>861</v>
      </c>
      <c r="D841" s="1">
        <v>24</v>
      </c>
      <c r="E841" s="1">
        <v>1</v>
      </c>
      <c r="F841" s="1">
        <v>5</v>
      </c>
      <c r="G841" s="1">
        <v>4</v>
      </c>
      <c r="H841" s="1">
        <v>4</v>
      </c>
      <c r="I841" s="1">
        <v>4</v>
      </c>
      <c r="J841" s="1">
        <v>5</v>
      </c>
      <c r="K841" s="1">
        <f t="shared" si="164"/>
        <v>17</v>
      </c>
      <c r="L841" s="12">
        <f t="shared" si="161"/>
        <v>0.42499999999999999</v>
      </c>
      <c r="M841" s="1">
        <v>5</v>
      </c>
      <c r="N841" s="1">
        <v>5</v>
      </c>
      <c r="O841" s="1">
        <v>4</v>
      </c>
      <c r="P841" s="1">
        <v>5</v>
      </c>
      <c r="Q841" s="1">
        <f t="shared" si="165"/>
        <v>19</v>
      </c>
      <c r="R841" s="12">
        <f t="shared" si="162"/>
        <v>0.47499999999999998</v>
      </c>
      <c r="S841" s="1">
        <v>4</v>
      </c>
      <c r="T841" s="1">
        <v>4</v>
      </c>
      <c r="U841" s="1">
        <f t="shared" si="166"/>
        <v>8</v>
      </c>
      <c r="V841" s="12">
        <f t="shared" si="163"/>
        <v>0.4</v>
      </c>
      <c r="Z841" s="1">
        <f t="shared" si="167"/>
        <v>0</v>
      </c>
      <c r="AB841" s="2" t="s">
        <v>1449</v>
      </c>
    </row>
    <row r="842" spans="1:28" x14ac:dyDescent="0.25">
      <c r="A842" s="1" t="s">
        <v>1672</v>
      </c>
      <c r="B842" s="1" t="s">
        <v>576</v>
      </c>
      <c r="C842" s="1" t="s">
        <v>861</v>
      </c>
      <c r="D842" s="1">
        <v>24</v>
      </c>
      <c r="E842" s="1">
        <v>1</v>
      </c>
      <c r="F842" s="1">
        <v>5</v>
      </c>
      <c r="G842" s="1">
        <v>5</v>
      </c>
      <c r="H842" s="1">
        <v>3</v>
      </c>
      <c r="I842" s="1">
        <v>3</v>
      </c>
      <c r="J842" s="1">
        <v>3</v>
      </c>
      <c r="K842" s="1">
        <f t="shared" si="164"/>
        <v>14</v>
      </c>
      <c r="L842" s="12">
        <f t="shared" si="161"/>
        <v>0.35</v>
      </c>
      <c r="M842" s="1">
        <v>4</v>
      </c>
      <c r="N842" s="1">
        <v>3</v>
      </c>
      <c r="O842" s="1">
        <v>4</v>
      </c>
      <c r="P842" s="1">
        <v>4</v>
      </c>
      <c r="Q842" s="1">
        <f t="shared" si="165"/>
        <v>15</v>
      </c>
      <c r="R842" s="12">
        <f t="shared" si="162"/>
        <v>0.375</v>
      </c>
      <c r="S842" s="1">
        <v>3</v>
      </c>
      <c r="T842" s="1">
        <v>3</v>
      </c>
      <c r="U842" s="1">
        <f t="shared" si="166"/>
        <v>6</v>
      </c>
      <c r="V842" s="12">
        <f t="shared" si="163"/>
        <v>0.3</v>
      </c>
      <c r="Z842" s="1">
        <f t="shared" si="167"/>
        <v>0</v>
      </c>
      <c r="AB842" s="2" t="s">
        <v>1450</v>
      </c>
    </row>
    <row r="843" spans="1:28" x14ac:dyDescent="0.25">
      <c r="A843" s="1" t="s">
        <v>1672</v>
      </c>
      <c r="B843" s="1" t="s">
        <v>576</v>
      </c>
      <c r="C843" s="1" t="s">
        <v>861</v>
      </c>
      <c r="D843" s="1">
        <v>11</v>
      </c>
      <c r="E843" s="1">
        <v>3</v>
      </c>
      <c r="F843" s="1">
        <v>3</v>
      </c>
      <c r="G843" s="1">
        <v>7</v>
      </c>
      <c r="H843" s="1">
        <v>7</v>
      </c>
      <c r="I843" s="1">
        <v>6</v>
      </c>
      <c r="J843" s="1">
        <v>7</v>
      </c>
      <c r="K843" s="1">
        <f t="shared" si="164"/>
        <v>27</v>
      </c>
      <c r="L843" s="12">
        <f t="shared" si="161"/>
        <v>0.67500000000000004</v>
      </c>
      <c r="M843" s="1">
        <v>6</v>
      </c>
      <c r="N843" s="1">
        <v>7</v>
      </c>
      <c r="O843" s="1">
        <v>6</v>
      </c>
      <c r="P843" s="1">
        <v>6</v>
      </c>
      <c r="Q843" s="1">
        <f t="shared" si="165"/>
        <v>25</v>
      </c>
      <c r="R843" s="12">
        <f t="shared" si="162"/>
        <v>0.625</v>
      </c>
      <c r="S843" s="1">
        <v>5</v>
      </c>
      <c r="T843" s="1">
        <v>4</v>
      </c>
      <c r="U843" s="1">
        <f t="shared" si="166"/>
        <v>9</v>
      </c>
      <c r="V843" s="12">
        <f t="shared" si="163"/>
        <v>0.45</v>
      </c>
      <c r="Z843" s="1">
        <f t="shared" si="167"/>
        <v>0</v>
      </c>
      <c r="AB843" s="2" t="s">
        <v>1603</v>
      </c>
    </row>
    <row r="844" spans="1:28" x14ac:dyDescent="0.25">
      <c r="A844" s="1" t="s">
        <v>1672</v>
      </c>
      <c r="B844" s="1" t="s">
        <v>576</v>
      </c>
      <c r="C844" s="1" t="s">
        <v>861</v>
      </c>
      <c r="D844" s="1">
        <v>11</v>
      </c>
      <c r="E844" s="1">
        <v>3</v>
      </c>
      <c r="F844" s="1">
        <v>3</v>
      </c>
      <c r="G844" s="1">
        <v>6</v>
      </c>
      <c r="H844" s="1">
        <v>4</v>
      </c>
      <c r="I844" s="1">
        <v>5</v>
      </c>
      <c r="J844" s="1">
        <v>7</v>
      </c>
      <c r="K844" s="1">
        <f t="shared" si="164"/>
        <v>22</v>
      </c>
      <c r="L844" s="12">
        <f t="shared" si="161"/>
        <v>0.55000000000000004</v>
      </c>
      <c r="M844" s="1">
        <v>6</v>
      </c>
      <c r="N844" s="1">
        <v>5</v>
      </c>
      <c r="O844" s="1">
        <v>4</v>
      </c>
      <c r="P844" s="1">
        <v>5</v>
      </c>
      <c r="Q844" s="1">
        <f t="shared" si="165"/>
        <v>20</v>
      </c>
      <c r="R844" s="12">
        <f t="shared" si="162"/>
        <v>0.5</v>
      </c>
      <c r="S844" s="1">
        <v>5</v>
      </c>
      <c r="T844" s="1">
        <v>5</v>
      </c>
      <c r="U844" s="1">
        <f t="shared" si="166"/>
        <v>10</v>
      </c>
      <c r="V844" s="12">
        <f t="shared" si="163"/>
        <v>0.5</v>
      </c>
      <c r="Z844" s="1">
        <f t="shared" si="167"/>
        <v>0</v>
      </c>
      <c r="AB844" s="2" t="s">
        <v>1604</v>
      </c>
    </row>
    <row r="845" spans="1:28" x14ac:dyDescent="0.25">
      <c r="A845" s="1" t="s">
        <v>1672</v>
      </c>
      <c r="B845" s="1" t="s">
        <v>576</v>
      </c>
      <c r="C845" s="1" t="s">
        <v>861</v>
      </c>
      <c r="D845" s="1">
        <v>11</v>
      </c>
      <c r="E845" s="1">
        <v>3</v>
      </c>
      <c r="F845" s="1">
        <v>3</v>
      </c>
      <c r="G845" s="1">
        <v>7</v>
      </c>
      <c r="H845" s="1">
        <v>5</v>
      </c>
      <c r="I845" s="1">
        <v>5</v>
      </c>
      <c r="J845" s="1">
        <v>5</v>
      </c>
      <c r="K845" s="1">
        <f t="shared" si="164"/>
        <v>22</v>
      </c>
      <c r="L845" s="12">
        <f t="shared" si="161"/>
        <v>0.55000000000000004</v>
      </c>
      <c r="M845" s="1">
        <v>4</v>
      </c>
      <c r="N845" s="1">
        <v>5</v>
      </c>
      <c r="O845" s="1">
        <v>5</v>
      </c>
      <c r="P845" s="1">
        <v>6</v>
      </c>
      <c r="Q845" s="1">
        <f t="shared" si="165"/>
        <v>20</v>
      </c>
      <c r="R845" s="12">
        <f t="shared" si="162"/>
        <v>0.5</v>
      </c>
      <c r="S845" s="1">
        <v>5</v>
      </c>
      <c r="T845" s="1">
        <v>4</v>
      </c>
      <c r="U845" s="1">
        <f t="shared" si="166"/>
        <v>9</v>
      </c>
      <c r="V845" s="12">
        <f t="shared" si="163"/>
        <v>0.45</v>
      </c>
      <c r="Z845" s="1">
        <f t="shared" si="167"/>
        <v>0</v>
      </c>
      <c r="AB845" s="2" t="s">
        <v>1605</v>
      </c>
    </row>
    <row r="846" spans="1:28" x14ac:dyDescent="0.25">
      <c r="A846" s="1" t="s">
        <v>1672</v>
      </c>
      <c r="B846" s="1" t="s">
        <v>576</v>
      </c>
      <c r="C846" s="1" t="s">
        <v>861</v>
      </c>
      <c r="D846" s="1">
        <v>11</v>
      </c>
      <c r="E846" s="1">
        <v>3</v>
      </c>
      <c r="F846" s="1">
        <v>3</v>
      </c>
      <c r="G846" s="1">
        <v>7</v>
      </c>
      <c r="H846" s="1">
        <v>6</v>
      </c>
      <c r="I846" s="1">
        <v>7</v>
      </c>
      <c r="J846" s="1">
        <v>5</v>
      </c>
      <c r="K846" s="1">
        <f t="shared" si="164"/>
        <v>25</v>
      </c>
      <c r="L846" s="12">
        <f t="shared" si="161"/>
        <v>0.625</v>
      </c>
      <c r="M846" s="1">
        <v>4</v>
      </c>
      <c r="N846" s="1">
        <v>5</v>
      </c>
      <c r="O846" s="1">
        <v>6</v>
      </c>
      <c r="P846" s="1">
        <v>5</v>
      </c>
      <c r="Q846" s="1">
        <f t="shared" si="165"/>
        <v>20</v>
      </c>
      <c r="R846" s="12">
        <f t="shared" si="162"/>
        <v>0.5</v>
      </c>
      <c r="S846" s="1">
        <v>4</v>
      </c>
      <c r="T846" s="1">
        <v>4</v>
      </c>
      <c r="U846" s="1">
        <f t="shared" si="166"/>
        <v>8</v>
      </c>
      <c r="V846" s="12">
        <f t="shared" si="163"/>
        <v>0.4</v>
      </c>
      <c r="Z846" s="1">
        <f t="shared" si="167"/>
        <v>0</v>
      </c>
      <c r="AB846" s="2" t="s">
        <v>1606</v>
      </c>
    </row>
    <row r="847" spans="1:28" x14ac:dyDescent="0.25">
      <c r="A847" s="1" t="s">
        <v>1672</v>
      </c>
      <c r="B847" s="1" t="s">
        <v>576</v>
      </c>
      <c r="C847" s="1" t="s">
        <v>861</v>
      </c>
      <c r="D847" s="1">
        <v>11</v>
      </c>
      <c r="E847" s="1">
        <v>3</v>
      </c>
      <c r="F847" s="1">
        <v>3</v>
      </c>
      <c r="G847" s="1">
        <v>7</v>
      </c>
      <c r="H847" s="1">
        <v>5</v>
      </c>
      <c r="I847" s="1">
        <v>6</v>
      </c>
      <c r="J847" s="1">
        <v>6</v>
      </c>
      <c r="K847" s="1">
        <f t="shared" si="164"/>
        <v>24</v>
      </c>
      <c r="L847" s="12">
        <f t="shared" si="161"/>
        <v>0.6</v>
      </c>
      <c r="M847" s="1">
        <v>5</v>
      </c>
      <c r="N847" s="1">
        <v>5</v>
      </c>
      <c r="O847" s="1">
        <v>6</v>
      </c>
      <c r="P847" s="1">
        <v>5</v>
      </c>
      <c r="Q847" s="1">
        <f t="shared" si="165"/>
        <v>21</v>
      </c>
      <c r="R847" s="12">
        <f t="shared" si="162"/>
        <v>0.52500000000000002</v>
      </c>
      <c r="S847" s="1">
        <v>7</v>
      </c>
      <c r="T847" s="1">
        <v>6</v>
      </c>
      <c r="U847" s="1">
        <f t="shared" si="166"/>
        <v>13</v>
      </c>
      <c r="V847" s="12">
        <f t="shared" si="163"/>
        <v>0.65</v>
      </c>
      <c r="Z847" s="1">
        <f t="shared" si="167"/>
        <v>0</v>
      </c>
      <c r="AB847" s="2" t="s">
        <v>1607</v>
      </c>
    </row>
    <row r="848" spans="1:28" x14ac:dyDescent="0.25">
      <c r="A848" s="1" t="s">
        <v>1672</v>
      </c>
      <c r="B848" s="1" t="s">
        <v>576</v>
      </c>
      <c r="C848" s="1" t="s">
        <v>861</v>
      </c>
      <c r="D848" s="1">
        <v>11</v>
      </c>
      <c r="E848" s="1">
        <v>3</v>
      </c>
      <c r="F848" s="1">
        <v>3</v>
      </c>
      <c r="G848" s="1">
        <v>7</v>
      </c>
      <c r="H848" s="1">
        <v>5</v>
      </c>
      <c r="I848" s="1">
        <v>6</v>
      </c>
      <c r="J848" s="1">
        <v>6</v>
      </c>
      <c r="K848" s="1">
        <f t="shared" si="164"/>
        <v>24</v>
      </c>
      <c r="L848" s="12">
        <f t="shared" si="161"/>
        <v>0.6</v>
      </c>
      <c r="M848" s="1">
        <v>7</v>
      </c>
      <c r="N848" s="1">
        <v>6</v>
      </c>
      <c r="O848" s="1">
        <v>7</v>
      </c>
      <c r="P848" s="1">
        <v>7</v>
      </c>
      <c r="Q848" s="1">
        <f t="shared" si="165"/>
        <v>27</v>
      </c>
      <c r="R848" s="12">
        <f t="shared" si="162"/>
        <v>0.67500000000000004</v>
      </c>
      <c r="S848" s="1">
        <v>6</v>
      </c>
      <c r="T848" s="1">
        <v>5</v>
      </c>
      <c r="U848" s="1">
        <f t="shared" si="166"/>
        <v>11</v>
      </c>
      <c r="V848" s="12">
        <f t="shared" si="163"/>
        <v>0.55000000000000004</v>
      </c>
      <c r="Z848" s="1">
        <f t="shared" si="167"/>
        <v>0</v>
      </c>
      <c r="AB848" s="2" t="s">
        <v>1608</v>
      </c>
    </row>
    <row r="849" spans="1:28" x14ac:dyDescent="0.25">
      <c r="A849" s="1" t="s">
        <v>1672</v>
      </c>
      <c r="B849" s="1" t="s">
        <v>576</v>
      </c>
      <c r="C849" s="1" t="s">
        <v>861</v>
      </c>
      <c r="D849" s="1">
        <v>11</v>
      </c>
      <c r="E849" s="1">
        <v>3</v>
      </c>
      <c r="F849" s="1">
        <v>3</v>
      </c>
      <c r="G849" s="1">
        <v>7</v>
      </c>
      <c r="H849" s="1">
        <v>7</v>
      </c>
      <c r="I849" s="1">
        <v>6</v>
      </c>
      <c r="J849" s="1">
        <v>7</v>
      </c>
      <c r="K849" s="1">
        <f t="shared" si="164"/>
        <v>27</v>
      </c>
      <c r="L849" s="12">
        <f t="shared" si="161"/>
        <v>0.67500000000000004</v>
      </c>
      <c r="M849" s="1">
        <v>5</v>
      </c>
      <c r="N849" s="1">
        <v>5</v>
      </c>
      <c r="O849" s="1">
        <v>7</v>
      </c>
      <c r="P849" s="1">
        <v>6</v>
      </c>
      <c r="Q849" s="1">
        <f t="shared" si="165"/>
        <v>23</v>
      </c>
      <c r="R849" s="12">
        <f t="shared" si="162"/>
        <v>0.57499999999999996</v>
      </c>
      <c r="S849" s="1">
        <v>5</v>
      </c>
      <c r="T849" s="1">
        <v>6</v>
      </c>
      <c r="U849" s="1">
        <f t="shared" si="166"/>
        <v>11</v>
      </c>
      <c r="V849" s="12">
        <f t="shared" si="163"/>
        <v>0.55000000000000004</v>
      </c>
      <c r="Z849" s="1">
        <f t="shared" si="167"/>
        <v>0</v>
      </c>
      <c r="AB849" s="2" t="s">
        <v>1609</v>
      </c>
    </row>
    <row r="850" spans="1:28" x14ac:dyDescent="0.25">
      <c r="A850" s="1" t="s">
        <v>1673</v>
      </c>
      <c r="B850" s="1" t="s">
        <v>35</v>
      </c>
      <c r="C850" s="1" t="s">
        <v>36</v>
      </c>
      <c r="D850" s="1">
        <v>19</v>
      </c>
      <c r="E850" s="1">
        <v>1</v>
      </c>
      <c r="F850" s="1">
        <v>6</v>
      </c>
      <c r="G850" s="1">
        <v>7</v>
      </c>
      <c r="H850" s="1">
        <v>7</v>
      </c>
      <c r="I850" s="1">
        <v>6</v>
      </c>
      <c r="J850" s="1">
        <v>4</v>
      </c>
      <c r="K850" s="1">
        <f t="shared" si="164"/>
        <v>24</v>
      </c>
      <c r="L850" s="12">
        <f t="shared" ref="L850:L879" si="168">K850/35</f>
        <v>0.68571428571428572</v>
      </c>
      <c r="M850" s="1">
        <v>7</v>
      </c>
      <c r="N850" s="1">
        <v>7</v>
      </c>
      <c r="O850" s="1">
        <v>6</v>
      </c>
      <c r="P850" s="1">
        <v>3</v>
      </c>
      <c r="Q850" s="1">
        <f t="shared" si="165"/>
        <v>23</v>
      </c>
      <c r="R850" s="12">
        <f t="shared" ref="R850:R879" si="169">Q850/35</f>
        <v>0.65714285714285714</v>
      </c>
      <c r="S850" s="1">
        <v>6</v>
      </c>
      <c r="T850" s="1">
        <v>4</v>
      </c>
      <c r="U850" s="1">
        <f t="shared" si="166"/>
        <v>10</v>
      </c>
      <c r="V850" s="12">
        <f t="shared" ref="V850:V879" si="170">U850/15</f>
        <v>0.66666666666666663</v>
      </c>
      <c r="W850" s="1">
        <v>3</v>
      </c>
      <c r="X850" s="1">
        <v>5</v>
      </c>
      <c r="Y850" s="1">
        <v>4</v>
      </c>
      <c r="Z850" s="1">
        <f t="shared" si="167"/>
        <v>12</v>
      </c>
      <c r="AA850" s="12">
        <f t="shared" ref="AA850:AA879" si="171">Z850/15</f>
        <v>0.8</v>
      </c>
      <c r="AB850" s="2" t="s">
        <v>175</v>
      </c>
    </row>
    <row r="851" spans="1:28" x14ac:dyDescent="0.25">
      <c r="A851" s="1" t="s">
        <v>1673</v>
      </c>
      <c r="B851" s="1" t="s">
        <v>35</v>
      </c>
      <c r="C851" s="1" t="s">
        <v>36</v>
      </c>
      <c r="D851" s="1">
        <v>19</v>
      </c>
      <c r="E851" s="1">
        <v>1</v>
      </c>
      <c r="F851" s="1">
        <v>6</v>
      </c>
      <c r="G851" s="1">
        <v>6</v>
      </c>
      <c r="H851" s="1">
        <v>6</v>
      </c>
      <c r="I851" s="1">
        <v>7</v>
      </c>
      <c r="J851" s="1">
        <v>4</v>
      </c>
      <c r="K851" s="1">
        <f t="shared" si="164"/>
        <v>23</v>
      </c>
      <c r="L851" s="12">
        <f t="shared" si="168"/>
        <v>0.65714285714285714</v>
      </c>
      <c r="M851" s="1">
        <v>7</v>
      </c>
      <c r="N851" s="1">
        <v>7</v>
      </c>
      <c r="O851" s="1">
        <v>6</v>
      </c>
      <c r="P851" s="1">
        <v>4</v>
      </c>
      <c r="Q851" s="1">
        <f t="shared" si="165"/>
        <v>24</v>
      </c>
      <c r="R851" s="12">
        <f t="shared" si="169"/>
        <v>0.68571428571428572</v>
      </c>
      <c r="S851" s="1">
        <v>7</v>
      </c>
      <c r="T851" s="1">
        <v>4</v>
      </c>
      <c r="U851" s="1">
        <f t="shared" si="166"/>
        <v>11</v>
      </c>
      <c r="V851" s="12">
        <f t="shared" si="170"/>
        <v>0.73333333333333328</v>
      </c>
      <c r="W851" s="1">
        <v>4</v>
      </c>
      <c r="X851" s="1">
        <v>4</v>
      </c>
      <c r="Y851" s="1">
        <v>5</v>
      </c>
      <c r="Z851" s="1">
        <f t="shared" si="167"/>
        <v>13</v>
      </c>
      <c r="AA851" s="12">
        <f t="shared" si="171"/>
        <v>0.8666666666666667</v>
      </c>
      <c r="AB851" s="2" t="s">
        <v>176</v>
      </c>
    </row>
    <row r="852" spans="1:28" x14ac:dyDescent="0.25">
      <c r="A852" s="1" t="s">
        <v>1673</v>
      </c>
      <c r="B852" s="1" t="s">
        <v>35</v>
      </c>
      <c r="C852" s="1" t="s">
        <v>36</v>
      </c>
      <c r="D852" s="1">
        <v>19</v>
      </c>
      <c r="E852" s="1">
        <v>1</v>
      </c>
      <c r="F852" s="1">
        <v>6</v>
      </c>
      <c r="G852" s="1">
        <v>5</v>
      </c>
      <c r="H852" s="1">
        <v>5</v>
      </c>
      <c r="I852" s="1">
        <v>5</v>
      </c>
      <c r="J852" s="1">
        <v>2</v>
      </c>
      <c r="K852" s="1">
        <f t="shared" si="164"/>
        <v>17</v>
      </c>
      <c r="L852" s="12">
        <f t="shared" si="168"/>
        <v>0.48571428571428571</v>
      </c>
      <c r="M852" s="1">
        <v>5</v>
      </c>
      <c r="N852" s="1">
        <v>4</v>
      </c>
      <c r="O852" s="1">
        <v>4</v>
      </c>
      <c r="P852" s="1">
        <v>3</v>
      </c>
      <c r="Q852" s="1">
        <f t="shared" si="165"/>
        <v>16</v>
      </c>
      <c r="R852" s="12">
        <f t="shared" si="169"/>
        <v>0.45714285714285713</v>
      </c>
      <c r="S852" s="1">
        <v>4</v>
      </c>
      <c r="T852" s="1">
        <v>3</v>
      </c>
      <c r="U852" s="1">
        <f t="shared" si="166"/>
        <v>7</v>
      </c>
      <c r="V852" s="12">
        <f t="shared" si="170"/>
        <v>0.46666666666666667</v>
      </c>
      <c r="W852" s="1">
        <v>3</v>
      </c>
      <c r="X852" s="1">
        <v>2</v>
      </c>
      <c r="Y852" s="1">
        <v>2</v>
      </c>
      <c r="Z852" s="1">
        <f t="shared" si="167"/>
        <v>7</v>
      </c>
      <c r="AA852" s="12">
        <f t="shared" si="171"/>
        <v>0.46666666666666667</v>
      </c>
      <c r="AB852" s="2" t="s">
        <v>177</v>
      </c>
    </row>
    <row r="853" spans="1:28" x14ac:dyDescent="0.25">
      <c r="A853" s="1" t="s">
        <v>1673</v>
      </c>
      <c r="B853" s="1" t="s">
        <v>35</v>
      </c>
      <c r="C853" s="1" t="s">
        <v>36</v>
      </c>
      <c r="D853" s="1">
        <v>19</v>
      </c>
      <c r="E853" s="1">
        <v>1</v>
      </c>
      <c r="F853" s="1">
        <v>6</v>
      </c>
      <c r="G853" s="1">
        <v>6</v>
      </c>
      <c r="H853" s="1">
        <v>6</v>
      </c>
      <c r="I853" s="1">
        <v>5</v>
      </c>
      <c r="J853" s="1">
        <v>4</v>
      </c>
      <c r="K853" s="1">
        <f t="shared" si="164"/>
        <v>21</v>
      </c>
      <c r="L853" s="12">
        <f t="shared" si="168"/>
        <v>0.6</v>
      </c>
      <c r="M853" s="1">
        <v>6</v>
      </c>
      <c r="N853" s="1">
        <v>6</v>
      </c>
      <c r="O853" s="1">
        <v>5</v>
      </c>
      <c r="P853" s="1">
        <v>3</v>
      </c>
      <c r="Q853" s="1">
        <f t="shared" si="165"/>
        <v>20</v>
      </c>
      <c r="R853" s="12">
        <f t="shared" si="169"/>
        <v>0.5714285714285714</v>
      </c>
      <c r="S853" s="1">
        <v>6</v>
      </c>
      <c r="T853" s="1">
        <v>5</v>
      </c>
      <c r="U853" s="1">
        <f t="shared" si="166"/>
        <v>11</v>
      </c>
      <c r="V853" s="12">
        <f t="shared" si="170"/>
        <v>0.73333333333333328</v>
      </c>
      <c r="W853" s="1">
        <v>4</v>
      </c>
      <c r="X853" s="1">
        <v>3</v>
      </c>
      <c r="Y853" s="1">
        <v>3</v>
      </c>
      <c r="Z853" s="1">
        <f t="shared" si="167"/>
        <v>10</v>
      </c>
      <c r="AA853" s="12">
        <f t="shared" si="171"/>
        <v>0.66666666666666663</v>
      </c>
      <c r="AB853" s="2" t="s">
        <v>178</v>
      </c>
    </row>
    <row r="854" spans="1:28" x14ac:dyDescent="0.25">
      <c r="A854" s="1" t="s">
        <v>1673</v>
      </c>
      <c r="B854" s="1" t="s">
        <v>35</v>
      </c>
      <c r="C854" s="1" t="s">
        <v>36</v>
      </c>
      <c r="D854" s="1">
        <v>19</v>
      </c>
      <c r="E854" s="1">
        <v>1</v>
      </c>
      <c r="F854" s="1">
        <v>6</v>
      </c>
      <c r="G854" s="1">
        <v>7</v>
      </c>
      <c r="H854" s="1">
        <v>7</v>
      </c>
      <c r="I854" s="1">
        <v>7</v>
      </c>
      <c r="J854" s="1">
        <v>4</v>
      </c>
      <c r="K854" s="1">
        <f t="shared" si="164"/>
        <v>25</v>
      </c>
      <c r="L854" s="12">
        <f t="shared" si="168"/>
        <v>0.7142857142857143</v>
      </c>
      <c r="M854" s="1">
        <v>5</v>
      </c>
      <c r="N854" s="1">
        <v>4</v>
      </c>
      <c r="O854" s="1">
        <v>7</v>
      </c>
      <c r="P854" s="1">
        <v>4</v>
      </c>
      <c r="Q854" s="1">
        <f t="shared" si="165"/>
        <v>20</v>
      </c>
      <c r="R854" s="12">
        <f t="shared" si="169"/>
        <v>0.5714285714285714</v>
      </c>
      <c r="S854" s="1">
        <v>7</v>
      </c>
      <c r="T854" s="1">
        <v>5</v>
      </c>
      <c r="U854" s="1">
        <f t="shared" si="166"/>
        <v>12</v>
      </c>
      <c r="V854" s="12">
        <f t="shared" si="170"/>
        <v>0.8</v>
      </c>
      <c r="W854" s="1">
        <v>4</v>
      </c>
      <c r="X854" s="1">
        <v>4</v>
      </c>
      <c r="Y854" s="1">
        <v>4</v>
      </c>
      <c r="Z854" s="1">
        <f t="shared" si="167"/>
        <v>12</v>
      </c>
      <c r="AA854" s="12">
        <f t="shared" si="171"/>
        <v>0.8</v>
      </c>
      <c r="AB854" s="2" t="s">
        <v>179</v>
      </c>
    </row>
    <row r="855" spans="1:28" x14ac:dyDescent="0.25">
      <c r="A855" s="1" t="s">
        <v>1673</v>
      </c>
      <c r="B855" s="1" t="s">
        <v>35</v>
      </c>
      <c r="C855" s="1" t="s">
        <v>36</v>
      </c>
      <c r="D855" s="1">
        <v>19</v>
      </c>
      <c r="E855" s="1">
        <v>1</v>
      </c>
      <c r="F855" s="1">
        <v>6</v>
      </c>
      <c r="G855" s="1">
        <v>7</v>
      </c>
      <c r="H855" s="1">
        <v>5</v>
      </c>
      <c r="I855" s="1">
        <v>6</v>
      </c>
      <c r="J855" s="1">
        <v>4</v>
      </c>
      <c r="K855" s="1">
        <f t="shared" si="164"/>
        <v>22</v>
      </c>
      <c r="L855" s="12">
        <f t="shared" si="168"/>
        <v>0.62857142857142856</v>
      </c>
      <c r="M855" s="1">
        <v>7</v>
      </c>
      <c r="N855" s="1">
        <v>6</v>
      </c>
      <c r="O855" s="1">
        <v>6</v>
      </c>
      <c r="P855" s="1">
        <v>3</v>
      </c>
      <c r="Q855" s="1">
        <f t="shared" si="165"/>
        <v>22</v>
      </c>
      <c r="R855" s="12">
        <f t="shared" si="169"/>
        <v>0.62857142857142856</v>
      </c>
      <c r="S855" s="1">
        <v>6</v>
      </c>
      <c r="T855" s="1">
        <v>5</v>
      </c>
      <c r="U855" s="1">
        <f t="shared" si="166"/>
        <v>11</v>
      </c>
      <c r="V855" s="12">
        <f t="shared" si="170"/>
        <v>0.73333333333333328</v>
      </c>
      <c r="W855" s="1">
        <v>4</v>
      </c>
      <c r="X855" s="1">
        <v>4</v>
      </c>
      <c r="Y855" s="1">
        <v>4</v>
      </c>
      <c r="Z855" s="1">
        <f t="shared" si="167"/>
        <v>12</v>
      </c>
      <c r="AA855" s="12">
        <f t="shared" si="171"/>
        <v>0.8</v>
      </c>
      <c r="AB855" s="2" t="s">
        <v>180</v>
      </c>
    </row>
    <row r="856" spans="1:28" x14ac:dyDescent="0.25">
      <c r="A856" s="1" t="s">
        <v>1673</v>
      </c>
      <c r="B856" s="1" t="s">
        <v>35</v>
      </c>
      <c r="C856" s="1" t="s">
        <v>36</v>
      </c>
      <c r="D856" s="1">
        <v>19</v>
      </c>
      <c r="E856" s="1">
        <v>1</v>
      </c>
      <c r="F856" s="1">
        <v>6</v>
      </c>
      <c r="G856" s="1">
        <v>4</v>
      </c>
      <c r="H856" s="1">
        <v>4</v>
      </c>
      <c r="I856" s="1">
        <v>5</v>
      </c>
      <c r="J856" s="1">
        <v>2</v>
      </c>
      <c r="K856" s="1">
        <f t="shared" si="164"/>
        <v>15</v>
      </c>
      <c r="L856" s="12">
        <f t="shared" si="168"/>
        <v>0.42857142857142855</v>
      </c>
      <c r="M856" s="1">
        <v>6</v>
      </c>
      <c r="N856" s="1">
        <v>5</v>
      </c>
      <c r="O856" s="1">
        <v>5</v>
      </c>
      <c r="P856" s="1">
        <v>4</v>
      </c>
      <c r="Q856" s="1">
        <f t="shared" si="165"/>
        <v>20</v>
      </c>
      <c r="R856" s="12">
        <f t="shared" si="169"/>
        <v>0.5714285714285714</v>
      </c>
      <c r="S856" s="1">
        <v>6</v>
      </c>
      <c r="T856" s="1">
        <v>5</v>
      </c>
      <c r="U856" s="1">
        <f t="shared" si="166"/>
        <v>11</v>
      </c>
      <c r="V856" s="12">
        <f t="shared" si="170"/>
        <v>0.73333333333333328</v>
      </c>
      <c r="W856" s="1">
        <v>3</v>
      </c>
      <c r="X856" s="1">
        <v>3</v>
      </c>
      <c r="Y856" s="1">
        <v>3</v>
      </c>
      <c r="Z856" s="1">
        <f t="shared" si="167"/>
        <v>9</v>
      </c>
      <c r="AA856" s="12">
        <f t="shared" si="171"/>
        <v>0.6</v>
      </c>
      <c r="AB856" s="2" t="s">
        <v>181</v>
      </c>
    </row>
    <row r="857" spans="1:28" x14ac:dyDescent="0.25">
      <c r="A857" s="1" t="s">
        <v>1673</v>
      </c>
      <c r="B857" s="1" t="s">
        <v>35</v>
      </c>
      <c r="C857" s="1" t="s">
        <v>36</v>
      </c>
      <c r="D857" s="1">
        <v>19</v>
      </c>
      <c r="E857" s="1">
        <v>1</v>
      </c>
      <c r="F857" s="1">
        <v>6</v>
      </c>
      <c r="G857" s="1">
        <v>7</v>
      </c>
      <c r="H857" s="1">
        <v>7</v>
      </c>
      <c r="I857" s="1">
        <v>6</v>
      </c>
      <c r="J857" s="1">
        <v>4</v>
      </c>
      <c r="K857" s="1">
        <f t="shared" si="164"/>
        <v>24</v>
      </c>
      <c r="L857" s="12">
        <f t="shared" si="168"/>
        <v>0.68571428571428572</v>
      </c>
      <c r="M857" s="1">
        <v>7</v>
      </c>
      <c r="N857" s="1">
        <v>7</v>
      </c>
      <c r="O857" s="1">
        <v>7</v>
      </c>
      <c r="P857" s="1">
        <v>4</v>
      </c>
      <c r="Q857" s="1">
        <f t="shared" si="165"/>
        <v>25</v>
      </c>
      <c r="R857" s="12">
        <f t="shared" si="169"/>
        <v>0.7142857142857143</v>
      </c>
      <c r="S857" s="1">
        <v>7</v>
      </c>
      <c r="T857" s="1">
        <v>5</v>
      </c>
      <c r="U857" s="1">
        <f t="shared" si="166"/>
        <v>12</v>
      </c>
      <c r="V857" s="12">
        <f t="shared" si="170"/>
        <v>0.8</v>
      </c>
      <c r="W857" s="1">
        <v>4</v>
      </c>
      <c r="X857" s="1">
        <v>4</v>
      </c>
      <c r="Y857" s="1">
        <v>5</v>
      </c>
      <c r="Z857" s="1">
        <f t="shared" si="167"/>
        <v>13</v>
      </c>
      <c r="AA857" s="12">
        <f t="shared" si="171"/>
        <v>0.8666666666666667</v>
      </c>
      <c r="AB857" s="2" t="s">
        <v>182</v>
      </c>
    </row>
    <row r="858" spans="1:28" x14ac:dyDescent="0.25">
      <c r="A858" s="1" t="s">
        <v>1673</v>
      </c>
      <c r="B858" s="1" t="s">
        <v>35</v>
      </c>
      <c r="C858" s="1" t="s">
        <v>36</v>
      </c>
      <c r="D858" s="1">
        <v>5</v>
      </c>
      <c r="E858" s="1">
        <v>3</v>
      </c>
      <c r="F858" s="1">
        <v>3</v>
      </c>
      <c r="G858" s="1">
        <v>5</v>
      </c>
      <c r="H858" s="1">
        <v>5</v>
      </c>
      <c r="I858" s="1">
        <v>5</v>
      </c>
      <c r="J858" s="1">
        <v>3</v>
      </c>
      <c r="K858" s="1">
        <f t="shared" si="164"/>
        <v>18</v>
      </c>
      <c r="L858" s="12">
        <f t="shared" si="168"/>
        <v>0.51428571428571423</v>
      </c>
      <c r="M858" s="1">
        <v>6</v>
      </c>
      <c r="N858" s="1">
        <v>5</v>
      </c>
      <c r="O858" s="1">
        <v>5</v>
      </c>
      <c r="P858" s="1">
        <v>4</v>
      </c>
      <c r="Q858" s="1">
        <f t="shared" si="165"/>
        <v>20</v>
      </c>
      <c r="R858" s="12">
        <f t="shared" si="169"/>
        <v>0.5714285714285714</v>
      </c>
      <c r="S858" s="1">
        <v>6</v>
      </c>
      <c r="T858" s="1">
        <v>4</v>
      </c>
      <c r="U858" s="1">
        <f t="shared" si="166"/>
        <v>10</v>
      </c>
      <c r="V858" s="12">
        <f t="shared" si="170"/>
        <v>0.66666666666666663</v>
      </c>
      <c r="W858" s="1">
        <v>4</v>
      </c>
      <c r="X858" s="1">
        <v>3</v>
      </c>
      <c r="Y858" s="1">
        <v>3</v>
      </c>
      <c r="Z858" s="1">
        <f t="shared" si="167"/>
        <v>10</v>
      </c>
      <c r="AA858" s="12">
        <f t="shared" si="171"/>
        <v>0.66666666666666663</v>
      </c>
      <c r="AB858" s="2" t="s">
        <v>477</v>
      </c>
    </row>
    <row r="859" spans="1:28" x14ac:dyDescent="0.25">
      <c r="A859" s="1" t="s">
        <v>1673</v>
      </c>
      <c r="B859" s="1" t="s">
        <v>35</v>
      </c>
      <c r="C859" s="1" t="s">
        <v>36</v>
      </c>
      <c r="D859" s="1">
        <v>5</v>
      </c>
      <c r="E859" s="1">
        <v>3</v>
      </c>
      <c r="F859" s="1">
        <v>3</v>
      </c>
      <c r="G859" s="1">
        <v>5</v>
      </c>
      <c r="H859" s="1">
        <v>5</v>
      </c>
      <c r="I859" s="1">
        <v>5</v>
      </c>
      <c r="J859" s="1">
        <v>3</v>
      </c>
      <c r="K859" s="1">
        <f t="shared" si="164"/>
        <v>18</v>
      </c>
      <c r="L859" s="12">
        <f t="shared" si="168"/>
        <v>0.51428571428571423</v>
      </c>
      <c r="M859" s="1">
        <v>5</v>
      </c>
      <c r="N859" s="1">
        <v>5</v>
      </c>
      <c r="O859" s="1">
        <v>5</v>
      </c>
      <c r="P859" s="1">
        <v>4</v>
      </c>
      <c r="Q859" s="1">
        <f t="shared" si="165"/>
        <v>19</v>
      </c>
      <c r="R859" s="12">
        <f t="shared" si="169"/>
        <v>0.54285714285714282</v>
      </c>
      <c r="S859" s="1">
        <v>6</v>
      </c>
      <c r="T859" s="1">
        <v>3</v>
      </c>
      <c r="U859" s="1">
        <f t="shared" si="166"/>
        <v>9</v>
      </c>
      <c r="V859" s="12">
        <f t="shared" si="170"/>
        <v>0.6</v>
      </c>
      <c r="W859" s="1">
        <v>3</v>
      </c>
      <c r="X859" s="1">
        <v>2</v>
      </c>
      <c r="Y859" s="1">
        <v>3</v>
      </c>
      <c r="Z859" s="1">
        <f t="shared" si="167"/>
        <v>8</v>
      </c>
      <c r="AA859" s="12">
        <f t="shared" si="171"/>
        <v>0.53333333333333333</v>
      </c>
      <c r="AB859" s="2" t="s">
        <v>478</v>
      </c>
    </row>
    <row r="860" spans="1:28" x14ac:dyDescent="0.25">
      <c r="A860" s="1" t="s">
        <v>1673</v>
      </c>
      <c r="B860" s="1" t="s">
        <v>35</v>
      </c>
      <c r="C860" s="1" t="s">
        <v>36</v>
      </c>
      <c r="D860" s="1">
        <v>5</v>
      </c>
      <c r="E860" s="1">
        <v>3</v>
      </c>
      <c r="F860" s="1">
        <v>3</v>
      </c>
      <c r="G860" s="1">
        <v>7</v>
      </c>
      <c r="H860" s="1">
        <v>6</v>
      </c>
      <c r="I860" s="1">
        <v>6</v>
      </c>
      <c r="J860" s="1">
        <v>4</v>
      </c>
      <c r="K860" s="1">
        <f t="shared" si="164"/>
        <v>23</v>
      </c>
      <c r="L860" s="12">
        <f t="shared" si="168"/>
        <v>0.65714285714285714</v>
      </c>
      <c r="M860" s="1">
        <v>5</v>
      </c>
      <c r="N860" s="1">
        <v>6</v>
      </c>
      <c r="O860" s="1">
        <v>6</v>
      </c>
      <c r="P860" s="1">
        <v>4</v>
      </c>
      <c r="Q860" s="1">
        <f t="shared" si="165"/>
        <v>21</v>
      </c>
      <c r="R860" s="12">
        <f t="shared" si="169"/>
        <v>0.6</v>
      </c>
      <c r="S860" s="1">
        <v>6</v>
      </c>
      <c r="T860" s="1">
        <v>4</v>
      </c>
      <c r="U860" s="1">
        <f t="shared" si="166"/>
        <v>10</v>
      </c>
      <c r="V860" s="12">
        <f t="shared" si="170"/>
        <v>0.66666666666666663</v>
      </c>
      <c r="W860" s="1">
        <v>3</v>
      </c>
      <c r="X860" s="1">
        <v>3</v>
      </c>
      <c r="Y860" s="1">
        <v>3</v>
      </c>
      <c r="Z860" s="1">
        <f t="shared" si="167"/>
        <v>9</v>
      </c>
      <c r="AA860" s="12">
        <f t="shared" si="171"/>
        <v>0.6</v>
      </c>
      <c r="AB860" s="2" t="s">
        <v>479</v>
      </c>
    </row>
    <row r="861" spans="1:28" x14ac:dyDescent="0.25">
      <c r="A861" s="1" t="s">
        <v>1673</v>
      </c>
      <c r="B861" s="1" t="s">
        <v>35</v>
      </c>
      <c r="C861" s="1" t="s">
        <v>36</v>
      </c>
      <c r="D861" s="1">
        <v>5</v>
      </c>
      <c r="E861" s="1">
        <v>3</v>
      </c>
      <c r="F861" s="1">
        <v>3</v>
      </c>
      <c r="G861" s="1">
        <v>5</v>
      </c>
      <c r="H861" s="1">
        <v>4</v>
      </c>
      <c r="I861" s="1">
        <v>4</v>
      </c>
      <c r="J861" s="1">
        <v>3</v>
      </c>
      <c r="K861" s="1">
        <f t="shared" si="164"/>
        <v>16</v>
      </c>
      <c r="L861" s="12">
        <f t="shared" si="168"/>
        <v>0.45714285714285713</v>
      </c>
      <c r="M861" s="1">
        <v>5</v>
      </c>
      <c r="N861" s="1">
        <v>4</v>
      </c>
      <c r="O861" s="1">
        <v>5</v>
      </c>
      <c r="P861" s="1">
        <v>4</v>
      </c>
      <c r="Q861" s="1">
        <f t="shared" si="165"/>
        <v>18</v>
      </c>
      <c r="R861" s="12">
        <f t="shared" si="169"/>
        <v>0.51428571428571423</v>
      </c>
      <c r="S861" s="1">
        <v>5</v>
      </c>
      <c r="T861" s="1">
        <v>4</v>
      </c>
      <c r="U861" s="1">
        <f t="shared" si="166"/>
        <v>9</v>
      </c>
      <c r="V861" s="12">
        <f t="shared" si="170"/>
        <v>0.6</v>
      </c>
      <c r="W861" s="1">
        <v>4</v>
      </c>
      <c r="X861" s="1">
        <v>3</v>
      </c>
      <c r="Y861" s="1">
        <v>3</v>
      </c>
      <c r="Z861" s="1">
        <f t="shared" si="167"/>
        <v>10</v>
      </c>
      <c r="AA861" s="12">
        <f t="shared" si="171"/>
        <v>0.66666666666666663</v>
      </c>
      <c r="AB861" s="2" t="s">
        <v>480</v>
      </c>
    </row>
    <row r="862" spans="1:28" x14ac:dyDescent="0.25">
      <c r="A862" s="1" t="s">
        <v>1673</v>
      </c>
      <c r="B862" s="1" t="s">
        <v>35</v>
      </c>
      <c r="C862" s="1" t="s">
        <v>36</v>
      </c>
      <c r="D862" s="1">
        <v>5</v>
      </c>
      <c r="E862" s="1">
        <v>3</v>
      </c>
      <c r="F862" s="1">
        <v>3</v>
      </c>
      <c r="G862" s="1">
        <v>6</v>
      </c>
      <c r="H862" s="1">
        <v>7</v>
      </c>
      <c r="I862" s="1">
        <v>7</v>
      </c>
      <c r="J862" s="1">
        <v>4</v>
      </c>
      <c r="K862" s="1">
        <f t="shared" si="164"/>
        <v>24</v>
      </c>
      <c r="L862" s="12">
        <f t="shared" si="168"/>
        <v>0.68571428571428572</v>
      </c>
      <c r="M862" s="1">
        <v>7</v>
      </c>
      <c r="N862" s="1">
        <v>8</v>
      </c>
      <c r="O862" s="1">
        <v>7</v>
      </c>
      <c r="P862" s="1">
        <v>4</v>
      </c>
      <c r="Q862" s="1">
        <f t="shared" si="165"/>
        <v>26</v>
      </c>
      <c r="R862" s="12">
        <f t="shared" si="169"/>
        <v>0.74285714285714288</v>
      </c>
      <c r="S862" s="1">
        <v>6</v>
      </c>
      <c r="T862" s="1">
        <v>4</v>
      </c>
      <c r="U862" s="1">
        <f t="shared" si="166"/>
        <v>10</v>
      </c>
      <c r="V862" s="12">
        <f t="shared" si="170"/>
        <v>0.66666666666666663</v>
      </c>
      <c r="W862" s="1">
        <v>4</v>
      </c>
      <c r="X862" s="1">
        <v>4</v>
      </c>
      <c r="Y862" s="1">
        <v>4</v>
      </c>
      <c r="Z862" s="1">
        <f t="shared" si="167"/>
        <v>12</v>
      </c>
      <c r="AA862" s="12">
        <f t="shared" si="171"/>
        <v>0.8</v>
      </c>
      <c r="AB862" s="2" t="s">
        <v>481</v>
      </c>
    </row>
    <row r="863" spans="1:28" x14ac:dyDescent="0.25">
      <c r="A863" s="1" t="s">
        <v>1673</v>
      </c>
      <c r="B863" s="1" t="s">
        <v>35</v>
      </c>
      <c r="C863" s="1" t="s">
        <v>36</v>
      </c>
      <c r="D863" s="1">
        <v>5</v>
      </c>
      <c r="E863" s="1">
        <v>3</v>
      </c>
      <c r="F863" s="1">
        <v>3</v>
      </c>
      <c r="G863" s="1">
        <v>5</v>
      </c>
      <c r="H863" s="1">
        <v>5</v>
      </c>
      <c r="I863" s="1">
        <v>5</v>
      </c>
      <c r="J863" s="1">
        <v>3</v>
      </c>
      <c r="K863" s="1">
        <f t="shared" si="164"/>
        <v>18</v>
      </c>
      <c r="L863" s="12">
        <f t="shared" si="168"/>
        <v>0.51428571428571423</v>
      </c>
      <c r="M863" s="1">
        <v>5</v>
      </c>
      <c r="N863" s="1">
        <v>5</v>
      </c>
      <c r="O863" s="1">
        <v>5</v>
      </c>
      <c r="P863" s="1">
        <v>3</v>
      </c>
      <c r="Q863" s="1">
        <f t="shared" si="165"/>
        <v>18</v>
      </c>
      <c r="R863" s="12">
        <f t="shared" si="169"/>
        <v>0.51428571428571423</v>
      </c>
      <c r="S863" s="1">
        <v>6</v>
      </c>
      <c r="T863" s="1">
        <v>3</v>
      </c>
      <c r="U863" s="1">
        <f t="shared" si="166"/>
        <v>9</v>
      </c>
      <c r="V863" s="12">
        <f t="shared" si="170"/>
        <v>0.6</v>
      </c>
      <c r="W863" s="1">
        <v>4</v>
      </c>
      <c r="X863" s="1">
        <v>3</v>
      </c>
      <c r="Y863" s="1">
        <v>3</v>
      </c>
      <c r="Z863" s="1">
        <f t="shared" si="167"/>
        <v>10</v>
      </c>
      <c r="AA863" s="12">
        <f t="shared" si="171"/>
        <v>0.66666666666666663</v>
      </c>
      <c r="AB863" s="2" t="s">
        <v>482</v>
      </c>
    </row>
    <row r="864" spans="1:28" x14ac:dyDescent="0.25">
      <c r="A864" s="1" t="s">
        <v>1673</v>
      </c>
      <c r="B864" s="1" t="s">
        <v>35</v>
      </c>
      <c r="C864" s="1" t="s">
        <v>36</v>
      </c>
      <c r="D864" s="1">
        <v>5</v>
      </c>
      <c r="E864" s="1">
        <v>3</v>
      </c>
      <c r="F864" s="1">
        <v>3</v>
      </c>
      <c r="G864" s="1">
        <v>5</v>
      </c>
      <c r="H864" s="1">
        <v>4</v>
      </c>
      <c r="I864" s="1">
        <v>5</v>
      </c>
      <c r="J864" s="1">
        <v>3</v>
      </c>
      <c r="K864" s="1">
        <f t="shared" si="164"/>
        <v>17</v>
      </c>
      <c r="L864" s="12">
        <f t="shared" si="168"/>
        <v>0.48571428571428571</v>
      </c>
      <c r="M864" s="1">
        <v>5</v>
      </c>
      <c r="N864" s="1">
        <v>4</v>
      </c>
      <c r="O864" s="1">
        <v>4</v>
      </c>
      <c r="P864" s="1">
        <v>3</v>
      </c>
      <c r="Q864" s="1">
        <f t="shared" si="165"/>
        <v>16</v>
      </c>
      <c r="R864" s="12">
        <f t="shared" si="169"/>
        <v>0.45714285714285713</v>
      </c>
      <c r="S864" s="1">
        <v>5</v>
      </c>
      <c r="T864" s="1">
        <v>3</v>
      </c>
      <c r="U864" s="1">
        <f t="shared" si="166"/>
        <v>8</v>
      </c>
      <c r="V864" s="12">
        <f t="shared" si="170"/>
        <v>0.53333333333333333</v>
      </c>
      <c r="W864" s="1">
        <v>4</v>
      </c>
      <c r="X864" s="1">
        <v>3</v>
      </c>
      <c r="Y864" s="1">
        <v>2</v>
      </c>
      <c r="Z864" s="1">
        <f t="shared" si="167"/>
        <v>9</v>
      </c>
      <c r="AA864" s="12">
        <f t="shared" si="171"/>
        <v>0.6</v>
      </c>
      <c r="AB864" s="2" t="s">
        <v>483</v>
      </c>
    </row>
    <row r="865" spans="1:28" x14ac:dyDescent="0.25">
      <c r="A865" s="1" t="s">
        <v>1673</v>
      </c>
      <c r="B865" s="1" t="s">
        <v>35</v>
      </c>
      <c r="C865" s="1" t="s">
        <v>36</v>
      </c>
      <c r="D865" s="1">
        <v>5</v>
      </c>
      <c r="E865" s="1">
        <v>3</v>
      </c>
      <c r="F865" s="1">
        <v>3</v>
      </c>
      <c r="G865" s="1">
        <v>7</v>
      </c>
      <c r="H865" s="1">
        <v>6</v>
      </c>
      <c r="I865" s="1">
        <v>6</v>
      </c>
      <c r="J865" s="1">
        <v>5</v>
      </c>
      <c r="K865" s="1">
        <f t="shared" si="164"/>
        <v>24</v>
      </c>
      <c r="L865" s="12">
        <f t="shared" si="168"/>
        <v>0.68571428571428572</v>
      </c>
      <c r="M865" s="1">
        <v>7</v>
      </c>
      <c r="N865" s="1">
        <v>7</v>
      </c>
      <c r="O865" s="1">
        <v>7</v>
      </c>
      <c r="P865" s="1">
        <v>5</v>
      </c>
      <c r="Q865" s="1">
        <f t="shared" si="165"/>
        <v>26</v>
      </c>
      <c r="R865" s="12">
        <f t="shared" si="169"/>
        <v>0.74285714285714288</v>
      </c>
      <c r="S865" s="1">
        <v>6</v>
      </c>
      <c r="T865" s="1">
        <v>4</v>
      </c>
      <c r="U865" s="1">
        <f t="shared" si="166"/>
        <v>10</v>
      </c>
      <c r="V865" s="12">
        <f t="shared" si="170"/>
        <v>0.66666666666666663</v>
      </c>
      <c r="W865" s="1">
        <v>4</v>
      </c>
      <c r="X865" s="1">
        <v>4</v>
      </c>
      <c r="Y865" s="1">
        <v>4</v>
      </c>
      <c r="Z865" s="1">
        <f t="shared" si="167"/>
        <v>12</v>
      </c>
      <c r="AA865" s="12">
        <f t="shared" si="171"/>
        <v>0.8</v>
      </c>
      <c r="AB865" s="2" t="s">
        <v>484</v>
      </c>
    </row>
    <row r="866" spans="1:28" x14ac:dyDescent="0.25">
      <c r="A866" s="1" t="s">
        <v>1673</v>
      </c>
      <c r="B866" s="1" t="s">
        <v>576</v>
      </c>
      <c r="C866" s="1" t="s">
        <v>36</v>
      </c>
      <c r="D866" s="1">
        <v>26</v>
      </c>
      <c r="E866" s="1">
        <v>1</v>
      </c>
      <c r="F866" s="1">
        <v>4</v>
      </c>
      <c r="G866" s="1">
        <v>4</v>
      </c>
      <c r="H866" s="1">
        <v>5</v>
      </c>
      <c r="I866" s="1">
        <v>5</v>
      </c>
      <c r="J866" s="1">
        <v>3</v>
      </c>
      <c r="K866" s="1">
        <f t="shared" si="164"/>
        <v>17</v>
      </c>
      <c r="L866" s="12">
        <f t="shared" si="168"/>
        <v>0.48571428571428571</v>
      </c>
      <c r="M866" s="1">
        <v>5</v>
      </c>
      <c r="N866" s="1">
        <v>5</v>
      </c>
      <c r="O866" s="1">
        <v>5</v>
      </c>
      <c r="P866" s="1">
        <v>4</v>
      </c>
      <c r="Q866" s="1">
        <f t="shared" si="165"/>
        <v>19</v>
      </c>
      <c r="R866" s="12">
        <f t="shared" si="169"/>
        <v>0.54285714285714282</v>
      </c>
      <c r="S866" s="1">
        <v>4</v>
      </c>
      <c r="T866" s="1">
        <v>4</v>
      </c>
      <c r="U866" s="1">
        <f t="shared" si="166"/>
        <v>8</v>
      </c>
      <c r="V866" s="12">
        <f t="shared" si="170"/>
        <v>0.53333333333333333</v>
      </c>
      <c r="W866" s="1">
        <v>3</v>
      </c>
      <c r="X866" s="1">
        <v>3</v>
      </c>
      <c r="Y866" s="1">
        <v>3</v>
      </c>
      <c r="Z866" s="1">
        <f t="shared" si="167"/>
        <v>9</v>
      </c>
      <c r="AA866" s="12">
        <f t="shared" si="171"/>
        <v>0.6</v>
      </c>
      <c r="AB866" s="2" t="s">
        <v>647</v>
      </c>
    </row>
    <row r="867" spans="1:28" x14ac:dyDescent="0.25">
      <c r="A867" s="1" t="s">
        <v>1673</v>
      </c>
      <c r="B867" s="1" t="s">
        <v>576</v>
      </c>
      <c r="C867" s="1" t="s">
        <v>36</v>
      </c>
      <c r="D867" s="1">
        <v>26</v>
      </c>
      <c r="E867" s="1">
        <v>1</v>
      </c>
      <c r="F867" s="1">
        <v>4</v>
      </c>
      <c r="G867" s="1">
        <v>6</v>
      </c>
      <c r="H867" s="1">
        <v>5</v>
      </c>
      <c r="I867" s="1">
        <v>6</v>
      </c>
      <c r="J867" s="1">
        <v>4</v>
      </c>
      <c r="K867" s="1">
        <f t="shared" si="164"/>
        <v>21</v>
      </c>
      <c r="L867" s="12">
        <f t="shared" si="168"/>
        <v>0.6</v>
      </c>
      <c r="M867" s="1">
        <v>6</v>
      </c>
      <c r="N867" s="1">
        <v>6</v>
      </c>
      <c r="O867" s="1">
        <v>5</v>
      </c>
      <c r="P867" s="1">
        <v>4</v>
      </c>
      <c r="Q867" s="1">
        <f t="shared" si="165"/>
        <v>21</v>
      </c>
      <c r="R867" s="12">
        <f t="shared" si="169"/>
        <v>0.6</v>
      </c>
      <c r="S867" s="1">
        <v>6</v>
      </c>
      <c r="T867" s="1">
        <v>3</v>
      </c>
      <c r="U867" s="1">
        <f t="shared" si="166"/>
        <v>9</v>
      </c>
      <c r="V867" s="12">
        <f t="shared" si="170"/>
        <v>0.6</v>
      </c>
      <c r="W867" s="1">
        <v>4</v>
      </c>
      <c r="X867" s="1">
        <v>4</v>
      </c>
      <c r="Y867" s="1">
        <v>4</v>
      </c>
      <c r="Z867" s="1">
        <f t="shared" si="167"/>
        <v>12</v>
      </c>
      <c r="AA867" s="12">
        <f t="shared" si="171"/>
        <v>0.8</v>
      </c>
      <c r="AB867" s="2" t="s">
        <v>648</v>
      </c>
    </row>
    <row r="868" spans="1:28" x14ac:dyDescent="0.25">
      <c r="A868" s="1" t="s">
        <v>1673</v>
      </c>
      <c r="B868" s="1" t="s">
        <v>576</v>
      </c>
      <c r="C868" s="1" t="s">
        <v>36</v>
      </c>
      <c r="D868" s="1">
        <v>26</v>
      </c>
      <c r="E868" s="1">
        <v>1</v>
      </c>
      <c r="F868" s="1">
        <v>4</v>
      </c>
      <c r="G868" s="1">
        <v>5</v>
      </c>
      <c r="H868" s="1">
        <v>6</v>
      </c>
      <c r="I868" s="1">
        <v>6</v>
      </c>
      <c r="J868" s="1">
        <v>4</v>
      </c>
      <c r="K868" s="1">
        <f t="shared" si="164"/>
        <v>21</v>
      </c>
      <c r="L868" s="12">
        <f t="shared" si="168"/>
        <v>0.6</v>
      </c>
      <c r="M868" s="1">
        <v>6</v>
      </c>
      <c r="N868" s="1">
        <v>7</v>
      </c>
      <c r="O868" s="1">
        <v>6</v>
      </c>
      <c r="P868" s="1">
        <v>4</v>
      </c>
      <c r="Q868" s="1">
        <f t="shared" si="165"/>
        <v>23</v>
      </c>
      <c r="R868" s="12">
        <f t="shared" si="169"/>
        <v>0.65714285714285714</v>
      </c>
      <c r="S868" s="1">
        <v>6</v>
      </c>
      <c r="T868" s="1">
        <v>4</v>
      </c>
      <c r="U868" s="1">
        <f t="shared" si="166"/>
        <v>10</v>
      </c>
      <c r="V868" s="12">
        <f t="shared" si="170"/>
        <v>0.66666666666666663</v>
      </c>
      <c r="W868" s="1">
        <v>4</v>
      </c>
      <c r="X868" s="1">
        <v>4</v>
      </c>
      <c r="Y868" s="1">
        <v>4</v>
      </c>
      <c r="Z868" s="1">
        <f t="shared" si="167"/>
        <v>12</v>
      </c>
      <c r="AA868" s="12">
        <f t="shared" si="171"/>
        <v>0.8</v>
      </c>
      <c r="AB868" s="2" t="s">
        <v>649</v>
      </c>
    </row>
    <row r="869" spans="1:28" x14ac:dyDescent="0.25">
      <c r="A869" s="1" t="s">
        <v>1673</v>
      </c>
      <c r="B869" s="1" t="s">
        <v>576</v>
      </c>
      <c r="C869" s="1" t="s">
        <v>36</v>
      </c>
      <c r="D869" s="1">
        <v>26</v>
      </c>
      <c r="E869" s="1">
        <v>1</v>
      </c>
      <c r="F869" s="1">
        <v>4</v>
      </c>
      <c r="G869" s="1">
        <v>4</v>
      </c>
      <c r="H869" s="1">
        <v>5</v>
      </c>
      <c r="I869" s="1">
        <v>5</v>
      </c>
      <c r="J869" s="1">
        <v>4</v>
      </c>
      <c r="K869" s="1">
        <f t="shared" si="164"/>
        <v>18</v>
      </c>
      <c r="L869" s="12">
        <f t="shared" si="168"/>
        <v>0.51428571428571423</v>
      </c>
      <c r="M869" s="1">
        <v>6</v>
      </c>
      <c r="N869" s="1">
        <v>6</v>
      </c>
      <c r="O869" s="1">
        <v>6</v>
      </c>
      <c r="P869" s="1">
        <v>4</v>
      </c>
      <c r="Q869" s="1">
        <f t="shared" si="165"/>
        <v>22</v>
      </c>
      <c r="R869" s="12">
        <f t="shared" si="169"/>
        <v>0.62857142857142856</v>
      </c>
      <c r="S869" s="1">
        <v>6</v>
      </c>
      <c r="T869" s="1">
        <v>3</v>
      </c>
      <c r="U869" s="1">
        <f t="shared" si="166"/>
        <v>9</v>
      </c>
      <c r="V869" s="12">
        <f t="shared" si="170"/>
        <v>0.6</v>
      </c>
      <c r="W869" s="1">
        <v>4</v>
      </c>
      <c r="X869" s="1">
        <v>4</v>
      </c>
      <c r="Y869" s="1">
        <v>4</v>
      </c>
      <c r="Z869" s="1">
        <f t="shared" si="167"/>
        <v>12</v>
      </c>
      <c r="AA869" s="12">
        <f t="shared" si="171"/>
        <v>0.8</v>
      </c>
      <c r="AB869" s="2" t="s">
        <v>650</v>
      </c>
    </row>
    <row r="870" spans="1:28" x14ac:dyDescent="0.25">
      <c r="A870" s="1" t="s">
        <v>1673</v>
      </c>
      <c r="B870" s="1" t="s">
        <v>576</v>
      </c>
      <c r="C870" s="1" t="s">
        <v>36</v>
      </c>
      <c r="D870" s="1">
        <v>26</v>
      </c>
      <c r="E870" s="1">
        <v>1</v>
      </c>
      <c r="F870" s="1">
        <v>4</v>
      </c>
      <c r="G870" s="1">
        <v>4</v>
      </c>
      <c r="H870" s="1">
        <v>6</v>
      </c>
      <c r="I870" s="1">
        <v>6</v>
      </c>
      <c r="J870" s="1">
        <v>4</v>
      </c>
      <c r="K870" s="1">
        <f t="shared" si="164"/>
        <v>20</v>
      </c>
      <c r="L870" s="12">
        <f t="shared" si="168"/>
        <v>0.5714285714285714</v>
      </c>
      <c r="M870" s="1">
        <v>6</v>
      </c>
      <c r="N870" s="1">
        <v>5</v>
      </c>
      <c r="O870" s="1">
        <v>5</v>
      </c>
      <c r="P870" s="1">
        <v>3</v>
      </c>
      <c r="Q870" s="1">
        <f t="shared" si="165"/>
        <v>19</v>
      </c>
      <c r="R870" s="12">
        <f t="shared" si="169"/>
        <v>0.54285714285714282</v>
      </c>
      <c r="S870" s="1">
        <v>4</v>
      </c>
      <c r="T870" s="1">
        <v>4</v>
      </c>
      <c r="U870" s="1">
        <f t="shared" si="166"/>
        <v>8</v>
      </c>
      <c r="V870" s="12">
        <f t="shared" si="170"/>
        <v>0.53333333333333333</v>
      </c>
      <c r="W870" s="1">
        <v>4</v>
      </c>
      <c r="X870" s="1">
        <v>3</v>
      </c>
      <c r="Y870" s="1">
        <v>4</v>
      </c>
      <c r="Z870" s="1">
        <f t="shared" si="167"/>
        <v>11</v>
      </c>
      <c r="AA870" s="12">
        <f t="shared" si="171"/>
        <v>0.73333333333333328</v>
      </c>
      <c r="AB870" s="2" t="s">
        <v>651</v>
      </c>
    </row>
    <row r="871" spans="1:28" x14ac:dyDescent="0.25">
      <c r="A871" s="1" t="s">
        <v>1673</v>
      </c>
      <c r="B871" s="1" t="s">
        <v>576</v>
      </c>
      <c r="C871" s="1" t="s">
        <v>36</v>
      </c>
      <c r="D871" s="1">
        <v>26</v>
      </c>
      <c r="E871" s="1">
        <v>1</v>
      </c>
      <c r="F871" s="1">
        <v>4</v>
      </c>
      <c r="G871" s="1">
        <v>6</v>
      </c>
      <c r="H871" s="1">
        <v>6</v>
      </c>
      <c r="I871" s="1">
        <v>6</v>
      </c>
      <c r="J871" s="1">
        <v>4</v>
      </c>
      <c r="K871" s="1">
        <f t="shared" si="164"/>
        <v>22</v>
      </c>
      <c r="L871" s="12">
        <f t="shared" si="168"/>
        <v>0.62857142857142856</v>
      </c>
      <c r="M871" s="1">
        <v>6</v>
      </c>
      <c r="N871" s="1">
        <v>6</v>
      </c>
      <c r="O871" s="1">
        <v>6</v>
      </c>
      <c r="P871" s="1">
        <v>4</v>
      </c>
      <c r="Q871" s="1">
        <f t="shared" si="165"/>
        <v>22</v>
      </c>
      <c r="R871" s="12">
        <f t="shared" si="169"/>
        <v>0.62857142857142856</v>
      </c>
      <c r="S871" s="1">
        <v>6</v>
      </c>
      <c r="T871" s="1">
        <v>4</v>
      </c>
      <c r="U871" s="1">
        <f t="shared" si="166"/>
        <v>10</v>
      </c>
      <c r="V871" s="12">
        <f t="shared" si="170"/>
        <v>0.66666666666666663</v>
      </c>
      <c r="W871" s="1">
        <v>4</v>
      </c>
      <c r="X871" s="1">
        <v>4</v>
      </c>
      <c r="Y871" s="1">
        <v>4</v>
      </c>
      <c r="Z871" s="1">
        <f t="shared" si="167"/>
        <v>12</v>
      </c>
      <c r="AA871" s="12">
        <f t="shared" si="171"/>
        <v>0.8</v>
      </c>
      <c r="AB871" s="2" t="s">
        <v>652</v>
      </c>
    </row>
    <row r="872" spans="1:28" x14ac:dyDescent="0.25">
      <c r="A872" s="1" t="s">
        <v>1673</v>
      </c>
      <c r="B872" s="1" t="s">
        <v>576</v>
      </c>
      <c r="C872" s="1" t="s">
        <v>36</v>
      </c>
      <c r="D872" s="1">
        <v>12</v>
      </c>
      <c r="E872" s="1">
        <v>3</v>
      </c>
      <c r="F872" s="1">
        <v>2</v>
      </c>
      <c r="G872" s="1">
        <v>4</v>
      </c>
      <c r="H872" s="1">
        <v>5</v>
      </c>
      <c r="I872" s="1">
        <v>5</v>
      </c>
      <c r="J872" s="1">
        <v>4</v>
      </c>
      <c r="K872" s="1">
        <f t="shared" si="164"/>
        <v>18</v>
      </c>
      <c r="L872" s="12">
        <f t="shared" si="168"/>
        <v>0.51428571428571423</v>
      </c>
      <c r="M872" s="1">
        <v>4</v>
      </c>
      <c r="N872" s="1">
        <v>5</v>
      </c>
      <c r="O872" s="1">
        <v>5</v>
      </c>
      <c r="P872" s="1">
        <v>4</v>
      </c>
      <c r="Q872" s="1">
        <f t="shared" si="165"/>
        <v>18</v>
      </c>
      <c r="R872" s="12">
        <f t="shared" si="169"/>
        <v>0.51428571428571423</v>
      </c>
      <c r="S872" s="1">
        <v>6</v>
      </c>
      <c r="T872" s="1">
        <v>4</v>
      </c>
      <c r="U872" s="1">
        <f t="shared" si="166"/>
        <v>10</v>
      </c>
      <c r="V872" s="12">
        <f t="shared" si="170"/>
        <v>0.66666666666666663</v>
      </c>
      <c r="W872" s="1">
        <v>4</v>
      </c>
      <c r="X872" s="1">
        <v>3</v>
      </c>
      <c r="Y872" s="1">
        <v>3</v>
      </c>
      <c r="Z872" s="1">
        <f t="shared" si="167"/>
        <v>10</v>
      </c>
      <c r="AA872" s="12">
        <f t="shared" si="171"/>
        <v>0.66666666666666663</v>
      </c>
      <c r="AB872" s="2" t="s">
        <v>789</v>
      </c>
    </row>
    <row r="873" spans="1:28" x14ac:dyDescent="0.25">
      <c r="A873" s="1" t="s">
        <v>1673</v>
      </c>
      <c r="B873" s="1" t="s">
        <v>576</v>
      </c>
      <c r="C873" s="1" t="s">
        <v>36</v>
      </c>
      <c r="D873" s="1">
        <v>12</v>
      </c>
      <c r="E873" s="1">
        <v>3</v>
      </c>
      <c r="F873" s="1">
        <v>2</v>
      </c>
      <c r="G873" s="1">
        <v>8</v>
      </c>
      <c r="H873" s="1">
        <v>8</v>
      </c>
      <c r="I873" s="1">
        <v>8</v>
      </c>
      <c r="J873" s="1">
        <v>5</v>
      </c>
      <c r="K873" s="1">
        <f t="shared" si="164"/>
        <v>29</v>
      </c>
      <c r="L873" s="12">
        <f t="shared" si="168"/>
        <v>0.82857142857142863</v>
      </c>
      <c r="M873" s="1">
        <v>7</v>
      </c>
      <c r="N873" s="1">
        <v>7</v>
      </c>
      <c r="O873" s="1">
        <v>7</v>
      </c>
      <c r="P873" s="1">
        <v>4</v>
      </c>
      <c r="Q873" s="1">
        <f t="shared" si="165"/>
        <v>25</v>
      </c>
      <c r="R873" s="12">
        <f t="shared" si="169"/>
        <v>0.7142857142857143</v>
      </c>
      <c r="S873" s="1">
        <v>8</v>
      </c>
      <c r="T873" s="1">
        <v>4</v>
      </c>
      <c r="U873" s="1">
        <f t="shared" si="166"/>
        <v>12</v>
      </c>
      <c r="V873" s="12">
        <f t="shared" si="170"/>
        <v>0.8</v>
      </c>
      <c r="W873" s="1">
        <v>5</v>
      </c>
      <c r="X873" s="1">
        <v>4</v>
      </c>
      <c r="Y873" s="1">
        <v>5</v>
      </c>
      <c r="Z873" s="1">
        <f t="shared" si="167"/>
        <v>14</v>
      </c>
      <c r="AA873" s="12">
        <f t="shared" si="171"/>
        <v>0.93333333333333335</v>
      </c>
      <c r="AB873" s="2" t="s">
        <v>790</v>
      </c>
    </row>
    <row r="874" spans="1:28" x14ac:dyDescent="0.25">
      <c r="A874" s="1" t="s">
        <v>1673</v>
      </c>
      <c r="B874" s="1" t="s">
        <v>576</v>
      </c>
      <c r="C874" s="1" t="s">
        <v>36</v>
      </c>
      <c r="D874" s="1">
        <v>12</v>
      </c>
      <c r="E874" s="1">
        <v>3</v>
      </c>
      <c r="F874" s="1">
        <v>2</v>
      </c>
      <c r="G874" s="1">
        <v>7</v>
      </c>
      <c r="H874" s="1">
        <v>7</v>
      </c>
      <c r="I874" s="1">
        <v>7</v>
      </c>
      <c r="J874" s="1">
        <v>5</v>
      </c>
      <c r="K874" s="1">
        <f t="shared" si="164"/>
        <v>26</v>
      </c>
      <c r="L874" s="12">
        <f t="shared" si="168"/>
        <v>0.74285714285714288</v>
      </c>
      <c r="M874" s="1">
        <v>7</v>
      </c>
      <c r="N874" s="1">
        <v>7</v>
      </c>
      <c r="O874" s="1">
        <v>7</v>
      </c>
      <c r="P874" s="1">
        <v>5</v>
      </c>
      <c r="Q874" s="1">
        <f t="shared" si="165"/>
        <v>26</v>
      </c>
      <c r="R874" s="12">
        <f t="shared" si="169"/>
        <v>0.74285714285714288</v>
      </c>
      <c r="S874" s="1">
        <v>8</v>
      </c>
      <c r="T874" s="1">
        <v>4</v>
      </c>
      <c r="U874" s="1">
        <f t="shared" si="166"/>
        <v>12</v>
      </c>
      <c r="V874" s="12">
        <f t="shared" si="170"/>
        <v>0.8</v>
      </c>
      <c r="W874" s="1">
        <v>5</v>
      </c>
      <c r="X874" s="1">
        <v>4</v>
      </c>
      <c r="Y874" s="1">
        <v>5</v>
      </c>
      <c r="Z874" s="1">
        <f t="shared" si="167"/>
        <v>14</v>
      </c>
      <c r="AA874" s="12">
        <f t="shared" si="171"/>
        <v>0.93333333333333335</v>
      </c>
      <c r="AB874" s="2" t="s">
        <v>791</v>
      </c>
    </row>
    <row r="875" spans="1:28" x14ac:dyDescent="0.25">
      <c r="A875" s="1" t="s">
        <v>1673</v>
      </c>
      <c r="B875" s="1" t="s">
        <v>576</v>
      </c>
      <c r="C875" s="1" t="s">
        <v>36</v>
      </c>
      <c r="D875" s="1">
        <v>12</v>
      </c>
      <c r="E875" s="1">
        <v>3</v>
      </c>
      <c r="F875" s="1">
        <v>2</v>
      </c>
      <c r="G875" s="1">
        <v>6</v>
      </c>
      <c r="H875" s="1">
        <v>7</v>
      </c>
      <c r="I875" s="1">
        <v>7</v>
      </c>
      <c r="J875" s="1">
        <v>5</v>
      </c>
      <c r="K875" s="1">
        <f t="shared" si="164"/>
        <v>25</v>
      </c>
      <c r="L875" s="12">
        <f t="shared" si="168"/>
        <v>0.7142857142857143</v>
      </c>
      <c r="M875" s="1">
        <v>7</v>
      </c>
      <c r="N875" s="1">
        <v>7</v>
      </c>
      <c r="O875" s="1">
        <v>7</v>
      </c>
      <c r="P875" s="1">
        <v>4</v>
      </c>
      <c r="Q875" s="1">
        <f t="shared" si="165"/>
        <v>25</v>
      </c>
      <c r="R875" s="12">
        <f t="shared" si="169"/>
        <v>0.7142857142857143</v>
      </c>
      <c r="S875" s="1">
        <v>8</v>
      </c>
      <c r="T875" s="1">
        <v>4</v>
      </c>
      <c r="U875" s="1">
        <f t="shared" si="166"/>
        <v>12</v>
      </c>
      <c r="V875" s="12">
        <f t="shared" si="170"/>
        <v>0.8</v>
      </c>
      <c r="W875" s="1">
        <v>5</v>
      </c>
      <c r="X875" s="1">
        <v>4</v>
      </c>
      <c r="Y875" s="1">
        <v>4</v>
      </c>
      <c r="Z875" s="1">
        <f t="shared" si="167"/>
        <v>13</v>
      </c>
      <c r="AA875" s="12">
        <f t="shared" si="171"/>
        <v>0.8666666666666667</v>
      </c>
      <c r="AB875" s="2" t="s">
        <v>792</v>
      </c>
    </row>
    <row r="876" spans="1:28" x14ac:dyDescent="0.25">
      <c r="A876" s="1" t="s">
        <v>1673</v>
      </c>
      <c r="B876" s="1" t="s">
        <v>576</v>
      </c>
      <c r="C876" s="1" t="s">
        <v>36</v>
      </c>
      <c r="D876" s="1">
        <v>12</v>
      </c>
      <c r="E876" s="1">
        <v>3</v>
      </c>
      <c r="F876" s="1">
        <v>2</v>
      </c>
      <c r="G876" s="1">
        <v>7</v>
      </c>
      <c r="H876" s="1">
        <v>6</v>
      </c>
      <c r="I876" s="1">
        <v>6</v>
      </c>
      <c r="J876" s="1">
        <v>4</v>
      </c>
      <c r="K876" s="1">
        <f t="shared" si="164"/>
        <v>23</v>
      </c>
      <c r="L876" s="12">
        <f t="shared" si="168"/>
        <v>0.65714285714285714</v>
      </c>
      <c r="M876" s="1">
        <v>6</v>
      </c>
      <c r="N876" s="1">
        <v>7</v>
      </c>
      <c r="O876" s="1">
        <v>6</v>
      </c>
      <c r="P876" s="1">
        <v>4</v>
      </c>
      <c r="Q876" s="1">
        <f t="shared" si="165"/>
        <v>23</v>
      </c>
      <c r="R876" s="12">
        <f t="shared" si="169"/>
        <v>0.65714285714285714</v>
      </c>
      <c r="S876" s="1">
        <v>8</v>
      </c>
      <c r="T876" s="1">
        <v>4</v>
      </c>
      <c r="U876" s="1">
        <f t="shared" si="166"/>
        <v>12</v>
      </c>
      <c r="V876" s="12">
        <f t="shared" si="170"/>
        <v>0.8</v>
      </c>
      <c r="W876" s="1">
        <v>5</v>
      </c>
      <c r="X876" s="1">
        <v>4</v>
      </c>
      <c r="Y876" s="1">
        <v>5</v>
      </c>
      <c r="Z876" s="1">
        <f t="shared" si="167"/>
        <v>14</v>
      </c>
      <c r="AA876" s="12">
        <f t="shared" si="171"/>
        <v>0.93333333333333335</v>
      </c>
      <c r="AB876" s="2" t="s">
        <v>793</v>
      </c>
    </row>
    <row r="877" spans="1:28" x14ac:dyDescent="0.25">
      <c r="A877" s="1" t="s">
        <v>1673</v>
      </c>
      <c r="B877" s="1" t="s">
        <v>576</v>
      </c>
      <c r="C877" s="1" t="s">
        <v>36</v>
      </c>
      <c r="D877" s="1">
        <v>12</v>
      </c>
      <c r="E877" s="1">
        <v>3</v>
      </c>
      <c r="F877" s="1">
        <v>2</v>
      </c>
      <c r="G877" s="1">
        <v>7</v>
      </c>
      <c r="H877" s="1">
        <v>5</v>
      </c>
      <c r="I877" s="1">
        <v>5</v>
      </c>
      <c r="J877" s="1">
        <v>3</v>
      </c>
      <c r="K877" s="1">
        <f t="shared" si="164"/>
        <v>20</v>
      </c>
      <c r="L877" s="12">
        <f t="shared" si="168"/>
        <v>0.5714285714285714</v>
      </c>
      <c r="M877" s="1">
        <v>6</v>
      </c>
      <c r="N877" s="1">
        <v>6</v>
      </c>
      <c r="O877" s="1">
        <v>7</v>
      </c>
      <c r="P877" s="1">
        <v>4</v>
      </c>
      <c r="Q877" s="1">
        <f t="shared" si="165"/>
        <v>23</v>
      </c>
      <c r="R877" s="12">
        <f t="shared" si="169"/>
        <v>0.65714285714285714</v>
      </c>
      <c r="S877" s="1">
        <v>7</v>
      </c>
      <c r="T877" s="1">
        <v>4</v>
      </c>
      <c r="U877" s="1">
        <f t="shared" si="166"/>
        <v>11</v>
      </c>
      <c r="V877" s="12">
        <f t="shared" si="170"/>
        <v>0.73333333333333328</v>
      </c>
      <c r="W877" s="1">
        <v>5</v>
      </c>
      <c r="X877" s="1">
        <v>4</v>
      </c>
      <c r="Y877" s="1">
        <v>5</v>
      </c>
      <c r="Z877" s="1">
        <f t="shared" si="167"/>
        <v>14</v>
      </c>
      <c r="AA877" s="12">
        <f t="shared" si="171"/>
        <v>0.93333333333333335</v>
      </c>
      <c r="AB877" s="2" t="s">
        <v>794</v>
      </c>
    </row>
    <row r="878" spans="1:28" x14ac:dyDescent="0.25">
      <c r="A878" s="1" t="s">
        <v>1673</v>
      </c>
      <c r="B878" s="1" t="s">
        <v>576</v>
      </c>
      <c r="C878" s="1" t="s">
        <v>36</v>
      </c>
      <c r="D878" s="1">
        <v>12</v>
      </c>
      <c r="E878" s="1">
        <v>3</v>
      </c>
      <c r="F878" s="1">
        <v>2</v>
      </c>
      <c r="G878" s="1">
        <v>7</v>
      </c>
      <c r="H878" s="1">
        <v>7</v>
      </c>
      <c r="I878" s="1">
        <v>7</v>
      </c>
      <c r="J878" s="1">
        <v>4</v>
      </c>
      <c r="K878" s="1">
        <f t="shared" si="164"/>
        <v>25</v>
      </c>
      <c r="L878" s="12">
        <f t="shared" si="168"/>
        <v>0.7142857142857143</v>
      </c>
      <c r="M878" s="1">
        <v>7</v>
      </c>
      <c r="N878" s="1">
        <v>6</v>
      </c>
      <c r="O878" s="1">
        <v>7</v>
      </c>
      <c r="P878" s="1">
        <v>4</v>
      </c>
      <c r="Q878" s="1">
        <f t="shared" si="165"/>
        <v>24</v>
      </c>
      <c r="R878" s="12">
        <f t="shared" si="169"/>
        <v>0.68571428571428572</v>
      </c>
      <c r="S878" s="1">
        <v>7</v>
      </c>
      <c r="T878" s="1">
        <v>4</v>
      </c>
      <c r="U878" s="1">
        <f t="shared" si="166"/>
        <v>11</v>
      </c>
      <c r="V878" s="12">
        <f t="shared" si="170"/>
        <v>0.73333333333333328</v>
      </c>
      <c r="W878" s="1">
        <v>5</v>
      </c>
      <c r="X878" s="1">
        <v>3</v>
      </c>
      <c r="Y878" s="1">
        <v>4</v>
      </c>
      <c r="Z878" s="1">
        <f t="shared" si="167"/>
        <v>12</v>
      </c>
      <c r="AA878" s="12">
        <f t="shared" si="171"/>
        <v>0.8</v>
      </c>
      <c r="AB878" s="2" t="s">
        <v>795</v>
      </c>
    </row>
    <row r="879" spans="1:28" x14ac:dyDescent="0.25">
      <c r="A879" s="1" t="s">
        <v>1673</v>
      </c>
      <c r="B879" s="1" t="s">
        <v>576</v>
      </c>
      <c r="C879" s="1" t="s">
        <v>36</v>
      </c>
      <c r="D879" s="1">
        <v>12</v>
      </c>
      <c r="E879" s="1">
        <v>3</v>
      </c>
      <c r="F879" s="1">
        <v>2</v>
      </c>
      <c r="G879" s="1">
        <v>7</v>
      </c>
      <c r="H879" s="1">
        <v>5</v>
      </c>
      <c r="I879" s="1">
        <v>7</v>
      </c>
      <c r="J879" s="1">
        <v>5</v>
      </c>
      <c r="K879" s="1">
        <f t="shared" si="164"/>
        <v>24</v>
      </c>
      <c r="L879" s="12">
        <f t="shared" si="168"/>
        <v>0.68571428571428572</v>
      </c>
      <c r="M879" s="1">
        <v>6</v>
      </c>
      <c r="N879" s="1">
        <v>7</v>
      </c>
      <c r="O879" s="1">
        <v>7</v>
      </c>
      <c r="P879" s="1">
        <v>4</v>
      </c>
      <c r="Q879" s="1">
        <f t="shared" si="165"/>
        <v>24</v>
      </c>
      <c r="R879" s="12">
        <f t="shared" si="169"/>
        <v>0.68571428571428572</v>
      </c>
      <c r="S879" s="1">
        <v>6</v>
      </c>
      <c r="T879" s="1">
        <v>4</v>
      </c>
      <c r="U879" s="1">
        <f t="shared" si="166"/>
        <v>10</v>
      </c>
      <c r="V879" s="12">
        <f t="shared" si="170"/>
        <v>0.66666666666666663</v>
      </c>
      <c r="W879" s="1">
        <v>5</v>
      </c>
      <c r="X879" s="1">
        <v>4</v>
      </c>
      <c r="Y879" s="1">
        <v>4</v>
      </c>
      <c r="Z879" s="1">
        <f t="shared" si="167"/>
        <v>13</v>
      </c>
      <c r="AA879" s="12">
        <f t="shared" si="171"/>
        <v>0.8666666666666667</v>
      </c>
      <c r="AB879" s="2" t="s">
        <v>796</v>
      </c>
    </row>
    <row r="880" spans="1:28" x14ac:dyDescent="0.25">
      <c r="A880" s="1" t="s">
        <v>1673</v>
      </c>
      <c r="B880" s="1" t="s">
        <v>35</v>
      </c>
      <c r="C880" s="1" t="s">
        <v>861</v>
      </c>
      <c r="D880" s="1">
        <v>18</v>
      </c>
      <c r="E880" s="1">
        <v>2</v>
      </c>
      <c r="F880" s="1">
        <v>6</v>
      </c>
      <c r="G880" s="1">
        <v>6</v>
      </c>
      <c r="H880" s="1">
        <v>6</v>
      </c>
      <c r="I880" s="1">
        <v>6</v>
      </c>
      <c r="J880" s="1">
        <v>6</v>
      </c>
      <c r="K880" s="1">
        <f t="shared" si="164"/>
        <v>24</v>
      </c>
      <c r="L880" s="12">
        <f t="shared" ref="L880:L901" si="172">K880/40</f>
        <v>0.6</v>
      </c>
      <c r="M880" s="1">
        <v>5</v>
      </c>
      <c r="N880" s="1">
        <v>6</v>
      </c>
      <c r="O880" s="1">
        <v>6</v>
      </c>
      <c r="P880" s="1">
        <v>6</v>
      </c>
      <c r="Q880" s="1">
        <f t="shared" si="165"/>
        <v>23</v>
      </c>
      <c r="R880" s="12">
        <f t="shared" ref="R880:R901" si="173">Q880/40</f>
        <v>0.57499999999999996</v>
      </c>
      <c r="S880" s="1">
        <v>7</v>
      </c>
      <c r="T880" s="1">
        <v>9</v>
      </c>
      <c r="U880" s="1">
        <f t="shared" si="166"/>
        <v>16</v>
      </c>
      <c r="V880" s="12">
        <f t="shared" ref="V880:V901" si="174">U880/20</f>
        <v>0.8</v>
      </c>
      <c r="Z880" s="1">
        <f t="shared" si="167"/>
        <v>0</v>
      </c>
      <c r="AB880" s="2" t="s">
        <v>1164</v>
      </c>
    </row>
    <row r="881" spans="1:28" x14ac:dyDescent="0.25">
      <c r="A881" s="1" t="s">
        <v>1673</v>
      </c>
      <c r="B881" s="1" t="s">
        <v>35</v>
      </c>
      <c r="C881" s="1" t="s">
        <v>861</v>
      </c>
      <c r="D881" s="1">
        <v>18</v>
      </c>
      <c r="E881" s="1">
        <v>2</v>
      </c>
      <c r="F881" s="1">
        <v>6</v>
      </c>
      <c r="G881" s="1">
        <v>7</v>
      </c>
      <c r="H881" s="1">
        <v>6</v>
      </c>
      <c r="I881" s="1">
        <v>7</v>
      </c>
      <c r="J881" s="1">
        <v>6</v>
      </c>
      <c r="K881" s="1">
        <f t="shared" si="164"/>
        <v>26</v>
      </c>
      <c r="L881" s="12">
        <f t="shared" si="172"/>
        <v>0.65</v>
      </c>
      <c r="M881" s="1">
        <v>6</v>
      </c>
      <c r="N881" s="1">
        <v>6</v>
      </c>
      <c r="O881" s="1">
        <v>7</v>
      </c>
      <c r="P881" s="1">
        <v>7</v>
      </c>
      <c r="Q881" s="1">
        <f t="shared" si="165"/>
        <v>26</v>
      </c>
      <c r="R881" s="12">
        <f t="shared" si="173"/>
        <v>0.65</v>
      </c>
      <c r="S881" s="1">
        <v>7</v>
      </c>
      <c r="T881" s="1">
        <v>7</v>
      </c>
      <c r="U881" s="1">
        <f t="shared" si="166"/>
        <v>14</v>
      </c>
      <c r="V881" s="12">
        <f t="shared" si="174"/>
        <v>0.7</v>
      </c>
      <c r="Z881" s="1">
        <f t="shared" si="167"/>
        <v>0</v>
      </c>
      <c r="AB881" s="2" t="s">
        <v>1165</v>
      </c>
    </row>
    <row r="882" spans="1:28" x14ac:dyDescent="0.25">
      <c r="A882" s="1" t="s">
        <v>1673</v>
      </c>
      <c r="B882" s="1" t="s">
        <v>35</v>
      </c>
      <c r="C882" s="1" t="s">
        <v>861</v>
      </c>
      <c r="D882" s="1">
        <v>18</v>
      </c>
      <c r="E882" s="1">
        <v>2</v>
      </c>
      <c r="F882" s="1">
        <v>6</v>
      </c>
      <c r="G882" s="1">
        <v>5</v>
      </c>
      <c r="H882" s="1">
        <v>4</v>
      </c>
      <c r="I882" s="1">
        <v>5</v>
      </c>
      <c r="J882" s="1">
        <v>4</v>
      </c>
      <c r="K882" s="1">
        <f t="shared" si="164"/>
        <v>18</v>
      </c>
      <c r="L882" s="12">
        <f t="shared" si="172"/>
        <v>0.45</v>
      </c>
      <c r="M882" s="1">
        <v>6</v>
      </c>
      <c r="N882" s="1">
        <v>6</v>
      </c>
      <c r="O882" s="1">
        <v>4</v>
      </c>
      <c r="P882" s="1">
        <v>6</v>
      </c>
      <c r="Q882" s="1">
        <f t="shared" si="165"/>
        <v>22</v>
      </c>
      <c r="R882" s="12">
        <f t="shared" si="173"/>
        <v>0.55000000000000004</v>
      </c>
      <c r="S882" s="1">
        <v>6</v>
      </c>
      <c r="T882" s="1">
        <v>7</v>
      </c>
      <c r="U882" s="1">
        <f t="shared" si="166"/>
        <v>13</v>
      </c>
      <c r="V882" s="12">
        <f t="shared" si="174"/>
        <v>0.65</v>
      </c>
      <c r="Z882" s="1">
        <f t="shared" si="167"/>
        <v>0</v>
      </c>
      <c r="AB882" s="2" t="s">
        <v>1166</v>
      </c>
    </row>
    <row r="883" spans="1:28" x14ac:dyDescent="0.25">
      <c r="A883" s="1" t="s">
        <v>1673</v>
      </c>
      <c r="B883" s="1" t="s">
        <v>35</v>
      </c>
      <c r="C883" s="1" t="s">
        <v>861</v>
      </c>
      <c r="D883" s="1">
        <v>18</v>
      </c>
      <c r="E883" s="1">
        <v>2</v>
      </c>
      <c r="F883" s="1">
        <v>6</v>
      </c>
      <c r="G883" s="1">
        <v>6</v>
      </c>
      <c r="H883" s="1">
        <v>4</v>
      </c>
      <c r="I883" s="1">
        <v>5</v>
      </c>
      <c r="J883" s="1">
        <v>5</v>
      </c>
      <c r="K883" s="1">
        <f t="shared" si="164"/>
        <v>20</v>
      </c>
      <c r="L883" s="12">
        <f t="shared" si="172"/>
        <v>0.5</v>
      </c>
      <c r="M883" s="1">
        <v>4</v>
      </c>
      <c r="N883" s="1">
        <v>5</v>
      </c>
      <c r="O883" s="1">
        <v>4</v>
      </c>
      <c r="P883" s="1">
        <v>5</v>
      </c>
      <c r="Q883" s="1">
        <f t="shared" si="165"/>
        <v>18</v>
      </c>
      <c r="R883" s="12">
        <f t="shared" si="173"/>
        <v>0.45</v>
      </c>
      <c r="S883" s="1">
        <v>5</v>
      </c>
      <c r="T883" s="1">
        <v>5</v>
      </c>
      <c r="U883" s="1">
        <f t="shared" si="166"/>
        <v>10</v>
      </c>
      <c r="V883" s="12">
        <f t="shared" si="174"/>
        <v>0.5</v>
      </c>
      <c r="Z883" s="1">
        <f t="shared" si="167"/>
        <v>0</v>
      </c>
      <c r="AB883" s="2" t="s">
        <v>1167</v>
      </c>
    </row>
    <row r="884" spans="1:28" x14ac:dyDescent="0.25">
      <c r="A884" s="1" t="s">
        <v>1673</v>
      </c>
      <c r="B884" s="1" t="s">
        <v>35</v>
      </c>
      <c r="C884" s="1" t="s">
        <v>861</v>
      </c>
      <c r="D884" s="1">
        <v>18</v>
      </c>
      <c r="E884" s="1">
        <v>2</v>
      </c>
      <c r="F884" s="1">
        <v>6</v>
      </c>
      <c r="G884" s="1">
        <v>5</v>
      </c>
      <c r="H884" s="1">
        <v>7</v>
      </c>
      <c r="I884" s="1">
        <v>7</v>
      </c>
      <c r="J884" s="1">
        <v>7</v>
      </c>
      <c r="K884" s="1">
        <f t="shared" si="164"/>
        <v>26</v>
      </c>
      <c r="L884" s="12">
        <f t="shared" si="172"/>
        <v>0.65</v>
      </c>
      <c r="M884" s="1">
        <v>7</v>
      </c>
      <c r="N884" s="1">
        <v>7</v>
      </c>
      <c r="O884" s="1">
        <v>7</v>
      </c>
      <c r="P884" s="1">
        <v>7</v>
      </c>
      <c r="Q884" s="1">
        <f t="shared" si="165"/>
        <v>28</v>
      </c>
      <c r="R884" s="12">
        <f t="shared" si="173"/>
        <v>0.7</v>
      </c>
      <c r="S884" s="1">
        <v>7</v>
      </c>
      <c r="T884" s="1">
        <v>8</v>
      </c>
      <c r="U884" s="1">
        <f t="shared" si="166"/>
        <v>15</v>
      </c>
      <c r="V884" s="12">
        <f t="shared" si="174"/>
        <v>0.75</v>
      </c>
      <c r="Z884" s="1">
        <f t="shared" si="167"/>
        <v>0</v>
      </c>
      <c r="AB884" s="2" t="s">
        <v>1168</v>
      </c>
    </row>
    <row r="885" spans="1:28" x14ac:dyDescent="0.25">
      <c r="A885" s="1" t="s">
        <v>1673</v>
      </c>
      <c r="B885" s="1" t="s">
        <v>35</v>
      </c>
      <c r="C885" s="1" t="s">
        <v>861</v>
      </c>
      <c r="D885" s="1">
        <v>18</v>
      </c>
      <c r="E885" s="1">
        <v>2</v>
      </c>
      <c r="F885" s="1">
        <v>6</v>
      </c>
      <c r="G885" s="1">
        <v>4</v>
      </c>
      <c r="H885" s="1">
        <v>4</v>
      </c>
      <c r="I885" s="1">
        <v>4</v>
      </c>
      <c r="J885" s="1">
        <v>4</v>
      </c>
      <c r="K885" s="1">
        <f t="shared" si="164"/>
        <v>16</v>
      </c>
      <c r="L885" s="12">
        <f t="shared" si="172"/>
        <v>0.4</v>
      </c>
      <c r="M885" s="1">
        <v>3</v>
      </c>
      <c r="N885" s="1">
        <v>4</v>
      </c>
      <c r="O885" s="1">
        <v>3</v>
      </c>
      <c r="P885" s="1">
        <v>5</v>
      </c>
      <c r="Q885" s="1">
        <f t="shared" si="165"/>
        <v>15</v>
      </c>
      <c r="R885" s="12">
        <f t="shared" si="173"/>
        <v>0.375</v>
      </c>
      <c r="S885" s="1">
        <v>5</v>
      </c>
      <c r="T885" s="1">
        <v>4</v>
      </c>
      <c r="U885" s="1">
        <f t="shared" si="166"/>
        <v>9</v>
      </c>
      <c r="V885" s="12">
        <f t="shared" si="174"/>
        <v>0.45</v>
      </c>
      <c r="Z885" s="1">
        <f t="shared" si="167"/>
        <v>0</v>
      </c>
      <c r="AB885" s="2" t="s">
        <v>1169</v>
      </c>
    </row>
    <row r="886" spans="1:28" x14ac:dyDescent="0.25">
      <c r="A886" s="1" t="s">
        <v>1673</v>
      </c>
      <c r="B886" s="1" t="s">
        <v>35</v>
      </c>
      <c r="C886" s="1" t="s">
        <v>861</v>
      </c>
      <c r="D886" s="1">
        <v>18</v>
      </c>
      <c r="E886" s="1">
        <v>2</v>
      </c>
      <c r="F886" s="1">
        <v>6</v>
      </c>
      <c r="G886" s="1">
        <v>5</v>
      </c>
      <c r="H886" s="1">
        <v>5</v>
      </c>
      <c r="I886" s="1">
        <v>6</v>
      </c>
      <c r="J886" s="1">
        <v>6</v>
      </c>
      <c r="K886" s="1">
        <f t="shared" si="164"/>
        <v>22</v>
      </c>
      <c r="L886" s="12">
        <f t="shared" si="172"/>
        <v>0.55000000000000004</v>
      </c>
      <c r="M886" s="1">
        <v>6</v>
      </c>
      <c r="N886" s="1">
        <v>6</v>
      </c>
      <c r="O886" s="1">
        <v>7</v>
      </c>
      <c r="P886" s="1">
        <v>6</v>
      </c>
      <c r="Q886" s="1">
        <f t="shared" si="165"/>
        <v>25</v>
      </c>
      <c r="R886" s="12">
        <f t="shared" si="173"/>
        <v>0.625</v>
      </c>
      <c r="S886" s="1">
        <v>7</v>
      </c>
      <c r="T886" s="1">
        <v>7</v>
      </c>
      <c r="U886" s="1">
        <f t="shared" si="166"/>
        <v>14</v>
      </c>
      <c r="V886" s="12">
        <f t="shared" si="174"/>
        <v>0.7</v>
      </c>
      <c r="Z886" s="1">
        <f t="shared" si="167"/>
        <v>0</v>
      </c>
      <c r="AB886" s="2" t="s">
        <v>1170</v>
      </c>
    </row>
    <row r="887" spans="1:28" x14ac:dyDescent="0.25">
      <c r="A887" s="1" t="s">
        <v>1673</v>
      </c>
      <c r="B887" s="1" t="s">
        <v>35</v>
      </c>
      <c r="C887" s="1" t="s">
        <v>861</v>
      </c>
      <c r="D887" s="1">
        <v>18</v>
      </c>
      <c r="E887" s="1">
        <v>2</v>
      </c>
      <c r="F887" s="1">
        <v>6</v>
      </c>
      <c r="G887" s="1">
        <v>5</v>
      </c>
      <c r="H887" s="1">
        <v>3</v>
      </c>
      <c r="I887" s="1">
        <v>4</v>
      </c>
      <c r="J887" s="1">
        <v>3</v>
      </c>
      <c r="K887" s="1">
        <f t="shared" si="164"/>
        <v>15</v>
      </c>
      <c r="L887" s="12">
        <f t="shared" si="172"/>
        <v>0.375</v>
      </c>
      <c r="M887" s="1">
        <v>5</v>
      </c>
      <c r="N887" s="1">
        <v>5</v>
      </c>
      <c r="O887" s="1">
        <v>4</v>
      </c>
      <c r="P887" s="1">
        <v>5</v>
      </c>
      <c r="Q887" s="1">
        <f t="shared" si="165"/>
        <v>19</v>
      </c>
      <c r="R887" s="12">
        <f t="shared" si="173"/>
        <v>0.47499999999999998</v>
      </c>
      <c r="S887" s="1">
        <v>4</v>
      </c>
      <c r="T887" s="1">
        <v>4</v>
      </c>
      <c r="U887" s="1">
        <f t="shared" si="166"/>
        <v>8</v>
      </c>
      <c r="V887" s="12">
        <f t="shared" si="174"/>
        <v>0.4</v>
      </c>
      <c r="Z887" s="1">
        <f t="shared" si="167"/>
        <v>0</v>
      </c>
      <c r="AB887" s="2" t="s">
        <v>1171</v>
      </c>
    </row>
    <row r="888" spans="1:28" x14ac:dyDescent="0.25">
      <c r="A888" s="1" t="s">
        <v>1673</v>
      </c>
      <c r="B888" s="1" t="s">
        <v>576</v>
      </c>
      <c r="C888" s="1" t="s">
        <v>861</v>
      </c>
      <c r="D888" s="1">
        <v>25</v>
      </c>
      <c r="E888" s="1">
        <v>2</v>
      </c>
      <c r="F888" s="1">
        <v>4</v>
      </c>
      <c r="G888" s="1">
        <v>6</v>
      </c>
      <c r="H888" s="1">
        <v>4</v>
      </c>
      <c r="I888" s="1">
        <v>6</v>
      </c>
      <c r="J888" s="1">
        <v>5</v>
      </c>
      <c r="K888" s="1">
        <f t="shared" si="164"/>
        <v>21</v>
      </c>
      <c r="L888" s="12">
        <f t="shared" si="172"/>
        <v>0.52500000000000002</v>
      </c>
      <c r="M888" s="1">
        <v>5</v>
      </c>
      <c r="N888" s="1">
        <v>4</v>
      </c>
      <c r="O888" s="1">
        <v>5</v>
      </c>
      <c r="P888" s="1">
        <v>6</v>
      </c>
      <c r="Q888" s="1">
        <f t="shared" si="165"/>
        <v>20</v>
      </c>
      <c r="R888" s="12">
        <f t="shared" si="173"/>
        <v>0.5</v>
      </c>
      <c r="S888" s="1">
        <v>6</v>
      </c>
      <c r="T888" s="1">
        <v>7</v>
      </c>
      <c r="U888" s="1">
        <f t="shared" si="166"/>
        <v>13</v>
      </c>
      <c r="V888" s="12">
        <f t="shared" si="174"/>
        <v>0.65</v>
      </c>
      <c r="Z888" s="1">
        <f t="shared" si="167"/>
        <v>0</v>
      </c>
      <c r="AB888" s="2" t="s">
        <v>1511</v>
      </c>
    </row>
    <row r="889" spans="1:28" x14ac:dyDescent="0.25">
      <c r="A889" s="1" t="s">
        <v>1673</v>
      </c>
      <c r="B889" s="1" t="s">
        <v>576</v>
      </c>
      <c r="C889" s="1" t="s">
        <v>861</v>
      </c>
      <c r="D889" s="1">
        <v>25</v>
      </c>
      <c r="E889" s="1">
        <v>2</v>
      </c>
      <c r="F889" s="1">
        <v>4</v>
      </c>
      <c r="G889" s="1">
        <v>7</v>
      </c>
      <c r="H889" s="1">
        <v>6</v>
      </c>
      <c r="I889" s="1">
        <v>7</v>
      </c>
      <c r="J889" s="1">
        <v>6</v>
      </c>
      <c r="K889" s="1">
        <f t="shared" si="164"/>
        <v>26</v>
      </c>
      <c r="L889" s="12">
        <f t="shared" si="172"/>
        <v>0.65</v>
      </c>
      <c r="M889" s="1">
        <v>6</v>
      </c>
      <c r="N889" s="1">
        <v>5</v>
      </c>
      <c r="O889" s="1">
        <v>5</v>
      </c>
      <c r="P889" s="1">
        <v>5</v>
      </c>
      <c r="Q889" s="1">
        <f t="shared" si="165"/>
        <v>21</v>
      </c>
      <c r="R889" s="12">
        <f t="shared" si="173"/>
        <v>0.52500000000000002</v>
      </c>
      <c r="S889" s="1">
        <v>6</v>
      </c>
      <c r="T889" s="1">
        <v>5</v>
      </c>
      <c r="U889" s="1">
        <f t="shared" si="166"/>
        <v>11</v>
      </c>
      <c r="V889" s="12">
        <f t="shared" si="174"/>
        <v>0.55000000000000004</v>
      </c>
      <c r="Z889" s="1">
        <f t="shared" si="167"/>
        <v>0</v>
      </c>
      <c r="AB889" s="2" t="s">
        <v>1512</v>
      </c>
    </row>
    <row r="890" spans="1:28" x14ac:dyDescent="0.25">
      <c r="A890" s="1" t="s">
        <v>1673</v>
      </c>
      <c r="B890" s="1" t="s">
        <v>576</v>
      </c>
      <c r="C890" s="1" t="s">
        <v>861</v>
      </c>
      <c r="D890" s="1">
        <v>25</v>
      </c>
      <c r="E890" s="1">
        <v>2</v>
      </c>
      <c r="F890" s="1">
        <v>4</v>
      </c>
      <c r="G890" s="1">
        <v>8</v>
      </c>
      <c r="H890" s="1">
        <v>7</v>
      </c>
      <c r="I890" s="1">
        <v>7</v>
      </c>
      <c r="J890" s="1">
        <v>8</v>
      </c>
      <c r="K890" s="1">
        <f t="shared" si="164"/>
        <v>30</v>
      </c>
      <c r="L890" s="12">
        <f t="shared" si="172"/>
        <v>0.75</v>
      </c>
      <c r="M890" s="1">
        <v>7</v>
      </c>
      <c r="N890" s="1">
        <v>7</v>
      </c>
      <c r="O890" s="1">
        <v>7</v>
      </c>
      <c r="P890" s="1">
        <v>7</v>
      </c>
      <c r="Q890" s="1">
        <f t="shared" si="165"/>
        <v>28</v>
      </c>
      <c r="R890" s="12">
        <f t="shared" si="173"/>
        <v>0.7</v>
      </c>
      <c r="S890" s="1">
        <v>8</v>
      </c>
      <c r="T890" s="1">
        <v>8</v>
      </c>
      <c r="U890" s="1">
        <f t="shared" si="166"/>
        <v>16</v>
      </c>
      <c r="V890" s="12">
        <f t="shared" si="174"/>
        <v>0.8</v>
      </c>
      <c r="Z890" s="1">
        <f t="shared" si="167"/>
        <v>0</v>
      </c>
      <c r="AB890" s="2" t="s">
        <v>1513</v>
      </c>
    </row>
    <row r="891" spans="1:28" x14ac:dyDescent="0.25">
      <c r="A891" s="1" t="s">
        <v>1673</v>
      </c>
      <c r="B891" s="1" t="s">
        <v>576</v>
      </c>
      <c r="C891" s="1" t="s">
        <v>861</v>
      </c>
      <c r="D891" s="1">
        <v>25</v>
      </c>
      <c r="E891" s="1">
        <v>2</v>
      </c>
      <c r="F891" s="1">
        <v>4</v>
      </c>
      <c r="G891" s="1">
        <v>6</v>
      </c>
      <c r="H891" s="1">
        <v>4</v>
      </c>
      <c r="I891" s="1">
        <v>4</v>
      </c>
      <c r="J891" s="1">
        <v>3</v>
      </c>
      <c r="K891" s="1">
        <f t="shared" si="164"/>
        <v>17</v>
      </c>
      <c r="L891" s="12">
        <f t="shared" si="172"/>
        <v>0.42499999999999999</v>
      </c>
      <c r="M891" s="1">
        <v>5</v>
      </c>
      <c r="N891" s="1">
        <v>3</v>
      </c>
      <c r="O891" s="1">
        <v>3</v>
      </c>
      <c r="P891" s="1">
        <v>3</v>
      </c>
      <c r="Q891" s="1">
        <f t="shared" si="165"/>
        <v>14</v>
      </c>
      <c r="R891" s="12">
        <f t="shared" si="173"/>
        <v>0.35</v>
      </c>
      <c r="S891" s="1">
        <v>3</v>
      </c>
      <c r="T891" s="1">
        <v>3</v>
      </c>
      <c r="U891" s="1">
        <f t="shared" si="166"/>
        <v>6</v>
      </c>
      <c r="V891" s="12">
        <f t="shared" si="174"/>
        <v>0.3</v>
      </c>
      <c r="Z891" s="1">
        <f t="shared" si="167"/>
        <v>0</v>
      </c>
      <c r="AB891" s="2" t="s">
        <v>1514</v>
      </c>
    </row>
    <row r="892" spans="1:28" x14ac:dyDescent="0.25">
      <c r="A892" s="1" t="s">
        <v>1673</v>
      </c>
      <c r="B892" s="1" t="s">
        <v>576</v>
      </c>
      <c r="C892" s="1" t="s">
        <v>861</v>
      </c>
      <c r="D892" s="1">
        <v>25</v>
      </c>
      <c r="E892" s="1">
        <v>2</v>
      </c>
      <c r="F892" s="1">
        <v>4</v>
      </c>
      <c r="G892" s="1">
        <v>8</v>
      </c>
      <c r="H892" s="1">
        <v>7</v>
      </c>
      <c r="I892" s="1">
        <v>8</v>
      </c>
      <c r="J892" s="1">
        <v>8</v>
      </c>
      <c r="K892" s="1">
        <f t="shared" si="164"/>
        <v>31</v>
      </c>
      <c r="L892" s="12">
        <f t="shared" si="172"/>
        <v>0.77500000000000002</v>
      </c>
      <c r="M892" s="1">
        <v>8</v>
      </c>
      <c r="N892" s="1">
        <v>7</v>
      </c>
      <c r="O892" s="1">
        <v>7</v>
      </c>
      <c r="P892" s="1">
        <v>7</v>
      </c>
      <c r="Q892" s="1">
        <f t="shared" si="165"/>
        <v>29</v>
      </c>
      <c r="R892" s="12">
        <f t="shared" si="173"/>
        <v>0.72499999999999998</v>
      </c>
      <c r="S892" s="1">
        <v>8</v>
      </c>
      <c r="T892" s="1">
        <v>8</v>
      </c>
      <c r="U892" s="1">
        <f t="shared" si="166"/>
        <v>16</v>
      </c>
      <c r="V892" s="12">
        <f t="shared" si="174"/>
        <v>0.8</v>
      </c>
      <c r="Z892" s="1">
        <f t="shared" si="167"/>
        <v>0</v>
      </c>
      <c r="AB892" s="2" t="s">
        <v>1515</v>
      </c>
    </row>
    <row r="893" spans="1:28" x14ac:dyDescent="0.25">
      <c r="A893" s="1" t="s">
        <v>1673</v>
      </c>
      <c r="B893" s="1" t="s">
        <v>576</v>
      </c>
      <c r="C893" s="1" t="s">
        <v>861</v>
      </c>
      <c r="D893" s="1">
        <v>25</v>
      </c>
      <c r="E893" s="1">
        <v>2</v>
      </c>
      <c r="F893" s="1">
        <v>4</v>
      </c>
      <c r="G893" s="1">
        <v>5</v>
      </c>
      <c r="H893" s="1">
        <v>6</v>
      </c>
      <c r="I893" s="1">
        <v>5</v>
      </c>
      <c r="J893" s="1">
        <v>6</v>
      </c>
      <c r="K893" s="1">
        <f t="shared" si="164"/>
        <v>22</v>
      </c>
      <c r="L893" s="12">
        <f t="shared" si="172"/>
        <v>0.55000000000000004</v>
      </c>
      <c r="M893" s="1">
        <v>6</v>
      </c>
      <c r="N893" s="1">
        <v>6</v>
      </c>
      <c r="O893" s="1">
        <v>5</v>
      </c>
      <c r="P893" s="1">
        <v>5</v>
      </c>
      <c r="Q893" s="1">
        <f t="shared" si="165"/>
        <v>22</v>
      </c>
      <c r="R893" s="12">
        <f t="shared" si="173"/>
        <v>0.55000000000000004</v>
      </c>
      <c r="S893" s="1">
        <v>6</v>
      </c>
      <c r="T893" s="1">
        <v>7</v>
      </c>
      <c r="U893" s="1">
        <f t="shared" si="166"/>
        <v>13</v>
      </c>
      <c r="V893" s="12">
        <f t="shared" si="174"/>
        <v>0.65</v>
      </c>
      <c r="Z893" s="1">
        <f t="shared" si="167"/>
        <v>0</v>
      </c>
      <c r="AB893" s="2" t="s">
        <v>1516</v>
      </c>
    </row>
    <row r="894" spans="1:28" x14ac:dyDescent="0.25">
      <c r="A894" s="1" t="s">
        <v>1673</v>
      </c>
      <c r="B894" s="1" t="s">
        <v>576</v>
      </c>
      <c r="C894" s="1" t="s">
        <v>861</v>
      </c>
      <c r="D894" s="1">
        <v>11</v>
      </c>
      <c r="E894" s="1">
        <v>3</v>
      </c>
      <c r="F894" s="1">
        <v>2</v>
      </c>
      <c r="G894" s="1">
        <v>5</v>
      </c>
      <c r="H894" s="1">
        <v>5</v>
      </c>
      <c r="I894" s="1">
        <v>5</v>
      </c>
      <c r="J894" s="1">
        <v>5</v>
      </c>
      <c r="K894" s="1">
        <f t="shared" si="164"/>
        <v>20</v>
      </c>
      <c r="L894" s="12">
        <f t="shared" si="172"/>
        <v>0.5</v>
      </c>
      <c r="M894" s="1">
        <v>6</v>
      </c>
      <c r="N894" s="1">
        <v>5</v>
      </c>
      <c r="O894" s="1">
        <v>4</v>
      </c>
      <c r="P894" s="1">
        <v>4</v>
      </c>
      <c r="Q894" s="1">
        <f t="shared" si="165"/>
        <v>19</v>
      </c>
      <c r="R894" s="12">
        <f t="shared" si="173"/>
        <v>0.47499999999999998</v>
      </c>
      <c r="S894" s="1">
        <v>5</v>
      </c>
      <c r="T894" s="1">
        <v>6</v>
      </c>
      <c r="U894" s="1">
        <f t="shared" si="166"/>
        <v>11</v>
      </c>
      <c r="V894" s="12">
        <f t="shared" si="174"/>
        <v>0.55000000000000004</v>
      </c>
      <c r="Z894" s="1">
        <f t="shared" si="167"/>
        <v>0</v>
      </c>
      <c r="AB894" s="2" t="s">
        <v>1573</v>
      </c>
    </row>
    <row r="895" spans="1:28" x14ac:dyDescent="0.25">
      <c r="A895" s="1" t="s">
        <v>1673</v>
      </c>
      <c r="B895" s="1" t="s">
        <v>576</v>
      </c>
      <c r="C895" s="1" t="s">
        <v>861</v>
      </c>
      <c r="D895" s="1">
        <v>11</v>
      </c>
      <c r="E895" s="1">
        <v>3</v>
      </c>
      <c r="F895" s="1">
        <v>2</v>
      </c>
      <c r="G895" s="1">
        <v>6</v>
      </c>
      <c r="H895" s="1">
        <v>7</v>
      </c>
      <c r="I895" s="1">
        <v>5</v>
      </c>
      <c r="J895" s="1">
        <v>7</v>
      </c>
      <c r="K895" s="1">
        <f t="shared" si="164"/>
        <v>25</v>
      </c>
      <c r="L895" s="12">
        <f t="shared" si="172"/>
        <v>0.625</v>
      </c>
      <c r="M895" s="1">
        <v>6</v>
      </c>
      <c r="N895" s="1">
        <v>6</v>
      </c>
      <c r="O895" s="1">
        <v>5</v>
      </c>
      <c r="P895" s="1">
        <v>5</v>
      </c>
      <c r="Q895" s="1">
        <f t="shared" si="165"/>
        <v>22</v>
      </c>
      <c r="R895" s="12">
        <f t="shared" si="173"/>
        <v>0.55000000000000004</v>
      </c>
      <c r="S895" s="1">
        <v>5</v>
      </c>
      <c r="T895" s="1">
        <v>6</v>
      </c>
      <c r="U895" s="1">
        <f t="shared" si="166"/>
        <v>11</v>
      </c>
      <c r="V895" s="12">
        <f t="shared" si="174"/>
        <v>0.55000000000000004</v>
      </c>
      <c r="Z895" s="1">
        <f t="shared" si="167"/>
        <v>0</v>
      </c>
      <c r="AB895" s="2" t="s">
        <v>1574</v>
      </c>
    </row>
    <row r="896" spans="1:28" x14ac:dyDescent="0.25">
      <c r="A896" s="1" t="s">
        <v>1673</v>
      </c>
      <c r="B896" s="1" t="s">
        <v>576</v>
      </c>
      <c r="C896" s="1" t="s">
        <v>861</v>
      </c>
      <c r="D896" s="1">
        <v>11</v>
      </c>
      <c r="E896" s="1">
        <v>3</v>
      </c>
      <c r="F896" s="1">
        <v>2</v>
      </c>
      <c r="G896" s="1">
        <v>6</v>
      </c>
      <c r="H896" s="1">
        <v>7</v>
      </c>
      <c r="I896" s="1">
        <v>7</v>
      </c>
      <c r="J896" s="1">
        <v>7</v>
      </c>
      <c r="K896" s="1">
        <f t="shared" si="164"/>
        <v>27</v>
      </c>
      <c r="L896" s="12">
        <f t="shared" si="172"/>
        <v>0.67500000000000004</v>
      </c>
      <c r="M896" s="1">
        <v>6</v>
      </c>
      <c r="N896" s="1">
        <v>5</v>
      </c>
      <c r="O896" s="1">
        <v>5</v>
      </c>
      <c r="P896" s="1">
        <v>5</v>
      </c>
      <c r="Q896" s="1">
        <f t="shared" si="165"/>
        <v>21</v>
      </c>
      <c r="R896" s="12">
        <f t="shared" si="173"/>
        <v>0.52500000000000002</v>
      </c>
      <c r="S896" s="1">
        <v>5</v>
      </c>
      <c r="T896" s="1">
        <v>5</v>
      </c>
      <c r="U896" s="1">
        <f t="shared" si="166"/>
        <v>10</v>
      </c>
      <c r="V896" s="12">
        <f t="shared" si="174"/>
        <v>0.5</v>
      </c>
      <c r="Z896" s="1">
        <f t="shared" si="167"/>
        <v>0</v>
      </c>
      <c r="AB896" s="2" t="s">
        <v>1575</v>
      </c>
    </row>
    <row r="897" spans="1:28" x14ac:dyDescent="0.25">
      <c r="A897" s="1" t="s">
        <v>1673</v>
      </c>
      <c r="B897" s="1" t="s">
        <v>576</v>
      </c>
      <c r="C897" s="1" t="s">
        <v>861</v>
      </c>
      <c r="D897" s="1">
        <v>11</v>
      </c>
      <c r="E897" s="1">
        <v>3</v>
      </c>
      <c r="F897" s="1">
        <v>2</v>
      </c>
      <c r="G897" s="1">
        <v>6</v>
      </c>
      <c r="H897" s="1">
        <v>6</v>
      </c>
      <c r="I897" s="1">
        <v>6</v>
      </c>
      <c r="J897" s="1">
        <v>7</v>
      </c>
      <c r="K897" s="1">
        <f t="shared" si="164"/>
        <v>25</v>
      </c>
      <c r="L897" s="12">
        <f t="shared" si="172"/>
        <v>0.625</v>
      </c>
      <c r="M897" s="1">
        <v>7</v>
      </c>
      <c r="N897" s="1">
        <v>7</v>
      </c>
      <c r="O897" s="1">
        <v>6</v>
      </c>
      <c r="P897" s="1">
        <v>6</v>
      </c>
      <c r="Q897" s="1">
        <f t="shared" si="165"/>
        <v>26</v>
      </c>
      <c r="R897" s="12">
        <f t="shared" si="173"/>
        <v>0.65</v>
      </c>
      <c r="S897" s="1">
        <v>7</v>
      </c>
      <c r="T897" s="1">
        <v>6</v>
      </c>
      <c r="U897" s="1">
        <f t="shared" si="166"/>
        <v>13</v>
      </c>
      <c r="V897" s="12">
        <f t="shared" si="174"/>
        <v>0.65</v>
      </c>
      <c r="Z897" s="1">
        <f t="shared" si="167"/>
        <v>0</v>
      </c>
      <c r="AB897" s="2" t="s">
        <v>1576</v>
      </c>
    </row>
    <row r="898" spans="1:28" x14ac:dyDescent="0.25">
      <c r="A898" s="1" t="s">
        <v>1673</v>
      </c>
      <c r="B898" s="1" t="s">
        <v>576</v>
      </c>
      <c r="C898" s="1" t="s">
        <v>861</v>
      </c>
      <c r="D898" s="1">
        <v>11</v>
      </c>
      <c r="E898" s="1">
        <v>3</v>
      </c>
      <c r="F898" s="1">
        <v>2</v>
      </c>
      <c r="G898" s="1">
        <v>5</v>
      </c>
      <c r="H898" s="1">
        <v>5</v>
      </c>
      <c r="I898" s="1">
        <v>6</v>
      </c>
      <c r="J898" s="1">
        <v>5</v>
      </c>
      <c r="K898" s="1">
        <f t="shared" si="164"/>
        <v>21</v>
      </c>
      <c r="L898" s="12">
        <f t="shared" si="172"/>
        <v>0.52500000000000002</v>
      </c>
      <c r="M898" s="1">
        <v>6</v>
      </c>
      <c r="N898" s="1">
        <v>5</v>
      </c>
      <c r="O898" s="1">
        <v>5</v>
      </c>
      <c r="P898" s="1">
        <v>7</v>
      </c>
      <c r="Q898" s="1">
        <f t="shared" si="165"/>
        <v>23</v>
      </c>
      <c r="R898" s="12">
        <f t="shared" si="173"/>
        <v>0.57499999999999996</v>
      </c>
      <c r="S898" s="1">
        <v>7</v>
      </c>
      <c r="T898" s="1">
        <v>5</v>
      </c>
      <c r="U898" s="1">
        <f t="shared" si="166"/>
        <v>12</v>
      </c>
      <c r="V898" s="12">
        <f t="shared" si="174"/>
        <v>0.6</v>
      </c>
      <c r="Z898" s="1">
        <f t="shared" si="167"/>
        <v>0</v>
      </c>
      <c r="AB898" s="2" t="s">
        <v>1577</v>
      </c>
    </row>
    <row r="899" spans="1:28" x14ac:dyDescent="0.25">
      <c r="A899" s="1" t="s">
        <v>1673</v>
      </c>
      <c r="B899" s="1" t="s">
        <v>576</v>
      </c>
      <c r="C899" s="1" t="s">
        <v>861</v>
      </c>
      <c r="D899" s="1">
        <v>11</v>
      </c>
      <c r="E899" s="1">
        <v>3</v>
      </c>
      <c r="F899" s="1">
        <v>2</v>
      </c>
      <c r="G899" s="1">
        <v>6</v>
      </c>
      <c r="H899" s="1">
        <v>4</v>
      </c>
      <c r="I899" s="1">
        <v>3</v>
      </c>
      <c r="J899" s="1">
        <v>4</v>
      </c>
      <c r="K899" s="1">
        <f t="shared" ref="K899:K962" si="175">SUM(G899:J899)</f>
        <v>17</v>
      </c>
      <c r="L899" s="12">
        <f t="shared" si="172"/>
        <v>0.42499999999999999</v>
      </c>
      <c r="M899" s="1">
        <v>5</v>
      </c>
      <c r="N899" s="1">
        <v>5</v>
      </c>
      <c r="O899" s="1">
        <v>4</v>
      </c>
      <c r="P899" s="1">
        <v>5</v>
      </c>
      <c r="Q899" s="1">
        <f t="shared" ref="Q899:Q962" si="176">SUM(M899:P899)</f>
        <v>19</v>
      </c>
      <c r="R899" s="12">
        <f t="shared" si="173"/>
        <v>0.47499999999999998</v>
      </c>
      <c r="S899" s="1">
        <v>6</v>
      </c>
      <c r="T899" s="1">
        <v>4</v>
      </c>
      <c r="U899" s="1">
        <f t="shared" ref="U899:U962" si="177">SUM(S899:T899)</f>
        <v>10</v>
      </c>
      <c r="V899" s="12">
        <f t="shared" si="174"/>
        <v>0.5</v>
      </c>
      <c r="Z899" s="1">
        <f t="shared" ref="Z899:Z962" si="178">SUM(W899:Y899)</f>
        <v>0</v>
      </c>
      <c r="AB899" s="2" t="s">
        <v>1578</v>
      </c>
    </row>
    <row r="900" spans="1:28" x14ac:dyDescent="0.25">
      <c r="A900" s="1" t="s">
        <v>1673</v>
      </c>
      <c r="B900" s="1" t="s">
        <v>576</v>
      </c>
      <c r="C900" s="1" t="s">
        <v>861</v>
      </c>
      <c r="D900" s="1">
        <v>11</v>
      </c>
      <c r="E900" s="1">
        <v>3</v>
      </c>
      <c r="F900" s="1">
        <v>2</v>
      </c>
      <c r="G900" s="1">
        <v>6</v>
      </c>
      <c r="H900" s="1">
        <v>5</v>
      </c>
      <c r="I900" s="1">
        <v>5</v>
      </c>
      <c r="J900" s="1">
        <v>5</v>
      </c>
      <c r="K900" s="1">
        <f t="shared" si="175"/>
        <v>21</v>
      </c>
      <c r="L900" s="12">
        <f t="shared" si="172"/>
        <v>0.52500000000000002</v>
      </c>
      <c r="M900" s="1">
        <v>5</v>
      </c>
      <c r="N900" s="1">
        <v>5</v>
      </c>
      <c r="O900" s="1">
        <v>4</v>
      </c>
      <c r="P900" s="1">
        <v>5</v>
      </c>
      <c r="Q900" s="1">
        <f t="shared" si="176"/>
        <v>19</v>
      </c>
      <c r="R900" s="12">
        <f t="shared" si="173"/>
        <v>0.47499999999999998</v>
      </c>
      <c r="S900" s="1">
        <v>5</v>
      </c>
      <c r="T900" s="1">
        <v>4</v>
      </c>
      <c r="U900" s="1">
        <f t="shared" si="177"/>
        <v>9</v>
      </c>
      <c r="V900" s="12">
        <f t="shared" si="174"/>
        <v>0.45</v>
      </c>
      <c r="Z900" s="1">
        <f t="shared" si="178"/>
        <v>0</v>
      </c>
      <c r="AB900" s="2" t="s">
        <v>1579</v>
      </c>
    </row>
    <row r="901" spans="1:28" x14ac:dyDescent="0.25">
      <c r="A901" s="1" t="s">
        <v>1673</v>
      </c>
      <c r="B901" s="1" t="s">
        <v>576</v>
      </c>
      <c r="C901" s="1" t="s">
        <v>861</v>
      </c>
      <c r="D901" s="1">
        <v>11</v>
      </c>
      <c r="E901" s="1">
        <v>3</v>
      </c>
      <c r="F901" s="1">
        <v>2</v>
      </c>
      <c r="G901" s="1">
        <v>7</v>
      </c>
      <c r="H901" s="1">
        <v>4</v>
      </c>
      <c r="I901" s="1">
        <v>6</v>
      </c>
      <c r="J901" s="1">
        <v>7</v>
      </c>
      <c r="K901" s="1">
        <f t="shared" si="175"/>
        <v>24</v>
      </c>
      <c r="L901" s="12">
        <f t="shared" si="172"/>
        <v>0.6</v>
      </c>
      <c r="M901" s="1">
        <v>7</v>
      </c>
      <c r="N901" s="1">
        <v>7</v>
      </c>
      <c r="O901" s="1">
        <v>7</v>
      </c>
      <c r="P901" s="1">
        <v>7</v>
      </c>
      <c r="Q901" s="1">
        <f t="shared" si="176"/>
        <v>28</v>
      </c>
      <c r="R901" s="12">
        <f t="shared" si="173"/>
        <v>0.7</v>
      </c>
      <c r="S901" s="1">
        <v>7</v>
      </c>
      <c r="T901" s="1">
        <v>7</v>
      </c>
      <c r="U901" s="1">
        <f t="shared" si="177"/>
        <v>14</v>
      </c>
      <c r="V901" s="12">
        <f t="shared" si="174"/>
        <v>0.7</v>
      </c>
      <c r="Z901" s="1">
        <f t="shared" si="178"/>
        <v>0</v>
      </c>
      <c r="AB901" s="2" t="s">
        <v>1580</v>
      </c>
    </row>
    <row r="902" spans="1:28" x14ac:dyDescent="0.25">
      <c r="A902" s="1" t="s">
        <v>1669</v>
      </c>
      <c r="B902" s="1" t="s">
        <v>35</v>
      </c>
      <c r="C902" s="1" t="s">
        <v>36</v>
      </c>
      <c r="D902" s="1">
        <v>19</v>
      </c>
      <c r="E902" s="1">
        <v>1</v>
      </c>
      <c r="F902" s="1">
        <v>8</v>
      </c>
      <c r="G902" s="1">
        <v>7</v>
      </c>
      <c r="H902" s="1">
        <v>7</v>
      </c>
      <c r="I902" s="1">
        <v>7</v>
      </c>
      <c r="J902" s="1">
        <v>4</v>
      </c>
      <c r="K902" s="1">
        <f t="shared" si="175"/>
        <v>25</v>
      </c>
      <c r="L902" s="12">
        <f t="shared" ref="L902:L909" si="179">K902/35</f>
        <v>0.7142857142857143</v>
      </c>
      <c r="M902" s="1">
        <v>8</v>
      </c>
      <c r="N902" s="1">
        <v>8</v>
      </c>
      <c r="O902" s="1">
        <v>7</v>
      </c>
      <c r="P902" s="1">
        <v>4</v>
      </c>
      <c r="Q902" s="1">
        <f t="shared" si="176"/>
        <v>27</v>
      </c>
      <c r="R902" s="12">
        <f t="shared" ref="R902:R909" si="180">Q902/35</f>
        <v>0.77142857142857146</v>
      </c>
      <c r="S902" s="1">
        <v>7</v>
      </c>
      <c r="T902" s="1">
        <v>4</v>
      </c>
      <c r="U902" s="1">
        <f t="shared" si="177"/>
        <v>11</v>
      </c>
      <c r="V902" s="12">
        <f t="shared" ref="V902:V909" si="181">U902/15</f>
        <v>0.73333333333333328</v>
      </c>
      <c r="W902" s="1">
        <v>4</v>
      </c>
      <c r="X902" s="1">
        <v>4</v>
      </c>
      <c r="Y902" s="1">
        <v>3</v>
      </c>
      <c r="Z902" s="1">
        <f t="shared" si="178"/>
        <v>11</v>
      </c>
      <c r="AA902" s="12">
        <f t="shared" ref="AA902:AA909" si="182">Z902/15</f>
        <v>0.73333333333333328</v>
      </c>
      <c r="AB902" s="2" t="s">
        <v>228</v>
      </c>
    </row>
    <row r="903" spans="1:28" x14ac:dyDescent="0.25">
      <c r="A903" s="1" t="s">
        <v>1669</v>
      </c>
      <c r="B903" s="1" t="s">
        <v>35</v>
      </c>
      <c r="C903" s="1" t="s">
        <v>36</v>
      </c>
      <c r="D903" s="1">
        <v>19</v>
      </c>
      <c r="E903" s="1">
        <v>1</v>
      </c>
      <c r="F903" s="1">
        <v>8</v>
      </c>
      <c r="G903" s="1">
        <v>4</v>
      </c>
      <c r="H903" s="1">
        <v>4</v>
      </c>
      <c r="I903" s="1">
        <v>6</v>
      </c>
      <c r="J903" s="1">
        <v>5</v>
      </c>
      <c r="K903" s="1">
        <f t="shared" si="175"/>
        <v>19</v>
      </c>
      <c r="L903" s="12">
        <f t="shared" si="179"/>
        <v>0.54285714285714282</v>
      </c>
      <c r="M903" s="1">
        <v>8</v>
      </c>
      <c r="N903" s="1">
        <v>4</v>
      </c>
      <c r="O903" s="1">
        <v>5</v>
      </c>
      <c r="P903" s="1">
        <v>3</v>
      </c>
      <c r="Q903" s="1">
        <f t="shared" si="176"/>
        <v>20</v>
      </c>
      <c r="R903" s="12">
        <f t="shared" si="180"/>
        <v>0.5714285714285714</v>
      </c>
      <c r="S903" s="1">
        <v>5</v>
      </c>
      <c r="T903" s="1">
        <v>3</v>
      </c>
      <c r="U903" s="1">
        <f t="shared" si="177"/>
        <v>8</v>
      </c>
      <c r="V903" s="12">
        <f t="shared" si="181"/>
        <v>0.53333333333333333</v>
      </c>
      <c r="W903" s="1">
        <v>3</v>
      </c>
      <c r="X903" s="1">
        <v>3</v>
      </c>
      <c r="Y903" s="1">
        <v>3</v>
      </c>
      <c r="Z903" s="1">
        <f t="shared" si="178"/>
        <v>9</v>
      </c>
      <c r="AA903" s="12">
        <f t="shared" si="182"/>
        <v>0.6</v>
      </c>
      <c r="AB903" s="2" t="s">
        <v>229</v>
      </c>
    </row>
    <row r="904" spans="1:28" x14ac:dyDescent="0.25">
      <c r="A904" s="1" t="s">
        <v>1669</v>
      </c>
      <c r="B904" s="1" t="s">
        <v>35</v>
      </c>
      <c r="C904" s="1" t="s">
        <v>36</v>
      </c>
      <c r="D904" s="1">
        <v>19</v>
      </c>
      <c r="E904" s="1">
        <v>1</v>
      </c>
      <c r="F904" s="1">
        <v>8</v>
      </c>
      <c r="G904" s="1">
        <v>7</v>
      </c>
      <c r="H904" s="1">
        <v>8</v>
      </c>
      <c r="I904" s="1">
        <v>9</v>
      </c>
      <c r="J904" s="1">
        <v>4</v>
      </c>
      <c r="K904" s="1">
        <f t="shared" si="175"/>
        <v>28</v>
      </c>
      <c r="L904" s="12">
        <f t="shared" si="179"/>
        <v>0.8</v>
      </c>
      <c r="M904" s="1">
        <v>8</v>
      </c>
      <c r="N904" s="1">
        <v>7</v>
      </c>
      <c r="O904" s="1">
        <v>9</v>
      </c>
      <c r="P904" s="1">
        <v>4</v>
      </c>
      <c r="Q904" s="1">
        <f t="shared" si="176"/>
        <v>28</v>
      </c>
      <c r="R904" s="12">
        <f t="shared" si="180"/>
        <v>0.8</v>
      </c>
      <c r="S904" s="1">
        <v>8</v>
      </c>
      <c r="T904" s="1">
        <v>4</v>
      </c>
      <c r="U904" s="1">
        <f t="shared" si="177"/>
        <v>12</v>
      </c>
      <c r="V904" s="12">
        <f t="shared" si="181"/>
        <v>0.8</v>
      </c>
      <c r="W904" s="1">
        <v>3</v>
      </c>
      <c r="X904" s="1">
        <v>4</v>
      </c>
      <c r="Y904" s="1">
        <v>4</v>
      </c>
      <c r="Z904" s="1">
        <f t="shared" si="178"/>
        <v>11</v>
      </c>
      <c r="AA904" s="12">
        <f t="shared" si="182"/>
        <v>0.73333333333333328</v>
      </c>
      <c r="AB904" s="2" t="s">
        <v>230</v>
      </c>
    </row>
    <row r="905" spans="1:28" x14ac:dyDescent="0.25">
      <c r="A905" s="1" t="s">
        <v>1669</v>
      </c>
      <c r="B905" s="1" t="s">
        <v>35</v>
      </c>
      <c r="C905" s="1" t="s">
        <v>36</v>
      </c>
      <c r="D905" s="1">
        <v>19</v>
      </c>
      <c r="E905" s="1">
        <v>1</v>
      </c>
      <c r="F905" s="1">
        <v>8</v>
      </c>
      <c r="G905" s="1">
        <v>6</v>
      </c>
      <c r="H905" s="1">
        <v>9</v>
      </c>
      <c r="I905" s="1">
        <v>7</v>
      </c>
      <c r="J905" s="1">
        <v>4</v>
      </c>
      <c r="K905" s="1">
        <f t="shared" si="175"/>
        <v>26</v>
      </c>
      <c r="L905" s="12">
        <f t="shared" si="179"/>
        <v>0.74285714285714288</v>
      </c>
      <c r="M905" s="1">
        <v>9</v>
      </c>
      <c r="N905" s="1">
        <v>8</v>
      </c>
      <c r="O905" s="1">
        <v>9</v>
      </c>
      <c r="P905" s="1">
        <v>4</v>
      </c>
      <c r="Q905" s="1">
        <f t="shared" si="176"/>
        <v>30</v>
      </c>
      <c r="R905" s="12">
        <f t="shared" si="180"/>
        <v>0.8571428571428571</v>
      </c>
      <c r="S905" s="1">
        <v>9</v>
      </c>
      <c r="T905" s="1">
        <v>3</v>
      </c>
      <c r="U905" s="1">
        <f t="shared" si="177"/>
        <v>12</v>
      </c>
      <c r="V905" s="12">
        <f t="shared" si="181"/>
        <v>0.8</v>
      </c>
      <c r="W905" s="1">
        <v>3</v>
      </c>
      <c r="X905" s="1">
        <v>3</v>
      </c>
      <c r="Y905" s="1">
        <v>2</v>
      </c>
      <c r="Z905" s="1">
        <f t="shared" si="178"/>
        <v>8</v>
      </c>
      <c r="AA905" s="12">
        <f t="shared" si="182"/>
        <v>0.53333333333333333</v>
      </c>
      <c r="AB905" s="2" t="s">
        <v>231</v>
      </c>
    </row>
    <row r="906" spans="1:28" x14ac:dyDescent="0.25">
      <c r="A906" s="1" t="s">
        <v>1669</v>
      </c>
      <c r="B906" s="1" t="s">
        <v>35</v>
      </c>
      <c r="C906" s="1" t="s">
        <v>36</v>
      </c>
      <c r="D906" s="1">
        <v>19</v>
      </c>
      <c r="E906" s="1">
        <v>1</v>
      </c>
      <c r="F906" s="1">
        <v>8</v>
      </c>
      <c r="G906" s="1">
        <v>8</v>
      </c>
      <c r="H906" s="1">
        <v>7</v>
      </c>
      <c r="I906" s="1">
        <v>7</v>
      </c>
      <c r="J906" s="1">
        <v>4</v>
      </c>
      <c r="K906" s="1">
        <f t="shared" si="175"/>
        <v>26</v>
      </c>
      <c r="L906" s="12">
        <f t="shared" si="179"/>
        <v>0.74285714285714288</v>
      </c>
      <c r="M906" s="1">
        <v>9</v>
      </c>
      <c r="N906" s="1">
        <v>8</v>
      </c>
      <c r="O906" s="1">
        <v>8</v>
      </c>
      <c r="P906" s="1">
        <v>4</v>
      </c>
      <c r="Q906" s="1">
        <f t="shared" si="176"/>
        <v>29</v>
      </c>
      <c r="R906" s="12">
        <f t="shared" si="180"/>
        <v>0.82857142857142863</v>
      </c>
      <c r="S906" s="1">
        <v>8</v>
      </c>
      <c r="T906" s="1">
        <v>3</v>
      </c>
      <c r="U906" s="1">
        <f t="shared" si="177"/>
        <v>11</v>
      </c>
      <c r="V906" s="12">
        <f t="shared" si="181"/>
        <v>0.73333333333333328</v>
      </c>
      <c r="W906" s="1">
        <v>5</v>
      </c>
      <c r="X906" s="1">
        <v>4</v>
      </c>
      <c r="Y906" s="1">
        <v>5</v>
      </c>
      <c r="Z906" s="1">
        <f t="shared" si="178"/>
        <v>14</v>
      </c>
      <c r="AA906" s="12">
        <f t="shared" si="182"/>
        <v>0.93333333333333335</v>
      </c>
      <c r="AB906" s="2" t="s">
        <v>232</v>
      </c>
    </row>
    <row r="907" spans="1:28" x14ac:dyDescent="0.25">
      <c r="A907" s="1" t="s">
        <v>1669</v>
      </c>
      <c r="B907" s="1" t="s">
        <v>35</v>
      </c>
      <c r="C907" s="1" t="s">
        <v>36</v>
      </c>
      <c r="D907" s="1">
        <v>19</v>
      </c>
      <c r="E907" s="1">
        <v>1</v>
      </c>
      <c r="F907" s="1">
        <v>8</v>
      </c>
      <c r="G907" s="1">
        <v>6</v>
      </c>
      <c r="H907" s="1">
        <v>9</v>
      </c>
      <c r="I907" s="1">
        <v>9</v>
      </c>
      <c r="J907" s="1">
        <v>5</v>
      </c>
      <c r="K907" s="1">
        <f t="shared" si="175"/>
        <v>29</v>
      </c>
      <c r="L907" s="12">
        <f t="shared" si="179"/>
        <v>0.82857142857142863</v>
      </c>
      <c r="M907" s="1">
        <v>6</v>
      </c>
      <c r="N907" s="1">
        <v>7</v>
      </c>
      <c r="O907" s="1">
        <v>8</v>
      </c>
      <c r="P907" s="1">
        <v>3</v>
      </c>
      <c r="Q907" s="1">
        <f t="shared" si="176"/>
        <v>24</v>
      </c>
      <c r="R907" s="12">
        <f t="shared" si="180"/>
        <v>0.68571428571428572</v>
      </c>
      <c r="S907" s="1">
        <v>8</v>
      </c>
      <c r="T907" s="1">
        <v>4</v>
      </c>
      <c r="U907" s="1">
        <f t="shared" si="177"/>
        <v>12</v>
      </c>
      <c r="V907" s="12">
        <f t="shared" si="181"/>
        <v>0.8</v>
      </c>
      <c r="W907" s="1">
        <v>3</v>
      </c>
      <c r="X907" s="1">
        <v>3</v>
      </c>
      <c r="Y907" s="1">
        <v>3</v>
      </c>
      <c r="Z907" s="1">
        <f t="shared" si="178"/>
        <v>9</v>
      </c>
      <c r="AA907" s="12">
        <f t="shared" si="182"/>
        <v>0.6</v>
      </c>
      <c r="AB907" s="2" t="s">
        <v>233</v>
      </c>
    </row>
    <row r="908" spans="1:28" x14ac:dyDescent="0.25">
      <c r="A908" s="1" t="s">
        <v>1669</v>
      </c>
      <c r="B908" s="1" t="s">
        <v>35</v>
      </c>
      <c r="C908" s="1" t="s">
        <v>36</v>
      </c>
      <c r="D908" s="1">
        <v>19</v>
      </c>
      <c r="E908" s="1">
        <v>1</v>
      </c>
      <c r="F908" s="1">
        <v>8</v>
      </c>
      <c r="G908" s="1">
        <v>3</v>
      </c>
      <c r="H908" s="1">
        <v>3</v>
      </c>
      <c r="I908" s="1">
        <v>2</v>
      </c>
      <c r="J908" s="1">
        <v>0</v>
      </c>
      <c r="K908" s="1">
        <f t="shared" si="175"/>
        <v>8</v>
      </c>
      <c r="L908" s="12">
        <f t="shared" si="179"/>
        <v>0.22857142857142856</v>
      </c>
      <c r="M908" s="1">
        <v>8</v>
      </c>
      <c r="N908" s="1">
        <v>8</v>
      </c>
      <c r="O908" s="1">
        <v>6</v>
      </c>
      <c r="P908" s="1">
        <v>2</v>
      </c>
      <c r="Q908" s="1">
        <f t="shared" si="176"/>
        <v>24</v>
      </c>
      <c r="R908" s="12">
        <f t="shared" si="180"/>
        <v>0.68571428571428572</v>
      </c>
      <c r="S908" s="1">
        <v>8</v>
      </c>
      <c r="T908" s="1">
        <v>3</v>
      </c>
      <c r="U908" s="1">
        <f t="shared" si="177"/>
        <v>11</v>
      </c>
      <c r="V908" s="12">
        <f t="shared" si="181"/>
        <v>0.73333333333333328</v>
      </c>
      <c r="W908" s="1">
        <v>2</v>
      </c>
      <c r="X908" s="1">
        <v>2</v>
      </c>
      <c r="Y908" s="1">
        <v>1</v>
      </c>
      <c r="Z908" s="1">
        <f t="shared" si="178"/>
        <v>5</v>
      </c>
      <c r="AA908" s="12">
        <f t="shared" si="182"/>
        <v>0.33333333333333331</v>
      </c>
      <c r="AB908" s="2" t="s">
        <v>234</v>
      </c>
    </row>
    <row r="909" spans="1:28" x14ac:dyDescent="0.25">
      <c r="A909" s="1" t="s">
        <v>1669</v>
      </c>
      <c r="B909" s="1" t="s">
        <v>35</v>
      </c>
      <c r="C909" s="1" t="s">
        <v>36</v>
      </c>
      <c r="D909" s="1">
        <v>19</v>
      </c>
      <c r="E909" s="1">
        <v>1</v>
      </c>
      <c r="F909" s="1">
        <v>8</v>
      </c>
      <c r="G909" s="1">
        <v>7</v>
      </c>
      <c r="H909" s="1">
        <v>8</v>
      </c>
      <c r="I909" s="1">
        <v>8</v>
      </c>
      <c r="J909" s="1">
        <v>4</v>
      </c>
      <c r="K909" s="1">
        <f t="shared" si="175"/>
        <v>27</v>
      </c>
      <c r="L909" s="12">
        <f t="shared" si="179"/>
        <v>0.77142857142857146</v>
      </c>
      <c r="M909" s="1">
        <v>9</v>
      </c>
      <c r="N909" s="1">
        <v>8</v>
      </c>
      <c r="O909" s="1">
        <v>8</v>
      </c>
      <c r="P909" s="1">
        <v>4</v>
      </c>
      <c r="Q909" s="1">
        <f t="shared" si="176"/>
        <v>29</v>
      </c>
      <c r="R909" s="12">
        <f t="shared" si="180"/>
        <v>0.82857142857142863</v>
      </c>
      <c r="S909" s="1">
        <v>9</v>
      </c>
      <c r="T909" s="1">
        <v>3</v>
      </c>
      <c r="U909" s="1">
        <f t="shared" si="177"/>
        <v>12</v>
      </c>
      <c r="V909" s="12">
        <f t="shared" si="181"/>
        <v>0.8</v>
      </c>
      <c r="W909" s="1">
        <v>4</v>
      </c>
      <c r="X909" s="1">
        <v>4</v>
      </c>
      <c r="Y909" s="1">
        <v>4</v>
      </c>
      <c r="Z909" s="1">
        <f t="shared" si="178"/>
        <v>12</v>
      </c>
      <c r="AA909" s="12">
        <f t="shared" si="182"/>
        <v>0.8</v>
      </c>
      <c r="AB909" s="2" t="s">
        <v>235</v>
      </c>
    </row>
    <row r="910" spans="1:28" x14ac:dyDescent="0.25">
      <c r="A910" s="1" t="s">
        <v>1669</v>
      </c>
      <c r="B910" s="1" t="s">
        <v>35</v>
      </c>
      <c r="C910" s="1" t="s">
        <v>861</v>
      </c>
      <c r="D910" s="1">
        <v>18</v>
      </c>
      <c r="E910" s="1">
        <v>2</v>
      </c>
      <c r="F910" s="1">
        <v>8</v>
      </c>
      <c r="G910" s="1">
        <v>9</v>
      </c>
      <c r="H910" s="1">
        <v>7</v>
      </c>
      <c r="I910" s="1">
        <v>5</v>
      </c>
      <c r="J910" s="1">
        <v>8</v>
      </c>
      <c r="K910" s="1">
        <f t="shared" si="175"/>
        <v>29</v>
      </c>
      <c r="L910" s="12">
        <f t="shared" ref="L910:L917" si="183">K910/40</f>
        <v>0.72499999999999998</v>
      </c>
      <c r="M910" s="1">
        <v>8</v>
      </c>
      <c r="N910" s="1">
        <v>9</v>
      </c>
      <c r="O910" s="1">
        <v>8</v>
      </c>
      <c r="P910" s="1">
        <v>8</v>
      </c>
      <c r="Q910" s="1">
        <f t="shared" si="176"/>
        <v>33</v>
      </c>
      <c r="R910" s="12">
        <f t="shared" ref="R910:R917" si="184">Q910/40</f>
        <v>0.82499999999999996</v>
      </c>
      <c r="S910" s="1">
        <v>6</v>
      </c>
      <c r="T910" s="1">
        <v>9</v>
      </c>
      <c r="U910" s="1">
        <f t="shared" si="177"/>
        <v>15</v>
      </c>
      <c r="V910" s="12">
        <f t="shared" ref="V910:V917" si="185">U910/20</f>
        <v>0.75</v>
      </c>
      <c r="Z910" s="1">
        <f t="shared" si="178"/>
        <v>0</v>
      </c>
      <c r="AB910" s="2" t="s">
        <v>1196</v>
      </c>
    </row>
    <row r="911" spans="1:28" x14ac:dyDescent="0.25">
      <c r="A911" s="1" t="s">
        <v>1669</v>
      </c>
      <c r="B911" s="1" t="s">
        <v>35</v>
      </c>
      <c r="C911" s="1" t="s">
        <v>861</v>
      </c>
      <c r="D911" s="1">
        <v>18</v>
      </c>
      <c r="E911" s="1">
        <v>2</v>
      </c>
      <c r="F911" s="1">
        <v>8</v>
      </c>
      <c r="G911" s="1">
        <v>1</v>
      </c>
      <c r="H911" s="1">
        <v>1</v>
      </c>
      <c r="I911" s="1">
        <v>1</v>
      </c>
      <c r="J911" s="1">
        <v>2</v>
      </c>
      <c r="K911" s="1">
        <f t="shared" si="175"/>
        <v>5</v>
      </c>
      <c r="L911" s="12">
        <f t="shared" si="183"/>
        <v>0.125</v>
      </c>
      <c r="M911" s="1">
        <v>4</v>
      </c>
      <c r="N911" s="1">
        <v>4</v>
      </c>
      <c r="O911" s="1">
        <v>2</v>
      </c>
      <c r="P911" s="1">
        <v>3</v>
      </c>
      <c r="Q911" s="1">
        <f t="shared" si="176"/>
        <v>13</v>
      </c>
      <c r="R911" s="12">
        <f t="shared" si="184"/>
        <v>0.32500000000000001</v>
      </c>
      <c r="S911" s="1">
        <v>2</v>
      </c>
      <c r="T911" s="1">
        <v>1</v>
      </c>
      <c r="U911" s="1">
        <f t="shared" si="177"/>
        <v>3</v>
      </c>
      <c r="V911" s="12">
        <f t="shared" si="185"/>
        <v>0.15</v>
      </c>
      <c r="Z911" s="1">
        <f t="shared" si="178"/>
        <v>0</v>
      </c>
      <c r="AB911" s="2" t="s">
        <v>1197</v>
      </c>
    </row>
    <row r="912" spans="1:28" x14ac:dyDescent="0.25">
      <c r="A912" s="1" t="s">
        <v>1669</v>
      </c>
      <c r="B912" s="1" t="s">
        <v>35</v>
      </c>
      <c r="C912" s="1" t="s">
        <v>861</v>
      </c>
      <c r="D912" s="1">
        <v>18</v>
      </c>
      <c r="E912" s="1">
        <v>2</v>
      </c>
      <c r="F912" s="1">
        <v>8</v>
      </c>
      <c r="G912" s="1">
        <v>6</v>
      </c>
      <c r="H912" s="1">
        <v>5</v>
      </c>
      <c r="I912" s="1">
        <v>7</v>
      </c>
      <c r="J912" s="1">
        <v>5</v>
      </c>
      <c r="K912" s="1">
        <f t="shared" si="175"/>
        <v>23</v>
      </c>
      <c r="L912" s="12">
        <f t="shared" si="183"/>
        <v>0.57499999999999996</v>
      </c>
      <c r="M912" s="1">
        <v>4</v>
      </c>
      <c r="N912" s="1">
        <v>6</v>
      </c>
      <c r="O912" s="1">
        <v>6</v>
      </c>
      <c r="P912" s="1">
        <v>5</v>
      </c>
      <c r="Q912" s="1">
        <f t="shared" si="176"/>
        <v>21</v>
      </c>
      <c r="R912" s="12">
        <f t="shared" si="184"/>
        <v>0.52500000000000002</v>
      </c>
      <c r="S912" s="1">
        <v>6</v>
      </c>
      <c r="T912" s="1">
        <v>8</v>
      </c>
      <c r="U912" s="1">
        <f t="shared" si="177"/>
        <v>14</v>
      </c>
      <c r="V912" s="12">
        <f t="shared" si="185"/>
        <v>0.7</v>
      </c>
      <c r="Z912" s="1">
        <f t="shared" si="178"/>
        <v>0</v>
      </c>
      <c r="AB912" s="2" t="s">
        <v>1198</v>
      </c>
    </row>
    <row r="913" spans="1:28" x14ac:dyDescent="0.25">
      <c r="A913" s="1" t="s">
        <v>1669</v>
      </c>
      <c r="B913" s="1" t="s">
        <v>35</v>
      </c>
      <c r="C913" s="1" t="s">
        <v>861</v>
      </c>
      <c r="D913" s="1">
        <v>18</v>
      </c>
      <c r="E913" s="1">
        <v>2</v>
      </c>
      <c r="F913" s="1">
        <v>8</v>
      </c>
      <c r="G913" s="1">
        <v>2</v>
      </c>
      <c r="H913" s="1">
        <v>3</v>
      </c>
      <c r="I913" s="1">
        <v>5</v>
      </c>
      <c r="J913" s="1">
        <v>3</v>
      </c>
      <c r="K913" s="1">
        <f t="shared" si="175"/>
        <v>13</v>
      </c>
      <c r="L913" s="12">
        <f t="shared" si="183"/>
        <v>0.32500000000000001</v>
      </c>
      <c r="M913" s="1">
        <v>2</v>
      </c>
      <c r="N913" s="1">
        <v>2</v>
      </c>
      <c r="O913" s="1">
        <v>5</v>
      </c>
      <c r="P913" s="1">
        <v>4</v>
      </c>
      <c r="Q913" s="1">
        <f t="shared" si="176"/>
        <v>13</v>
      </c>
      <c r="R913" s="12">
        <f t="shared" si="184"/>
        <v>0.32500000000000001</v>
      </c>
      <c r="S913" s="1">
        <v>7</v>
      </c>
      <c r="T913" s="1">
        <v>8</v>
      </c>
      <c r="U913" s="1">
        <f t="shared" si="177"/>
        <v>15</v>
      </c>
      <c r="V913" s="12">
        <f t="shared" si="185"/>
        <v>0.75</v>
      </c>
      <c r="Z913" s="1">
        <f t="shared" si="178"/>
        <v>0</v>
      </c>
      <c r="AB913" s="2" t="s">
        <v>1199</v>
      </c>
    </row>
    <row r="914" spans="1:28" x14ac:dyDescent="0.25">
      <c r="A914" s="1" t="s">
        <v>1669</v>
      </c>
      <c r="B914" s="1" t="s">
        <v>35</v>
      </c>
      <c r="C914" s="1" t="s">
        <v>861</v>
      </c>
      <c r="D914" s="1">
        <v>18</v>
      </c>
      <c r="E914" s="1">
        <v>2</v>
      </c>
      <c r="F914" s="1">
        <v>8</v>
      </c>
      <c r="G914" s="1">
        <v>6</v>
      </c>
      <c r="H914" s="1">
        <v>9</v>
      </c>
      <c r="I914" s="1">
        <v>9</v>
      </c>
      <c r="J914" s="1">
        <v>7</v>
      </c>
      <c r="K914" s="1">
        <f t="shared" si="175"/>
        <v>31</v>
      </c>
      <c r="L914" s="12">
        <f t="shared" si="183"/>
        <v>0.77500000000000002</v>
      </c>
      <c r="M914" s="1">
        <v>8</v>
      </c>
      <c r="N914" s="1">
        <v>7</v>
      </c>
      <c r="O914" s="1">
        <v>6</v>
      </c>
      <c r="P914" s="1">
        <v>8</v>
      </c>
      <c r="Q914" s="1">
        <f t="shared" si="176"/>
        <v>29</v>
      </c>
      <c r="R914" s="12">
        <f t="shared" si="184"/>
        <v>0.72499999999999998</v>
      </c>
      <c r="S914" s="1">
        <v>5</v>
      </c>
      <c r="T914" s="1">
        <v>9</v>
      </c>
      <c r="U914" s="1">
        <f t="shared" si="177"/>
        <v>14</v>
      </c>
      <c r="V914" s="12">
        <f t="shared" si="185"/>
        <v>0.7</v>
      </c>
      <c r="Z914" s="1">
        <f t="shared" si="178"/>
        <v>0</v>
      </c>
      <c r="AB914" s="2" t="s">
        <v>1200</v>
      </c>
    </row>
    <row r="915" spans="1:28" x14ac:dyDescent="0.25">
      <c r="A915" s="1" t="s">
        <v>1669</v>
      </c>
      <c r="B915" s="1" t="s">
        <v>35</v>
      </c>
      <c r="C915" s="1" t="s">
        <v>861</v>
      </c>
      <c r="D915" s="1">
        <v>18</v>
      </c>
      <c r="E915" s="1">
        <v>2</v>
      </c>
      <c r="F915" s="1">
        <v>8</v>
      </c>
      <c r="G915" s="1">
        <v>6</v>
      </c>
      <c r="H915" s="1">
        <v>5</v>
      </c>
      <c r="I915" s="1">
        <v>4</v>
      </c>
      <c r="J915" s="1">
        <v>8</v>
      </c>
      <c r="K915" s="1">
        <f t="shared" si="175"/>
        <v>23</v>
      </c>
      <c r="L915" s="12">
        <f t="shared" si="183"/>
        <v>0.57499999999999996</v>
      </c>
      <c r="M915" s="1">
        <v>7</v>
      </c>
      <c r="N915" s="1">
        <v>9</v>
      </c>
      <c r="O915" s="1">
        <v>9</v>
      </c>
      <c r="P915" s="1">
        <v>8</v>
      </c>
      <c r="Q915" s="1">
        <f t="shared" si="176"/>
        <v>33</v>
      </c>
      <c r="R915" s="12">
        <f t="shared" si="184"/>
        <v>0.82499999999999996</v>
      </c>
      <c r="S915" s="1">
        <v>8</v>
      </c>
      <c r="T915" s="1">
        <v>9</v>
      </c>
      <c r="U915" s="1">
        <f t="shared" si="177"/>
        <v>17</v>
      </c>
      <c r="V915" s="12">
        <f t="shared" si="185"/>
        <v>0.85</v>
      </c>
      <c r="Z915" s="1">
        <f t="shared" si="178"/>
        <v>0</v>
      </c>
      <c r="AB915" s="2" t="s">
        <v>1201</v>
      </c>
    </row>
    <row r="916" spans="1:28" x14ac:dyDescent="0.25">
      <c r="A916" s="1" t="s">
        <v>1669</v>
      </c>
      <c r="B916" s="1" t="s">
        <v>35</v>
      </c>
      <c r="C916" s="1" t="s">
        <v>861</v>
      </c>
      <c r="D916" s="1">
        <v>18</v>
      </c>
      <c r="E916" s="1">
        <v>2</v>
      </c>
      <c r="F916" s="1">
        <v>8</v>
      </c>
      <c r="G916" s="1">
        <v>8</v>
      </c>
      <c r="H916" s="1">
        <v>2</v>
      </c>
      <c r="I916" s="1">
        <v>5</v>
      </c>
      <c r="J916" s="1">
        <v>4</v>
      </c>
      <c r="K916" s="1">
        <f t="shared" si="175"/>
        <v>19</v>
      </c>
      <c r="L916" s="12">
        <f t="shared" si="183"/>
        <v>0.47499999999999998</v>
      </c>
      <c r="M916" s="1">
        <v>9</v>
      </c>
      <c r="N916" s="1">
        <v>8</v>
      </c>
      <c r="O916" s="1">
        <v>7</v>
      </c>
      <c r="P916" s="1">
        <v>7</v>
      </c>
      <c r="Q916" s="1">
        <f t="shared" si="176"/>
        <v>31</v>
      </c>
      <c r="R916" s="12">
        <f t="shared" si="184"/>
        <v>0.77500000000000002</v>
      </c>
      <c r="S916" s="1">
        <v>8</v>
      </c>
      <c r="T916" s="1">
        <v>6</v>
      </c>
      <c r="U916" s="1">
        <f t="shared" si="177"/>
        <v>14</v>
      </c>
      <c r="V916" s="12">
        <f t="shared" si="185"/>
        <v>0.7</v>
      </c>
      <c r="Z916" s="1">
        <f t="shared" si="178"/>
        <v>0</v>
      </c>
      <c r="AB916" s="2" t="s">
        <v>1202</v>
      </c>
    </row>
    <row r="917" spans="1:28" x14ac:dyDescent="0.25">
      <c r="A917" s="1" t="s">
        <v>1669</v>
      </c>
      <c r="B917" s="1" t="s">
        <v>35</v>
      </c>
      <c r="C917" s="1" t="s">
        <v>861</v>
      </c>
      <c r="D917" s="1">
        <v>18</v>
      </c>
      <c r="E917" s="1">
        <v>2</v>
      </c>
      <c r="F917" s="1">
        <v>8</v>
      </c>
      <c r="G917" s="1">
        <v>6</v>
      </c>
      <c r="H917" s="1">
        <v>7</v>
      </c>
      <c r="I917" s="1">
        <v>8</v>
      </c>
      <c r="J917" s="1">
        <v>5</v>
      </c>
      <c r="K917" s="1">
        <f t="shared" si="175"/>
        <v>26</v>
      </c>
      <c r="L917" s="12">
        <f t="shared" si="183"/>
        <v>0.65</v>
      </c>
      <c r="M917" s="1">
        <v>9</v>
      </c>
      <c r="N917" s="1">
        <v>7</v>
      </c>
      <c r="O917" s="1">
        <v>9</v>
      </c>
      <c r="P917" s="1">
        <v>9</v>
      </c>
      <c r="Q917" s="1">
        <f t="shared" si="176"/>
        <v>34</v>
      </c>
      <c r="R917" s="12">
        <f t="shared" si="184"/>
        <v>0.85</v>
      </c>
      <c r="S917" s="1">
        <v>4</v>
      </c>
      <c r="T917" s="1">
        <v>3</v>
      </c>
      <c r="U917" s="1">
        <f t="shared" si="177"/>
        <v>7</v>
      </c>
      <c r="V917" s="12">
        <f t="shared" si="185"/>
        <v>0.35</v>
      </c>
      <c r="Z917" s="1">
        <f t="shared" si="178"/>
        <v>0</v>
      </c>
      <c r="AB917" s="2" t="s">
        <v>1203</v>
      </c>
    </row>
    <row r="918" spans="1:28" x14ac:dyDescent="0.25">
      <c r="A918" s="1" t="s">
        <v>1674</v>
      </c>
      <c r="B918" s="1" t="s">
        <v>35</v>
      </c>
      <c r="C918" s="1" t="s">
        <v>36</v>
      </c>
      <c r="D918" s="1">
        <v>19</v>
      </c>
      <c r="E918" s="1">
        <v>1</v>
      </c>
      <c r="F918" s="1">
        <v>8</v>
      </c>
      <c r="G918" s="1">
        <v>7</v>
      </c>
      <c r="H918" s="1">
        <v>8</v>
      </c>
      <c r="I918" s="1">
        <v>8</v>
      </c>
      <c r="J918" s="1">
        <v>4</v>
      </c>
      <c r="K918" s="1">
        <f t="shared" si="175"/>
        <v>27</v>
      </c>
      <c r="L918" s="12">
        <f t="shared" ref="L918:L952" si="186">K918/35</f>
        <v>0.77142857142857146</v>
      </c>
      <c r="M918" s="1">
        <v>7</v>
      </c>
      <c r="N918" s="1">
        <v>8</v>
      </c>
      <c r="O918" s="1">
        <v>7</v>
      </c>
      <c r="P918" s="1">
        <v>5</v>
      </c>
      <c r="Q918" s="1">
        <f t="shared" si="176"/>
        <v>27</v>
      </c>
      <c r="R918" s="12">
        <f t="shared" ref="R918:R952" si="187">Q918/35</f>
        <v>0.77142857142857146</v>
      </c>
      <c r="S918" s="1">
        <v>7</v>
      </c>
      <c r="T918" s="1">
        <v>4</v>
      </c>
      <c r="U918" s="1">
        <f t="shared" si="177"/>
        <v>11</v>
      </c>
      <c r="V918" s="12">
        <f t="shared" ref="V918:V952" si="188">U918/15</f>
        <v>0.73333333333333328</v>
      </c>
      <c r="W918" s="1">
        <v>4</v>
      </c>
      <c r="X918" s="1">
        <v>3</v>
      </c>
      <c r="Y918" s="1">
        <v>3</v>
      </c>
      <c r="Z918" s="1">
        <f t="shared" si="178"/>
        <v>10</v>
      </c>
      <c r="AA918" s="12">
        <f t="shared" ref="AA918:AA952" si="189">Z918/15</f>
        <v>0.66666666666666663</v>
      </c>
      <c r="AB918" s="2" t="s">
        <v>237</v>
      </c>
    </row>
    <row r="919" spans="1:28" x14ac:dyDescent="0.25">
      <c r="A919" s="1" t="s">
        <v>1674</v>
      </c>
      <c r="B919" s="1" t="s">
        <v>35</v>
      </c>
      <c r="C919" s="1" t="s">
        <v>36</v>
      </c>
      <c r="D919" s="1">
        <v>19</v>
      </c>
      <c r="E919" s="1">
        <v>1</v>
      </c>
      <c r="F919" s="1">
        <v>8</v>
      </c>
      <c r="G919" s="1">
        <v>4</v>
      </c>
      <c r="H919" s="1">
        <v>3</v>
      </c>
      <c r="I919" s="1">
        <v>5</v>
      </c>
      <c r="J919" s="1">
        <v>5</v>
      </c>
      <c r="K919" s="1">
        <f t="shared" si="175"/>
        <v>17</v>
      </c>
      <c r="L919" s="12">
        <f t="shared" si="186"/>
        <v>0.48571428571428571</v>
      </c>
      <c r="M919" s="1">
        <v>5</v>
      </c>
      <c r="N919" s="1">
        <v>4</v>
      </c>
      <c r="O919" s="1">
        <v>4</v>
      </c>
      <c r="P919" s="1">
        <v>4</v>
      </c>
      <c r="Q919" s="1">
        <f t="shared" si="176"/>
        <v>17</v>
      </c>
      <c r="R919" s="12">
        <f t="shared" si="187"/>
        <v>0.48571428571428571</v>
      </c>
      <c r="S919" s="1">
        <v>5</v>
      </c>
      <c r="T919" s="1">
        <v>4</v>
      </c>
      <c r="U919" s="1">
        <f t="shared" si="177"/>
        <v>9</v>
      </c>
      <c r="V919" s="12">
        <f t="shared" si="188"/>
        <v>0.6</v>
      </c>
      <c r="W919" s="1">
        <v>2</v>
      </c>
      <c r="X919" s="1">
        <v>2</v>
      </c>
      <c r="Y919" s="1">
        <v>3</v>
      </c>
      <c r="Z919" s="1">
        <f t="shared" si="178"/>
        <v>7</v>
      </c>
      <c r="AA919" s="12">
        <f t="shared" si="189"/>
        <v>0.46666666666666667</v>
      </c>
      <c r="AB919" s="2" t="s">
        <v>238</v>
      </c>
    </row>
    <row r="920" spans="1:28" x14ac:dyDescent="0.25">
      <c r="A920" s="1" t="s">
        <v>1674</v>
      </c>
      <c r="B920" s="1" t="s">
        <v>35</v>
      </c>
      <c r="C920" s="1" t="s">
        <v>36</v>
      </c>
      <c r="D920" s="1">
        <v>19</v>
      </c>
      <c r="E920" s="1">
        <v>1</v>
      </c>
      <c r="F920" s="1">
        <v>8</v>
      </c>
      <c r="G920" s="1">
        <v>7</v>
      </c>
      <c r="H920" s="1">
        <v>9</v>
      </c>
      <c r="I920" s="1">
        <v>8</v>
      </c>
      <c r="J920" s="1">
        <v>5</v>
      </c>
      <c r="K920" s="1">
        <f t="shared" si="175"/>
        <v>29</v>
      </c>
      <c r="L920" s="12">
        <f t="shared" si="186"/>
        <v>0.82857142857142863</v>
      </c>
      <c r="M920" s="1">
        <v>7</v>
      </c>
      <c r="N920" s="1">
        <v>6</v>
      </c>
      <c r="O920" s="1">
        <v>6</v>
      </c>
      <c r="P920" s="1">
        <v>5</v>
      </c>
      <c r="Q920" s="1">
        <f t="shared" si="176"/>
        <v>24</v>
      </c>
      <c r="R920" s="12">
        <f t="shared" si="187"/>
        <v>0.68571428571428572</v>
      </c>
      <c r="S920" s="1">
        <v>7</v>
      </c>
      <c r="T920" s="1">
        <v>5</v>
      </c>
      <c r="U920" s="1">
        <f t="shared" si="177"/>
        <v>12</v>
      </c>
      <c r="V920" s="12">
        <f t="shared" si="188"/>
        <v>0.8</v>
      </c>
      <c r="W920" s="1">
        <v>5</v>
      </c>
      <c r="X920" s="1">
        <v>4</v>
      </c>
      <c r="Y920" s="1">
        <v>4</v>
      </c>
      <c r="Z920" s="1">
        <f t="shared" si="178"/>
        <v>13</v>
      </c>
      <c r="AA920" s="12">
        <f t="shared" si="189"/>
        <v>0.8666666666666667</v>
      </c>
      <c r="AB920" s="2" t="s">
        <v>239</v>
      </c>
    </row>
    <row r="921" spans="1:28" x14ac:dyDescent="0.25">
      <c r="A921" s="1" t="s">
        <v>1674</v>
      </c>
      <c r="B921" s="1" t="s">
        <v>35</v>
      </c>
      <c r="C921" s="1" t="s">
        <v>36</v>
      </c>
      <c r="D921" s="1">
        <v>19</v>
      </c>
      <c r="E921" s="1">
        <v>1</v>
      </c>
      <c r="F921" s="1">
        <v>8</v>
      </c>
      <c r="G921" s="1">
        <v>7</v>
      </c>
      <c r="H921" s="1">
        <v>5</v>
      </c>
      <c r="I921" s="1">
        <v>6</v>
      </c>
      <c r="J921" s="1">
        <v>5</v>
      </c>
      <c r="K921" s="1">
        <f t="shared" si="175"/>
        <v>23</v>
      </c>
      <c r="L921" s="12">
        <f t="shared" si="186"/>
        <v>0.65714285714285714</v>
      </c>
      <c r="M921" s="1">
        <v>9</v>
      </c>
      <c r="N921" s="1">
        <v>4</v>
      </c>
      <c r="O921" s="1">
        <v>5</v>
      </c>
      <c r="P921" s="1">
        <v>3</v>
      </c>
      <c r="Q921" s="1">
        <f t="shared" si="176"/>
        <v>21</v>
      </c>
      <c r="R921" s="12">
        <f t="shared" si="187"/>
        <v>0.6</v>
      </c>
      <c r="S921" s="1">
        <v>7</v>
      </c>
      <c r="T921" s="1">
        <v>5</v>
      </c>
      <c r="U921" s="1">
        <f t="shared" si="177"/>
        <v>12</v>
      </c>
      <c r="V921" s="12">
        <f t="shared" si="188"/>
        <v>0.8</v>
      </c>
      <c r="W921" s="1">
        <v>4</v>
      </c>
      <c r="X921" s="1">
        <v>3</v>
      </c>
      <c r="Y921" s="1">
        <v>3</v>
      </c>
      <c r="Z921" s="1">
        <f t="shared" si="178"/>
        <v>10</v>
      </c>
      <c r="AA921" s="12">
        <f t="shared" si="189"/>
        <v>0.66666666666666663</v>
      </c>
      <c r="AB921" s="2" t="s">
        <v>240</v>
      </c>
    </row>
    <row r="922" spans="1:28" x14ac:dyDescent="0.25">
      <c r="A922" s="1" t="s">
        <v>1674</v>
      </c>
      <c r="B922" s="1" t="s">
        <v>35</v>
      </c>
      <c r="C922" s="1" t="s">
        <v>36</v>
      </c>
      <c r="D922" s="1">
        <v>19</v>
      </c>
      <c r="E922" s="1">
        <v>1</v>
      </c>
      <c r="F922" s="1">
        <v>8</v>
      </c>
      <c r="G922" s="1">
        <v>8</v>
      </c>
      <c r="H922" s="1">
        <v>8</v>
      </c>
      <c r="I922" s="1">
        <v>9</v>
      </c>
      <c r="J922" s="1">
        <v>5</v>
      </c>
      <c r="K922" s="1">
        <f t="shared" si="175"/>
        <v>30</v>
      </c>
      <c r="L922" s="12">
        <f t="shared" si="186"/>
        <v>0.8571428571428571</v>
      </c>
      <c r="M922" s="1">
        <v>6</v>
      </c>
      <c r="N922" s="1">
        <v>6</v>
      </c>
      <c r="O922" s="1">
        <v>7</v>
      </c>
      <c r="P922" s="1">
        <v>4</v>
      </c>
      <c r="Q922" s="1">
        <f t="shared" si="176"/>
        <v>23</v>
      </c>
      <c r="R922" s="12">
        <f t="shared" si="187"/>
        <v>0.65714285714285714</v>
      </c>
      <c r="S922" s="1">
        <v>9</v>
      </c>
      <c r="T922" s="1">
        <v>4</v>
      </c>
      <c r="U922" s="1">
        <f t="shared" si="177"/>
        <v>13</v>
      </c>
      <c r="V922" s="12">
        <f t="shared" si="188"/>
        <v>0.8666666666666667</v>
      </c>
      <c r="W922" s="1">
        <v>5</v>
      </c>
      <c r="X922" s="1">
        <v>4</v>
      </c>
      <c r="Y922" s="1">
        <v>5</v>
      </c>
      <c r="Z922" s="1">
        <f t="shared" si="178"/>
        <v>14</v>
      </c>
      <c r="AA922" s="12">
        <f t="shared" si="189"/>
        <v>0.93333333333333335</v>
      </c>
      <c r="AB922" s="2" t="s">
        <v>241</v>
      </c>
    </row>
    <row r="923" spans="1:28" x14ac:dyDescent="0.25">
      <c r="A923" s="1" t="s">
        <v>1674</v>
      </c>
      <c r="B923" s="1" t="s">
        <v>35</v>
      </c>
      <c r="C923" s="1" t="s">
        <v>36</v>
      </c>
      <c r="D923" s="1">
        <v>19</v>
      </c>
      <c r="E923" s="1">
        <v>1</v>
      </c>
      <c r="F923" s="1">
        <v>8</v>
      </c>
      <c r="G923" s="1">
        <v>6</v>
      </c>
      <c r="H923" s="1">
        <v>8</v>
      </c>
      <c r="I923" s="1">
        <v>9</v>
      </c>
      <c r="J923" s="1">
        <v>5</v>
      </c>
      <c r="K923" s="1">
        <f t="shared" si="175"/>
        <v>28</v>
      </c>
      <c r="L923" s="12">
        <f t="shared" si="186"/>
        <v>0.8</v>
      </c>
      <c r="M923" s="1">
        <v>6</v>
      </c>
      <c r="N923" s="1">
        <v>5</v>
      </c>
      <c r="O923" s="1">
        <v>8</v>
      </c>
      <c r="P923" s="1">
        <v>3</v>
      </c>
      <c r="Q923" s="1">
        <f t="shared" si="176"/>
        <v>22</v>
      </c>
      <c r="R923" s="12">
        <f t="shared" si="187"/>
        <v>0.62857142857142856</v>
      </c>
      <c r="S923" s="1">
        <v>7</v>
      </c>
      <c r="T923" s="1">
        <v>4</v>
      </c>
      <c r="U923" s="1">
        <f t="shared" si="177"/>
        <v>11</v>
      </c>
      <c r="V923" s="12">
        <f t="shared" si="188"/>
        <v>0.73333333333333328</v>
      </c>
      <c r="W923" s="1">
        <v>3</v>
      </c>
      <c r="X923" s="1">
        <v>3</v>
      </c>
      <c r="Y923" s="1">
        <v>3</v>
      </c>
      <c r="Z923" s="1">
        <f t="shared" si="178"/>
        <v>9</v>
      </c>
      <c r="AA923" s="12">
        <f t="shared" si="189"/>
        <v>0.6</v>
      </c>
      <c r="AB923" s="2" t="s">
        <v>242</v>
      </c>
    </row>
    <row r="924" spans="1:28" x14ac:dyDescent="0.25">
      <c r="A924" s="1" t="s">
        <v>1674</v>
      </c>
      <c r="B924" s="1" t="s">
        <v>35</v>
      </c>
      <c r="C924" s="1" t="s">
        <v>36</v>
      </c>
      <c r="D924" s="1">
        <v>19</v>
      </c>
      <c r="E924" s="1">
        <v>1</v>
      </c>
      <c r="F924" s="1">
        <v>8</v>
      </c>
      <c r="G924" s="1">
        <v>1</v>
      </c>
      <c r="H924" s="1">
        <v>2</v>
      </c>
      <c r="I924" s="1">
        <v>2</v>
      </c>
      <c r="J924" s="1">
        <v>3</v>
      </c>
      <c r="K924" s="1">
        <f t="shared" si="175"/>
        <v>8</v>
      </c>
      <c r="L924" s="12">
        <f t="shared" si="186"/>
        <v>0.22857142857142856</v>
      </c>
      <c r="M924" s="1">
        <v>4</v>
      </c>
      <c r="N924" s="1">
        <v>4</v>
      </c>
      <c r="O924" s="1">
        <v>5</v>
      </c>
      <c r="P924" s="1">
        <v>5</v>
      </c>
      <c r="Q924" s="1">
        <f t="shared" si="176"/>
        <v>18</v>
      </c>
      <c r="R924" s="12">
        <f t="shared" si="187"/>
        <v>0.51428571428571423</v>
      </c>
      <c r="S924" s="1">
        <v>7</v>
      </c>
      <c r="T924" s="1">
        <v>5</v>
      </c>
      <c r="U924" s="1">
        <f t="shared" si="177"/>
        <v>12</v>
      </c>
      <c r="V924" s="12">
        <f t="shared" si="188"/>
        <v>0.8</v>
      </c>
      <c r="W924" s="1">
        <v>4</v>
      </c>
      <c r="X924" s="1">
        <v>2</v>
      </c>
      <c r="Y924" s="1">
        <v>3</v>
      </c>
      <c r="Z924" s="1">
        <f t="shared" si="178"/>
        <v>9</v>
      </c>
      <c r="AA924" s="12">
        <f t="shared" si="189"/>
        <v>0.6</v>
      </c>
      <c r="AB924" s="2" t="s">
        <v>243</v>
      </c>
    </row>
    <row r="925" spans="1:28" x14ac:dyDescent="0.25">
      <c r="A925" s="1" t="s">
        <v>1674</v>
      </c>
      <c r="B925" s="1" t="s">
        <v>35</v>
      </c>
      <c r="C925" s="1" t="s">
        <v>36</v>
      </c>
      <c r="D925" s="1">
        <v>19</v>
      </c>
      <c r="E925" s="1">
        <v>1</v>
      </c>
      <c r="F925" s="1">
        <v>8</v>
      </c>
      <c r="G925" s="1">
        <v>8</v>
      </c>
      <c r="H925" s="1">
        <v>8</v>
      </c>
      <c r="I925" s="1">
        <v>9</v>
      </c>
      <c r="J925" s="1">
        <v>5</v>
      </c>
      <c r="K925" s="1">
        <f t="shared" si="175"/>
        <v>30</v>
      </c>
      <c r="L925" s="12">
        <f t="shared" si="186"/>
        <v>0.8571428571428571</v>
      </c>
      <c r="M925" s="1">
        <v>8</v>
      </c>
      <c r="N925" s="1">
        <v>5</v>
      </c>
      <c r="O925" s="1">
        <v>7</v>
      </c>
      <c r="P925" s="1">
        <v>5</v>
      </c>
      <c r="Q925" s="1">
        <f t="shared" si="176"/>
        <v>25</v>
      </c>
      <c r="R925" s="12">
        <f t="shared" si="187"/>
        <v>0.7142857142857143</v>
      </c>
      <c r="S925" s="1">
        <v>8</v>
      </c>
      <c r="T925" s="1">
        <v>4</v>
      </c>
      <c r="U925" s="1">
        <f t="shared" si="177"/>
        <v>12</v>
      </c>
      <c r="V925" s="12">
        <f t="shared" si="188"/>
        <v>0.8</v>
      </c>
      <c r="W925" s="1">
        <v>5</v>
      </c>
      <c r="X925" s="1">
        <v>4</v>
      </c>
      <c r="Y925" s="1">
        <v>3</v>
      </c>
      <c r="Z925" s="1">
        <f t="shared" si="178"/>
        <v>12</v>
      </c>
      <c r="AA925" s="12">
        <f t="shared" si="189"/>
        <v>0.8</v>
      </c>
      <c r="AB925" s="2" t="s">
        <v>244</v>
      </c>
    </row>
    <row r="926" spans="1:28" x14ac:dyDescent="0.25">
      <c r="A926" s="1" t="s">
        <v>1674</v>
      </c>
      <c r="B926" s="1" t="s">
        <v>576</v>
      </c>
      <c r="C926" s="1" t="s">
        <v>36</v>
      </c>
      <c r="D926" s="1">
        <v>26</v>
      </c>
      <c r="E926" s="1">
        <v>1</v>
      </c>
      <c r="F926" s="1">
        <v>2</v>
      </c>
      <c r="G926" s="1">
        <v>7</v>
      </c>
      <c r="H926" s="1">
        <v>6</v>
      </c>
      <c r="I926" s="1">
        <v>7</v>
      </c>
      <c r="J926" s="1">
        <v>3</v>
      </c>
      <c r="K926" s="1">
        <f t="shared" si="175"/>
        <v>23</v>
      </c>
      <c r="L926" s="12">
        <f t="shared" si="186"/>
        <v>0.65714285714285714</v>
      </c>
      <c r="M926" s="1">
        <v>5</v>
      </c>
      <c r="N926" s="1">
        <v>4</v>
      </c>
      <c r="O926" s="1">
        <v>6</v>
      </c>
      <c r="P926" s="1">
        <v>5</v>
      </c>
      <c r="Q926" s="1">
        <f t="shared" si="176"/>
        <v>20</v>
      </c>
      <c r="R926" s="12">
        <f t="shared" si="187"/>
        <v>0.5714285714285714</v>
      </c>
      <c r="S926" s="1">
        <v>6</v>
      </c>
      <c r="T926" s="1">
        <v>4</v>
      </c>
      <c r="U926" s="1">
        <f t="shared" si="177"/>
        <v>10</v>
      </c>
      <c r="V926" s="12">
        <f t="shared" si="188"/>
        <v>0.66666666666666663</v>
      </c>
      <c r="W926" s="1">
        <v>5</v>
      </c>
      <c r="X926" s="1">
        <v>4</v>
      </c>
      <c r="Y926" s="1">
        <v>3</v>
      </c>
      <c r="Z926" s="1">
        <f t="shared" si="178"/>
        <v>12</v>
      </c>
      <c r="AA926" s="12">
        <f t="shared" si="189"/>
        <v>0.8</v>
      </c>
      <c r="AB926" s="2" t="s">
        <v>603</v>
      </c>
    </row>
    <row r="927" spans="1:28" x14ac:dyDescent="0.25">
      <c r="A927" s="1" t="s">
        <v>1674</v>
      </c>
      <c r="B927" s="1" t="s">
        <v>576</v>
      </c>
      <c r="C927" s="1" t="s">
        <v>36</v>
      </c>
      <c r="D927" s="1">
        <v>26</v>
      </c>
      <c r="E927" s="1">
        <v>1</v>
      </c>
      <c r="F927" s="1">
        <v>2</v>
      </c>
      <c r="G927" s="1">
        <v>9</v>
      </c>
      <c r="H927" s="1">
        <v>4</v>
      </c>
      <c r="I927" s="1">
        <v>9</v>
      </c>
      <c r="J927" s="1">
        <v>4</v>
      </c>
      <c r="K927" s="1">
        <f t="shared" si="175"/>
        <v>26</v>
      </c>
      <c r="L927" s="12">
        <f t="shared" si="186"/>
        <v>0.74285714285714288</v>
      </c>
      <c r="M927" s="1">
        <v>8</v>
      </c>
      <c r="N927" s="1">
        <v>6</v>
      </c>
      <c r="O927" s="1">
        <v>8</v>
      </c>
      <c r="P927" s="1">
        <v>3</v>
      </c>
      <c r="Q927" s="1">
        <f t="shared" si="176"/>
        <v>25</v>
      </c>
      <c r="R927" s="12">
        <f t="shared" si="187"/>
        <v>0.7142857142857143</v>
      </c>
      <c r="S927" s="1">
        <v>6</v>
      </c>
      <c r="T927" s="1">
        <v>2</v>
      </c>
      <c r="U927" s="1">
        <f t="shared" si="177"/>
        <v>8</v>
      </c>
      <c r="V927" s="12">
        <f t="shared" si="188"/>
        <v>0.53333333333333333</v>
      </c>
      <c r="W927" s="1">
        <v>4</v>
      </c>
      <c r="X927" s="1">
        <v>3</v>
      </c>
      <c r="Y927" s="1">
        <v>3</v>
      </c>
      <c r="Z927" s="1">
        <f t="shared" si="178"/>
        <v>10</v>
      </c>
      <c r="AA927" s="12">
        <f t="shared" si="189"/>
        <v>0.66666666666666663</v>
      </c>
      <c r="AB927" s="2" t="s">
        <v>604</v>
      </c>
    </row>
    <row r="928" spans="1:28" x14ac:dyDescent="0.25">
      <c r="A928" s="1" t="s">
        <v>1674</v>
      </c>
      <c r="B928" s="1" t="s">
        <v>576</v>
      </c>
      <c r="C928" s="1" t="s">
        <v>36</v>
      </c>
      <c r="D928" s="1">
        <v>26</v>
      </c>
      <c r="E928" s="1">
        <v>1</v>
      </c>
      <c r="F928" s="1">
        <v>2</v>
      </c>
      <c r="G928" s="1">
        <v>7</v>
      </c>
      <c r="H928" s="1">
        <v>6</v>
      </c>
      <c r="I928" s="1">
        <v>8</v>
      </c>
      <c r="J928" s="1">
        <v>4</v>
      </c>
      <c r="K928" s="1">
        <f t="shared" si="175"/>
        <v>25</v>
      </c>
      <c r="L928" s="12">
        <f t="shared" si="186"/>
        <v>0.7142857142857143</v>
      </c>
      <c r="M928" s="1">
        <v>8</v>
      </c>
      <c r="N928" s="1">
        <v>6</v>
      </c>
      <c r="O928" s="1">
        <v>5</v>
      </c>
      <c r="P928" s="1">
        <v>4</v>
      </c>
      <c r="Q928" s="1">
        <f t="shared" si="176"/>
        <v>23</v>
      </c>
      <c r="R928" s="12">
        <f t="shared" si="187"/>
        <v>0.65714285714285714</v>
      </c>
      <c r="S928" s="1">
        <v>7</v>
      </c>
      <c r="T928" s="1">
        <v>4</v>
      </c>
      <c r="U928" s="1">
        <f t="shared" si="177"/>
        <v>11</v>
      </c>
      <c r="V928" s="12">
        <f t="shared" si="188"/>
        <v>0.73333333333333328</v>
      </c>
      <c r="W928" s="1">
        <v>4</v>
      </c>
      <c r="X928" s="1">
        <v>4</v>
      </c>
      <c r="Y928" s="1">
        <v>5</v>
      </c>
      <c r="Z928" s="1">
        <f t="shared" si="178"/>
        <v>13</v>
      </c>
      <c r="AA928" s="12">
        <f t="shared" si="189"/>
        <v>0.8666666666666667</v>
      </c>
      <c r="AB928" s="2" t="s">
        <v>605</v>
      </c>
    </row>
    <row r="929" spans="1:28" x14ac:dyDescent="0.25">
      <c r="A929" s="1" t="s">
        <v>1674</v>
      </c>
      <c r="B929" s="1" t="s">
        <v>576</v>
      </c>
      <c r="C929" s="1" t="s">
        <v>36</v>
      </c>
      <c r="D929" s="1">
        <v>26</v>
      </c>
      <c r="E929" s="1">
        <v>1</v>
      </c>
      <c r="F929" s="1">
        <v>2</v>
      </c>
      <c r="G929" s="1">
        <v>9</v>
      </c>
      <c r="H929" s="1">
        <v>10</v>
      </c>
      <c r="I929" s="1">
        <v>9</v>
      </c>
      <c r="J929" s="1">
        <v>5</v>
      </c>
      <c r="K929" s="1">
        <f t="shared" si="175"/>
        <v>33</v>
      </c>
      <c r="L929" s="12">
        <f t="shared" si="186"/>
        <v>0.94285714285714284</v>
      </c>
      <c r="M929" s="1">
        <v>7</v>
      </c>
      <c r="N929" s="1">
        <v>6</v>
      </c>
      <c r="O929" s="1">
        <v>5</v>
      </c>
      <c r="P929" s="1">
        <v>3</v>
      </c>
      <c r="Q929" s="1">
        <f t="shared" si="176"/>
        <v>21</v>
      </c>
      <c r="R929" s="12">
        <f t="shared" si="187"/>
        <v>0.6</v>
      </c>
      <c r="S929" s="1">
        <v>6</v>
      </c>
      <c r="T929" s="1">
        <v>4</v>
      </c>
      <c r="U929" s="1">
        <f t="shared" si="177"/>
        <v>10</v>
      </c>
      <c r="V929" s="12">
        <f t="shared" si="188"/>
        <v>0.66666666666666663</v>
      </c>
      <c r="W929" s="1">
        <v>4</v>
      </c>
      <c r="X929" s="1">
        <v>3</v>
      </c>
      <c r="Y929" s="1">
        <v>5</v>
      </c>
      <c r="Z929" s="1">
        <f t="shared" si="178"/>
        <v>12</v>
      </c>
      <c r="AA929" s="12">
        <f t="shared" si="189"/>
        <v>0.8</v>
      </c>
      <c r="AB929" s="2" t="s">
        <v>606</v>
      </c>
    </row>
    <row r="930" spans="1:28" x14ac:dyDescent="0.25">
      <c r="A930" s="1" t="s">
        <v>1674</v>
      </c>
      <c r="B930" s="1" t="s">
        <v>576</v>
      </c>
      <c r="C930" s="1" t="s">
        <v>36</v>
      </c>
      <c r="D930" s="1">
        <v>26</v>
      </c>
      <c r="E930" s="1">
        <v>1</v>
      </c>
      <c r="F930" s="1">
        <v>2</v>
      </c>
      <c r="G930" s="1">
        <v>5</v>
      </c>
      <c r="H930" s="1">
        <v>5</v>
      </c>
      <c r="I930" s="1">
        <v>8</v>
      </c>
      <c r="J930" s="1">
        <v>3</v>
      </c>
      <c r="K930" s="1">
        <f t="shared" si="175"/>
        <v>21</v>
      </c>
      <c r="L930" s="12">
        <f t="shared" si="186"/>
        <v>0.6</v>
      </c>
      <c r="M930" s="1">
        <v>6</v>
      </c>
      <c r="N930" s="1">
        <v>7</v>
      </c>
      <c r="O930" s="1">
        <v>7</v>
      </c>
      <c r="P930" s="1">
        <v>4</v>
      </c>
      <c r="Q930" s="1">
        <f t="shared" si="176"/>
        <v>24</v>
      </c>
      <c r="R930" s="12">
        <f t="shared" si="187"/>
        <v>0.68571428571428572</v>
      </c>
      <c r="S930" s="1">
        <v>7</v>
      </c>
      <c r="T930" s="1">
        <v>4</v>
      </c>
      <c r="U930" s="1">
        <f t="shared" si="177"/>
        <v>11</v>
      </c>
      <c r="V930" s="12">
        <f t="shared" si="188"/>
        <v>0.73333333333333328</v>
      </c>
      <c r="W930" s="1">
        <v>4</v>
      </c>
      <c r="X930" s="1">
        <v>4</v>
      </c>
      <c r="Y930" s="1">
        <v>3</v>
      </c>
      <c r="Z930" s="1">
        <f t="shared" si="178"/>
        <v>11</v>
      </c>
      <c r="AA930" s="12">
        <f t="shared" si="189"/>
        <v>0.73333333333333328</v>
      </c>
      <c r="AB930" s="2" t="s">
        <v>607</v>
      </c>
    </row>
    <row r="931" spans="1:28" x14ac:dyDescent="0.25">
      <c r="A931" s="1" t="s">
        <v>1674</v>
      </c>
      <c r="B931" s="1" t="s">
        <v>576</v>
      </c>
      <c r="C931" s="1" t="s">
        <v>36</v>
      </c>
      <c r="D931" s="1">
        <v>26</v>
      </c>
      <c r="E931" s="1">
        <v>1</v>
      </c>
      <c r="F931" s="1">
        <v>2</v>
      </c>
      <c r="G931" s="1">
        <v>7</v>
      </c>
      <c r="H931" s="1">
        <v>8</v>
      </c>
      <c r="I931" s="1">
        <v>9</v>
      </c>
      <c r="J931" s="1">
        <v>4</v>
      </c>
      <c r="K931" s="1">
        <f t="shared" si="175"/>
        <v>28</v>
      </c>
      <c r="L931" s="12">
        <f t="shared" si="186"/>
        <v>0.8</v>
      </c>
      <c r="M931" s="1">
        <v>8</v>
      </c>
      <c r="N931" s="1">
        <v>7</v>
      </c>
      <c r="O931" s="1">
        <v>8</v>
      </c>
      <c r="P931" s="1">
        <v>4</v>
      </c>
      <c r="Q931" s="1">
        <f t="shared" si="176"/>
        <v>27</v>
      </c>
      <c r="R931" s="12">
        <f t="shared" si="187"/>
        <v>0.77142857142857146</v>
      </c>
      <c r="S931" s="1">
        <v>7</v>
      </c>
      <c r="T931" s="1">
        <v>5</v>
      </c>
      <c r="U931" s="1">
        <f t="shared" si="177"/>
        <v>12</v>
      </c>
      <c r="V931" s="12">
        <f t="shared" si="188"/>
        <v>0.8</v>
      </c>
      <c r="W931" s="1">
        <v>5</v>
      </c>
      <c r="X931" s="1">
        <v>3</v>
      </c>
      <c r="Y931" s="1">
        <v>4</v>
      </c>
      <c r="Z931" s="1">
        <f t="shared" si="178"/>
        <v>12</v>
      </c>
      <c r="AA931" s="12">
        <f t="shared" si="189"/>
        <v>0.8</v>
      </c>
      <c r="AB931" s="2" t="s">
        <v>608</v>
      </c>
    </row>
    <row r="932" spans="1:28" x14ac:dyDescent="0.25">
      <c r="A932" s="1" t="s">
        <v>1674</v>
      </c>
      <c r="B932" s="1" t="s">
        <v>576</v>
      </c>
      <c r="C932" s="1" t="s">
        <v>36</v>
      </c>
      <c r="D932" s="1">
        <v>26</v>
      </c>
      <c r="E932" s="1">
        <v>1</v>
      </c>
      <c r="F932" s="1">
        <v>2</v>
      </c>
      <c r="G932" s="1">
        <v>9</v>
      </c>
      <c r="H932" s="1">
        <v>7</v>
      </c>
      <c r="I932" s="1">
        <v>9</v>
      </c>
      <c r="J932" s="1">
        <v>5</v>
      </c>
      <c r="K932" s="1">
        <f t="shared" si="175"/>
        <v>30</v>
      </c>
      <c r="L932" s="12">
        <f t="shared" si="186"/>
        <v>0.8571428571428571</v>
      </c>
      <c r="M932" s="1">
        <v>8</v>
      </c>
      <c r="N932" s="1">
        <v>9</v>
      </c>
      <c r="O932" s="1">
        <v>8</v>
      </c>
      <c r="P932" s="1">
        <v>4</v>
      </c>
      <c r="Q932" s="1">
        <f t="shared" si="176"/>
        <v>29</v>
      </c>
      <c r="R932" s="12">
        <f t="shared" si="187"/>
        <v>0.82857142857142863</v>
      </c>
      <c r="S932" s="1">
        <v>9</v>
      </c>
      <c r="T932" s="1">
        <v>5</v>
      </c>
      <c r="U932" s="1">
        <f t="shared" si="177"/>
        <v>14</v>
      </c>
      <c r="V932" s="12">
        <f t="shared" si="188"/>
        <v>0.93333333333333335</v>
      </c>
      <c r="W932" s="1">
        <v>4</v>
      </c>
      <c r="X932" s="1">
        <v>3</v>
      </c>
      <c r="Y932" s="1">
        <v>4</v>
      </c>
      <c r="Z932" s="1">
        <f t="shared" si="178"/>
        <v>11</v>
      </c>
      <c r="AA932" s="12">
        <f t="shared" si="189"/>
        <v>0.73333333333333328</v>
      </c>
      <c r="AB932" s="2" t="s">
        <v>609</v>
      </c>
    </row>
    <row r="933" spans="1:28" x14ac:dyDescent="0.25">
      <c r="A933" s="1" t="s">
        <v>1675</v>
      </c>
      <c r="B933" s="1" t="s">
        <v>35</v>
      </c>
      <c r="C933" s="1" t="s">
        <v>36</v>
      </c>
      <c r="D933" s="1">
        <v>5</v>
      </c>
      <c r="E933" s="1">
        <v>3</v>
      </c>
      <c r="F933" s="1">
        <v>4</v>
      </c>
      <c r="G933" s="1">
        <v>6</v>
      </c>
      <c r="H933" s="1">
        <v>5</v>
      </c>
      <c r="I933" s="1">
        <v>5</v>
      </c>
      <c r="J933" s="1">
        <v>3</v>
      </c>
      <c r="K933" s="1">
        <f t="shared" si="175"/>
        <v>19</v>
      </c>
      <c r="L933" s="12">
        <f t="shared" si="186"/>
        <v>0.54285714285714282</v>
      </c>
      <c r="M933" s="1">
        <v>4</v>
      </c>
      <c r="N933" s="1">
        <v>4</v>
      </c>
      <c r="O933" s="1">
        <v>4</v>
      </c>
      <c r="P933" s="1">
        <v>3</v>
      </c>
      <c r="Q933" s="1">
        <f t="shared" si="176"/>
        <v>15</v>
      </c>
      <c r="R933" s="12">
        <f t="shared" si="187"/>
        <v>0.42857142857142855</v>
      </c>
      <c r="S933" s="1">
        <v>5</v>
      </c>
      <c r="T933" s="1">
        <v>4</v>
      </c>
      <c r="U933" s="1">
        <f t="shared" si="177"/>
        <v>9</v>
      </c>
      <c r="V933" s="12">
        <f t="shared" si="188"/>
        <v>0.6</v>
      </c>
      <c r="W933" s="1">
        <v>4</v>
      </c>
      <c r="X933" s="1">
        <v>3</v>
      </c>
      <c r="Y933" s="1">
        <v>3</v>
      </c>
      <c r="Z933" s="1">
        <f t="shared" si="178"/>
        <v>10</v>
      </c>
      <c r="AA933" s="12">
        <f t="shared" si="189"/>
        <v>0.66666666666666663</v>
      </c>
      <c r="AB933" s="2" t="s">
        <v>510</v>
      </c>
    </row>
    <row r="934" spans="1:28" x14ac:dyDescent="0.25">
      <c r="A934" s="1" t="s">
        <v>1675</v>
      </c>
      <c r="B934" s="1" t="s">
        <v>35</v>
      </c>
      <c r="C934" s="1" t="s">
        <v>36</v>
      </c>
      <c r="D934" s="1">
        <v>5</v>
      </c>
      <c r="E934" s="1">
        <v>3</v>
      </c>
      <c r="F934" s="1">
        <v>4</v>
      </c>
      <c r="G934" s="1">
        <v>7</v>
      </c>
      <c r="H934" s="1">
        <v>7</v>
      </c>
      <c r="I934" s="1">
        <v>8</v>
      </c>
      <c r="J934" s="1">
        <v>5</v>
      </c>
      <c r="K934" s="1">
        <f t="shared" si="175"/>
        <v>27</v>
      </c>
      <c r="L934" s="12">
        <f t="shared" si="186"/>
        <v>0.77142857142857146</v>
      </c>
      <c r="M934" s="1">
        <v>6</v>
      </c>
      <c r="N934" s="1">
        <v>7</v>
      </c>
      <c r="O934" s="1">
        <v>7</v>
      </c>
      <c r="P934" s="1">
        <v>5</v>
      </c>
      <c r="Q934" s="1">
        <f t="shared" si="176"/>
        <v>25</v>
      </c>
      <c r="R934" s="12">
        <f t="shared" si="187"/>
        <v>0.7142857142857143</v>
      </c>
      <c r="S934" s="1">
        <v>8</v>
      </c>
      <c r="T934" s="1">
        <v>5</v>
      </c>
      <c r="U934" s="1">
        <f t="shared" si="177"/>
        <v>13</v>
      </c>
      <c r="V934" s="12">
        <f t="shared" si="188"/>
        <v>0.8666666666666667</v>
      </c>
      <c r="W934" s="1">
        <v>3</v>
      </c>
      <c r="X934" s="1">
        <v>2</v>
      </c>
      <c r="Y934" s="1">
        <v>2</v>
      </c>
      <c r="Z934" s="1">
        <f t="shared" si="178"/>
        <v>7</v>
      </c>
      <c r="AA934" s="12">
        <f t="shared" si="189"/>
        <v>0.46666666666666667</v>
      </c>
      <c r="AB934" s="2" t="s">
        <v>511</v>
      </c>
    </row>
    <row r="935" spans="1:28" x14ac:dyDescent="0.25">
      <c r="A935" s="1" t="s">
        <v>1675</v>
      </c>
      <c r="B935" s="1" t="s">
        <v>35</v>
      </c>
      <c r="C935" s="1" t="s">
        <v>36</v>
      </c>
      <c r="D935" s="1">
        <v>5</v>
      </c>
      <c r="E935" s="1">
        <v>3</v>
      </c>
      <c r="F935" s="1">
        <v>4</v>
      </c>
      <c r="G935" s="1">
        <v>8</v>
      </c>
      <c r="H935" s="1">
        <v>7</v>
      </c>
      <c r="I935" s="1">
        <v>7</v>
      </c>
      <c r="J935" s="1">
        <v>3</v>
      </c>
      <c r="K935" s="1">
        <f t="shared" si="175"/>
        <v>25</v>
      </c>
      <c r="L935" s="12">
        <f t="shared" si="186"/>
        <v>0.7142857142857143</v>
      </c>
      <c r="M935" s="1">
        <v>6</v>
      </c>
      <c r="N935" s="1">
        <v>6</v>
      </c>
      <c r="O935" s="1">
        <v>6</v>
      </c>
      <c r="P935" s="1">
        <v>3</v>
      </c>
      <c r="Q935" s="1">
        <f t="shared" si="176"/>
        <v>21</v>
      </c>
      <c r="R935" s="12">
        <f t="shared" si="187"/>
        <v>0.6</v>
      </c>
      <c r="S935" s="1">
        <v>7</v>
      </c>
      <c r="T935" s="1">
        <v>5</v>
      </c>
      <c r="U935" s="1">
        <f t="shared" si="177"/>
        <v>12</v>
      </c>
      <c r="V935" s="12">
        <f t="shared" si="188"/>
        <v>0.8</v>
      </c>
      <c r="W935" s="1">
        <v>4</v>
      </c>
      <c r="X935" s="1">
        <v>4</v>
      </c>
      <c r="Y935" s="1">
        <v>4</v>
      </c>
      <c r="Z935" s="1">
        <f t="shared" si="178"/>
        <v>12</v>
      </c>
      <c r="AA935" s="12">
        <f t="shared" si="189"/>
        <v>0.8</v>
      </c>
      <c r="AB935" s="2" t="s">
        <v>512</v>
      </c>
    </row>
    <row r="936" spans="1:28" x14ac:dyDescent="0.25">
      <c r="A936" s="1" t="s">
        <v>1675</v>
      </c>
      <c r="B936" s="1" t="s">
        <v>35</v>
      </c>
      <c r="C936" s="1" t="s">
        <v>36</v>
      </c>
      <c r="D936" s="1">
        <v>5</v>
      </c>
      <c r="E936" s="1">
        <v>3</v>
      </c>
      <c r="F936" s="1">
        <v>4</v>
      </c>
      <c r="G936" s="1">
        <v>8</v>
      </c>
      <c r="H936" s="1">
        <v>8</v>
      </c>
      <c r="I936" s="1">
        <v>8</v>
      </c>
      <c r="J936" s="1">
        <v>5</v>
      </c>
      <c r="K936" s="1">
        <f t="shared" si="175"/>
        <v>29</v>
      </c>
      <c r="L936" s="12">
        <f t="shared" si="186"/>
        <v>0.82857142857142863</v>
      </c>
      <c r="M936" s="1">
        <v>8</v>
      </c>
      <c r="N936" s="1">
        <v>8</v>
      </c>
      <c r="O936" s="1">
        <v>7</v>
      </c>
      <c r="P936" s="1">
        <v>5</v>
      </c>
      <c r="Q936" s="1">
        <f t="shared" si="176"/>
        <v>28</v>
      </c>
      <c r="R936" s="12">
        <f t="shared" si="187"/>
        <v>0.8</v>
      </c>
      <c r="S936" s="1">
        <v>8</v>
      </c>
      <c r="T936" s="1">
        <v>4</v>
      </c>
      <c r="U936" s="1">
        <f t="shared" si="177"/>
        <v>12</v>
      </c>
      <c r="V936" s="12">
        <f t="shared" si="188"/>
        <v>0.8</v>
      </c>
      <c r="W936" s="1">
        <v>5</v>
      </c>
      <c r="X936" s="1">
        <v>4</v>
      </c>
      <c r="Y936" s="1">
        <v>5</v>
      </c>
      <c r="Z936" s="1">
        <f t="shared" si="178"/>
        <v>14</v>
      </c>
      <c r="AA936" s="12">
        <f t="shared" si="189"/>
        <v>0.93333333333333335</v>
      </c>
      <c r="AB936" s="2" t="s">
        <v>513</v>
      </c>
    </row>
    <row r="937" spans="1:28" x14ac:dyDescent="0.25">
      <c r="A937" s="1" t="s">
        <v>1675</v>
      </c>
      <c r="B937" s="1" t="s">
        <v>35</v>
      </c>
      <c r="C937" s="1" t="s">
        <v>36</v>
      </c>
      <c r="D937" s="1">
        <v>5</v>
      </c>
      <c r="E937" s="1">
        <v>3</v>
      </c>
      <c r="F937" s="1">
        <v>4</v>
      </c>
      <c r="G937" s="1">
        <v>7</v>
      </c>
      <c r="H937" s="1">
        <v>7</v>
      </c>
      <c r="I937" s="1">
        <v>6</v>
      </c>
      <c r="J937" s="1">
        <v>5</v>
      </c>
      <c r="K937" s="1">
        <f t="shared" si="175"/>
        <v>25</v>
      </c>
      <c r="L937" s="12">
        <f t="shared" si="186"/>
        <v>0.7142857142857143</v>
      </c>
      <c r="M937" s="1">
        <v>6</v>
      </c>
      <c r="N937" s="1">
        <v>6</v>
      </c>
      <c r="O937" s="1">
        <v>7</v>
      </c>
      <c r="P937" s="1">
        <v>4</v>
      </c>
      <c r="Q937" s="1">
        <f t="shared" si="176"/>
        <v>23</v>
      </c>
      <c r="R937" s="12">
        <f t="shared" si="187"/>
        <v>0.65714285714285714</v>
      </c>
      <c r="S937" s="1">
        <v>7</v>
      </c>
      <c r="T937" s="1">
        <v>4</v>
      </c>
      <c r="U937" s="1">
        <f t="shared" si="177"/>
        <v>11</v>
      </c>
      <c r="V937" s="12">
        <f t="shared" si="188"/>
        <v>0.73333333333333328</v>
      </c>
      <c r="W937" s="1">
        <v>4</v>
      </c>
      <c r="X937" s="1">
        <v>5</v>
      </c>
      <c r="Y937" s="1">
        <v>5</v>
      </c>
      <c r="Z937" s="1">
        <f t="shared" si="178"/>
        <v>14</v>
      </c>
      <c r="AA937" s="12">
        <f t="shared" si="189"/>
        <v>0.93333333333333335</v>
      </c>
      <c r="AB937" s="2" t="s">
        <v>514</v>
      </c>
    </row>
    <row r="938" spans="1:28" x14ac:dyDescent="0.25">
      <c r="A938" s="1" t="s">
        <v>1675</v>
      </c>
      <c r="B938" s="1" t="s">
        <v>35</v>
      </c>
      <c r="C938" s="1" t="s">
        <v>36</v>
      </c>
      <c r="D938" s="1">
        <v>5</v>
      </c>
      <c r="E938" s="1">
        <v>3</v>
      </c>
      <c r="F938" s="1">
        <v>4</v>
      </c>
      <c r="G938" s="1">
        <v>7</v>
      </c>
      <c r="H938" s="1">
        <v>8</v>
      </c>
      <c r="I938" s="1">
        <v>7</v>
      </c>
      <c r="J938" s="1">
        <v>5</v>
      </c>
      <c r="K938" s="1">
        <f t="shared" si="175"/>
        <v>27</v>
      </c>
      <c r="L938" s="12">
        <f t="shared" si="186"/>
        <v>0.77142857142857146</v>
      </c>
      <c r="M938" s="1">
        <v>6</v>
      </c>
      <c r="N938" s="1">
        <v>7</v>
      </c>
      <c r="O938" s="1">
        <v>6</v>
      </c>
      <c r="P938" s="1">
        <v>4</v>
      </c>
      <c r="Q938" s="1">
        <f t="shared" si="176"/>
        <v>23</v>
      </c>
      <c r="R938" s="12">
        <f t="shared" si="187"/>
        <v>0.65714285714285714</v>
      </c>
      <c r="S938" s="1">
        <v>6</v>
      </c>
      <c r="T938" s="1">
        <v>4</v>
      </c>
      <c r="U938" s="1">
        <f t="shared" si="177"/>
        <v>10</v>
      </c>
      <c r="V938" s="12">
        <f t="shared" si="188"/>
        <v>0.66666666666666663</v>
      </c>
      <c r="W938" s="1">
        <v>4</v>
      </c>
      <c r="X938" s="1">
        <v>5</v>
      </c>
      <c r="Y938" s="1">
        <v>3</v>
      </c>
      <c r="Z938" s="1">
        <f t="shared" si="178"/>
        <v>12</v>
      </c>
      <c r="AA938" s="12">
        <f t="shared" si="189"/>
        <v>0.8</v>
      </c>
      <c r="AB938" s="2" t="s">
        <v>515</v>
      </c>
    </row>
    <row r="939" spans="1:28" x14ac:dyDescent="0.25">
      <c r="A939" s="1" t="s">
        <v>1675</v>
      </c>
      <c r="B939" s="1" t="s">
        <v>35</v>
      </c>
      <c r="C939" s="1" t="s">
        <v>36</v>
      </c>
      <c r="D939" s="1">
        <v>5</v>
      </c>
      <c r="E939" s="1">
        <v>3</v>
      </c>
      <c r="F939" s="1">
        <v>4</v>
      </c>
      <c r="G939" s="1">
        <v>7</v>
      </c>
      <c r="H939" s="1">
        <v>7</v>
      </c>
      <c r="I939" s="1">
        <v>6</v>
      </c>
      <c r="J939" s="1">
        <v>4</v>
      </c>
      <c r="K939" s="1">
        <f t="shared" si="175"/>
        <v>24</v>
      </c>
      <c r="L939" s="12">
        <f t="shared" si="186"/>
        <v>0.68571428571428572</v>
      </c>
      <c r="M939" s="1">
        <v>5</v>
      </c>
      <c r="N939" s="1">
        <v>5</v>
      </c>
      <c r="O939" s="1">
        <v>4</v>
      </c>
      <c r="P939" s="1">
        <v>4</v>
      </c>
      <c r="Q939" s="1">
        <f t="shared" si="176"/>
        <v>18</v>
      </c>
      <c r="R939" s="12">
        <f t="shared" si="187"/>
        <v>0.51428571428571423</v>
      </c>
      <c r="S939" s="1">
        <v>5</v>
      </c>
      <c r="T939" s="1">
        <v>3</v>
      </c>
      <c r="U939" s="1">
        <f t="shared" si="177"/>
        <v>8</v>
      </c>
      <c r="V939" s="12">
        <f t="shared" si="188"/>
        <v>0.53333333333333333</v>
      </c>
      <c r="W939" s="1">
        <v>4</v>
      </c>
      <c r="X939" s="1">
        <v>3</v>
      </c>
      <c r="Y939" s="1">
        <v>3</v>
      </c>
      <c r="Z939" s="1">
        <f t="shared" si="178"/>
        <v>10</v>
      </c>
      <c r="AA939" s="12">
        <f t="shared" si="189"/>
        <v>0.66666666666666663</v>
      </c>
      <c r="AB939" s="2" t="s">
        <v>516</v>
      </c>
    </row>
    <row r="940" spans="1:28" x14ac:dyDescent="0.25">
      <c r="A940" s="1" t="s">
        <v>1675</v>
      </c>
      <c r="B940" s="1" t="s">
        <v>35</v>
      </c>
      <c r="C940" s="1" t="s">
        <v>36</v>
      </c>
      <c r="D940" s="1">
        <v>5</v>
      </c>
      <c r="E940" s="1">
        <v>3</v>
      </c>
      <c r="F940" s="1">
        <v>4</v>
      </c>
      <c r="G940" s="1">
        <v>6</v>
      </c>
      <c r="H940" s="1">
        <v>7</v>
      </c>
      <c r="I940" s="1">
        <v>5</v>
      </c>
      <c r="J940" s="1">
        <v>3</v>
      </c>
      <c r="K940" s="1">
        <f t="shared" si="175"/>
        <v>21</v>
      </c>
      <c r="L940" s="12">
        <f t="shared" si="186"/>
        <v>0.6</v>
      </c>
      <c r="M940" s="1">
        <v>8</v>
      </c>
      <c r="N940" s="1">
        <v>8</v>
      </c>
      <c r="O940" s="1">
        <v>8</v>
      </c>
      <c r="P940" s="1">
        <v>5</v>
      </c>
      <c r="Q940" s="1">
        <f t="shared" si="176"/>
        <v>29</v>
      </c>
      <c r="R940" s="12">
        <f t="shared" si="187"/>
        <v>0.82857142857142863</v>
      </c>
      <c r="S940" s="1">
        <v>7</v>
      </c>
      <c r="T940" s="1">
        <v>4</v>
      </c>
      <c r="U940" s="1">
        <f t="shared" si="177"/>
        <v>11</v>
      </c>
      <c r="V940" s="12">
        <f t="shared" si="188"/>
        <v>0.73333333333333328</v>
      </c>
      <c r="W940" s="1">
        <v>4</v>
      </c>
      <c r="X940" s="1">
        <v>4</v>
      </c>
      <c r="Y940" s="1">
        <v>5</v>
      </c>
      <c r="Z940" s="1">
        <f t="shared" si="178"/>
        <v>13</v>
      </c>
      <c r="AA940" s="12">
        <f t="shared" si="189"/>
        <v>0.8666666666666667</v>
      </c>
      <c r="AB940" s="2" t="s">
        <v>517</v>
      </c>
    </row>
    <row r="941" spans="1:28" x14ac:dyDescent="0.25">
      <c r="A941" s="1" t="s">
        <v>1675</v>
      </c>
      <c r="B941" s="1" t="s">
        <v>576</v>
      </c>
      <c r="C941" s="1" t="s">
        <v>36</v>
      </c>
      <c r="D941" s="1">
        <v>27</v>
      </c>
      <c r="E941" s="1">
        <v>2</v>
      </c>
      <c r="F941" s="1">
        <v>3</v>
      </c>
      <c r="G941" s="1">
        <v>6</v>
      </c>
      <c r="H941" s="1">
        <v>5</v>
      </c>
      <c r="I941" s="1">
        <v>5</v>
      </c>
      <c r="J941" s="1">
        <v>3</v>
      </c>
      <c r="K941" s="1">
        <f t="shared" si="175"/>
        <v>19</v>
      </c>
      <c r="L941" s="12">
        <f t="shared" si="186"/>
        <v>0.54285714285714282</v>
      </c>
      <c r="M941" s="1">
        <v>6</v>
      </c>
      <c r="N941" s="1">
        <v>5</v>
      </c>
      <c r="O941" s="1">
        <v>5</v>
      </c>
      <c r="P941" s="1">
        <v>3</v>
      </c>
      <c r="Q941" s="1">
        <f t="shared" si="176"/>
        <v>19</v>
      </c>
      <c r="R941" s="12">
        <f t="shared" si="187"/>
        <v>0.54285714285714282</v>
      </c>
      <c r="S941" s="1">
        <v>5</v>
      </c>
      <c r="T941" s="1">
        <v>3</v>
      </c>
      <c r="U941" s="1">
        <f t="shared" si="177"/>
        <v>8</v>
      </c>
      <c r="V941" s="12">
        <f t="shared" si="188"/>
        <v>0.53333333333333333</v>
      </c>
      <c r="W941" s="1">
        <v>5</v>
      </c>
      <c r="X941" s="1">
        <v>3</v>
      </c>
      <c r="Y941" s="1">
        <v>4</v>
      </c>
      <c r="Z941" s="1">
        <f t="shared" si="178"/>
        <v>12</v>
      </c>
      <c r="AA941" s="12">
        <f t="shared" si="189"/>
        <v>0.8</v>
      </c>
      <c r="AB941" s="2" t="s">
        <v>712</v>
      </c>
    </row>
    <row r="942" spans="1:28" x14ac:dyDescent="0.25">
      <c r="A942" s="1" t="s">
        <v>1675</v>
      </c>
      <c r="B942" s="1" t="s">
        <v>576</v>
      </c>
      <c r="C942" s="1" t="s">
        <v>36</v>
      </c>
      <c r="D942" s="1">
        <v>27</v>
      </c>
      <c r="E942" s="1">
        <v>2</v>
      </c>
      <c r="F942" s="1">
        <v>3</v>
      </c>
      <c r="G942" s="1">
        <v>7</v>
      </c>
      <c r="H942" s="1">
        <v>7</v>
      </c>
      <c r="I942" s="1">
        <v>5</v>
      </c>
      <c r="J942" s="1">
        <v>3</v>
      </c>
      <c r="K942" s="1">
        <f t="shared" si="175"/>
        <v>22</v>
      </c>
      <c r="L942" s="12">
        <f t="shared" si="186"/>
        <v>0.62857142857142856</v>
      </c>
      <c r="M942" s="1">
        <v>5</v>
      </c>
      <c r="N942" s="1">
        <v>6</v>
      </c>
      <c r="O942" s="1">
        <v>5</v>
      </c>
      <c r="P942" s="1">
        <v>3</v>
      </c>
      <c r="Q942" s="1">
        <f t="shared" si="176"/>
        <v>19</v>
      </c>
      <c r="R942" s="12">
        <f t="shared" si="187"/>
        <v>0.54285714285714282</v>
      </c>
      <c r="S942" s="1">
        <v>5</v>
      </c>
      <c r="T942" s="1">
        <v>2</v>
      </c>
      <c r="U942" s="1">
        <f t="shared" si="177"/>
        <v>7</v>
      </c>
      <c r="V942" s="12">
        <f t="shared" si="188"/>
        <v>0.46666666666666667</v>
      </c>
      <c r="W942" s="1">
        <v>4</v>
      </c>
      <c r="X942" s="1">
        <v>3</v>
      </c>
      <c r="Y942" s="1">
        <v>3</v>
      </c>
      <c r="Z942" s="1">
        <f t="shared" si="178"/>
        <v>10</v>
      </c>
      <c r="AA942" s="12">
        <f t="shared" si="189"/>
        <v>0.66666666666666663</v>
      </c>
      <c r="AB942" s="2" t="s">
        <v>713</v>
      </c>
    </row>
    <row r="943" spans="1:28" x14ac:dyDescent="0.25">
      <c r="A943" s="1" t="s">
        <v>1675</v>
      </c>
      <c r="B943" s="1" t="s">
        <v>576</v>
      </c>
      <c r="C943" s="1" t="s">
        <v>36</v>
      </c>
      <c r="D943" s="1">
        <v>27</v>
      </c>
      <c r="E943" s="1">
        <v>2</v>
      </c>
      <c r="F943" s="1">
        <v>3</v>
      </c>
      <c r="G943" s="1">
        <v>6</v>
      </c>
      <c r="H943" s="1">
        <v>6</v>
      </c>
      <c r="I943" s="1">
        <v>7</v>
      </c>
      <c r="J943" s="1">
        <v>3</v>
      </c>
      <c r="K943" s="1">
        <f t="shared" si="175"/>
        <v>22</v>
      </c>
      <c r="L943" s="12">
        <f t="shared" si="186"/>
        <v>0.62857142857142856</v>
      </c>
      <c r="M943" s="1">
        <v>7</v>
      </c>
      <c r="N943" s="1">
        <v>8</v>
      </c>
      <c r="O943" s="1">
        <v>7</v>
      </c>
      <c r="P943" s="1">
        <v>3</v>
      </c>
      <c r="Q943" s="1">
        <f t="shared" si="176"/>
        <v>25</v>
      </c>
      <c r="R943" s="12">
        <f t="shared" si="187"/>
        <v>0.7142857142857143</v>
      </c>
      <c r="S943" s="1">
        <v>6</v>
      </c>
      <c r="T943" s="1">
        <v>2</v>
      </c>
      <c r="U943" s="1">
        <f t="shared" si="177"/>
        <v>8</v>
      </c>
      <c r="V943" s="12">
        <f t="shared" si="188"/>
        <v>0.53333333333333333</v>
      </c>
      <c r="W943" s="1">
        <v>2</v>
      </c>
      <c r="X943" s="1">
        <v>2</v>
      </c>
      <c r="Y943" s="1">
        <v>2</v>
      </c>
      <c r="Z943" s="1">
        <f t="shared" si="178"/>
        <v>6</v>
      </c>
      <c r="AA943" s="12">
        <f t="shared" si="189"/>
        <v>0.4</v>
      </c>
      <c r="AB943" s="2" t="s">
        <v>714</v>
      </c>
    </row>
    <row r="944" spans="1:28" x14ac:dyDescent="0.25">
      <c r="A944" s="1" t="s">
        <v>1675</v>
      </c>
      <c r="B944" s="1" t="s">
        <v>576</v>
      </c>
      <c r="C944" s="1" t="s">
        <v>36</v>
      </c>
      <c r="D944" s="1">
        <v>27</v>
      </c>
      <c r="E944" s="1">
        <v>2</v>
      </c>
      <c r="F944" s="1">
        <v>3</v>
      </c>
      <c r="G944" s="1">
        <v>5</v>
      </c>
      <c r="H944" s="1">
        <v>8</v>
      </c>
      <c r="I944" s="1">
        <v>8</v>
      </c>
      <c r="J944" s="1">
        <v>5</v>
      </c>
      <c r="K944" s="1">
        <f t="shared" si="175"/>
        <v>26</v>
      </c>
      <c r="L944" s="12">
        <f t="shared" si="186"/>
        <v>0.74285714285714288</v>
      </c>
      <c r="M944" s="1">
        <v>8</v>
      </c>
      <c r="N944" s="1">
        <v>7</v>
      </c>
      <c r="O944" s="1">
        <v>9</v>
      </c>
      <c r="P944" s="1">
        <v>5</v>
      </c>
      <c r="Q944" s="1">
        <f t="shared" si="176"/>
        <v>29</v>
      </c>
      <c r="R944" s="12">
        <f t="shared" si="187"/>
        <v>0.82857142857142863</v>
      </c>
      <c r="S944" s="1">
        <v>9</v>
      </c>
      <c r="T944" s="1">
        <v>5</v>
      </c>
      <c r="U944" s="1">
        <f t="shared" si="177"/>
        <v>14</v>
      </c>
      <c r="V944" s="12">
        <f t="shared" si="188"/>
        <v>0.93333333333333335</v>
      </c>
      <c r="W944" s="1">
        <v>4</v>
      </c>
      <c r="X944" s="1">
        <v>4</v>
      </c>
      <c r="Y944" s="1">
        <v>4</v>
      </c>
      <c r="Z944" s="1">
        <f t="shared" si="178"/>
        <v>12</v>
      </c>
      <c r="AA944" s="12">
        <f t="shared" si="189"/>
        <v>0.8</v>
      </c>
      <c r="AB944" s="2" t="s">
        <v>715</v>
      </c>
    </row>
    <row r="945" spans="1:28" x14ac:dyDescent="0.25">
      <c r="A945" s="1" t="s">
        <v>1675</v>
      </c>
      <c r="B945" s="1" t="s">
        <v>576</v>
      </c>
      <c r="C945" s="1" t="s">
        <v>36</v>
      </c>
      <c r="D945" s="1">
        <v>27</v>
      </c>
      <c r="E945" s="1">
        <v>2</v>
      </c>
      <c r="F945" s="1">
        <v>3</v>
      </c>
      <c r="G945" s="1">
        <v>5</v>
      </c>
      <c r="H945" s="1">
        <v>4</v>
      </c>
      <c r="I945" s="1">
        <v>4</v>
      </c>
      <c r="J945" s="1">
        <v>3</v>
      </c>
      <c r="K945" s="1">
        <f t="shared" si="175"/>
        <v>16</v>
      </c>
      <c r="L945" s="12">
        <f t="shared" si="186"/>
        <v>0.45714285714285713</v>
      </c>
      <c r="M945" s="1">
        <v>7</v>
      </c>
      <c r="N945" s="1">
        <v>7</v>
      </c>
      <c r="O945" s="1">
        <v>8</v>
      </c>
      <c r="P945" s="1">
        <v>4</v>
      </c>
      <c r="Q945" s="1">
        <f t="shared" si="176"/>
        <v>26</v>
      </c>
      <c r="R945" s="12">
        <f t="shared" si="187"/>
        <v>0.74285714285714288</v>
      </c>
      <c r="S945" s="1">
        <v>7</v>
      </c>
      <c r="T945" s="1">
        <v>4</v>
      </c>
      <c r="U945" s="1">
        <f t="shared" si="177"/>
        <v>11</v>
      </c>
      <c r="V945" s="12">
        <f t="shared" si="188"/>
        <v>0.73333333333333328</v>
      </c>
      <c r="W945" s="1">
        <v>4</v>
      </c>
      <c r="X945" s="1">
        <v>3</v>
      </c>
      <c r="Y945" s="1">
        <v>4</v>
      </c>
      <c r="Z945" s="1">
        <f t="shared" si="178"/>
        <v>11</v>
      </c>
      <c r="AA945" s="12">
        <f t="shared" si="189"/>
        <v>0.73333333333333328</v>
      </c>
      <c r="AB945" s="2" t="s">
        <v>716</v>
      </c>
    </row>
    <row r="946" spans="1:28" x14ac:dyDescent="0.25">
      <c r="A946" s="1" t="s">
        <v>1675</v>
      </c>
      <c r="B946" s="1" t="s">
        <v>576</v>
      </c>
      <c r="C946" s="1" t="s">
        <v>36</v>
      </c>
      <c r="D946" s="1">
        <v>12</v>
      </c>
      <c r="E946" s="1">
        <v>3</v>
      </c>
      <c r="F946" s="1">
        <v>3</v>
      </c>
      <c r="G946" s="1">
        <v>7</v>
      </c>
      <c r="H946" s="1">
        <v>8</v>
      </c>
      <c r="I946" s="1">
        <v>8</v>
      </c>
      <c r="J946" s="1">
        <v>4</v>
      </c>
      <c r="K946" s="1">
        <f t="shared" si="175"/>
        <v>27</v>
      </c>
      <c r="L946" s="12">
        <f t="shared" si="186"/>
        <v>0.77142857142857146</v>
      </c>
      <c r="M946" s="1">
        <v>8</v>
      </c>
      <c r="N946" s="1">
        <v>8</v>
      </c>
      <c r="O946" s="1">
        <v>8</v>
      </c>
      <c r="P946" s="1">
        <v>4</v>
      </c>
      <c r="Q946" s="1">
        <f t="shared" si="176"/>
        <v>28</v>
      </c>
      <c r="R946" s="12">
        <f t="shared" si="187"/>
        <v>0.8</v>
      </c>
      <c r="S946" s="1">
        <v>7</v>
      </c>
      <c r="T946" s="1">
        <v>4</v>
      </c>
      <c r="U946" s="1">
        <f t="shared" si="177"/>
        <v>11</v>
      </c>
      <c r="V946" s="12">
        <f t="shared" si="188"/>
        <v>0.73333333333333328</v>
      </c>
      <c r="W946" s="1">
        <v>5</v>
      </c>
      <c r="X946" s="1">
        <v>4</v>
      </c>
      <c r="Y946" s="1">
        <v>4</v>
      </c>
      <c r="Z946" s="1">
        <f t="shared" si="178"/>
        <v>13</v>
      </c>
      <c r="AA946" s="12">
        <f t="shared" si="189"/>
        <v>0.8666666666666667</v>
      </c>
      <c r="AB946" s="2" t="s">
        <v>811</v>
      </c>
    </row>
    <row r="947" spans="1:28" x14ac:dyDescent="0.25">
      <c r="A947" s="1" t="s">
        <v>1675</v>
      </c>
      <c r="B947" s="1" t="s">
        <v>576</v>
      </c>
      <c r="C947" s="1" t="s">
        <v>36</v>
      </c>
      <c r="D947" s="1">
        <v>12</v>
      </c>
      <c r="E947" s="1">
        <v>3</v>
      </c>
      <c r="F947" s="1">
        <v>3</v>
      </c>
      <c r="G947" s="1">
        <v>8</v>
      </c>
      <c r="H947" s="1">
        <v>7</v>
      </c>
      <c r="I947" s="1">
        <v>8</v>
      </c>
      <c r="J947" s="1">
        <v>4</v>
      </c>
      <c r="K947" s="1">
        <f t="shared" si="175"/>
        <v>27</v>
      </c>
      <c r="L947" s="12">
        <f t="shared" si="186"/>
        <v>0.77142857142857146</v>
      </c>
      <c r="M947" s="1">
        <v>6</v>
      </c>
      <c r="N947" s="1">
        <v>7</v>
      </c>
      <c r="O947" s="1">
        <v>6</v>
      </c>
      <c r="P947" s="1">
        <v>4</v>
      </c>
      <c r="Q947" s="1">
        <f t="shared" si="176"/>
        <v>23</v>
      </c>
      <c r="R947" s="12">
        <f t="shared" si="187"/>
        <v>0.65714285714285714</v>
      </c>
      <c r="S947" s="1">
        <v>7</v>
      </c>
      <c r="T947" s="1">
        <v>4</v>
      </c>
      <c r="U947" s="1">
        <f t="shared" si="177"/>
        <v>11</v>
      </c>
      <c r="V947" s="12">
        <f t="shared" si="188"/>
        <v>0.73333333333333328</v>
      </c>
      <c r="W947" s="1">
        <v>3</v>
      </c>
      <c r="X947" s="1">
        <v>3</v>
      </c>
      <c r="Y947" s="1">
        <v>3</v>
      </c>
      <c r="Z947" s="1">
        <f t="shared" si="178"/>
        <v>9</v>
      </c>
      <c r="AA947" s="12">
        <f t="shared" si="189"/>
        <v>0.6</v>
      </c>
      <c r="AB947" s="2" t="s">
        <v>812</v>
      </c>
    </row>
    <row r="948" spans="1:28" x14ac:dyDescent="0.25">
      <c r="A948" s="1" t="s">
        <v>1675</v>
      </c>
      <c r="B948" s="1" t="s">
        <v>576</v>
      </c>
      <c r="C948" s="1" t="s">
        <v>36</v>
      </c>
      <c r="D948" s="1">
        <v>12</v>
      </c>
      <c r="E948" s="1">
        <v>3</v>
      </c>
      <c r="F948" s="1">
        <v>3</v>
      </c>
      <c r="G948" s="1">
        <v>8</v>
      </c>
      <c r="H948" s="1">
        <v>9</v>
      </c>
      <c r="I948" s="1">
        <v>7</v>
      </c>
      <c r="J948" s="1">
        <v>4</v>
      </c>
      <c r="K948" s="1">
        <f t="shared" si="175"/>
        <v>28</v>
      </c>
      <c r="L948" s="12">
        <f t="shared" si="186"/>
        <v>0.8</v>
      </c>
      <c r="M948" s="1">
        <v>7</v>
      </c>
      <c r="N948" s="1">
        <v>6</v>
      </c>
      <c r="O948" s="1">
        <v>7</v>
      </c>
      <c r="P948" s="1">
        <v>4</v>
      </c>
      <c r="Q948" s="1">
        <f t="shared" si="176"/>
        <v>24</v>
      </c>
      <c r="R948" s="12">
        <f t="shared" si="187"/>
        <v>0.68571428571428572</v>
      </c>
      <c r="S948" s="1">
        <v>7</v>
      </c>
      <c r="T948" s="1">
        <v>5</v>
      </c>
      <c r="U948" s="1">
        <f t="shared" si="177"/>
        <v>12</v>
      </c>
      <c r="V948" s="12">
        <f t="shared" si="188"/>
        <v>0.8</v>
      </c>
      <c r="W948" s="1">
        <v>3</v>
      </c>
      <c r="X948" s="1">
        <v>3</v>
      </c>
      <c r="Y948" s="1">
        <v>3</v>
      </c>
      <c r="Z948" s="1">
        <f t="shared" si="178"/>
        <v>9</v>
      </c>
      <c r="AA948" s="12">
        <f t="shared" si="189"/>
        <v>0.6</v>
      </c>
      <c r="AB948" s="2" t="s">
        <v>813</v>
      </c>
    </row>
    <row r="949" spans="1:28" x14ac:dyDescent="0.25">
      <c r="A949" s="1" t="s">
        <v>1675</v>
      </c>
      <c r="B949" s="1" t="s">
        <v>576</v>
      </c>
      <c r="C949" s="1" t="s">
        <v>36</v>
      </c>
      <c r="D949" s="1">
        <v>12</v>
      </c>
      <c r="E949" s="1">
        <v>3</v>
      </c>
      <c r="F949" s="1">
        <v>3</v>
      </c>
      <c r="G949" s="1">
        <v>8</v>
      </c>
      <c r="H949" s="1">
        <v>9</v>
      </c>
      <c r="I949" s="1">
        <v>6</v>
      </c>
      <c r="J949" s="1">
        <v>5</v>
      </c>
      <c r="K949" s="1">
        <f t="shared" si="175"/>
        <v>28</v>
      </c>
      <c r="L949" s="12">
        <f t="shared" si="186"/>
        <v>0.8</v>
      </c>
      <c r="M949" s="1">
        <v>6</v>
      </c>
      <c r="N949" s="1">
        <v>7</v>
      </c>
      <c r="O949" s="1">
        <v>8</v>
      </c>
      <c r="P949" s="1">
        <v>4</v>
      </c>
      <c r="Q949" s="1">
        <f t="shared" si="176"/>
        <v>25</v>
      </c>
      <c r="R949" s="12">
        <f t="shared" si="187"/>
        <v>0.7142857142857143</v>
      </c>
      <c r="S949" s="1">
        <v>8</v>
      </c>
      <c r="T949" s="1">
        <v>4</v>
      </c>
      <c r="U949" s="1">
        <f t="shared" si="177"/>
        <v>12</v>
      </c>
      <c r="V949" s="12">
        <f t="shared" si="188"/>
        <v>0.8</v>
      </c>
      <c r="W949" s="1">
        <v>4</v>
      </c>
      <c r="X949" s="1">
        <v>3</v>
      </c>
      <c r="Y949" s="1">
        <v>3</v>
      </c>
      <c r="Z949" s="1">
        <f t="shared" si="178"/>
        <v>10</v>
      </c>
      <c r="AA949" s="12">
        <f t="shared" si="189"/>
        <v>0.66666666666666663</v>
      </c>
      <c r="AB949" s="2" t="s">
        <v>814</v>
      </c>
    </row>
    <row r="950" spans="1:28" x14ac:dyDescent="0.25">
      <c r="A950" s="1" t="s">
        <v>1675</v>
      </c>
      <c r="B950" s="1" t="s">
        <v>576</v>
      </c>
      <c r="C950" s="1" t="s">
        <v>36</v>
      </c>
      <c r="D950" s="1">
        <v>12</v>
      </c>
      <c r="E950" s="1">
        <v>3</v>
      </c>
      <c r="F950" s="1">
        <v>3</v>
      </c>
      <c r="G950" s="1">
        <v>6</v>
      </c>
      <c r="H950" s="1">
        <v>4</v>
      </c>
      <c r="I950" s="1">
        <v>6</v>
      </c>
      <c r="J950" s="1">
        <v>4</v>
      </c>
      <c r="K950" s="1">
        <f t="shared" si="175"/>
        <v>20</v>
      </c>
      <c r="L950" s="12">
        <f t="shared" si="186"/>
        <v>0.5714285714285714</v>
      </c>
      <c r="M950" s="1">
        <v>8</v>
      </c>
      <c r="N950" s="1">
        <v>7</v>
      </c>
      <c r="O950" s="1">
        <v>7</v>
      </c>
      <c r="P950" s="1">
        <v>4</v>
      </c>
      <c r="Q950" s="1">
        <f t="shared" si="176"/>
        <v>26</v>
      </c>
      <c r="R950" s="12">
        <f t="shared" si="187"/>
        <v>0.74285714285714288</v>
      </c>
      <c r="S950" s="1">
        <v>7</v>
      </c>
      <c r="T950" s="1">
        <v>4</v>
      </c>
      <c r="U950" s="1">
        <f t="shared" si="177"/>
        <v>11</v>
      </c>
      <c r="V950" s="12">
        <f t="shared" si="188"/>
        <v>0.73333333333333328</v>
      </c>
      <c r="W950" s="1">
        <v>4</v>
      </c>
      <c r="X950" s="1">
        <v>5</v>
      </c>
      <c r="Y950" s="1">
        <v>5</v>
      </c>
      <c r="Z950" s="1">
        <f t="shared" si="178"/>
        <v>14</v>
      </c>
      <c r="AA950" s="12">
        <f t="shared" si="189"/>
        <v>0.93333333333333335</v>
      </c>
      <c r="AB950" s="2" t="s">
        <v>815</v>
      </c>
    </row>
    <row r="951" spans="1:28" x14ac:dyDescent="0.25">
      <c r="A951" s="1" t="s">
        <v>1675</v>
      </c>
      <c r="B951" s="1" t="s">
        <v>576</v>
      </c>
      <c r="C951" s="1" t="s">
        <v>36</v>
      </c>
      <c r="D951" s="1">
        <v>12</v>
      </c>
      <c r="E951" s="1">
        <v>3</v>
      </c>
      <c r="F951" s="1">
        <v>3</v>
      </c>
      <c r="G951" s="1">
        <v>6</v>
      </c>
      <c r="H951" s="1">
        <v>8</v>
      </c>
      <c r="I951" s="1">
        <v>5</v>
      </c>
      <c r="J951" s="1">
        <v>4</v>
      </c>
      <c r="K951" s="1">
        <f t="shared" si="175"/>
        <v>23</v>
      </c>
      <c r="L951" s="12">
        <f t="shared" si="186"/>
        <v>0.65714285714285714</v>
      </c>
      <c r="M951" s="1">
        <v>6</v>
      </c>
      <c r="N951" s="1">
        <v>6</v>
      </c>
      <c r="O951" s="1">
        <v>6</v>
      </c>
      <c r="P951" s="1">
        <v>4</v>
      </c>
      <c r="Q951" s="1">
        <f t="shared" si="176"/>
        <v>22</v>
      </c>
      <c r="R951" s="12">
        <f t="shared" si="187"/>
        <v>0.62857142857142856</v>
      </c>
      <c r="S951" s="1">
        <v>7</v>
      </c>
      <c r="T951" s="1">
        <v>4</v>
      </c>
      <c r="U951" s="1">
        <f t="shared" si="177"/>
        <v>11</v>
      </c>
      <c r="V951" s="12">
        <f t="shared" si="188"/>
        <v>0.73333333333333328</v>
      </c>
      <c r="W951" s="1">
        <v>4</v>
      </c>
      <c r="X951" s="1">
        <v>2</v>
      </c>
      <c r="Y951" s="1">
        <v>3</v>
      </c>
      <c r="Z951" s="1">
        <f t="shared" si="178"/>
        <v>9</v>
      </c>
      <c r="AA951" s="12">
        <f t="shared" si="189"/>
        <v>0.6</v>
      </c>
      <c r="AB951" s="2" t="s">
        <v>816</v>
      </c>
    </row>
    <row r="952" spans="1:28" x14ac:dyDescent="0.25">
      <c r="A952" s="1" t="s">
        <v>1675</v>
      </c>
      <c r="B952" s="1" t="s">
        <v>576</v>
      </c>
      <c r="C952" s="1" t="s">
        <v>36</v>
      </c>
      <c r="D952" s="1">
        <v>12</v>
      </c>
      <c r="E952" s="1">
        <v>3</v>
      </c>
      <c r="F952" s="1">
        <v>3</v>
      </c>
      <c r="G952" s="1">
        <v>8</v>
      </c>
      <c r="H952" s="1">
        <v>8</v>
      </c>
      <c r="I952" s="1">
        <v>8</v>
      </c>
      <c r="J952" s="1">
        <v>5</v>
      </c>
      <c r="K952" s="1">
        <f t="shared" si="175"/>
        <v>29</v>
      </c>
      <c r="L952" s="12">
        <f t="shared" si="186"/>
        <v>0.82857142857142863</v>
      </c>
      <c r="M952" s="1">
        <v>8</v>
      </c>
      <c r="N952" s="1">
        <v>9</v>
      </c>
      <c r="O952" s="1">
        <v>9</v>
      </c>
      <c r="P952" s="1">
        <v>5</v>
      </c>
      <c r="Q952" s="1">
        <f t="shared" si="176"/>
        <v>31</v>
      </c>
      <c r="R952" s="12">
        <f t="shared" si="187"/>
        <v>0.88571428571428568</v>
      </c>
      <c r="S952" s="1">
        <v>9</v>
      </c>
      <c r="T952" s="1">
        <v>4</v>
      </c>
      <c r="U952" s="1">
        <f t="shared" si="177"/>
        <v>13</v>
      </c>
      <c r="V952" s="12">
        <f t="shared" si="188"/>
        <v>0.8666666666666667</v>
      </c>
      <c r="W952" s="1">
        <v>5</v>
      </c>
      <c r="X952" s="1">
        <v>5</v>
      </c>
      <c r="Y952" s="1">
        <v>5</v>
      </c>
      <c r="Z952" s="1">
        <f t="shared" si="178"/>
        <v>15</v>
      </c>
      <c r="AA952" s="12">
        <f t="shared" si="189"/>
        <v>1</v>
      </c>
      <c r="AB952" s="2" t="s">
        <v>817</v>
      </c>
    </row>
    <row r="953" spans="1:28" x14ac:dyDescent="0.25">
      <c r="A953" s="1" t="s">
        <v>1675</v>
      </c>
      <c r="B953" s="1" t="s">
        <v>35</v>
      </c>
      <c r="C953" s="1" t="s">
        <v>861</v>
      </c>
      <c r="D953" s="1">
        <v>17</v>
      </c>
      <c r="E953" s="1">
        <v>1</v>
      </c>
      <c r="F953" s="1">
        <v>5</v>
      </c>
      <c r="G953" s="1">
        <v>7</v>
      </c>
      <c r="H953" s="1">
        <v>6</v>
      </c>
      <c r="I953" s="1">
        <v>6</v>
      </c>
      <c r="J953" s="1">
        <v>7</v>
      </c>
      <c r="K953" s="1">
        <f t="shared" si="175"/>
        <v>26</v>
      </c>
      <c r="L953" s="12">
        <f t="shared" ref="L953:L982" si="190">K953/40</f>
        <v>0.65</v>
      </c>
      <c r="M953" s="1">
        <v>7</v>
      </c>
      <c r="N953" s="1">
        <v>5</v>
      </c>
      <c r="O953" s="1">
        <v>7</v>
      </c>
      <c r="P953" s="1">
        <v>5</v>
      </c>
      <c r="Q953" s="1">
        <f t="shared" si="176"/>
        <v>24</v>
      </c>
      <c r="R953" s="12">
        <f t="shared" ref="R953:R982" si="191">Q953/40</f>
        <v>0.6</v>
      </c>
      <c r="S953" s="1">
        <v>8</v>
      </c>
      <c r="T953" s="1">
        <v>5</v>
      </c>
      <c r="U953" s="1">
        <f t="shared" si="177"/>
        <v>13</v>
      </c>
      <c r="V953" s="12">
        <f t="shared" ref="V953:V982" si="192">U953/20</f>
        <v>0.65</v>
      </c>
      <c r="Z953" s="1">
        <f t="shared" si="178"/>
        <v>0</v>
      </c>
      <c r="AB953" s="2" t="s">
        <v>978</v>
      </c>
    </row>
    <row r="954" spans="1:28" x14ac:dyDescent="0.25">
      <c r="A954" s="1" t="s">
        <v>1675</v>
      </c>
      <c r="B954" s="1" t="s">
        <v>35</v>
      </c>
      <c r="C954" s="1" t="s">
        <v>861</v>
      </c>
      <c r="D954" s="1">
        <v>17</v>
      </c>
      <c r="E954" s="1">
        <v>1</v>
      </c>
      <c r="F954" s="1">
        <v>5</v>
      </c>
      <c r="G954" s="1">
        <v>6</v>
      </c>
      <c r="H954" s="1">
        <v>3</v>
      </c>
      <c r="I954" s="1">
        <v>4</v>
      </c>
      <c r="J954" s="1">
        <v>3</v>
      </c>
      <c r="K954" s="1">
        <f t="shared" si="175"/>
        <v>16</v>
      </c>
      <c r="L954" s="12">
        <f t="shared" si="190"/>
        <v>0.4</v>
      </c>
      <c r="M954" s="1">
        <v>3</v>
      </c>
      <c r="N954" s="1">
        <v>4</v>
      </c>
      <c r="O954" s="1">
        <v>2</v>
      </c>
      <c r="P954" s="1">
        <v>2</v>
      </c>
      <c r="Q954" s="1">
        <f t="shared" si="176"/>
        <v>11</v>
      </c>
      <c r="R954" s="12">
        <f t="shared" si="191"/>
        <v>0.27500000000000002</v>
      </c>
      <c r="S954" s="1">
        <v>2</v>
      </c>
      <c r="T954" s="1">
        <v>2</v>
      </c>
      <c r="U954" s="1">
        <f t="shared" si="177"/>
        <v>4</v>
      </c>
      <c r="V954" s="12">
        <f t="shared" si="192"/>
        <v>0.2</v>
      </c>
      <c r="Z954" s="1">
        <f t="shared" si="178"/>
        <v>0</v>
      </c>
      <c r="AB954" s="2" t="s">
        <v>979</v>
      </c>
    </row>
    <row r="955" spans="1:28" x14ac:dyDescent="0.25">
      <c r="A955" s="1" t="s">
        <v>1675</v>
      </c>
      <c r="B955" s="1" t="s">
        <v>35</v>
      </c>
      <c r="C955" s="1" t="s">
        <v>861</v>
      </c>
      <c r="D955" s="1">
        <v>17</v>
      </c>
      <c r="E955" s="1">
        <v>1</v>
      </c>
      <c r="F955" s="1">
        <v>5</v>
      </c>
      <c r="G955" s="1">
        <v>7</v>
      </c>
      <c r="H955" s="1">
        <v>7</v>
      </c>
      <c r="I955" s="1">
        <v>6</v>
      </c>
      <c r="J955" s="1">
        <v>7</v>
      </c>
      <c r="K955" s="1">
        <f t="shared" si="175"/>
        <v>27</v>
      </c>
      <c r="L955" s="12">
        <f t="shared" si="190"/>
        <v>0.67500000000000004</v>
      </c>
      <c r="M955" s="1">
        <v>8</v>
      </c>
      <c r="N955" s="1">
        <v>8</v>
      </c>
      <c r="O955" s="1">
        <v>7</v>
      </c>
      <c r="P955" s="1">
        <v>8</v>
      </c>
      <c r="Q955" s="1">
        <f t="shared" si="176"/>
        <v>31</v>
      </c>
      <c r="R955" s="12">
        <f t="shared" si="191"/>
        <v>0.77500000000000002</v>
      </c>
      <c r="S955" s="1">
        <v>7</v>
      </c>
      <c r="T955" s="1">
        <v>4</v>
      </c>
      <c r="U955" s="1">
        <f t="shared" si="177"/>
        <v>11</v>
      </c>
      <c r="V955" s="12">
        <f t="shared" si="192"/>
        <v>0.55000000000000004</v>
      </c>
      <c r="Z955" s="1">
        <f t="shared" si="178"/>
        <v>0</v>
      </c>
      <c r="AB955" s="2" t="s">
        <v>980</v>
      </c>
    </row>
    <row r="956" spans="1:28" x14ac:dyDescent="0.25">
      <c r="A956" s="1" t="s">
        <v>1675</v>
      </c>
      <c r="B956" s="1" t="s">
        <v>35</v>
      </c>
      <c r="C956" s="1" t="s">
        <v>861</v>
      </c>
      <c r="D956" s="1">
        <v>17</v>
      </c>
      <c r="E956" s="1">
        <v>1</v>
      </c>
      <c r="F956" s="1">
        <v>5</v>
      </c>
      <c r="G956" s="1">
        <v>6</v>
      </c>
      <c r="H956" s="1">
        <v>6</v>
      </c>
      <c r="I956" s="1">
        <v>6</v>
      </c>
      <c r="J956" s="1">
        <v>4</v>
      </c>
      <c r="K956" s="1">
        <f t="shared" si="175"/>
        <v>22</v>
      </c>
      <c r="L956" s="12">
        <f t="shared" si="190"/>
        <v>0.55000000000000004</v>
      </c>
      <c r="M956" s="1">
        <v>4</v>
      </c>
      <c r="N956" s="1">
        <v>6</v>
      </c>
      <c r="O956" s="1">
        <v>5</v>
      </c>
      <c r="P956" s="1">
        <v>7</v>
      </c>
      <c r="Q956" s="1">
        <f t="shared" si="176"/>
        <v>22</v>
      </c>
      <c r="R956" s="12">
        <f t="shared" si="191"/>
        <v>0.55000000000000004</v>
      </c>
      <c r="S956" s="1">
        <v>5</v>
      </c>
      <c r="T956" s="1">
        <v>5</v>
      </c>
      <c r="U956" s="1">
        <f t="shared" si="177"/>
        <v>10</v>
      </c>
      <c r="V956" s="12">
        <f t="shared" si="192"/>
        <v>0.5</v>
      </c>
      <c r="Z956" s="1">
        <f t="shared" si="178"/>
        <v>0</v>
      </c>
      <c r="AB956" s="2" t="s">
        <v>981</v>
      </c>
    </row>
    <row r="957" spans="1:28" x14ac:dyDescent="0.25">
      <c r="A957" s="1" t="s">
        <v>1675</v>
      </c>
      <c r="B957" s="1" t="s">
        <v>35</v>
      </c>
      <c r="C957" s="1" t="s">
        <v>861</v>
      </c>
      <c r="D957" s="1">
        <v>17</v>
      </c>
      <c r="E957" s="1">
        <v>1</v>
      </c>
      <c r="F957" s="1">
        <v>5</v>
      </c>
      <c r="G957" s="1">
        <v>6</v>
      </c>
      <c r="H957" s="1">
        <v>6</v>
      </c>
      <c r="I957" s="1">
        <v>6</v>
      </c>
      <c r="J957" s="1">
        <v>3</v>
      </c>
      <c r="K957" s="1">
        <f t="shared" si="175"/>
        <v>21</v>
      </c>
      <c r="L957" s="12">
        <f t="shared" si="190"/>
        <v>0.52500000000000002</v>
      </c>
      <c r="M957" s="1">
        <v>5</v>
      </c>
      <c r="N957" s="1">
        <v>6</v>
      </c>
      <c r="O957" s="1">
        <v>4</v>
      </c>
      <c r="P957" s="1">
        <v>5</v>
      </c>
      <c r="Q957" s="1">
        <f t="shared" si="176"/>
        <v>20</v>
      </c>
      <c r="R957" s="12">
        <f t="shared" si="191"/>
        <v>0.5</v>
      </c>
      <c r="S957" s="1">
        <v>4</v>
      </c>
      <c r="T957" s="1">
        <v>3</v>
      </c>
      <c r="U957" s="1">
        <f t="shared" si="177"/>
        <v>7</v>
      </c>
      <c r="V957" s="12">
        <f t="shared" si="192"/>
        <v>0.35</v>
      </c>
      <c r="Z957" s="1">
        <f t="shared" si="178"/>
        <v>0</v>
      </c>
      <c r="AB957" s="2" t="s">
        <v>982</v>
      </c>
    </row>
    <row r="958" spans="1:28" x14ac:dyDescent="0.25">
      <c r="A958" s="1" t="s">
        <v>1675</v>
      </c>
      <c r="B958" s="1" t="s">
        <v>35</v>
      </c>
      <c r="C958" s="1" t="s">
        <v>861</v>
      </c>
      <c r="D958" s="1">
        <v>17</v>
      </c>
      <c r="E958" s="1">
        <v>1</v>
      </c>
      <c r="F958" s="1">
        <v>5</v>
      </c>
      <c r="G958" s="1">
        <v>2</v>
      </c>
      <c r="H958" s="1">
        <v>3</v>
      </c>
      <c r="I958" s="1">
        <v>3</v>
      </c>
      <c r="J958" s="1">
        <v>4</v>
      </c>
      <c r="K958" s="1">
        <f t="shared" si="175"/>
        <v>12</v>
      </c>
      <c r="L958" s="12">
        <f t="shared" si="190"/>
        <v>0.3</v>
      </c>
      <c r="M958" s="1">
        <v>3</v>
      </c>
      <c r="N958" s="1">
        <v>5</v>
      </c>
      <c r="O958" s="1">
        <v>3</v>
      </c>
      <c r="P958" s="1">
        <v>4</v>
      </c>
      <c r="Q958" s="1">
        <f t="shared" si="176"/>
        <v>15</v>
      </c>
      <c r="R958" s="12">
        <f t="shared" si="191"/>
        <v>0.375</v>
      </c>
      <c r="S958" s="1">
        <v>4</v>
      </c>
      <c r="T958" s="1">
        <v>5</v>
      </c>
      <c r="U958" s="1">
        <f t="shared" si="177"/>
        <v>9</v>
      </c>
      <c r="V958" s="12">
        <f t="shared" si="192"/>
        <v>0.45</v>
      </c>
      <c r="Z958" s="1">
        <f t="shared" si="178"/>
        <v>0</v>
      </c>
      <c r="AB958" s="2" t="s">
        <v>983</v>
      </c>
    </row>
    <row r="959" spans="1:28" x14ac:dyDescent="0.25">
      <c r="A959" s="1" t="s">
        <v>1675</v>
      </c>
      <c r="B959" s="1" t="s">
        <v>35</v>
      </c>
      <c r="C959" s="1" t="s">
        <v>861</v>
      </c>
      <c r="D959" s="1">
        <v>17</v>
      </c>
      <c r="E959" s="1">
        <v>1</v>
      </c>
      <c r="F959" s="1">
        <v>5</v>
      </c>
      <c r="G959" s="1">
        <v>6</v>
      </c>
      <c r="H959" s="1">
        <v>2</v>
      </c>
      <c r="I959" s="1">
        <v>8</v>
      </c>
      <c r="J959" s="1">
        <v>7</v>
      </c>
      <c r="K959" s="1">
        <f t="shared" si="175"/>
        <v>23</v>
      </c>
      <c r="L959" s="12">
        <f t="shared" si="190"/>
        <v>0.57499999999999996</v>
      </c>
      <c r="M959" s="1">
        <v>7</v>
      </c>
      <c r="N959" s="1">
        <v>7</v>
      </c>
      <c r="O959" s="1">
        <v>7</v>
      </c>
      <c r="P959" s="1">
        <v>7</v>
      </c>
      <c r="Q959" s="1">
        <f t="shared" si="176"/>
        <v>28</v>
      </c>
      <c r="R959" s="12">
        <f t="shared" si="191"/>
        <v>0.7</v>
      </c>
      <c r="S959" s="1">
        <v>6</v>
      </c>
      <c r="T959" s="1">
        <v>5</v>
      </c>
      <c r="U959" s="1">
        <f t="shared" si="177"/>
        <v>11</v>
      </c>
      <c r="V959" s="12">
        <f t="shared" si="192"/>
        <v>0.55000000000000004</v>
      </c>
      <c r="Z959" s="1">
        <f t="shared" si="178"/>
        <v>0</v>
      </c>
      <c r="AB959" s="2" t="s">
        <v>984</v>
      </c>
    </row>
    <row r="960" spans="1:28" x14ac:dyDescent="0.25">
      <c r="A960" s="1" t="s">
        <v>1675</v>
      </c>
      <c r="B960" s="1" t="s">
        <v>35</v>
      </c>
      <c r="C960" s="1" t="s">
        <v>861</v>
      </c>
      <c r="D960" s="1">
        <v>17</v>
      </c>
      <c r="E960" s="1">
        <v>1</v>
      </c>
      <c r="F960" s="1">
        <v>5</v>
      </c>
      <c r="G960" s="1">
        <v>9</v>
      </c>
      <c r="H960" s="1">
        <v>9</v>
      </c>
      <c r="I960" s="1">
        <v>9</v>
      </c>
      <c r="J960" s="1">
        <v>9</v>
      </c>
      <c r="K960" s="1">
        <f t="shared" si="175"/>
        <v>36</v>
      </c>
      <c r="L960" s="12">
        <f t="shared" si="190"/>
        <v>0.9</v>
      </c>
      <c r="M960" s="1">
        <v>8</v>
      </c>
      <c r="N960" s="1">
        <v>9</v>
      </c>
      <c r="O960" s="1">
        <v>8</v>
      </c>
      <c r="P960" s="1">
        <v>9</v>
      </c>
      <c r="Q960" s="1">
        <f t="shared" si="176"/>
        <v>34</v>
      </c>
      <c r="R960" s="12">
        <f t="shared" si="191"/>
        <v>0.85</v>
      </c>
      <c r="S960" s="1">
        <v>8</v>
      </c>
      <c r="T960" s="1">
        <v>9</v>
      </c>
      <c r="U960" s="1">
        <f t="shared" si="177"/>
        <v>17</v>
      </c>
      <c r="V960" s="12">
        <f t="shared" si="192"/>
        <v>0.85</v>
      </c>
      <c r="Z960" s="1">
        <f t="shared" si="178"/>
        <v>0</v>
      </c>
      <c r="AB960" s="2" t="s">
        <v>985</v>
      </c>
    </row>
    <row r="961" spans="1:28" x14ac:dyDescent="0.25">
      <c r="A961" s="1" t="s">
        <v>1675</v>
      </c>
      <c r="B961" s="1" t="s">
        <v>35</v>
      </c>
      <c r="C961" s="1" t="s">
        <v>861</v>
      </c>
      <c r="D961" s="1">
        <v>18</v>
      </c>
      <c r="E961" s="1">
        <v>2</v>
      </c>
      <c r="F961" s="1">
        <v>4</v>
      </c>
      <c r="G961" s="1">
        <v>6</v>
      </c>
      <c r="H961" s="1">
        <v>7</v>
      </c>
      <c r="I961" s="1">
        <v>6</v>
      </c>
      <c r="J961" s="1">
        <v>6</v>
      </c>
      <c r="K961" s="1">
        <f t="shared" si="175"/>
        <v>25</v>
      </c>
      <c r="L961" s="12">
        <f t="shared" si="190"/>
        <v>0.625</v>
      </c>
      <c r="M961" s="1">
        <v>6</v>
      </c>
      <c r="N961" s="1">
        <v>6</v>
      </c>
      <c r="O961" s="1">
        <v>6</v>
      </c>
      <c r="P961" s="1">
        <v>8</v>
      </c>
      <c r="Q961" s="1">
        <f t="shared" si="176"/>
        <v>26</v>
      </c>
      <c r="R961" s="12">
        <f t="shared" si="191"/>
        <v>0.65</v>
      </c>
      <c r="S961" s="1">
        <v>6</v>
      </c>
      <c r="T961" s="1">
        <v>5</v>
      </c>
      <c r="U961" s="1">
        <f t="shared" si="177"/>
        <v>11</v>
      </c>
      <c r="V961" s="12">
        <f t="shared" si="192"/>
        <v>0.55000000000000004</v>
      </c>
      <c r="Z961" s="1">
        <f t="shared" si="178"/>
        <v>0</v>
      </c>
      <c r="AB961" s="2" t="s">
        <v>1108</v>
      </c>
    </row>
    <row r="962" spans="1:28" x14ac:dyDescent="0.25">
      <c r="A962" s="1" t="s">
        <v>1675</v>
      </c>
      <c r="B962" s="1" t="s">
        <v>35</v>
      </c>
      <c r="C962" s="1" t="s">
        <v>861</v>
      </c>
      <c r="D962" s="1">
        <v>18</v>
      </c>
      <c r="E962" s="1">
        <v>2</v>
      </c>
      <c r="F962" s="1">
        <v>4</v>
      </c>
      <c r="G962" s="1">
        <v>5</v>
      </c>
      <c r="H962" s="1">
        <v>6</v>
      </c>
      <c r="I962" s="1">
        <v>6</v>
      </c>
      <c r="J962" s="1">
        <v>6</v>
      </c>
      <c r="K962" s="1">
        <f t="shared" si="175"/>
        <v>23</v>
      </c>
      <c r="L962" s="12">
        <f t="shared" si="190"/>
        <v>0.57499999999999996</v>
      </c>
      <c r="M962" s="1">
        <v>6</v>
      </c>
      <c r="N962" s="1">
        <v>5</v>
      </c>
      <c r="O962" s="1">
        <v>6</v>
      </c>
      <c r="P962" s="1">
        <v>6</v>
      </c>
      <c r="Q962" s="1">
        <f t="shared" si="176"/>
        <v>23</v>
      </c>
      <c r="R962" s="12">
        <f t="shared" si="191"/>
        <v>0.57499999999999996</v>
      </c>
      <c r="S962" s="1">
        <v>6</v>
      </c>
      <c r="T962" s="1">
        <v>6</v>
      </c>
      <c r="U962" s="1">
        <f t="shared" si="177"/>
        <v>12</v>
      </c>
      <c r="V962" s="12">
        <f t="shared" si="192"/>
        <v>0.6</v>
      </c>
      <c r="Z962" s="1">
        <f t="shared" si="178"/>
        <v>0</v>
      </c>
      <c r="AB962" s="2" t="s">
        <v>1109</v>
      </c>
    </row>
    <row r="963" spans="1:28" x14ac:dyDescent="0.25">
      <c r="A963" s="1" t="s">
        <v>1675</v>
      </c>
      <c r="B963" s="1" t="s">
        <v>35</v>
      </c>
      <c r="C963" s="1" t="s">
        <v>861</v>
      </c>
      <c r="D963" s="1">
        <v>18</v>
      </c>
      <c r="E963" s="1">
        <v>2</v>
      </c>
      <c r="F963" s="1">
        <v>4</v>
      </c>
      <c r="G963" s="1">
        <v>5</v>
      </c>
      <c r="H963" s="1">
        <v>3</v>
      </c>
      <c r="I963" s="1">
        <v>4</v>
      </c>
      <c r="J963" s="1">
        <v>4</v>
      </c>
      <c r="K963" s="1">
        <f t="shared" ref="K963:K1026" si="193">SUM(G963:J963)</f>
        <v>16</v>
      </c>
      <c r="L963" s="12">
        <f t="shared" si="190"/>
        <v>0.4</v>
      </c>
      <c r="M963" s="1">
        <v>3</v>
      </c>
      <c r="N963" s="1">
        <v>3</v>
      </c>
      <c r="O963" s="1">
        <v>2</v>
      </c>
      <c r="P963" s="1">
        <v>3</v>
      </c>
      <c r="Q963" s="1">
        <f t="shared" ref="Q963:Q1026" si="194">SUM(M963:P963)</f>
        <v>11</v>
      </c>
      <c r="R963" s="12">
        <f t="shared" si="191"/>
        <v>0.27500000000000002</v>
      </c>
      <c r="S963" s="1">
        <v>3</v>
      </c>
      <c r="T963" s="1">
        <v>2</v>
      </c>
      <c r="U963" s="1">
        <f t="shared" ref="U963:U1026" si="195">SUM(S963:T963)</f>
        <v>5</v>
      </c>
      <c r="V963" s="12">
        <f t="shared" si="192"/>
        <v>0.25</v>
      </c>
      <c r="Z963" s="1">
        <f t="shared" ref="Z963:Z1026" si="196">SUM(W963:Y963)</f>
        <v>0</v>
      </c>
      <c r="AB963" s="2" t="s">
        <v>1110</v>
      </c>
    </row>
    <row r="964" spans="1:28" x14ac:dyDescent="0.25">
      <c r="A964" s="1" t="s">
        <v>1675</v>
      </c>
      <c r="B964" s="1" t="s">
        <v>35</v>
      </c>
      <c r="C964" s="1" t="s">
        <v>861</v>
      </c>
      <c r="D964" s="1">
        <v>18</v>
      </c>
      <c r="E964" s="1">
        <v>2</v>
      </c>
      <c r="F964" s="1">
        <v>4</v>
      </c>
      <c r="G964" s="1">
        <v>8</v>
      </c>
      <c r="H964" s="1">
        <v>9</v>
      </c>
      <c r="I964" s="1">
        <v>8</v>
      </c>
      <c r="J964" s="1">
        <v>8</v>
      </c>
      <c r="K964" s="1">
        <f t="shared" si="193"/>
        <v>33</v>
      </c>
      <c r="L964" s="12">
        <f t="shared" si="190"/>
        <v>0.82499999999999996</v>
      </c>
      <c r="M964" s="1">
        <v>8</v>
      </c>
      <c r="N964" s="1">
        <v>9</v>
      </c>
      <c r="O964" s="1">
        <v>7</v>
      </c>
      <c r="P964" s="1">
        <v>9</v>
      </c>
      <c r="Q964" s="1">
        <f t="shared" si="194"/>
        <v>33</v>
      </c>
      <c r="R964" s="12">
        <f t="shared" si="191"/>
        <v>0.82499999999999996</v>
      </c>
      <c r="S964" s="1">
        <v>9</v>
      </c>
      <c r="T964" s="1">
        <v>9</v>
      </c>
      <c r="U964" s="1">
        <f t="shared" si="195"/>
        <v>18</v>
      </c>
      <c r="V964" s="12">
        <f t="shared" si="192"/>
        <v>0.9</v>
      </c>
      <c r="Z964" s="1">
        <f t="shared" si="196"/>
        <v>0</v>
      </c>
      <c r="AB964" s="2" t="s">
        <v>1111</v>
      </c>
    </row>
    <row r="965" spans="1:28" x14ac:dyDescent="0.25">
      <c r="A965" s="1" t="s">
        <v>1675</v>
      </c>
      <c r="B965" s="1" t="s">
        <v>35</v>
      </c>
      <c r="C965" s="1" t="s">
        <v>861</v>
      </c>
      <c r="D965" s="1">
        <v>18</v>
      </c>
      <c r="E965" s="1">
        <v>2</v>
      </c>
      <c r="F965" s="1">
        <v>4</v>
      </c>
      <c r="G965" s="1">
        <v>6</v>
      </c>
      <c r="H965" s="1">
        <v>5</v>
      </c>
      <c r="I965" s="1">
        <v>6</v>
      </c>
      <c r="J965" s="1">
        <v>5</v>
      </c>
      <c r="K965" s="1">
        <f t="shared" si="193"/>
        <v>22</v>
      </c>
      <c r="L965" s="12">
        <f t="shared" si="190"/>
        <v>0.55000000000000004</v>
      </c>
      <c r="M965" s="1">
        <v>5</v>
      </c>
      <c r="N965" s="1">
        <v>6</v>
      </c>
      <c r="O965" s="1">
        <v>7</v>
      </c>
      <c r="P965" s="1">
        <v>7</v>
      </c>
      <c r="Q965" s="1">
        <f t="shared" si="194"/>
        <v>25</v>
      </c>
      <c r="R965" s="12">
        <f t="shared" si="191"/>
        <v>0.625</v>
      </c>
      <c r="S965" s="1">
        <v>7</v>
      </c>
      <c r="T965" s="1">
        <v>6</v>
      </c>
      <c r="U965" s="1">
        <f t="shared" si="195"/>
        <v>13</v>
      </c>
      <c r="V965" s="12">
        <f t="shared" si="192"/>
        <v>0.65</v>
      </c>
      <c r="Z965" s="1">
        <f t="shared" si="196"/>
        <v>0</v>
      </c>
      <c r="AB965" s="2" t="s">
        <v>1112</v>
      </c>
    </row>
    <row r="966" spans="1:28" x14ac:dyDescent="0.25">
      <c r="A966" s="1" t="s">
        <v>1675</v>
      </c>
      <c r="B966" s="1" t="s">
        <v>35</v>
      </c>
      <c r="C966" s="1" t="s">
        <v>861</v>
      </c>
      <c r="D966" s="1">
        <v>18</v>
      </c>
      <c r="E966" s="1">
        <v>2</v>
      </c>
      <c r="F966" s="1">
        <v>4</v>
      </c>
      <c r="G966" s="1">
        <v>6</v>
      </c>
      <c r="H966" s="1">
        <v>6</v>
      </c>
      <c r="I966" s="1">
        <v>6</v>
      </c>
      <c r="J966" s="1">
        <v>5</v>
      </c>
      <c r="K966" s="1">
        <f t="shared" si="193"/>
        <v>23</v>
      </c>
      <c r="L966" s="12">
        <f t="shared" si="190"/>
        <v>0.57499999999999996</v>
      </c>
      <c r="M966" s="1">
        <v>7</v>
      </c>
      <c r="N966" s="1">
        <v>8</v>
      </c>
      <c r="O966" s="1">
        <v>7</v>
      </c>
      <c r="P966" s="1">
        <v>7</v>
      </c>
      <c r="Q966" s="1">
        <f t="shared" si="194"/>
        <v>29</v>
      </c>
      <c r="R966" s="12">
        <f t="shared" si="191"/>
        <v>0.72499999999999998</v>
      </c>
      <c r="S966" s="1">
        <v>7</v>
      </c>
      <c r="T966" s="1">
        <v>6</v>
      </c>
      <c r="U966" s="1">
        <f t="shared" si="195"/>
        <v>13</v>
      </c>
      <c r="V966" s="12">
        <f t="shared" si="192"/>
        <v>0.65</v>
      </c>
      <c r="Z966" s="1">
        <f t="shared" si="196"/>
        <v>0</v>
      </c>
      <c r="AB966" s="2" t="s">
        <v>1113</v>
      </c>
    </row>
    <row r="967" spans="1:28" x14ac:dyDescent="0.25">
      <c r="A967" s="1" t="s">
        <v>1675</v>
      </c>
      <c r="B967" s="1" t="s">
        <v>35</v>
      </c>
      <c r="C967" s="1" t="s">
        <v>861</v>
      </c>
      <c r="D967" s="1">
        <v>18</v>
      </c>
      <c r="E967" s="1">
        <v>2</v>
      </c>
      <c r="F967" s="1">
        <v>4</v>
      </c>
      <c r="G967" s="1">
        <v>7</v>
      </c>
      <c r="H967" s="1">
        <v>6</v>
      </c>
      <c r="I967" s="1">
        <v>5</v>
      </c>
      <c r="J967" s="1">
        <v>5</v>
      </c>
      <c r="K967" s="1">
        <f t="shared" si="193"/>
        <v>23</v>
      </c>
      <c r="L967" s="12">
        <f t="shared" si="190"/>
        <v>0.57499999999999996</v>
      </c>
      <c r="M967" s="1">
        <v>6</v>
      </c>
      <c r="N967" s="1">
        <v>6</v>
      </c>
      <c r="O967" s="1">
        <v>7</v>
      </c>
      <c r="P967" s="1">
        <v>6</v>
      </c>
      <c r="Q967" s="1">
        <f t="shared" si="194"/>
        <v>25</v>
      </c>
      <c r="R967" s="12">
        <f t="shared" si="191"/>
        <v>0.625</v>
      </c>
      <c r="S967" s="1">
        <v>6</v>
      </c>
      <c r="T967" s="1">
        <v>6</v>
      </c>
      <c r="U967" s="1">
        <f t="shared" si="195"/>
        <v>12</v>
      </c>
      <c r="V967" s="12">
        <f t="shared" si="192"/>
        <v>0.6</v>
      </c>
      <c r="Z967" s="1">
        <f t="shared" si="196"/>
        <v>0</v>
      </c>
      <c r="AB967" s="2" t="s">
        <v>1114</v>
      </c>
    </row>
    <row r="968" spans="1:28" x14ac:dyDescent="0.25">
      <c r="A968" s="1" t="s">
        <v>1675</v>
      </c>
      <c r="B968" s="1" t="s">
        <v>35</v>
      </c>
      <c r="C968" s="1" t="s">
        <v>861</v>
      </c>
      <c r="D968" s="1">
        <v>18</v>
      </c>
      <c r="E968" s="1">
        <v>2</v>
      </c>
      <c r="F968" s="1">
        <v>4</v>
      </c>
      <c r="G968" s="1">
        <v>8</v>
      </c>
      <c r="H968" s="1">
        <v>7</v>
      </c>
      <c r="I968" s="1">
        <v>6</v>
      </c>
      <c r="J968" s="1">
        <v>6</v>
      </c>
      <c r="K968" s="1">
        <f t="shared" si="193"/>
        <v>27</v>
      </c>
      <c r="L968" s="12">
        <f t="shared" si="190"/>
        <v>0.67500000000000004</v>
      </c>
      <c r="M968" s="1">
        <v>7</v>
      </c>
      <c r="N968" s="1">
        <v>5</v>
      </c>
      <c r="O968" s="1">
        <v>6</v>
      </c>
      <c r="P968" s="1">
        <v>6</v>
      </c>
      <c r="Q968" s="1">
        <f t="shared" si="194"/>
        <v>24</v>
      </c>
      <c r="R968" s="12">
        <f t="shared" si="191"/>
        <v>0.6</v>
      </c>
      <c r="S968" s="1">
        <v>6</v>
      </c>
      <c r="T968" s="1">
        <v>6</v>
      </c>
      <c r="U968" s="1">
        <f t="shared" si="195"/>
        <v>12</v>
      </c>
      <c r="V968" s="12">
        <f t="shared" si="192"/>
        <v>0.6</v>
      </c>
      <c r="Z968" s="1">
        <f t="shared" si="196"/>
        <v>0</v>
      </c>
      <c r="AB968" s="2" t="s">
        <v>1115</v>
      </c>
    </row>
    <row r="969" spans="1:28" x14ac:dyDescent="0.25">
      <c r="A969" s="1" t="s">
        <v>1675</v>
      </c>
      <c r="B969" s="1" t="s">
        <v>35</v>
      </c>
      <c r="C969" s="1" t="s">
        <v>861</v>
      </c>
      <c r="D969" s="1">
        <v>4</v>
      </c>
      <c r="E969" s="1">
        <v>3</v>
      </c>
      <c r="F969" s="1">
        <v>6</v>
      </c>
      <c r="G969" s="1">
        <v>6</v>
      </c>
      <c r="H969" s="1">
        <v>5</v>
      </c>
      <c r="I969" s="1">
        <v>6</v>
      </c>
      <c r="J969" s="1">
        <v>4</v>
      </c>
      <c r="K969" s="1">
        <f t="shared" si="193"/>
        <v>21</v>
      </c>
      <c r="L969" s="12">
        <f t="shared" si="190"/>
        <v>0.52500000000000002</v>
      </c>
      <c r="M969" s="1">
        <v>6</v>
      </c>
      <c r="N969" s="1">
        <v>5</v>
      </c>
      <c r="O969" s="1">
        <v>5</v>
      </c>
      <c r="P969" s="1">
        <v>5</v>
      </c>
      <c r="Q969" s="1">
        <f t="shared" si="194"/>
        <v>21</v>
      </c>
      <c r="R969" s="12">
        <f t="shared" si="191"/>
        <v>0.52500000000000002</v>
      </c>
      <c r="S969" s="1">
        <v>5</v>
      </c>
      <c r="T969" s="1">
        <v>4</v>
      </c>
      <c r="U969" s="1">
        <f t="shared" si="195"/>
        <v>9</v>
      </c>
      <c r="V969" s="12">
        <f t="shared" si="192"/>
        <v>0.45</v>
      </c>
      <c r="Z969" s="1">
        <f t="shared" si="196"/>
        <v>0</v>
      </c>
      <c r="AB969" s="2" t="s">
        <v>1330</v>
      </c>
    </row>
    <row r="970" spans="1:28" x14ac:dyDescent="0.25">
      <c r="A970" s="1" t="s">
        <v>1675</v>
      </c>
      <c r="B970" s="1" t="s">
        <v>35</v>
      </c>
      <c r="C970" s="1" t="s">
        <v>861</v>
      </c>
      <c r="D970" s="1">
        <v>4</v>
      </c>
      <c r="E970" s="1">
        <v>3</v>
      </c>
      <c r="F970" s="1">
        <v>6</v>
      </c>
      <c r="G970" s="1">
        <v>7</v>
      </c>
      <c r="H970" s="1">
        <v>7</v>
      </c>
      <c r="I970" s="1">
        <v>6</v>
      </c>
      <c r="J970" s="1">
        <v>6</v>
      </c>
      <c r="K970" s="1">
        <f t="shared" si="193"/>
        <v>26</v>
      </c>
      <c r="L970" s="12">
        <f t="shared" si="190"/>
        <v>0.65</v>
      </c>
      <c r="M970" s="1">
        <v>6</v>
      </c>
      <c r="N970" s="1">
        <v>6</v>
      </c>
      <c r="O970" s="1">
        <v>6</v>
      </c>
      <c r="P970" s="1">
        <v>6</v>
      </c>
      <c r="Q970" s="1">
        <f t="shared" si="194"/>
        <v>24</v>
      </c>
      <c r="R970" s="12">
        <f t="shared" si="191"/>
        <v>0.6</v>
      </c>
      <c r="S970" s="1">
        <v>7</v>
      </c>
      <c r="T970" s="1">
        <v>7</v>
      </c>
      <c r="U970" s="1">
        <f t="shared" si="195"/>
        <v>14</v>
      </c>
      <c r="V970" s="12">
        <f t="shared" si="192"/>
        <v>0.7</v>
      </c>
      <c r="Z970" s="1">
        <f t="shared" si="196"/>
        <v>0</v>
      </c>
      <c r="AB970" s="2" t="s">
        <v>1331</v>
      </c>
    </row>
    <row r="971" spans="1:28" x14ac:dyDescent="0.25">
      <c r="A971" s="1" t="s">
        <v>1675</v>
      </c>
      <c r="B971" s="1" t="s">
        <v>35</v>
      </c>
      <c r="C971" s="1" t="s">
        <v>861</v>
      </c>
      <c r="D971" s="1">
        <v>4</v>
      </c>
      <c r="E971" s="1">
        <v>3</v>
      </c>
      <c r="F971" s="1">
        <v>6</v>
      </c>
      <c r="G971" s="1">
        <v>6</v>
      </c>
      <c r="H971" s="1">
        <v>5</v>
      </c>
      <c r="I971" s="1">
        <v>6</v>
      </c>
      <c r="J971" s="1">
        <v>4</v>
      </c>
      <c r="K971" s="1">
        <f t="shared" si="193"/>
        <v>21</v>
      </c>
      <c r="L971" s="12">
        <f t="shared" si="190"/>
        <v>0.52500000000000002</v>
      </c>
      <c r="M971" s="1">
        <v>7</v>
      </c>
      <c r="N971" s="1">
        <v>7</v>
      </c>
      <c r="O971" s="1">
        <v>7</v>
      </c>
      <c r="P971" s="1">
        <v>7</v>
      </c>
      <c r="Q971" s="1">
        <f t="shared" si="194"/>
        <v>28</v>
      </c>
      <c r="R971" s="12">
        <f t="shared" si="191"/>
        <v>0.7</v>
      </c>
      <c r="S971" s="1">
        <v>6</v>
      </c>
      <c r="T971" s="1">
        <v>6</v>
      </c>
      <c r="U971" s="1">
        <f t="shared" si="195"/>
        <v>12</v>
      </c>
      <c r="V971" s="12">
        <f t="shared" si="192"/>
        <v>0.6</v>
      </c>
      <c r="Z971" s="1">
        <f t="shared" si="196"/>
        <v>0</v>
      </c>
      <c r="AB971" s="2" t="s">
        <v>1332</v>
      </c>
    </row>
    <row r="972" spans="1:28" x14ac:dyDescent="0.25">
      <c r="A972" s="1" t="s">
        <v>1675</v>
      </c>
      <c r="B972" s="1" t="s">
        <v>35</v>
      </c>
      <c r="C972" s="1" t="s">
        <v>861</v>
      </c>
      <c r="D972" s="1">
        <v>4</v>
      </c>
      <c r="E972" s="1">
        <v>3</v>
      </c>
      <c r="F972" s="1">
        <v>6</v>
      </c>
      <c r="G972" s="1">
        <v>6</v>
      </c>
      <c r="H972" s="1">
        <v>7</v>
      </c>
      <c r="I972" s="1">
        <v>6</v>
      </c>
      <c r="J972" s="1">
        <v>6</v>
      </c>
      <c r="K972" s="1">
        <f t="shared" si="193"/>
        <v>25</v>
      </c>
      <c r="L972" s="12">
        <f t="shared" si="190"/>
        <v>0.625</v>
      </c>
      <c r="M972" s="1">
        <v>5</v>
      </c>
      <c r="N972" s="1">
        <v>5</v>
      </c>
      <c r="O972" s="1">
        <v>4</v>
      </c>
      <c r="P972" s="1">
        <v>5</v>
      </c>
      <c r="Q972" s="1">
        <f t="shared" si="194"/>
        <v>19</v>
      </c>
      <c r="R972" s="12">
        <f t="shared" si="191"/>
        <v>0.47499999999999998</v>
      </c>
      <c r="S972" s="1">
        <v>5</v>
      </c>
      <c r="T972" s="1">
        <v>7</v>
      </c>
      <c r="U972" s="1">
        <f t="shared" si="195"/>
        <v>12</v>
      </c>
      <c r="V972" s="12">
        <f t="shared" si="192"/>
        <v>0.6</v>
      </c>
      <c r="Z972" s="1">
        <f t="shared" si="196"/>
        <v>0</v>
      </c>
      <c r="AB972" s="2" t="s">
        <v>1333</v>
      </c>
    </row>
    <row r="973" spans="1:28" x14ac:dyDescent="0.25">
      <c r="A973" s="1" t="s">
        <v>1675</v>
      </c>
      <c r="B973" s="1" t="s">
        <v>35</v>
      </c>
      <c r="C973" s="1" t="s">
        <v>861</v>
      </c>
      <c r="D973" s="1">
        <v>4</v>
      </c>
      <c r="E973" s="1">
        <v>3</v>
      </c>
      <c r="F973" s="1">
        <v>6</v>
      </c>
      <c r="G973" s="1">
        <v>7</v>
      </c>
      <c r="H973" s="1">
        <v>7</v>
      </c>
      <c r="I973" s="1">
        <v>6</v>
      </c>
      <c r="J973" s="1">
        <v>7</v>
      </c>
      <c r="K973" s="1">
        <f t="shared" si="193"/>
        <v>27</v>
      </c>
      <c r="L973" s="12">
        <f t="shared" si="190"/>
        <v>0.67500000000000004</v>
      </c>
      <c r="M973" s="1">
        <v>6</v>
      </c>
      <c r="N973" s="1">
        <v>7</v>
      </c>
      <c r="O973" s="1">
        <v>8</v>
      </c>
      <c r="P973" s="1">
        <v>7</v>
      </c>
      <c r="Q973" s="1">
        <f t="shared" si="194"/>
        <v>28</v>
      </c>
      <c r="R973" s="12">
        <f t="shared" si="191"/>
        <v>0.7</v>
      </c>
      <c r="S973" s="1">
        <v>8</v>
      </c>
      <c r="T973" s="1">
        <v>8</v>
      </c>
      <c r="U973" s="1">
        <f t="shared" si="195"/>
        <v>16</v>
      </c>
      <c r="V973" s="12">
        <f t="shared" si="192"/>
        <v>0.8</v>
      </c>
      <c r="Z973" s="1">
        <f t="shared" si="196"/>
        <v>0</v>
      </c>
      <c r="AB973" s="2" t="s">
        <v>1334</v>
      </c>
    </row>
    <row r="974" spans="1:28" x14ac:dyDescent="0.25">
      <c r="A974" s="1" t="s">
        <v>1675</v>
      </c>
      <c r="B974" s="1" t="s">
        <v>35</v>
      </c>
      <c r="C974" s="1" t="s">
        <v>861</v>
      </c>
      <c r="D974" s="1">
        <v>4</v>
      </c>
      <c r="E974" s="1">
        <v>3</v>
      </c>
      <c r="F974" s="1">
        <v>6</v>
      </c>
      <c r="G974" s="1">
        <v>7</v>
      </c>
      <c r="H974" s="1">
        <v>7</v>
      </c>
      <c r="I974" s="1">
        <v>7</v>
      </c>
      <c r="J974" s="1">
        <v>7</v>
      </c>
      <c r="K974" s="1">
        <f t="shared" si="193"/>
        <v>28</v>
      </c>
      <c r="L974" s="12">
        <f t="shared" si="190"/>
        <v>0.7</v>
      </c>
      <c r="M974" s="1">
        <v>8</v>
      </c>
      <c r="N974" s="1">
        <v>7</v>
      </c>
      <c r="O974" s="1">
        <v>6</v>
      </c>
      <c r="P974" s="1">
        <v>7</v>
      </c>
      <c r="Q974" s="1">
        <f t="shared" si="194"/>
        <v>28</v>
      </c>
      <c r="R974" s="12">
        <f t="shared" si="191"/>
        <v>0.7</v>
      </c>
      <c r="S974" s="1">
        <v>5</v>
      </c>
      <c r="T974" s="1">
        <v>6</v>
      </c>
      <c r="U974" s="1">
        <f t="shared" si="195"/>
        <v>11</v>
      </c>
      <c r="V974" s="12">
        <f t="shared" si="192"/>
        <v>0.55000000000000004</v>
      </c>
      <c r="Z974" s="1">
        <f t="shared" si="196"/>
        <v>0</v>
      </c>
      <c r="AB974" s="2" t="s">
        <v>1335</v>
      </c>
    </row>
    <row r="975" spans="1:28" x14ac:dyDescent="0.25">
      <c r="A975" s="1" t="s">
        <v>1675</v>
      </c>
      <c r="B975" s="1" t="s">
        <v>35</v>
      </c>
      <c r="C975" s="1" t="s">
        <v>861</v>
      </c>
      <c r="D975" s="1">
        <v>4</v>
      </c>
      <c r="E975" s="1">
        <v>3</v>
      </c>
      <c r="F975" s="1">
        <v>6</v>
      </c>
      <c r="G975" s="1">
        <v>8</v>
      </c>
      <c r="H975" s="1">
        <v>7</v>
      </c>
      <c r="I975" s="1">
        <v>7</v>
      </c>
      <c r="J975" s="1">
        <v>7</v>
      </c>
      <c r="K975" s="1">
        <f t="shared" si="193"/>
        <v>29</v>
      </c>
      <c r="L975" s="12">
        <f t="shared" si="190"/>
        <v>0.72499999999999998</v>
      </c>
      <c r="M975" s="1">
        <v>5</v>
      </c>
      <c r="N975" s="1">
        <v>8</v>
      </c>
      <c r="O975" s="1">
        <v>6</v>
      </c>
      <c r="P975" s="1">
        <v>6</v>
      </c>
      <c r="Q975" s="1">
        <f t="shared" si="194"/>
        <v>25</v>
      </c>
      <c r="R975" s="12">
        <f t="shared" si="191"/>
        <v>0.625</v>
      </c>
      <c r="S975" s="1">
        <v>5</v>
      </c>
      <c r="T975" s="1">
        <v>6</v>
      </c>
      <c r="U975" s="1">
        <f t="shared" si="195"/>
        <v>11</v>
      </c>
      <c r="V975" s="12">
        <f t="shared" si="192"/>
        <v>0.55000000000000004</v>
      </c>
      <c r="Z975" s="1">
        <f t="shared" si="196"/>
        <v>0</v>
      </c>
      <c r="AB975" s="2" t="s">
        <v>1336</v>
      </c>
    </row>
    <row r="976" spans="1:28" x14ac:dyDescent="0.25">
      <c r="A976" s="1" t="s">
        <v>1675</v>
      </c>
      <c r="B976" s="1" t="s">
        <v>35</v>
      </c>
      <c r="C976" s="1" t="s">
        <v>861</v>
      </c>
      <c r="D976" s="1">
        <v>4</v>
      </c>
      <c r="E976" s="1">
        <v>3</v>
      </c>
      <c r="F976" s="1">
        <v>6</v>
      </c>
      <c r="G976" s="1">
        <v>8</v>
      </c>
      <c r="H976" s="1">
        <v>8</v>
      </c>
      <c r="I976" s="1">
        <v>8</v>
      </c>
      <c r="J976" s="1">
        <v>6</v>
      </c>
      <c r="K976" s="1">
        <f t="shared" si="193"/>
        <v>30</v>
      </c>
      <c r="L976" s="12">
        <f t="shared" si="190"/>
        <v>0.75</v>
      </c>
      <c r="M976" s="1">
        <v>7</v>
      </c>
      <c r="N976" s="1">
        <v>7</v>
      </c>
      <c r="O976" s="1">
        <v>7</v>
      </c>
      <c r="P976" s="1">
        <v>7</v>
      </c>
      <c r="Q976" s="1">
        <f t="shared" si="194"/>
        <v>28</v>
      </c>
      <c r="R976" s="12">
        <f t="shared" si="191"/>
        <v>0.7</v>
      </c>
      <c r="S976" s="1">
        <v>7</v>
      </c>
      <c r="T976" s="1">
        <v>7</v>
      </c>
      <c r="U976" s="1">
        <f t="shared" si="195"/>
        <v>14</v>
      </c>
      <c r="V976" s="12">
        <f t="shared" si="192"/>
        <v>0.7</v>
      </c>
      <c r="Z976" s="1">
        <f t="shared" si="196"/>
        <v>0</v>
      </c>
      <c r="AB976" s="2" t="s">
        <v>1337</v>
      </c>
    </row>
    <row r="977" spans="1:28" x14ac:dyDescent="0.25">
      <c r="A977" s="1" t="s">
        <v>1675</v>
      </c>
      <c r="B977" s="1" t="s">
        <v>576</v>
      </c>
      <c r="C977" s="1" t="s">
        <v>861</v>
      </c>
      <c r="D977" s="1">
        <v>25</v>
      </c>
      <c r="E977" s="1">
        <v>2</v>
      </c>
      <c r="F977" s="1">
        <v>3</v>
      </c>
      <c r="G977" s="1">
        <v>7</v>
      </c>
      <c r="H977" s="1">
        <v>8</v>
      </c>
      <c r="I977" s="1">
        <v>6</v>
      </c>
      <c r="J977" s="1">
        <v>7</v>
      </c>
      <c r="K977" s="1">
        <f t="shared" si="193"/>
        <v>28</v>
      </c>
      <c r="L977" s="12">
        <f t="shared" si="190"/>
        <v>0.7</v>
      </c>
      <c r="M977" s="1">
        <v>6</v>
      </c>
      <c r="N977" s="1">
        <v>7</v>
      </c>
      <c r="O977" s="1">
        <v>7</v>
      </c>
      <c r="P977" s="1">
        <v>6</v>
      </c>
      <c r="Q977" s="1">
        <f t="shared" si="194"/>
        <v>26</v>
      </c>
      <c r="R977" s="12">
        <f t="shared" si="191"/>
        <v>0.65</v>
      </c>
      <c r="S977" s="1">
        <v>7</v>
      </c>
      <c r="T977" s="1">
        <v>7</v>
      </c>
      <c r="U977" s="1">
        <f t="shared" si="195"/>
        <v>14</v>
      </c>
      <c r="V977" s="12">
        <f t="shared" si="192"/>
        <v>0.7</v>
      </c>
      <c r="Z977" s="1">
        <f t="shared" si="196"/>
        <v>0</v>
      </c>
      <c r="AB977" s="2" t="s">
        <v>1499</v>
      </c>
    </row>
    <row r="978" spans="1:28" x14ac:dyDescent="0.25">
      <c r="A978" s="1" t="s">
        <v>1675</v>
      </c>
      <c r="B978" s="1" t="s">
        <v>576</v>
      </c>
      <c r="C978" s="1" t="s">
        <v>861</v>
      </c>
      <c r="D978" s="1">
        <v>25</v>
      </c>
      <c r="E978" s="1">
        <v>2</v>
      </c>
      <c r="F978" s="1">
        <v>3</v>
      </c>
      <c r="G978" s="1">
        <v>7</v>
      </c>
      <c r="H978" s="1">
        <v>3</v>
      </c>
      <c r="I978" s="1">
        <v>3</v>
      </c>
      <c r="J978" s="1">
        <v>5</v>
      </c>
      <c r="K978" s="1">
        <f t="shared" si="193"/>
        <v>18</v>
      </c>
      <c r="L978" s="12">
        <f t="shared" si="190"/>
        <v>0.45</v>
      </c>
      <c r="M978" s="1">
        <v>7</v>
      </c>
      <c r="N978" s="1">
        <v>8</v>
      </c>
      <c r="O978" s="1">
        <v>8</v>
      </c>
      <c r="P978" s="1">
        <v>9</v>
      </c>
      <c r="Q978" s="1">
        <f t="shared" si="194"/>
        <v>32</v>
      </c>
      <c r="R978" s="12">
        <f t="shared" si="191"/>
        <v>0.8</v>
      </c>
      <c r="S978" s="1">
        <v>8</v>
      </c>
      <c r="T978" s="1">
        <v>9</v>
      </c>
      <c r="U978" s="1">
        <f t="shared" si="195"/>
        <v>17</v>
      </c>
      <c r="V978" s="12">
        <f t="shared" si="192"/>
        <v>0.85</v>
      </c>
      <c r="Z978" s="1">
        <f t="shared" si="196"/>
        <v>0</v>
      </c>
      <c r="AB978" s="2" t="s">
        <v>1500</v>
      </c>
    </row>
    <row r="979" spans="1:28" x14ac:dyDescent="0.25">
      <c r="A979" s="1" t="s">
        <v>1675</v>
      </c>
      <c r="B979" s="1" t="s">
        <v>576</v>
      </c>
      <c r="C979" s="1" t="s">
        <v>861</v>
      </c>
      <c r="D979" s="1">
        <v>25</v>
      </c>
      <c r="E979" s="1">
        <v>2</v>
      </c>
      <c r="F979" s="1">
        <v>3</v>
      </c>
      <c r="G979" s="1">
        <v>6</v>
      </c>
      <c r="H979" s="1">
        <v>5</v>
      </c>
      <c r="I979" s="1">
        <v>5</v>
      </c>
      <c r="J979" s="1">
        <v>4</v>
      </c>
      <c r="K979" s="1">
        <f t="shared" si="193"/>
        <v>20</v>
      </c>
      <c r="L979" s="12">
        <f t="shared" si="190"/>
        <v>0.5</v>
      </c>
      <c r="M979" s="1">
        <v>6</v>
      </c>
      <c r="N979" s="1">
        <v>7</v>
      </c>
      <c r="O979" s="1">
        <v>5</v>
      </c>
      <c r="P979" s="1">
        <v>4</v>
      </c>
      <c r="Q979" s="1">
        <f t="shared" si="194"/>
        <v>22</v>
      </c>
      <c r="R979" s="12">
        <f t="shared" si="191"/>
        <v>0.55000000000000004</v>
      </c>
      <c r="S979" s="1">
        <v>5</v>
      </c>
      <c r="T979" s="1">
        <v>3</v>
      </c>
      <c r="U979" s="1">
        <f t="shared" si="195"/>
        <v>8</v>
      </c>
      <c r="V979" s="12">
        <f t="shared" si="192"/>
        <v>0.4</v>
      </c>
      <c r="Z979" s="1">
        <f t="shared" si="196"/>
        <v>0</v>
      </c>
      <c r="AB979" s="2" t="s">
        <v>1501</v>
      </c>
    </row>
    <row r="980" spans="1:28" x14ac:dyDescent="0.25">
      <c r="A980" s="1" t="s">
        <v>1675</v>
      </c>
      <c r="B980" s="1" t="s">
        <v>576</v>
      </c>
      <c r="C980" s="1" t="s">
        <v>861</v>
      </c>
      <c r="D980" s="1">
        <v>25</v>
      </c>
      <c r="E980" s="1">
        <v>2</v>
      </c>
      <c r="F980" s="1">
        <v>3</v>
      </c>
      <c r="G980" s="1">
        <v>6</v>
      </c>
      <c r="H980" s="1">
        <v>6</v>
      </c>
      <c r="I980" s="1">
        <v>6</v>
      </c>
      <c r="J980" s="1">
        <v>5</v>
      </c>
      <c r="K980" s="1">
        <f t="shared" si="193"/>
        <v>23</v>
      </c>
      <c r="L980" s="12">
        <f t="shared" si="190"/>
        <v>0.57499999999999996</v>
      </c>
      <c r="M980" s="1">
        <v>5</v>
      </c>
      <c r="N980" s="1">
        <v>6</v>
      </c>
      <c r="O980" s="1">
        <v>6</v>
      </c>
      <c r="P980" s="1">
        <v>4</v>
      </c>
      <c r="Q980" s="1">
        <f t="shared" si="194"/>
        <v>21</v>
      </c>
      <c r="R980" s="12">
        <f t="shared" si="191"/>
        <v>0.52500000000000002</v>
      </c>
      <c r="S980" s="1">
        <v>5</v>
      </c>
      <c r="T980" s="1">
        <v>6</v>
      </c>
      <c r="U980" s="1">
        <f t="shared" si="195"/>
        <v>11</v>
      </c>
      <c r="V980" s="12">
        <f t="shared" si="192"/>
        <v>0.55000000000000004</v>
      </c>
      <c r="Z980" s="1">
        <f t="shared" si="196"/>
        <v>0</v>
      </c>
      <c r="AB980" s="2" t="s">
        <v>1502</v>
      </c>
    </row>
    <row r="981" spans="1:28" x14ac:dyDescent="0.25">
      <c r="A981" s="1" t="s">
        <v>1675</v>
      </c>
      <c r="B981" s="1" t="s">
        <v>576</v>
      </c>
      <c r="C981" s="1" t="s">
        <v>861</v>
      </c>
      <c r="D981" s="1">
        <v>25</v>
      </c>
      <c r="E981" s="1">
        <v>2</v>
      </c>
      <c r="F981" s="1">
        <v>3</v>
      </c>
      <c r="G981" s="1">
        <v>8</v>
      </c>
      <c r="H981" s="1">
        <v>6</v>
      </c>
      <c r="I981" s="1">
        <v>8</v>
      </c>
      <c r="J981" s="1">
        <v>8</v>
      </c>
      <c r="K981" s="1">
        <f t="shared" si="193"/>
        <v>30</v>
      </c>
      <c r="L981" s="12">
        <f t="shared" si="190"/>
        <v>0.75</v>
      </c>
      <c r="M981" s="1">
        <v>8</v>
      </c>
      <c r="N981" s="1">
        <v>8</v>
      </c>
      <c r="O981" s="1">
        <v>8</v>
      </c>
      <c r="P981" s="1">
        <v>8</v>
      </c>
      <c r="Q981" s="1">
        <f t="shared" si="194"/>
        <v>32</v>
      </c>
      <c r="R981" s="12">
        <f t="shared" si="191"/>
        <v>0.8</v>
      </c>
      <c r="S981" s="1">
        <v>8</v>
      </c>
      <c r="T981" s="1">
        <v>7</v>
      </c>
      <c r="U981" s="1">
        <f t="shared" si="195"/>
        <v>15</v>
      </c>
      <c r="V981" s="12">
        <f t="shared" si="192"/>
        <v>0.75</v>
      </c>
      <c r="Z981" s="1">
        <f t="shared" si="196"/>
        <v>0</v>
      </c>
      <c r="AB981" s="2" t="s">
        <v>1503</v>
      </c>
    </row>
    <row r="982" spans="1:28" x14ac:dyDescent="0.25">
      <c r="A982" s="1" t="s">
        <v>1675</v>
      </c>
      <c r="B982" s="1" t="s">
        <v>576</v>
      </c>
      <c r="C982" s="1" t="s">
        <v>861</v>
      </c>
      <c r="D982" s="1">
        <v>25</v>
      </c>
      <c r="E982" s="1">
        <v>2</v>
      </c>
      <c r="F982" s="1">
        <v>3</v>
      </c>
      <c r="G982" s="1">
        <v>6</v>
      </c>
      <c r="H982" s="1">
        <v>7</v>
      </c>
      <c r="I982" s="1">
        <v>7</v>
      </c>
      <c r="J982" s="1">
        <v>8</v>
      </c>
      <c r="K982" s="1">
        <f t="shared" si="193"/>
        <v>28</v>
      </c>
      <c r="L982" s="12">
        <f t="shared" si="190"/>
        <v>0.7</v>
      </c>
      <c r="M982" s="1">
        <v>6</v>
      </c>
      <c r="N982" s="1">
        <v>8</v>
      </c>
      <c r="O982" s="1">
        <v>8</v>
      </c>
      <c r="P982" s="1">
        <v>9</v>
      </c>
      <c r="Q982" s="1">
        <f t="shared" si="194"/>
        <v>31</v>
      </c>
      <c r="R982" s="12">
        <f t="shared" si="191"/>
        <v>0.77500000000000002</v>
      </c>
      <c r="S982" s="1">
        <v>8</v>
      </c>
      <c r="T982" s="1">
        <v>9</v>
      </c>
      <c r="U982" s="1">
        <f t="shared" si="195"/>
        <v>17</v>
      </c>
      <c r="V982" s="12">
        <f t="shared" si="192"/>
        <v>0.85</v>
      </c>
      <c r="Z982" s="1">
        <f t="shared" si="196"/>
        <v>0</v>
      </c>
      <c r="AB982" s="2" t="s">
        <v>1504</v>
      </c>
    </row>
    <row r="983" spans="1:28" x14ac:dyDescent="0.25">
      <c r="A983" s="1" t="s">
        <v>1676</v>
      </c>
      <c r="B983" s="1" t="s">
        <v>35</v>
      </c>
      <c r="C983" s="1" t="s">
        <v>36</v>
      </c>
      <c r="D983" s="1">
        <v>19</v>
      </c>
      <c r="E983" s="1">
        <v>1</v>
      </c>
      <c r="F983" s="1">
        <v>6</v>
      </c>
      <c r="G983" s="1">
        <v>7</v>
      </c>
      <c r="H983" s="1">
        <v>7</v>
      </c>
      <c r="I983" s="1">
        <v>7</v>
      </c>
      <c r="J983" s="1">
        <v>4</v>
      </c>
      <c r="K983" s="1">
        <f t="shared" si="193"/>
        <v>25</v>
      </c>
      <c r="L983" s="12">
        <f t="shared" ref="L983:L1012" si="197">K983/35</f>
        <v>0.7142857142857143</v>
      </c>
      <c r="M983" s="1">
        <v>6</v>
      </c>
      <c r="N983" s="1">
        <v>7</v>
      </c>
      <c r="O983" s="1">
        <v>7</v>
      </c>
      <c r="P983" s="1">
        <v>4</v>
      </c>
      <c r="Q983" s="1">
        <f t="shared" si="194"/>
        <v>24</v>
      </c>
      <c r="R983" s="12">
        <f t="shared" ref="R983:R1012" si="198">Q983/35</f>
        <v>0.68571428571428572</v>
      </c>
      <c r="S983" s="1">
        <v>7</v>
      </c>
      <c r="T983" s="1">
        <v>3</v>
      </c>
      <c r="U983" s="1">
        <f t="shared" si="195"/>
        <v>10</v>
      </c>
      <c r="V983" s="12">
        <f t="shared" ref="V983:V1012" si="199">U983/15</f>
        <v>0.66666666666666663</v>
      </c>
      <c r="W983" s="1">
        <v>4</v>
      </c>
      <c r="X983" s="1">
        <v>4</v>
      </c>
      <c r="Y983" s="1">
        <v>4</v>
      </c>
      <c r="Z983" s="1">
        <f t="shared" si="196"/>
        <v>12</v>
      </c>
      <c r="AA983" s="12">
        <f t="shared" ref="AA983:AA1012" si="200">Z983/15</f>
        <v>0.8</v>
      </c>
      <c r="AB983" s="2" t="s">
        <v>184</v>
      </c>
    </row>
    <row r="984" spans="1:28" x14ac:dyDescent="0.25">
      <c r="A984" s="1" t="s">
        <v>1676</v>
      </c>
      <c r="B984" s="1" t="s">
        <v>35</v>
      </c>
      <c r="C984" s="1" t="s">
        <v>36</v>
      </c>
      <c r="D984" s="1">
        <v>19</v>
      </c>
      <c r="E984" s="1">
        <v>1</v>
      </c>
      <c r="F984" s="1">
        <v>6</v>
      </c>
      <c r="G984" s="1">
        <v>7</v>
      </c>
      <c r="H984" s="1">
        <v>7</v>
      </c>
      <c r="I984" s="1">
        <v>7</v>
      </c>
      <c r="J984" s="1">
        <v>5</v>
      </c>
      <c r="K984" s="1">
        <f t="shared" si="193"/>
        <v>26</v>
      </c>
      <c r="L984" s="12">
        <f t="shared" si="197"/>
        <v>0.74285714285714288</v>
      </c>
      <c r="M984" s="1">
        <v>6</v>
      </c>
      <c r="N984" s="1">
        <v>7</v>
      </c>
      <c r="O984" s="1">
        <v>8</v>
      </c>
      <c r="P984" s="1">
        <v>4</v>
      </c>
      <c r="Q984" s="1">
        <f t="shared" si="194"/>
        <v>25</v>
      </c>
      <c r="R984" s="12">
        <f t="shared" si="198"/>
        <v>0.7142857142857143</v>
      </c>
      <c r="S984" s="1">
        <v>7</v>
      </c>
      <c r="T984" s="1">
        <v>4</v>
      </c>
      <c r="U984" s="1">
        <f t="shared" si="195"/>
        <v>11</v>
      </c>
      <c r="V984" s="12">
        <f t="shared" si="199"/>
        <v>0.73333333333333328</v>
      </c>
      <c r="W984" s="1">
        <v>4</v>
      </c>
      <c r="X984" s="1">
        <v>4</v>
      </c>
      <c r="Y984" s="1">
        <v>4</v>
      </c>
      <c r="Z984" s="1">
        <f t="shared" si="196"/>
        <v>12</v>
      </c>
      <c r="AA984" s="12">
        <f t="shared" si="200"/>
        <v>0.8</v>
      </c>
      <c r="AB984" s="2" t="s">
        <v>185</v>
      </c>
    </row>
    <row r="985" spans="1:28" x14ac:dyDescent="0.25">
      <c r="A985" s="1" t="s">
        <v>1676</v>
      </c>
      <c r="B985" s="1" t="s">
        <v>35</v>
      </c>
      <c r="C985" s="1" t="s">
        <v>36</v>
      </c>
      <c r="D985" s="1">
        <v>19</v>
      </c>
      <c r="E985" s="1">
        <v>1</v>
      </c>
      <c r="F985" s="1">
        <v>6</v>
      </c>
      <c r="G985" s="1">
        <v>7</v>
      </c>
      <c r="H985" s="1">
        <v>5</v>
      </c>
      <c r="I985" s="1">
        <v>5</v>
      </c>
      <c r="J985" s="1">
        <v>3</v>
      </c>
      <c r="K985" s="1">
        <f t="shared" si="193"/>
        <v>20</v>
      </c>
      <c r="L985" s="12">
        <f t="shared" si="197"/>
        <v>0.5714285714285714</v>
      </c>
      <c r="M985" s="1">
        <v>5</v>
      </c>
      <c r="N985" s="1">
        <v>6</v>
      </c>
      <c r="O985" s="1">
        <v>5</v>
      </c>
      <c r="P985" s="1">
        <v>3</v>
      </c>
      <c r="Q985" s="1">
        <f t="shared" si="194"/>
        <v>19</v>
      </c>
      <c r="R985" s="12">
        <f t="shared" si="198"/>
        <v>0.54285714285714282</v>
      </c>
      <c r="S985" s="1">
        <v>5</v>
      </c>
      <c r="T985" s="1">
        <v>3</v>
      </c>
      <c r="U985" s="1">
        <f t="shared" si="195"/>
        <v>8</v>
      </c>
      <c r="V985" s="12">
        <f t="shared" si="199"/>
        <v>0.53333333333333333</v>
      </c>
      <c r="W985" s="1">
        <v>3</v>
      </c>
      <c r="X985" s="1">
        <v>3</v>
      </c>
      <c r="Y985" s="1">
        <v>3</v>
      </c>
      <c r="Z985" s="1">
        <f t="shared" si="196"/>
        <v>9</v>
      </c>
      <c r="AA985" s="12">
        <f t="shared" si="200"/>
        <v>0.6</v>
      </c>
      <c r="AB985" s="2" t="s">
        <v>186</v>
      </c>
    </row>
    <row r="986" spans="1:28" x14ac:dyDescent="0.25">
      <c r="A986" s="1" t="s">
        <v>1676</v>
      </c>
      <c r="B986" s="1" t="s">
        <v>35</v>
      </c>
      <c r="C986" s="1" t="s">
        <v>36</v>
      </c>
      <c r="D986" s="1">
        <v>19</v>
      </c>
      <c r="E986" s="1">
        <v>1</v>
      </c>
      <c r="F986" s="1">
        <v>6</v>
      </c>
      <c r="G986" s="1">
        <v>7</v>
      </c>
      <c r="H986" s="1">
        <v>7</v>
      </c>
      <c r="I986" s="1">
        <v>5</v>
      </c>
      <c r="J986" s="1">
        <v>4</v>
      </c>
      <c r="K986" s="1">
        <f t="shared" si="193"/>
        <v>23</v>
      </c>
      <c r="L986" s="12">
        <f t="shared" si="197"/>
        <v>0.65714285714285714</v>
      </c>
      <c r="M986" s="1">
        <v>6</v>
      </c>
      <c r="N986" s="1">
        <v>6</v>
      </c>
      <c r="O986" s="1">
        <v>5</v>
      </c>
      <c r="P986" s="1">
        <v>3</v>
      </c>
      <c r="Q986" s="1">
        <f t="shared" si="194"/>
        <v>20</v>
      </c>
      <c r="R986" s="12">
        <f t="shared" si="198"/>
        <v>0.5714285714285714</v>
      </c>
      <c r="S986" s="1">
        <v>5</v>
      </c>
      <c r="T986" s="1">
        <v>2</v>
      </c>
      <c r="U986" s="1">
        <f t="shared" si="195"/>
        <v>7</v>
      </c>
      <c r="V986" s="12">
        <f t="shared" si="199"/>
        <v>0.46666666666666667</v>
      </c>
      <c r="W986" s="1">
        <v>4</v>
      </c>
      <c r="X986" s="1">
        <v>4</v>
      </c>
      <c r="Y986" s="1">
        <v>4</v>
      </c>
      <c r="Z986" s="1">
        <f t="shared" si="196"/>
        <v>12</v>
      </c>
      <c r="AA986" s="12">
        <f t="shared" si="200"/>
        <v>0.8</v>
      </c>
      <c r="AB986" s="2" t="s">
        <v>187</v>
      </c>
    </row>
    <row r="987" spans="1:28" x14ac:dyDescent="0.25">
      <c r="A987" s="1" t="s">
        <v>1676</v>
      </c>
      <c r="B987" s="1" t="s">
        <v>35</v>
      </c>
      <c r="C987" s="1" t="s">
        <v>36</v>
      </c>
      <c r="D987" s="1">
        <v>19</v>
      </c>
      <c r="E987" s="1">
        <v>1</v>
      </c>
      <c r="F987" s="1">
        <v>6</v>
      </c>
      <c r="G987" s="1">
        <v>8</v>
      </c>
      <c r="H987" s="1">
        <v>7</v>
      </c>
      <c r="I987" s="1">
        <v>7</v>
      </c>
      <c r="J987" s="1">
        <v>5</v>
      </c>
      <c r="K987" s="1">
        <f t="shared" si="193"/>
        <v>27</v>
      </c>
      <c r="L987" s="12">
        <f t="shared" si="197"/>
        <v>0.77142857142857146</v>
      </c>
      <c r="M987" s="1">
        <v>6</v>
      </c>
      <c r="N987" s="1">
        <v>7</v>
      </c>
      <c r="O987" s="1">
        <v>8</v>
      </c>
      <c r="P987" s="1">
        <v>4</v>
      </c>
      <c r="Q987" s="1">
        <f t="shared" si="194"/>
        <v>25</v>
      </c>
      <c r="R987" s="12">
        <f t="shared" si="198"/>
        <v>0.7142857142857143</v>
      </c>
      <c r="S987" s="1">
        <v>7</v>
      </c>
      <c r="T987" s="1">
        <v>4</v>
      </c>
      <c r="U987" s="1">
        <f t="shared" si="195"/>
        <v>11</v>
      </c>
      <c r="V987" s="12">
        <f t="shared" si="199"/>
        <v>0.73333333333333328</v>
      </c>
      <c r="W987" s="1">
        <v>4</v>
      </c>
      <c r="X987" s="1">
        <v>4</v>
      </c>
      <c r="Y987" s="1">
        <v>4</v>
      </c>
      <c r="Z987" s="1">
        <f t="shared" si="196"/>
        <v>12</v>
      </c>
      <c r="AA987" s="12">
        <f t="shared" si="200"/>
        <v>0.8</v>
      </c>
      <c r="AB987" s="2" t="s">
        <v>188</v>
      </c>
    </row>
    <row r="988" spans="1:28" x14ac:dyDescent="0.25">
      <c r="A988" s="1" t="s">
        <v>1676</v>
      </c>
      <c r="B988" s="1" t="s">
        <v>35</v>
      </c>
      <c r="C988" s="1" t="s">
        <v>36</v>
      </c>
      <c r="D988" s="1">
        <v>19</v>
      </c>
      <c r="E988" s="1">
        <v>1</v>
      </c>
      <c r="F988" s="1">
        <v>6</v>
      </c>
      <c r="G988" s="1">
        <v>7</v>
      </c>
      <c r="H988" s="1">
        <v>5</v>
      </c>
      <c r="I988" s="1">
        <v>5</v>
      </c>
      <c r="J988" s="1">
        <v>3</v>
      </c>
      <c r="K988" s="1">
        <f t="shared" si="193"/>
        <v>20</v>
      </c>
      <c r="L988" s="12">
        <f t="shared" si="197"/>
        <v>0.5714285714285714</v>
      </c>
      <c r="M988" s="1">
        <v>7</v>
      </c>
      <c r="N988" s="1">
        <v>6</v>
      </c>
      <c r="O988" s="1">
        <v>6</v>
      </c>
      <c r="P988" s="1">
        <v>3</v>
      </c>
      <c r="Q988" s="1">
        <f t="shared" si="194"/>
        <v>22</v>
      </c>
      <c r="R988" s="12">
        <f t="shared" si="198"/>
        <v>0.62857142857142856</v>
      </c>
      <c r="S988" s="1">
        <v>7</v>
      </c>
      <c r="T988" s="1">
        <v>4</v>
      </c>
      <c r="U988" s="1">
        <f t="shared" si="195"/>
        <v>11</v>
      </c>
      <c r="V988" s="12">
        <f t="shared" si="199"/>
        <v>0.73333333333333328</v>
      </c>
      <c r="W988" s="1">
        <v>4</v>
      </c>
      <c r="X988" s="1">
        <v>4</v>
      </c>
      <c r="Y988" s="1">
        <v>4</v>
      </c>
      <c r="Z988" s="1">
        <f t="shared" si="196"/>
        <v>12</v>
      </c>
      <c r="AA988" s="12">
        <f t="shared" si="200"/>
        <v>0.8</v>
      </c>
      <c r="AB988" s="2" t="s">
        <v>189</v>
      </c>
    </row>
    <row r="989" spans="1:28" x14ac:dyDescent="0.25">
      <c r="A989" s="1" t="s">
        <v>1676</v>
      </c>
      <c r="B989" s="1" t="s">
        <v>35</v>
      </c>
      <c r="C989" s="1" t="s">
        <v>36</v>
      </c>
      <c r="D989" s="1">
        <v>19</v>
      </c>
      <c r="E989" s="1">
        <v>1</v>
      </c>
      <c r="F989" s="1">
        <v>6</v>
      </c>
      <c r="G989" s="1">
        <v>6</v>
      </c>
      <c r="H989" s="1">
        <v>6</v>
      </c>
      <c r="I989" s="1">
        <v>5</v>
      </c>
      <c r="J989" s="1">
        <v>3</v>
      </c>
      <c r="K989" s="1">
        <f t="shared" si="193"/>
        <v>20</v>
      </c>
      <c r="L989" s="12">
        <f t="shared" si="197"/>
        <v>0.5714285714285714</v>
      </c>
      <c r="M989" s="1">
        <v>6</v>
      </c>
      <c r="N989" s="1">
        <v>5</v>
      </c>
      <c r="O989" s="1">
        <v>5</v>
      </c>
      <c r="P989" s="1">
        <v>3</v>
      </c>
      <c r="Q989" s="1">
        <f t="shared" si="194"/>
        <v>19</v>
      </c>
      <c r="R989" s="12">
        <f t="shared" si="198"/>
        <v>0.54285714285714282</v>
      </c>
      <c r="S989" s="1">
        <v>5</v>
      </c>
      <c r="T989" s="1">
        <v>4</v>
      </c>
      <c r="U989" s="1">
        <f t="shared" si="195"/>
        <v>9</v>
      </c>
      <c r="V989" s="12">
        <f t="shared" si="199"/>
        <v>0.6</v>
      </c>
      <c r="W989" s="1">
        <v>3</v>
      </c>
      <c r="X989" s="1">
        <v>3</v>
      </c>
      <c r="Y989" s="1">
        <v>3</v>
      </c>
      <c r="Z989" s="1">
        <f t="shared" si="196"/>
        <v>9</v>
      </c>
      <c r="AA989" s="12">
        <f t="shared" si="200"/>
        <v>0.6</v>
      </c>
      <c r="AB989" s="2" t="s">
        <v>190</v>
      </c>
    </row>
    <row r="990" spans="1:28" x14ac:dyDescent="0.25">
      <c r="A990" s="1" t="s">
        <v>1676</v>
      </c>
      <c r="B990" s="1" t="s">
        <v>35</v>
      </c>
      <c r="C990" s="1" t="s">
        <v>36</v>
      </c>
      <c r="D990" s="1">
        <v>19</v>
      </c>
      <c r="E990" s="1">
        <v>1</v>
      </c>
      <c r="F990" s="1">
        <v>6</v>
      </c>
      <c r="G990" s="1">
        <v>7</v>
      </c>
      <c r="H990" s="1">
        <v>7</v>
      </c>
      <c r="I990" s="1">
        <v>6</v>
      </c>
      <c r="J990" s="1">
        <v>4</v>
      </c>
      <c r="K990" s="1">
        <f t="shared" si="193"/>
        <v>24</v>
      </c>
      <c r="L990" s="12">
        <f t="shared" si="197"/>
        <v>0.68571428571428572</v>
      </c>
      <c r="M990" s="1">
        <v>6</v>
      </c>
      <c r="N990" s="1">
        <v>6</v>
      </c>
      <c r="O990" s="1">
        <v>6</v>
      </c>
      <c r="P990" s="1">
        <v>4</v>
      </c>
      <c r="Q990" s="1">
        <f t="shared" si="194"/>
        <v>22</v>
      </c>
      <c r="R990" s="12">
        <f t="shared" si="198"/>
        <v>0.62857142857142856</v>
      </c>
      <c r="S990" s="1">
        <v>7</v>
      </c>
      <c r="T990" s="1">
        <v>4</v>
      </c>
      <c r="U990" s="1">
        <f t="shared" si="195"/>
        <v>11</v>
      </c>
      <c r="V990" s="12">
        <f t="shared" si="199"/>
        <v>0.73333333333333328</v>
      </c>
      <c r="W990" s="1">
        <v>4</v>
      </c>
      <c r="X990" s="1">
        <v>4</v>
      </c>
      <c r="Y990" s="1">
        <v>4</v>
      </c>
      <c r="Z990" s="1">
        <f t="shared" si="196"/>
        <v>12</v>
      </c>
      <c r="AA990" s="12">
        <f t="shared" si="200"/>
        <v>0.8</v>
      </c>
      <c r="AB990" s="2" t="s">
        <v>191</v>
      </c>
    </row>
    <row r="991" spans="1:28" x14ac:dyDescent="0.25">
      <c r="A991" s="1" t="s">
        <v>1676</v>
      </c>
      <c r="B991" s="1" t="s">
        <v>35</v>
      </c>
      <c r="C991" s="1" t="s">
        <v>36</v>
      </c>
      <c r="D991" s="1">
        <v>20</v>
      </c>
      <c r="E991" s="1">
        <v>2</v>
      </c>
      <c r="F991" s="1">
        <v>6</v>
      </c>
      <c r="G991" s="1">
        <v>5</v>
      </c>
      <c r="H991" s="1">
        <v>5</v>
      </c>
      <c r="I991" s="1">
        <v>5</v>
      </c>
      <c r="J991" s="1">
        <v>4</v>
      </c>
      <c r="K991" s="1">
        <f t="shared" si="193"/>
        <v>19</v>
      </c>
      <c r="L991" s="12">
        <f t="shared" si="197"/>
        <v>0.54285714285714282</v>
      </c>
      <c r="M991" s="1">
        <v>5</v>
      </c>
      <c r="N991" s="1">
        <v>5</v>
      </c>
      <c r="O991" s="1">
        <v>5</v>
      </c>
      <c r="P991" s="1">
        <v>3</v>
      </c>
      <c r="Q991" s="1">
        <f t="shared" si="194"/>
        <v>18</v>
      </c>
      <c r="R991" s="12">
        <f t="shared" si="198"/>
        <v>0.51428571428571423</v>
      </c>
      <c r="S991" s="1">
        <v>5</v>
      </c>
      <c r="T991" s="1">
        <v>4</v>
      </c>
      <c r="U991" s="1">
        <f t="shared" si="195"/>
        <v>9</v>
      </c>
      <c r="V991" s="12">
        <f t="shared" si="199"/>
        <v>0.6</v>
      </c>
      <c r="W991" s="1">
        <v>4</v>
      </c>
      <c r="X991" s="1">
        <v>3</v>
      </c>
      <c r="Y991" s="1">
        <v>4</v>
      </c>
      <c r="Z991" s="1">
        <f t="shared" si="196"/>
        <v>11</v>
      </c>
      <c r="AA991" s="12">
        <f t="shared" si="200"/>
        <v>0.73333333333333328</v>
      </c>
      <c r="AB991" s="2" t="s">
        <v>381</v>
      </c>
    </row>
    <row r="992" spans="1:28" x14ac:dyDescent="0.25">
      <c r="A992" s="1" t="s">
        <v>1676</v>
      </c>
      <c r="B992" s="1" t="s">
        <v>35</v>
      </c>
      <c r="C992" s="1" t="s">
        <v>36</v>
      </c>
      <c r="D992" s="1">
        <v>20</v>
      </c>
      <c r="E992" s="1">
        <v>2</v>
      </c>
      <c r="F992" s="1">
        <v>6</v>
      </c>
      <c r="G992" s="1">
        <v>5</v>
      </c>
      <c r="H992" s="1">
        <v>4</v>
      </c>
      <c r="I992" s="1">
        <v>5</v>
      </c>
      <c r="J992" s="1">
        <v>4</v>
      </c>
      <c r="K992" s="1">
        <f t="shared" si="193"/>
        <v>18</v>
      </c>
      <c r="L992" s="12">
        <f t="shared" si="197"/>
        <v>0.51428571428571423</v>
      </c>
      <c r="M992" s="1">
        <v>5</v>
      </c>
      <c r="N992" s="1">
        <v>4</v>
      </c>
      <c r="O992" s="1">
        <v>5</v>
      </c>
      <c r="P992" s="1">
        <v>3</v>
      </c>
      <c r="Q992" s="1">
        <f t="shared" si="194"/>
        <v>17</v>
      </c>
      <c r="R992" s="12">
        <f t="shared" si="198"/>
        <v>0.48571428571428571</v>
      </c>
      <c r="S992" s="1">
        <v>5</v>
      </c>
      <c r="T992" s="1">
        <v>4</v>
      </c>
      <c r="U992" s="1">
        <f t="shared" si="195"/>
        <v>9</v>
      </c>
      <c r="V992" s="12">
        <f t="shared" si="199"/>
        <v>0.6</v>
      </c>
      <c r="W992" s="1">
        <v>4</v>
      </c>
      <c r="X992" s="1">
        <v>4</v>
      </c>
      <c r="Y992" s="1">
        <v>4</v>
      </c>
      <c r="Z992" s="1">
        <f t="shared" si="196"/>
        <v>12</v>
      </c>
      <c r="AA992" s="12">
        <f t="shared" si="200"/>
        <v>0.8</v>
      </c>
      <c r="AB992" s="2" t="s">
        <v>382</v>
      </c>
    </row>
    <row r="993" spans="1:28" x14ac:dyDescent="0.25">
      <c r="A993" s="1" t="s">
        <v>1676</v>
      </c>
      <c r="B993" s="1" t="s">
        <v>35</v>
      </c>
      <c r="C993" s="1" t="s">
        <v>36</v>
      </c>
      <c r="D993" s="1">
        <v>20</v>
      </c>
      <c r="E993" s="1">
        <v>2</v>
      </c>
      <c r="F993" s="1">
        <v>6</v>
      </c>
      <c r="G993" s="1">
        <v>5</v>
      </c>
      <c r="H993" s="1">
        <v>6</v>
      </c>
      <c r="I993" s="1">
        <v>7</v>
      </c>
      <c r="J993" s="1">
        <v>4</v>
      </c>
      <c r="K993" s="1">
        <f t="shared" si="193"/>
        <v>22</v>
      </c>
      <c r="L993" s="12">
        <f t="shared" si="197"/>
        <v>0.62857142857142856</v>
      </c>
      <c r="M993" s="1">
        <v>6</v>
      </c>
      <c r="N993" s="1">
        <v>5</v>
      </c>
      <c r="O993" s="1">
        <v>6</v>
      </c>
      <c r="P993" s="1">
        <v>3</v>
      </c>
      <c r="Q993" s="1">
        <f t="shared" si="194"/>
        <v>20</v>
      </c>
      <c r="R993" s="12">
        <f t="shared" si="198"/>
        <v>0.5714285714285714</v>
      </c>
      <c r="S993" s="1">
        <v>5</v>
      </c>
      <c r="T993" s="1">
        <v>4</v>
      </c>
      <c r="U993" s="1">
        <f t="shared" si="195"/>
        <v>9</v>
      </c>
      <c r="V993" s="12">
        <f t="shared" si="199"/>
        <v>0.6</v>
      </c>
      <c r="W993" s="1">
        <v>4</v>
      </c>
      <c r="X993" s="1">
        <v>4</v>
      </c>
      <c r="Y993" s="1">
        <v>4</v>
      </c>
      <c r="Z993" s="1">
        <f t="shared" si="196"/>
        <v>12</v>
      </c>
      <c r="AA993" s="12">
        <f t="shared" si="200"/>
        <v>0.8</v>
      </c>
      <c r="AB993" s="2" t="s">
        <v>383</v>
      </c>
    </row>
    <row r="994" spans="1:28" x14ac:dyDescent="0.25">
      <c r="A994" s="1" t="s">
        <v>1676</v>
      </c>
      <c r="B994" s="1" t="s">
        <v>35</v>
      </c>
      <c r="C994" s="1" t="s">
        <v>36</v>
      </c>
      <c r="D994" s="1">
        <v>20</v>
      </c>
      <c r="E994" s="1">
        <v>2</v>
      </c>
      <c r="F994" s="1">
        <v>6</v>
      </c>
      <c r="G994" s="1">
        <v>6</v>
      </c>
      <c r="H994" s="1">
        <v>7</v>
      </c>
      <c r="I994" s="1">
        <v>7</v>
      </c>
      <c r="J994" s="1">
        <v>5</v>
      </c>
      <c r="K994" s="1">
        <f t="shared" si="193"/>
        <v>25</v>
      </c>
      <c r="L994" s="12">
        <f t="shared" si="197"/>
        <v>0.7142857142857143</v>
      </c>
      <c r="M994" s="1">
        <v>7</v>
      </c>
      <c r="N994" s="1">
        <v>6</v>
      </c>
      <c r="O994" s="1">
        <v>7</v>
      </c>
      <c r="P994" s="1">
        <v>4</v>
      </c>
      <c r="Q994" s="1">
        <f t="shared" si="194"/>
        <v>24</v>
      </c>
      <c r="R994" s="12">
        <f t="shared" si="198"/>
        <v>0.68571428571428572</v>
      </c>
      <c r="S994" s="1">
        <v>6</v>
      </c>
      <c r="T994" s="1">
        <v>4</v>
      </c>
      <c r="U994" s="1">
        <f t="shared" si="195"/>
        <v>10</v>
      </c>
      <c r="V994" s="12">
        <f t="shared" si="199"/>
        <v>0.66666666666666663</v>
      </c>
      <c r="W994" s="1">
        <v>4</v>
      </c>
      <c r="X994" s="1">
        <v>3</v>
      </c>
      <c r="Y994" s="1">
        <v>4</v>
      </c>
      <c r="Z994" s="1">
        <f t="shared" si="196"/>
        <v>11</v>
      </c>
      <c r="AA994" s="12">
        <f t="shared" si="200"/>
        <v>0.73333333333333328</v>
      </c>
      <c r="AB994" s="2" t="s">
        <v>384</v>
      </c>
    </row>
    <row r="995" spans="1:28" x14ac:dyDescent="0.25">
      <c r="A995" s="1" t="s">
        <v>1676</v>
      </c>
      <c r="B995" s="1" t="s">
        <v>35</v>
      </c>
      <c r="C995" s="1" t="s">
        <v>36</v>
      </c>
      <c r="D995" s="1">
        <v>20</v>
      </c>
      <c r="E995" s="1">
        <v>2</v>
      </c>
      <c r="F995" s="1">
        <v>6</v>
      </c>
      <c r="G995" s="1">
        <v>5</v>
      </c>
      <c r="H995" s="1">
        <v>6</v>
      </c>
      <c r="I995" s="1">
        <v>6</v>
      </c>
      <c r="J995" s="1">
        <v>4</v>
      </c>
      <c r="K995" s="1">
        <f t="shared" si="193"/>
        <v>21</v>
      </c>
      <c r="L995" s="12">
        <f t="shared" si="197"/>
        <v>0.6</v>
      </c>
      <c r="M995" s="1">
        <v>6</v>
      </c>
      <c r="N995" s="1">
        <v>6</v>
      </c>
      <c r="O995" s="1">
        <v>6</v>
      </c>
      <c r="P995" s="1">
        <v>4</v>
      </c>
      <c r="Q995" s="1">
        <f t="shared" si="194"/>
        <v>22</v>
      </c>
      <c r="R995" s="12">
        <f t="shared" si="198"/>
        <v>0.62857142857142856</v>
      </c>
      <c r="S995" s="1">
        <v>5</v>
      </c>
      <c r="T995" s="1">
        <v>4</v>
      </c>
      <c r="U995" s="1">
        <f t="shared" si="195"/>
        <v>9</v>
      </c>
      <c r="V995" s="12">
        <f t="shared" si="199"/>
        <v>0.6</v>
      </c>
      <c r="W995" s="1">
        <v>3</v>
      </c>
      <c r="X995" s="1">
        <v>3</v>
      </c>
      <c r="Y995" s="1">
        <v>4</v>
      </c>
      <c r="Z995" s="1">
        <f t="shared" si="196"/>
        <v>10</v>
      </c>
      <c r="AA995" s="12">
        <f t="shared" si="200"/>
        <v>0.66666666666666663</v>
      </c>
      <c r="AB995" s="2" t="s">
        <v>385</v>
      </c>
    </row>
    <row r="996" spans="1:28" x14ac:dyDescent="0.25">
      <c r="A996" s="1" t="s">
        <v>1676</v>
      </c>
      <c r="B996" s="1" t="s">
        <v>35</v>
      </c>
      <c r="C996" s="1" t="s">
        <v>36</v>
      </c>
      <c r="D996" s="1">
        <v>20</v>
      </c>
      <c r="E996" s="1">
        <v>2</v>
      </c>
      <c r="F996" s="1">
        <v>6</v>
      </c>
      <c r="G996" s="1">
        <v>5</v>
      </c>
      <c r="H996" s="1">
        <v>5</v>
      </c>
      <c r="I996" s="1">
        <v>5</v>
      </c>
      <c r="J996" s="1">
        <v>3</v>
      </c>
      <c r="K996" s="1">
        <f t="shared" si="193"/>
        <v>18</v>
      </c>
      <c r="L996" s="12">
        <f t="shared" si="197"/>
        <v>0.51428571428571423</v>
      </c>
      <c r="M996" s="1">
        <v>5</v>
      </c>
      <c r="N996" s="1">
        <v>6</v>
      </c>
      <c r="O996" s="1">
        <v>4</v>
      </c>
      <c r="P996" s="1">
        <v>3</v>
      </c>
      <c r="Q996" s="1">
        <f t="shared" si="194"/>
        <v>18</v>
      </c>
      <c r="R996" s="12">
        <f t="shared" si="198"/>
        <v>0.51428571428571423</v>
      </c>
      <c r="S996" s="1">
        <v>4</v>
      </c>
      <c r="T996" s="1">
        <v>3</v>
      </c>
      <c r="U996" s="1">
        <f t="shared" si="195"/>
        <v>7</v>
      </c>
      <c r="V996" s="12">
        <f t="shared" si="199"/>
        <v>0.46666666666666667</v>
      </c>
      <c r="W996" s="1">
        <v>4</v>
      </c>
      <c r="X996" s="1">
        <v>3</v>
      </c>
      <c r="Y996" s="1">
        <v>3</v>
      </c>
      <c r="Z996" s="1">
        <f t="shared" si="196"/>
        <v>10</v>
      </c>
      <c r="AA996" s="12">
        <f t="shared" si="200"/>
        <v>0.66666666666666663</v>
      </c>
      <c r="AB996" s="2" t="s">
        <v>386</v>
      </c>
    </row>
    <row r="997" spans="1:28" x14ac:dyDescent="0.25">
      <c r="A997" s="1" t="s">
        <v>1676</v>
      </c>
      <c r="B997" s="1" t="s">
        <v>35</v>
      </c>
      <c r="C997" s="1" t="s">
        <v>36</v>
      </c>
      <c r="D997" s="1">
        <v>20</v>
      </c>
      <c r="E997" s="1">
        <v>2</v>
      </c>
      <c r="F997" s="1">
        <v>6</v>
      </c>
      <c r="G997" s="1">
        <v>5</v>
      </c>
      <c r="H997" s="1">
        <v>5</v>
      </c>
      <c r="I997" s="1">
        <v>5</v>
      </c>
      <c r="J997" s="1">
        <v>3</v>
      </c>
      <c r="K997" s="1">
        <f t="shared" si="193"/>
        <v>18</v>
      </c>
      <c r="L997" s="12">
        <f t="shared" si="197"/>
        <v>0.51428571428571423</v>
      </c>
      <c r="M997" s="1">
        <v>5</v>
      </c>
      <c r="N997" s="1">
        <v>6</v>
      </c>
      <c r="O997" s="1">
        <v>5</v>
      </c>
      <c r="P997" s="1">
        <v>3</v>
      </c>
      <c r="Q997" s="1">
        <f t="shared" si="194"/>
        <v>19</v>
      </c>
      <c r="R997" s="12">
        <f t="shared" si="198"/>
        <v>0.54285714285714282</v>
      </c>
      <c r="S997" s="1">
        <v>4</v>
      </c>
      <c r="T997" s="1">
        <v>4</v>
      </c>
      <c r="U997" s="1">
        <f t="shared" si="195"/>
        <v>8</v>
      </c>
      <c r="V997" s="12">
        <f t="shared" si="199"/>
        <v>0.53333333333333333</v>
      </c>
      <c r="W997" s="1">
        <v>4</v>
      </c>
      <c r="X997" s="1">
        <v>3</v>
      </c>
      <c r="Y997" s="1">
        <v>3</v>
      </c>
      <c r="Z997" s="1">
        <f t="shared" si="196"/>
        <v>10</v>
      </c>
      <c r="AA997" s="12">
        <f t="shared" si="200"/>
        <v>0.66666666666666663</v>
      </c>
      <c r="AB997" s="2" t="s">
        <v>387</v>
      </c>
    </row>
    <row r="998" spans="1:28" x14ac:dyDescent="0.25">
      <c r="A998" s="1" t="s">
        <v>1676</v>
      </c>
      <c r="B998" s="1" t="s">
        <v>35</v>
      </c>
      <c r="C998" s="1" t="s">
        <v>36</v>
      </c>
      <c r="D998" s="1">
        <v>20</v>
      </c>
      <c r="E998" s="1">
        <v>2</v>
      </c>
      <c r="F998" s="1">
        <v>6</v>
      </c>
      <c r="G998" s="1">
        <v>7</v>
      </c>
      <c r="H998" s="1">
        <v>6</v>
      </c>
      <c r="I998" s="1">
        <v>6</v>
      </c>
      <c r="J998" s="1">
        <v>4</v>
      </c>
      <c r="K998" s="1">
        <f t="shared" si="193"/>
        <v>23</v>
      </c>
      <c r="L998" s="12">
        <f t="shared" si="197"/>
        <v>0.65714285714285714</v>
      </c>
      <c r="M998" s="1">
        <v>7</v>
      </c>
      <c r="N998" s="1">
        <v>7</v>
      </c>
      <c r="O998" s="1">
        <v>6</v>
      </c>
      <c r="P998" s="1">
        <v>4</v>
      </c>
      <c r="Q998" s="1">
        <f t="shared" si="194"/>
        <v>24</v>
      </c>
      <c r="R998" s="12">
        <f t="shared" si="198"/>
        <v>0.68571428571428572</v>
      </c>
      <c r="S998" s="1">
        <v>5</v>
      </c>
      <c r="T998" s="1">
        <v>4</v>
      </c>
      <c r="U998" s="1">
        <f t="shared" si="195"/>
        <v>9</v>
      </c>
      <c r="V998" s="12">
        <f t="shared" si="199"/>
        <v>0.6</v>
      </c>
      <c r="W998" s="1">
        <v>4</v>
      </c>
      <c r="X998" s="1">
        <v>4</v>
      </c>
      <c r="Y998" s="1">
        <v>4</v>
      </c>
      <c r="Z998" s="1">
        <f t="shared" si="196"/>
        <v>12</v>
      </c>
      <c r="AA998" s="12">
        <f t="shared" si="200"/>
        <v>0.8</v>
      </c>
      <c r="AB998" s="2" t="s">
        <v>388</v>
      </c>
    </row>
    <row r="999" spans="1:28" x14ac:dyDescent="0.25">
      <c r="A999" s="1" t="s">
        <v>1676</v>
      </c>
      <c r="B999" s="1" t="s">
        <v>35</v>
      </c>
      <c r="C999" s="1" t="s">
        <v>36</v>
      </c>
      <c r="D999" s="1">
        <v>5</v>
      </c>
      <c r="E999" s="1">
        <v>3</v>
      </c>
      <c r="F999" s="1">
        <v>2</v>
      </c>
      <c r="G999" s="1">
        <v>6</v>
      </c>
      <c r="H999" s="1">
        <v>5</v>
      </c>
      <c r="I999" s="1">
        <v>5</v>
      </c>
      <c r="J999" s="1">
        <v>3</v>
      </c>
      <c r="K999" s="1">
        <f t="shared" si="193"/>
        <v>19</v>
      </c>
      <c r="L999" s="12">
        <f t="shared" si="197"/>
        <v>0.54285714285714282</v>
      </c>
      <c r="M999" s="1">
        <v>7</v>
      </c>
      <c r="N999" s="1">
        <v>6</v>
      </c>
      <c r="O999" s="1">
        <v>5</v>
      </c>
      <c r="P999" s="1">
        <v>3</v>
      </c>
      <c r="Q999" s="1">
        <f t="shared" si="194"/>
        <v>21</v>
      </c>
      <c r="R999" s="12">
        <f t="shared" si="198"/>
        <v>0.6</v>
      </c>
      <c r="S999" s="1">
        <v>6</v>
      </c>
      <c r="T999" s="1">
        <v>4</v>
      </c>
      <c r="U999" s="1">
        <f t="shared" si="195"/>
        <v>10</v>
      </c>
      <c r="V999" s="12">
        <f t="shared" si="199"/>
        <v>0.66666666666666663</v>
      </c>
      <c r="W999" s="1">
        <v>4</v>
      </c>
      <c r="X999" s="1">
        <v>3</v>
      </c>
      <c r="Y999" s="1">
        <v>3</v>
      </c>
      <c r="Z999" s="1">
        <f t="shared" si="196"/>
        <v>10</v>
      </c>
      <c r="AA999" s="12">
        <f t="shared" si="200"/>
        <v>0.66666666666666663</v>
      </c>
      <c r="AB999" s="2" t="s">
        <v>450</v>
      </c>
    </row>
    <row r="1000" spans="1:28" x14ac:dyDescent="0.25">
      <c r="A1000" s="1" t="s">
        <v>1676</v>
      </c>
      <c r="B1000" s="1" t="s">
        <v>35</v>
      </c>
      <c r="C1000" s="1" t="s">
        <v>36</v>
      </c>
      <c r="D1000" s="1">
        <v>5</v>
      </c>
      <c r="E1000" s="1">
        <v>3</v>
      </c>
      <c r="F1000" s="1">
        <v>2</v>
      </c>
      <c r="G1000" s="1">
        <v>6</v>
      </c>
      <c r="H1000" s="1">
        <v>7</v>
      </c>
      <c r="I1000" s="1">
        <v>6</v>
      </c>
      <c r="J1000" s="1">
        <v>4</v>
      </c>
      <c r="K1000" s="1">
        <f t="shared" si="193"/>
        <v>23</v>
      </c>
      <c r="L1000" s="12">
        <f t="shared" si="197"/>
        <v>0.65714285714285714</v>
      </c>
      <c r="M1000" s="1">
        <v>6</v>
      </c>
      <c r="N1000" s="1">
        <v>5</v>
      </c>
      <c r="O1000" s="1">
        <v>5</v>
      </c>
      <c r="P1000" s="1">
        <v>3</v>
      </c>
      <c r="Q1000" s="1">
        <f t="shared" si="194"/>
        <v>19</v>
      </c>
      <c r="R1000" s="12">
        <f t="shared" si="198"/>
        <v>0.54285714285714282</v>
      </c>
      <c r="S1000" s="1">
        <v>5</v>
      </c>
      <c r="T1000" s="1">
        <v>4</v>
      </c>
      <c r="U1000" s="1">
        <f t="shared" si="195"/>
        <v>9</v>
      </c>
      <c r="V1000" s="12">
        <f t="shared" si="199"/>
        <v>0.6</v>
      </c>
      <c r="W1000" s="1">
        <v>3</v>
      </c>
      <c r="X1000" s="1">
        <v>4</v>
      </c>
      <c r="Y1000" s="1">
        <v>3</v>
      </c>
      <c r="Z1000" s="1">
        <f t="shared" si="196"/>
        <v>10</v>
      </c>
      <c r="AA1000" s="12">
        <f t="shared" si="200"/>
        <v>0.66666666666666663</v>
      </c>
      <c r="AB1000" s="2" t="s">
        <v>451</v>
      </c>
    </row>
    <row r="1001" spans="1:28" x14ac:dyDescent="0.25">
      <c r="A1001" s="1" t="s">
        <v>1676</v>
      </c>
      <c r="B1001" s="1" t="s">
        <v>35</v>
      </c>
      <c r="C1001" s="1" t="s">
        <v>36</v>
      </c>
      <c r="D1001" s="1">
        <v>5</v>
      </c>
      <c r="E1001" s="1">
        <v>3</v>
      </c>
      <c r="F1001" s="1">
        <v>2</v>
      </c>
      <c r="G1001" s="1">
        <v>7</v>
      </c>
      <c r="H1001" s="1">
        <v>7</v>
      </c>
      <c r="I1001" s="1">
        <v>6</v>
      </c>
      <c r="J1001" s="1">
        <v>4</v>
      </c>
      <c r="K1001" s="1">
        <f t="shared" si="193"/>
        <v>24</v>
      </c>
      <c r="L1001" s="12">
        <f t="shared" si="197"/>
        <v>0.68571428571428572</v>
      </c>
      <c r="M1001" s="1">
        <v>6</v>
      </c>
      <c r="N1001" s="1">
        <v>6</v>
      </c>
      <c r="O1001" s="1">
        <v>5</v>
      </c>
      <c r="P1001" s="1">
        <v>3</v>
      </c>
      <c r="Q1001" s="1">
        <f t="shared" si="194"/>
        <v>20</v>
      </c>
      <c r="R1001" s="12">
        <f t="shared" si="198"/>
        <v>0.5714285714285714</v>
      </c>
      <c r="S1001" s="1">
        <v>5</v>
      </c>
      <c r="T1001" s="1">
        <v>4</v>
      </c>
      <c r="U1001" s="1">
        <f t="shared" si="195"/>
        <v>9</v>
      </c>
      <c r="V1001" s="12">
        <f t="shared" si="199"/>
        <v>0.6</v>
      </c>
      <c r="W1001" s="1">
        <v>3</v>
      </c>
      <c r="X1001" s="1">
        <v>3</v>
      </c>
      <c r="Y1001" s="1">
        <v>3</v>
      </c>
      <c r="Z1001" s="1">
        <f t="shared" si="196"/>
        <v>9</v>
      </c>
      <c r="AA1001" s="12">
        <f t="shared" si="200"/>
        <v>0.6</v>
      </c>
      <c r="AB1001" s="2" t="s">
        <v>452</v>
      </c>
    </row>
    <row r="1002" spans="1:28" x14ac:dyDescent="0.25">
      <c r="A1002" s="1" t="s">
        <v>1676</v>
      </c>
      <c r="B1002" s="1" t="s">
        <v>35</v>
      </c>
      <c r="C1002" s="1" t="s">
        <v>36</v>
      </c>
      <c r="D1002" s="1">
        <v>5</v>
      </c>
      <c r="E1002" s="1">
        <v>3</v>
      </c>
      <c r="F1002" s="1">
        <v>2</v>
      </c>
      <c r="G1002" s="1">
        <v>7</v>
      </c>
      <c r="H1002" s="1">
        <v>5</v>
      </c>
      <c r="I1002" s="1">
        <v>6</v>
      </c>
      <c r="J1002" s="1">
        <v>4</v>
      </c>
      <c r="K1002" s="1">
        <f t="shared" si="193"/>
        <v>22</v>
      </c>
      <c r="L1002" s="12">
        <f t="shared" si="197"/>
        <v>0.62857142857142856</v>
      </c>
      <c r="M1002" s="1">
        <v>6</v>
      </c>
      <c r="N1002" s="1">
        <v>5</v>
      </c>
      <c r="O1002" s="1">
        <v>5</v>
      </c>
      <c r="P1002" s="1">
        <v>3</v>
      </c>
      <c r="Q1002" s="1">
        <f t="shared" si="194"/>
        <v>19</v>
      </c>
      <c r="R1002" s="12">
        <f t="shared" si="198"/>
        <v>0.54285714285714282</v>
      </c>
      <c r="S1002" s="1">
        <v>4</v>
      </c>
      <c r="T1002" s="1">
        <v>4</v>
      </c>
      <c r="U1002" s="1">
        <f t="shared" si="195"/>
        <v>8</v>
      </c>
      <c r="V1002" s="12">
        <f t="shared" si="199"/>
        <v>0.53333333333333333</v>
      </c>
      <c r="W1002" s="1">
        <v>4</v>
      </c>
      <c r="X1002" s="1">
        <v>4</v>
      </c>
      <c r="Y1002" s="1">
        <v>3</v>
      </c>
      <c r="Z1002" s="1">
        <f t="shared" si="196"/>
        <v>11</v>
      </c>
      <c r="AA1002" s="12">
        <f t="shared" si="200"/>
        <v>0.73333333333333328</v>
      </c>
      <c r="AB1002" s="2" t="s">
        <v>453</v>
      </c>
    </row>
    <row r="1003" spans="1:28" x14ac:dyDescent="0.25">
      <c r="A1003" s="1" t="s">
        <v>1676</v>
      </c>
      <c r="B1003" s="1" t="s">
        <v>35</v>
      </c>
      <c r="C1003" s="1" t="s">
        <v>36</v>
      </c>
      <c r="D1003" s="1">
        <v>5</v>
      </c>
      <c r="E1003" s="1">
        <v>3</v>
      </c>
      <c r="F1003" s="1">
        <v>2</v>
      </c>
      <c r="G1003" s="1">
        <v>7</v>
      </c>
      <c r="H1003" s="1">
        <v>7</v>
      </c>
      <c r="I1003" s="1">
        <v>5</v>
      </c>
      <c r="J1003" s="1">
        <v>4</v>
      </c>
      <c r="K1003" s="1">
        <f t="shared" si="193"/>
        <v>23</v>
      </c>
      <c r="L1003" s="12">
        <f t="shared" si="197"/>
        <v>0.65714285714285714</v>
      </c>
      <c r="M1003" s="1">
        <v>7</v>
      </c>
      <c r="N1003" s="1">
        <v>4</v>
      </c>
      <c r="O1003" s="1">
        <v>6</v>
      </c>
      <c r="P1003" s="1">
        <v>3</v>
      </c>
      <c r="Q1003" s="1">
        <f t="shared" si="194"/>
        <v>20</v>
      </c>
      <c r="R1003" s="12">
        <f t="shared" si="198"/>
        <v>0.5714285714285714</v>
      </c>
      <c r="S1003" s="1">
        <v>4</v>
      </c>
      <c r="T1003" s="1">
        <v>4</v>
      </c>
      <c r="U1003" s="1">
        <f t="shared" si="195"/>
        <v>8</v>
      </c>
      <c r="V1003" s="12">
        <f t="shared" si="199"/>
        <v>0.53333333333333333</v>
      </c>
      <c r="W1003" s="1">
        <v>4</v>
      </c>
      <c r="X1003" s="1">
        <v>3</v>
      </c>
      <c r="Y1003" s="1">
        <v>3</v>
      </c>
      <c r="Z1003" s="1">
        <f t="shared" si="196"/>
        <v>10</v>
      </c>
      <c r="AA1003" s="12">
        <f t="shared" si="200"/>
        <v>0.66666666666666663</v>
      </c>
      <c r="AB1003" s="2" t="s">
        <v>454</v>
      </c>
    </row>
    <row r="1004" spans="1:28" x14ac:dyDescent="0.25">
      <c r="A1004" s="1" t="s">
        <v>1676</v>
      </c>
      <c r="B1004" s="1" t="s">
        <v>35</v>
      </c>
      <c r="C1004" s="1" t="s">
        <v>36</v>
      </c>
      <c r="D1004" s="1">
        <v>5</v>
      </c>
      <c r="E1004" s="1">
        <v>3</v>
      </c>
      <c r="F1004" s="1">
        <v>2</v>
      </c>
      <c r="G1004" s="1">
        <v>7</v>
      </c>
      <c r="H1004" s="1">
        <v>7</v>
      </c>
      <c r="I1004" s="1">
        <v>6</v>
      </c>
      <c r="J1004" s="1">
        <v>4</v>
      </c>
      <c r="K1004" s="1">
        <f t="shared" si="193"/>
        <v>24</v>
      </c>
      <c r="L1004" s="12">
        <f t="shared" si="197"/>
        <v>0.68571428571428572</v>
      </c>
      <c r="M1004" s="1">
        <v>7</v>
      </c>
      <c r="N1004" s="1">
        <v>5</v>
      </c>
      <c r="O1004" s="1">
        <v>7</v>
      </c>
      <c r="P1004" s="1">
        <v>3</v>
      </c>
      <c r="Q1004" s="1">
        <f t="shared" si="194"/>
        <v>22</v>
      </c>
      <c r="R1004" s="12">
        <f t="shared" si="198"/>
        <v>0.62857142857142856</v>
      </c>
      <c r="S1004" s="1">
        <v>5</v>
      </c>
      <c r="T1004" s="1">
        <v>4</v>
      </c>
      <c r="U1004" s="1">
        <f t="shared" si="195"/>
        <v>9</v>
      </c>
      <c r="V1004" s="12">
        <f t="shared" si="199"/>
        <v>0.6</v>
      </c>
      <c r="W1004" s="1">
        <v>4</v>
      </c>
      <c r="X1004" s="1">
        <v>4</v>
      </c>
      <c r="Y1004" s="1">
        <v>3</v>
      </c>
      <c r="Z1004" s="1">
        <f t="shared" si="196"/>
        <v>11</v>
      </c>
      <c r="AA1004" s="12">
        <f t="shared" si="200"/>
        <v>0.73333333333333328</v>
      </c>
      <c r="AB1004" s="2" t="s">
        <v>455</v>
      </c>
    </row>
    <row r="1005" spans="1:28" x14ac:dyDescent="0.25">
      <c r="A1005" s="1" t="s">
        <v>1676</v>
      </c>
      <c r="B1005" s="1" t="s">
        <v>35</v>
      </c>
      <c r="C1005" s="1" t="s">
        <v>36</v>
      </c>
      <c r="D1005" s="1">
        <v>5</v>
      </c>
      <c r="E1005" s="1">
        <v>3</v>
      </c>
      <c r="F1005" s="1">
        <v>2</v>
      </c>
      <c r="G1005" s="1">
        <v>6</v>
      </c>
      <c r="H1005" s="1">
        <v>6</v>
      </c>
      <c r="I1005" s="1">
        <v>6</v>
      </c>
      <c r="J1005" s="1">
        <v>4</v>
      </c>
      <c r="K1005" s="1">
        <f t="shared" si="193"/>
        <v>22</v>
      </c>
      <c r="L1005" s="12">
        <f t="shared" si="197"/>
        <v>0.62857142857142856</v>
      </c>
      <c r="M1005" s="1">
        <v>7</v>
      </c>
      <c r="N1005" s="1">
        <v>5</v>
      </c>
      <c r="O1005" s="1">
        <v>6</v>
      </c>
      <c r="P1005" s="1">
        <v>3</v>
      </c>
      <c r="Q1005" s="1">
        <f t="shared" si="194"/>
        <v>21</v>
      </c>
      <c r="R1005" s="12">
        <f t="shared" si="198"/>
        <v>0.6</v>
      </c>
      <c r="S1005" s="1">
        <v>5</v>
      </c>
      <c r="T1005" s="1">
        <v>4</v>
      </c>
      <c r="U1005" s="1">
        <f t="shared" si="195"/>
        <v>9</v>
      </c>
      <c r="V1005" s="12">
        <f t="shared" si="199"/>
        <v>0.6</v>
      </c>
      <c r="W1005" s="1">
        <v>4</v>
      </c>
      <c r="X1005" s="1">
        <v>3</v>
      </c>
      <c r="Y1005" s="1">
        <v>3</v>
      </c>
      <c r="Z1005" s="1">
        <f t="shared" si="196"/>
        <v>10</v>
      </c>
      <c r="AA1005" s="12">
        <f t="shared" si="200"/>
        <v>0.66666666666666663</v>
      </c>
      <c r="AB1005" s="2" t="s">
        <v>456</v>
      </c>
    </row>
    <row r="1006" spans="1:28" x14ac:dyDescent="0.25">
      <c r="A1006" s="1" t="s">
        <v>1676</v>
      </c>
      <c r="B1006" s="1" t="s">
        <v>35</v>
      </c>
      <c r="C1006" s="1" t="s">
        <v>36</v>
      </c>
      <c r="D1006" s="1">
        <v>5</v>
      </c>
      <c r="E1006" s="1">
        <v>3</v>
      </c>
      <c r="F1006" s="1">
        <v>2</v>
      </c>
      <c r="G1006" s="1">
        <v>8</v>
      </c>
      <c r="H1006" s="1">
        <v>7</v>
      </c>
      <c r="I1006" s="1">
        <v>7</v>
      </c>
      <c r="J1006" s="1">
        <v>4</v>
      </c>
      <c r="K1006" s="1">
        <f t="shared" si="193"/>
        <v>26</v>
      </c>
      <c r="L1006" s="12">
        <f t="shared" si="197"/>
        <v>0.74285714285714288</v>
      </c>
      <c r="M1006" s="1">
        <v>7</v>
      </c>
      <c r="N1006" s="1">
        <v>6</v>
      </c>
      <c r="O1006" s="1">
        <v>7</v>
      </c>
      <c r="P1006" s="1">
        <v>4</v>
      </c>
      <c r="Q1006" s="1">
        <f t="shared" si="194"/>
        <v>24</v>
      </c>
      <c r="R1006" s="12">
        <f t="shared" si="198"/>
        <v>0.68571428571428572</v>
      </c>
      <c r="S1006" s="1">
        <v>7</v>
      </c>
      <c r="T1006" s="1">
        <v>4</v>
      </c>
      <c r="U1006" s="1">
        <f t="shared" si="195"/>
        <v>11</v>
      </c>
      <c r="V1006" s="12">
        <f t="shared" si="199"/>
        <v>0.73333333333333328</v>
      </c>
      <c r="W1006" s="1">
        <v>4</v>
      </c>
      <c r="X1006" s="1">
        <v>4</v>
      </c>
      <c r="Y1006" s="1">
        <v>4</v>
      </c>
      <c r="Z1006" s="1">
        <f t="shared" si="196"/>
        <v>12</v>
      </c>
      <c r="AA1006" s="12">
        <f t="shared" si="200"/>
        <v>0.8</v>
      </c>
      <c r="AB1006" s="2" t="s">
        <v>457</v>
      </c>
    </row>
    <row r="1007" spans="1:28" x14ac:dyDescent="0.25">
      <c r="A1007" s="1" t="s">
        <v>1676</v>
      </c>
      <c r="B1007" s="1" t="s">
        <v>35</v>
      </c>
      <c r="C1007" s="1" t="s">
        <v>36</v>
      </c>
      <c r="D1007" s="1">
        <v>5</v>
      </c>
      <c r="E1007" s="1">
        <v>3</v>
      </c>
      <c r="F1007" s="1">
        <v>2</v>
      </c>
      <c r="G1007" s="1">
        <v>7</v>
      </c>
      <c r="H1007" s="1">
        <v>8</v>
      </c>
      <c r="I1007" s="1">
        <v>7</v>
      </c>
      <c r="J1007" s="1">
        <v>5</v>
      </c>
      <c r="K1007" s="1">
        <f t="shared" si="193"/>
        <v>27</v>
      </c>
      <c r="L1007" s="12">
        <f t="shared" si="197"/>
        <v>0.77142857142857146</v>
      </c>
      <c r="M1007" s="1">
        <v>7</v>
      </c>
      <c r="N1007" s="1">
        <v>6</v>
      </c>
      <c r="O1007" s="1">
        <v>7</v>
      </c>
      <c r="P1007" s="1">
        <v>4</v>
      </c>
      <c r="Q1007" s="1">
        <f t="shared" si="194"/>
        <v>24</v>
      </c>
      <c r="R1007" s="12">
        <f t="shared" si="198"/>
        <v>0.68571428571428572</v>
      </c>
      <c r="S1007" s="1">
        <v>7</v>
      </c>
      <c r="T1007" s="1">
        <v>4</v>
      </c>
      <c r="U1007" s="1">
        <f t="shared" si="195"/>
        <v>11</v>
      </c>
      <c r="V1007" s="12">
        <f t="shared" si="199"/>
        <v>0.73333333333333328</v>
      </c>
      <c r="W1007" s="1">
        <v>4</v>
      </c>
      <c r="X1007" s="1">
        <v>3</v>
      </c>
      <c r="Y1007" s="1">
        <v>3</v>
      </c>
      <c r="Z1007" s="1">
        <f t="shared" si="196"/>
        <v>10</v>
      </c>
      <c r="AA1007" s="12">
        <f t="shared" si="200"/>
        <v>0.66666666666666663</v>
      </c>
      <c r="AB1007" s="2" t="s">
        <v>458</v>
      </c>
    </row>
    <row r="1008" spans="1:28" x14ac:dyDescent="0.25">
      <c r="A1008" s="1" t="s">
        <v>1676</v>
      </c>
      <c r="B1008" s="1" t="s">
        <v>576</v>
      </c>
      <c r="C1008" s="1" t="s">
        <v>36</v>
      </c>
      <c r="D1008" s="1">
        <v>27</v>
      </c>
      <c r="E1008" s="1">
        <v>2</v>
      </c>
      <c r="F1008" s="1">
        <v>3</v>
      </c>
      <c r="G1008" s="1">
        <v>6</v>
      </c>
      <c r="H1008" s="1">
        <v>5</v>
      </c>
      <c r="I1008" s="1">
        <v>6</v>
      </c>
      <c r="J1008" s="1">
        <v>3</v>
      </c>
      <c r="K1008" s="1">
        <f t="shared" si="193"/>
        <v>20</v>
      </c>
      <c r="L1008" s="12">
        <f t="shared" si="197"/>
        <v>0.5714285714285714</v>
      </c>
      <c r="M1008" s="1">
        <v>6</v>
      </c>
      <c r="N1008" s="1">
        <v>6</v>
      </c>
      <c r="O1008" s="1">
        <v>6</v>
      </c>
      <c r="P1008" s="1">
        <v>4</v>
      </c>
      <c r="Q1008" s="1">
        <f t="shared" si="194"/>
        <v>22</v>
      </c>
      <c r="R1008" s="12">
        <f t="shared" si="198"/>
        <v>0.62857142857142856</v>
      </c>
      <c r="S1008" s="1">
        <v>6</v>
      </c>
      <c r="T1008" s="1">
        <v>4</v>
      </c>
      <c r="U1008" s="1">
        <f t="shared" si="195"/>
        <v>10</v>
      </c>
      <c r="V1008" s="12">
        <f t="shared" si="199"/>
        <v>0.66666666666666663</v>
      </c>
      <c r="W1008" s="1">
        <v>4</v>
      </c>
      <c r="X1008" s="1">
        <v>3</v>
      </c>
      <c r="Y1008" s="1">
        <v>4</v>
      </c>
      <c r="Z1008" s="1">
        <f t="shared" si="196"/>
        <v>11</v>
      </c>
      <c r="AA1008" s="12">
        <f t="shared" si="200"/>
        <v>0.73333333333333328</v>
      </c>
      <c r="AB1008" s="2" t="s">
        <v>707</v>
      </c>
    </row>
    <row r="1009" spans="1:28" x14ac:dyDescent="0.25">
      <c r="A1009" s="1" t="s">
        <v>1676</v>
      </c>
      <c r="B1009" s="1" t="s">
        <v>576</v>
      </c>
      <c r="C1009" s="1" t="s">
        <v>36</v>
      </c>
      <c r="D1009" s="1">
        <v>27</v>
      </c>
      <c r="E1009" s="1">
        <v>2</v>
      </c>
      <c r="F1009" s="1">
        <v>3</v>
      </c>
      <c r="G1009" s="1">
        <v>6</v>
      </c>
      <c r="H1009" s="1">
        <v>6</v>
      </c>
      <c r="I1009" s="1">
        <v>5</v>
      </c>
      <c r="J1009" s="1">
        <v>3</v>
      </c>
      <c r="K1009" s="1">
        <f t="shared" si="193"/>
        <v>20</v>
      </c>
      <c r="L1009" s="12">
        <f t="shared" si="197"/>
        <v>0.5714285714285714</v>
      </c>
      <c r="M1009" s="1">
        <v>5</v>
      </c>
      <c r="N1009" s="1">
        <v>5</v>
      </c>
      <c r="O1009" s="1">
        <v>5</v>
      </c>
      <c r="P1009" s="1">
        <v>3</v>
      </c>
      <c r="Q1009" s="1">
        <f t="shared" si="194"/>
        <v>18</v>
      </c>
      <c r="R1009" s="12">
        <f t="shared" si="198"/>
        <v>0.51428571428571423</v>
      </c>
      <c r="S1009" s="1">
        <v>5</v>
      </c>
      <c r="T1009" s="1">
        <v>4</v>
      </c>
      <c r="U1009" s="1">
        <f t="shared" si="195"/>
        <v>9</v>
      </c>
      <c r="V1009" s="12">
        <f t="shared" si="199"/>
        <v>0.6</v>
      </c>
      <c r="W1009" s="1">
        <v>3</v>
      </c>
      <c r="X1009" s="1">
        <v>3</v>
      </c>
      <c r="Y1009" s="1">
        <v>3</v>
      </c>
      <c r="Z1009" s="1">
        <f t="shared" si="196"/>
        <v>9</v>
      </c>
      <c r="AA1009" s="12">
        <f t="shared" si="200"/>
        <v>0.6</v>
      </c>
      <c r="AB1009" s="2" t="s">
        <v>708</v>
      </c>
    </row>
    <row r="1010" spans="1:28" x14ac:dyDescent="0.25">
      <c r="A1010" s="1" t="s">
        <v>1676</v>
      </c>
      <c r="B1010" s="1" t="s">
        <v>576</v>
      </c>
      <c r="C1010" s="1" t="s">
        <v>36</v>
      </c>
      <c r="D1010" s="1">
        <v>27</v>
      </c>
      <c r="E1010" s="1">
        <v>2</v>
      </c>
      <c r="F1010" s="1">
        <v>3</v>
      </c>
      <c r="G1010" s="1">
        <v>6</v>
      </c>
      <c r="H1010" s="1">
        <v>5</v>
      </c>
      <c r="I1010" s="1">
        <v>5</v>
      </c>
      <c r="J1010" s="1">
        <v>3</v>
      </c>
      <c r="K1010" s="1">
        <f t="shared" si="193"/>
        <v>19</v>
      </c>
      <c r="L1010" s="12">
        <f t="shared" si="197"/>
        <v>0.54285714285714282</v>
      </c>
      <c r="M1010" s="1">
        <v>6</v>
      </c>
      <c r="N1010" s="1">
        <v>5</v>
      </c>
      <c r="O1010" s="1">
        <v>5</v>
      </c>
      <c r="P1010" s="1">
        <v>3</v>
      </c>
      <c r="Q1010" s="1">
        <f t="shared" si="194"/>
        <v>19</v>
      </c>
      <c r="R1010" s="12">
        <f t="shared" si="198"/>
        <v>0.54285714285714282</v>
      </c>
      <c r="S1010" s="1">
        <v>5</v>
      </c>
      <c r="T1010" s="1">
        <v>3</v>
      </c>
      <c r="U1010" s="1">
        <f t="shared" si="195"/>
        <v>8</v>
      </c>
      <c r="V1010" s="12">
        <f t="shared" si="199"/>
        <v>0.53333333333333333</v>
      </c>
      <c r="W1010" s="1">
        <v>3</v>
      </c>
      <c r="X1010" s="1">
        <v>3</v>
      </c>
      <c r="Y1010" s="1">
        <v>3</v>
      </c>
      <c r="Z1010" s="1">
        <f t="shared" si="196"/>
        <v>9</v>
      </c>
      <c r="AA1010" s="12">
        <f t="shared" si="200"/>
        <v>0.6</v>
      </c>
      <c r="AB1010" s="2" t="s">
        <v>709</v>
      </c>
    </row>
    <row r="1011" spans="1:28" x14ac:dyDescent="0.25">
      <c r="A1011" s="1" t="s">
        <v>1676</v>
      </c>
      <c r="B1011" s="1" t="s">
        <v>576</v>
      </c>
      <c r="C1011" s="1" t="s">
        <v>36</v>
      </c>
      <c r="D1011" s="1">
        <v>27</v>
      </c>
      <c r="E1011" s="1">
        <v>2</v>
      </c>
      <c r="F1011" s="1">
        <v>3</v>
      </c>
      <c r="G1011" s="1">
        <v>8</v>
      </c>
      <c r="H1011" s="1">
        <v>8</v>
      </c>
      <c r="I1011" s="1">
        <v>7</v>
      </c>
      <c r="J1011" s="1">
        <v>4</v>
      </c>
      <c r="K1011" s="1">
        <f t="shared" si="193"/>
        <v>27</v>
      </c>
      <c r="L1011" s="12">
        <f t="shared" si="197"/>
        <v>0.77142857142857146</v>
      </c>
      <c r="M1011" s="1">
        <v>8</v>
      </c>
      <c r="N1011" s="1">
        <v>7</v>
      </c>
      <c r="O1011" s="1">
        <v>6</v>
      </c>
      <c r="P1011" s="1">
        <v>4</v>
      </c>
      <c r="Q1011" s="1">
        <f t="shared" si="194"/>
        <v>25</v>
      </c>
      <c r="R1011" s="12">
        <f t="shared" si="198"/>
        <v>0.7142857142857143</v>
      </c>
      <c r="S1011" s="1">
        <v>6</v>
      </c>
      <c r="T1011" s="1">
        <v>4</v>
      </c>
      <c r="U1011" s="1">
        <f t="shared" si="195"/>
        <v>10</v>
      </c>
      <c r="V1011" s="12">
        <f t="shared" si="199"/>
        <v>0.66666666666666663</v>
      </c>
      <c r="W1011" s="1">
        <v>4</v>
      </c>
      <c r="X1011" s="1">
        <v>4</v>
      </c>
      <c r="Y1011" s="1">
        <v>4</v>
      </c>
      <c r="Z1011" s="1">
        <f t="shared" si="196"/>
        <v>12</v>
      </c>
      <c r="AA1011" s="12">
        <f t="shared" si="200"/>
        <v>0.8</v>
      </c>
      <c r="AB1011" s="2" t="s">
        <v>710</v>
      </c>
    </row>
    <row r="1012" spans="1:28" x14ac:dyDescent="0.25">
      <c r="A1012" s="1" t="s">
        <v>1676</v>
      </c>
      <c r="B1012" s="1" t="s">
        <v>576</v>
      </c>
      <c r="C1012" s="1" t="s">
        <v>36</v>
      </c>
      <c r="D1012" s="1">
        <v>27</v>
      </c>
      <c r="E1012" s="1">
        <v>2</v>
      </c>
      <c r="F1012" s="1">
        <v>3</v>
      </c>
      <c r="G1012" s="1">
        <v>6</v>
      </c>
      <c r="H1012" s="1">
        <v>5</v>
      </c>
      <c r="I1012" s="1">
        <v>5</v>
      </c>
      <c r="J1012" s="1">
        <v>3</v>
      </c>
      <c r="K1012" s="1">
        <f t="shared" si="193"/>
        <v>19</v>
      </c>
      <c r="L1012" s="12">
        <f t="shared" si="197"/>
        <v>0.54285714285714282</v>
      </c>
      <c r="M1012" s="1">
        <v>6</v>
      </c>
      <c r="N1012" s="1">
        <v>5</v>
      </c>
      <c r="O1012" s="1">
        <v>5</v>
      </c>
      <c r="P1012" s="1">
        <v>3</v>
      </c>
      <c r="Q1012" s="1">
        <f t="shared" si="194"/>
        <v>19</v>
      </c>
      <c r="R1012" s="12">
        <f t="shared" si="198"/>
        <v>0.54285714285714282</v>
      </c>
      <c r="S1012" s="1">
        <v>5</v>
      </c>
      <c r="T1012" s="1">
        <v>4</v>
      </c>
      <c r="U1012" s="1">
        <f t="shared" si="195"/>
        <v>9</v>
      </c>
      <c r="V1012" s="12">
        <f t="shared" si="199"/>
        <v>0.6</v>
      </c>
      <c r="W1012" s="1">
        <v>4</v>
      </c>
      <c r="X1012" s="1">
        <v>3</v>
      </c>
      <c r="Y1012" s="1">
        <v>3</v>
      </c>
      <c r="Z1012" s="1">
        <f t="shared" si="196"/>
        <v>10</v>
      </c>
      <c r="AA1012" s="12">
        <f t="shared" si="200"/>
        <v>0.66666666666666663</v>
      </c>
      <c r="AB1012" s="2" t="s">
        <v>711</v>
      </c>
    </row>
    <row r="1013" spans="1:28" x14ac:dyDescent="0.25">
      <c r="A1013" s="1" t="s">
        <v>1676</v>
      </c>
      <c r="B1013" s="1" t="s">
        <v>35</v>
      </c>
      <c r="C1013" s="1" t="s">
        <v>861</v>
      </c>
      <c r="D1013" s="1">
        <v>17</v>
      </c>
      <c r="E1013" s="1">
        <v>1</v>
      </c>
      <c r="F1013" s="1">
        <v>4</v>
      </c>
      <c r="G1013" s="1">
        <v>7</v>
      </c>
      <c r="H1013" s="1">
        <v>6</v>
      </c>
      <c r="I1013" s="1">
        <v>6</v>
      </c>
      <c r="J1013" s="1">
        <v>6</v>
      </c>
      <c r="K1013" s="1">
        <f t="shared" si="193"/>
        <v>25</v>
      </c>
      <c r="L1013" s="12">
        <f t="shared" ref="L1013:L1055" si="201">K1013/40</f>
        <v>0.625</v>
      </c>
      <c r="M1013" s="1">
        <v>7</v>
      </c>
      <c r="N1013" s="1">
        <v>6</v>
      </c>
      <c r="O1013" s="1">
        <v>5</v>
      </c>
      <c r="P1013" s="1">
        <v>6</v>
      </c>
      <c r="Q1013" s="1">
        <f t="shared" si="194"/>
        <v>24</v>
      </c>
      <c r="R1013" s="12">
        <f t="shared" ref="R1013:R1055" si="202">Q1013/40</f>
        <v>0.6</v>
      </c>
      <c r="S1013" s="1">
        <v>7</v>
      </c>
      <c r="T1013" s="1">
        <v>6</v>
      </c>
      <c r="U1013" s="1">
        <f t="shared" si="195"/>
        <v>13</v>
      </c>
      <c r="V1013" s="12">
        <f t="shared" ref="V1013:V1055" si="203">U1013/20</f>
        <v>0.65</v>
      </c>
      <c r="Z1013" s="1">
        <f t="shared" si="196"/>
        <v>0</v>
      </c>
      <c r="AB1013" s="2" t="s">
        <v>946</v>
      </c>
    </row>
    <row r="1014" spans="1:28" x14ac:dyDescent="0.25">
      <c r="A1014" s="1" t="s">
        <v>1676</v>
      </c>
      <c r="B1014" s="1" t="s">
        <v>35</v>
      </c>
      <c r="C1014" s="1" t="s">
        <v>861</v>
      </c>
      <c r="D1014" s="1">
        <v>17</v>
      </c>
      <c r="E1014" s="1">
        <v>1</v>
      </c>
      <c r="F1014" s="1">
        <v>4</v>
      </c>
      <c r="G1014" s="1">
        <v>4</v>
      </c>
      <c r="H1014" s="1">
        <v>4</v>
      </c>
      <c r="I1014" s="1">
        <v>4</v>
      </c>
      <c r="J1014" s="1">
        <v>4</v>
      </c>
      <c r="K1014" s="1">
        <f t="shared" si="193"/>
        <v>16</v>
      </c>
      <c r="L1014" s="12">
        <f t="shared" si="201"/>
        <v>0.4</v>
      </c>
      <c r="M1014" s="1">
        <v>3</v>
      </c>
      <c r="N1014" s="1">
        <v>4</v>
      </c>
      <c r="O1014" s="1">
        <v>3</v>
      </c>
      <c r="P1014" s="1">
        <v>4</v>
      </c>
      <c r="Q1014" s="1">
        <f t="shared" si="194"/>
        <v>14</v>
      </c>
      <c r="R1014" s="12">
        <f t="shared" si="202"/>
        <v>0.35</v>
      </c>
      <c r="S1014" s="1">
        <v>3</v>
      </c>
      <c r="T1014" s="1">
        <v>4</v>
      </c>
      <c r="U1014" s="1">
        <f t="shared" si="195"/>
        <v>7</v>
      </c>
      <c r="V1014" s="12">
        <f t="shared" si="203"/>
        <v>0.35</v>
      </c>
      <c r="Z1014" s="1">
        <f t="shared" si="196"/>
        <v>0</v>
      </c>
      <c r="AB1014" s="2" t="s">
        <v>947</v>
      </c>
    </row>
    <row r="1015" spans="1:28" x14ac:dyDescent="0.25">
      <c r="A1015" s="1" t="s">
        <v>1676</v>
      </c>
      <c r="B1015" s="1" t="s">
        <v>35</v>
      </c>
      <c r="C1015" s="1" t="s">
        <v>861</v>
      </c>
      <c r="D1015" s="1">
        <v>17</v>
      </c>
      <c r="E1015" s="1">
        <v>1</v>
      </c>
      <c r="F1015" s="1">
        <v>4</v>
      </c>
      <c r="G1015" s="1">
        <v>6</v>
      </c>
      <c r="H1015" s="1">
        <v>4</v>
      </c>
      <c r="I1015" s="1">
        <v>4</v>
      </c>
      <c r="J1015" s="1">
        <v>5</v>
      </c>
      <c r="K1015" s="1">
        <f t="shared" si="193"/>
        <v>19</v>
      </c>
      <c r="L1015" s="12">
        <f t="shared" si="201"/>
        <v>0.47499999999999998</v>
      </c>
      <c r="M1015" s="1">
        <v>5</v>
      </c>
      <c r="N1015" s="1">
        <v>4</v>
      </c>
      <c r="O1015" s="1">
        <v>4</v>
      </c>
      <c r="P1015" s="1">
        <v>5</v>
      </c>
      <c r="Q1015" s="1">
        <f t="shared" si="194"/>
        <v>18</v>
      </c>
      <c r="R1015" s="12">
        <f t="shared" si="202"/>
        <v>0.45</v>
      </c>
      <c r="S1015" s="1">
        <v>4</v>
      </c>
      <c r="T1015" s="1">
        <v>5</v>
      </c>
      <c r="U1015" s="1">
        <f t="shared" si="195"/>
        <v>9</v>
      </c>
      <c r="V1015" s="12">
        <f t="shared" si="203"/>
        <v>0.45</v>
      </c>
      <c r="Z1015" s="1">
        <f t="shared" si="196"/>
        <v>0</v>
      </c>
      <c r="AB1015" s="2" t="s">
        <v>948</v>
      </c>
    </row>
    <row r="1016" spans="1:28" x14ac:dyDescent="0.25">
      <c r="A1016" s="1" t="s">
        <v>1676</v>
      </c>
      <c r="B1016" s="1" t="s">
        <v>35</v>
      </c>
      <c r="C1016" s="1" t="s">
        <v>861</v>
      </c>
      <c r="D1016" s="1">
        <v>17</v>
      </c>
      <c r="E1016" s="1">
        <v>1</v>
      </c>
      <c r="F1016" s="1">
        <v>4</v>
      </c>
      <c r="G1016" s="1">
        <v>6</v>
      </c>
      <c r="H1016" s="1">
        <v>5</v>
      </c>
      <c r="I1016" s="1">
        <v>5</v>
      </c>
      <c r="J1016" s="1">
        <v>5</v>
      </c>
      <c r="K1016" s="1">
        <f t="shared" si="193"/>
        <v>21</v>
      </c>
      <c r="L1016" s="12">
        <f t="shared" si="201"/>
        <v>0.52500000000000002</v>
      </c>
      <c r="M1016" s="1">
        <v>4</v>
      </c>
      <c r="N1016" s="1">
        <v>4</v>
      </c>
      <c r="O1016" s="1">
        <v>3</v>
      </c>
      <c r="P1016" s="1">
        <v>4</v>
      </c>
      <c r="Q1016" s="1">
        <f t="shared" si="194"/>
        <v>15</v>
      </c>
      <c r="R1016" s="12">
        <f t="shared" si="202"/>
        <v>0.375</v>
      </c>
      <c r="S1016" s="1">
        <v>4</v>
      </c>
      <c r="T1016" s="1">
        <v>5</v>
      </c>
      <c r="U1016" s="1">
        <f t="shared" si="195"/>
        <v>9</v>
      </c>
      <c r="V1016" s="12">
        <f t="shared" si="203"/>
        <v>0.45</v>
      </c>
      <c r="Z1016" s="1">
        <f t="shared" si="196"/>
        <v>0</v>
      </c>
      <c r="AB1016" s="2" t="s">
        <v>949</v>
      </c>
    </row>
    <row r="1017" spans="1:28" x14ac:dyDescent="0.25">
      <c r="A1017" s="1" t="s">
        <v>1676</v>
      </c>
      <c r="B1017" s="1" t="s">
        <v>35</v>
      </c>
      <c r="C1017" s="1" t="s">
        <v>861</v>
      </c>
      <c r="D1017" s="1">
        <v>17</v>
      </c>
      <c r="E1017" s="1">
        <v>1</v>
      </c>
      <c r="F1017" s="1">
        <v>4</v>
      </c>
      <c r="G1017" s="1">
        <v>6</v>
      </c>
      <c r="H1017" s="1">
        <v>6</v>
      </c>
      <c r="I1017" s="1">
        <v>6</v>
      </c>
      <c r="J1017" s="1">
        <v>6</v>
      </c>
      <c r="K1017" s="1">
        <f t="shared" si="193"/>
        <v>24</v>
      </c>
      <c r="L1017" s="12">
        <f t="shared" si="201"/>
        <v>0.6</v>
      </c>
      <c r="M1017" s="1">
        <v>7</v>
      </c>
      <c r="N1017" s="1">
        <v>7</v>
      </c>
      <c r="O1017" s="1">
        <v>6</v>
      </c>
      <c r="P1017" s="1">
        <v>6</v>
      </c>
      <c r="Q1017" s="1">
        <f t="shared" si="194"/>
        <v>26</v>
      </c>
      <c r="R1017" s="12">
        <f t="shared" si="202"/>
        <v>0.65</v>
      </c>
      <c r="S1017" s="1">
        <v>6</v>
      </c>
      <c r="T1017" s="1">
        <v>6</v>
      </c>
      <c r="U1017" s="1">
        <f t="shared" si="195"/>
        <v>12</v>
      </c>
      <c r="V1017" s="12">
        <f t="shared" si="203"/>
        <v>0.6</v>
      </c>
      <c r="Z1017" s="1">
        <f t="shared" si="196"/>
        <v>0</v>
      </c>
      <c r="AB1017" s="2" t="s">
        <v>950</v>
      </c>
    </row>
    <row r="1018" spans="1:28" x14ac:dyDescent="0.25">
      <c r="A1018" s="1" t="s">
        <v>1676</v>
      </c>
      <c r="B1018" s="1" t="s">
        <v>35</v>
      </c>
      <c r="C1018" s="1" t="s">
        <v>861</v>
      </c>
      <c r="D1018" s="1">
        <v>17</v>
      </c>
      <c r="E1018" s="1">
        <v>1</v>
      </c>
      <c r="F1018" s="1">
        <v>4</v>
      </c>
      <c r="G1018" s="1">
        <v>7</v>
      </c>
      <c r="H1018" s="1">
        <v>5</v>
      </c>
      <c r="I1018" s="1">
        <v>5</v>
      </c>
      <c r="J1018" s="1">
        <v>6</v>
      </c>
      <c r="K1018" s="1">
        <f t="shared" si="193"/>
        <v>23</v>
      </c>
      <c r="L1018" s="12">
        <f t="shared" si="201"/>
        <v>0.57499999999999996</v>
      </c>
      <c r="M1018" s="1">
        <v>7</v>
      </c>
      <c r="N1018" s="1">
        <v>6</v>
      </c>
      <c r="O1018" s="1">
        <v>5</v>
      </c>
      <c r="P1018" s="1">
        <v>5</v>
      </c>
      <c r="Q1018" s="1">
        <f t="shared" si="194"/>
        <v>23</v>
      </c>
      <c r="R1018" s="12">
        <f t="shared" si="202"/>
        <v>0.57499999999999996</v>
      </c>
      <c r="S1018" s="1">
        <v>6</v>
      </c>
      <c r="T1018" s="1">
        <v>6</v>
      </c>
      <c r="U1018" s="1">
        <f t="shared" si="195"/>
        <v>12</v>
      </c>
      <c r="V1018" s="12">
        <f t="shared" si="203"/>
        <v>0.6</v>
      </c>
      <c r="Z1018" s="1">
        <f t="shared" si="196"/>
        <v>0</v>
      </c>
      <c r="AB1018" s="2" t="s">
        <v>951</v>
      </c>
    </row>
    <row r="1019" spans="1:28" x14ac:dyDescent="0.25">
      <c r="A1019" s="1" t="s">
        <v>1676</v>
      </c>
      <c r="B1019" s="1" t="s">
        <v>35</v>
      </c>
      <c r="C1019" s="1" t="s">
        <v>861</v>
      </c>
      <c r="D1019" s="1">
        <v>17</v>
      </c>
      <c r="E1019" s="1">
        <v>1</v>
      </c>
      <c r="F1019" s="1">
        <v>4</v>
      </c>
      <c r="G1019" s="1">
        <v>6</v>
      </c>
      <c r="H1019" s="1">
        <v>5</v>
      </c>
      <c r="I1019" s="1">
        <v>5</v>
      </c>
      <c r="J1019" s="1">
        <v>6</v>
      </c>
      <c r="K1019" s="1">
        <f t="shared" si="193"/>
        <v>22</v>
      </c>
      <c r="L1019" s="12">
        <f t="shared" si="201"/>
        <v>0.55000000000000004</v>
      </c>
      <c r="M1019" s="1">
        <v>7</v>
      </c>
      <c r="N1019" s="1">
        <v>6</v>
      </c>
      <c r="O1019" s="1">
        <v>5</v>
      </c>
      <c r="P1019" s="1">
        <v>5</v>
      </c>
      <c r="Q1019" s="1">
        <f t="shared" si="194"/>
        <v>23</v>
      </c>
      <c r="R1019" s="12">
        <f t="shared" si="202"/>
        <v>0.57499999999999996</v>
      </c>
      <c r="S1019" s="1">
        <v>6</v>
      </c>
      <c r="T1019" s="1">
        <v>6</v>
      </c>
      <c r="U1019" s="1">
        <f t="shared" si="195"/>
        <v>12</v>
      </c>
      <c r="V1019" s="12">
        <f t="shared" si="203"/>
        <v>0.6</v>
      </c>
      <c r="Z1019" s="1">
        <f t="shared" si="196"/>
        <v>0</v>
      </c>
      <c r="AB1019" s="2" t="s">
        <v>952</v>
      </c>
    </row>
    <row r="1020" spans="1:28" x14ac:dyDescent="0.25">
      <c r="A1020" s="1" t="s">
        <v>1676</v>
      </c>
      <c r="B1020" s="1" t="s">
        <v>35</v>
      </c>
      <c r="C1020" s="1" t="s">
        <v>861</v>
      </c>
      <c r="D1020" s="1">
        <v>17</v>
      </c>
      <c r="E1020" s="1">
        <v>1</v>
      </c>
      <c r="F1020" s="1">
        <v>4</v>
      </c>
      <c r="G1020" s="1">
        <v>7</v>
      </c>
      <c r="H1020" s="1">
        <v>6</v>
      </c>
      <c r="I1020" s="1">
        <v>6</v>
      </c>
      <c r="J1020" s="1">
        <v>6</v>
      </c>
      <c r="K1020" s="1">
        <f t="shared" si="193"/>
        <v>25</v>
      </c>
      <c r="L1020" s="12">
        <f t="shared" si="201"/>
        <v>0.625</v>
      </c>
      <c r="M1020" s="1">
        <v>6</v>
      </c>
      <c r="N1020" s="1">
        <v>6</v>
      </c>
      <c r="O1020" s="1">
        <v>5</v>
      </c>
      <c r="P1020" s="1">
        <v>5</v>
      </c>
      <c r="Q1020" s="1">
        <f t="shared" si="194"/>
        <v>22</v>
      </c>
      <c r="R1020" s="12">
        <f t="shared" si="202"/>
        <v>0.55000000000000004</v>
      </c>
      <c r="S1020" s="1">
        <v>6</v>
      </c>
      <c r="T1020" s="1">
        <v>6</v>
      </c>
      <c r="U1020" s="1">
        <f t="shared" si="195"/>
        <v>12</v>
      </c>
      <c r="V1020" s="12">
        <f t="shared" si="203"/>
        <v>0.6</v>
      </c>
      <c r="Z1020" s="1">
        <f t="shared" si="196"/>
        <v>0</v>
      </c>
      <c r="AB1020" s="2" t="s">
        <v>953</v>
      </c>
    </row>
    <row r="1021" spans="1:28" x14ac:dyDescent="0.25">
      <c r="A1021" s="1" t="s">
        <v>1676</v>
      </c>
      <c r="B1021" s="1" t="s">
        <v>35</v>
      </c>
      <c r="C1021" s="1" t="s">
        <v>861</v>
      </c>
      <c r="D1021" s="1">
        <v>18</v>
      </c>
      <c r="E1021" s="1">
        <v>2</v>
      </c>
      <c r="F1021" s="1">
        <v>4</v>
      </c>
      <c r="G1021" s="1">
        <v>6</v>
      </c>
      <c r="H1021" s="1">
        <v>6</v>
      </c>
      <c r="I1021" s="1">
        <v>5</v>
      </c>
      <c r="J1021" s="1">
        <v>5</v>
      </c>
      <c r="K1021" s="1">
        <f t="shared" si="193"/>
        <v>22</v>
      </c>
      <c r="L1021" s="12">
        <f t="shared" si="201"/>
        <v>0.55000000000000004</v>
      </c>
      <c r="M1021" s="1">
        <v>5</v>
      </c>
      <c r="N1021" s="1">
        <v>5</v>
      </c>
      <c r="O1021" s="1">
        <v>5</v>
      </c>
      <c r="P1021" s="1">
        <v>5</v>
      </c>
      <c r="Q1021" s="1">
        <f t="shared" si="194"/>
        <v>20</v>
      </c>
      <c r="R1021" s="12">
        <f t="shared" si="202"/>
        <v>0.5</v>
      </c>
      <c r="S1021" s="1">
        <v>5</v>
      </c>
      <c r="T1021" s="1">
        <v>6</v>
      </c>
      <c r="U1021" s="1">
        <f t="shared" si="195"/>
        <v>11</v>
      </c>
      <c r="V1021" s="12">
        <f t="shared" si="203"/>
        <v>0.55000000000000004</v>
      </c>
      <c r="Z1021" s="1">
        <f t="shared" si="196"/>
        <v>0</v>
      </c>
      <c r="AB1021" s="2" t="s">
        <v>1116</v>
      </c>
    </row>
    <row r="1022" spans="1:28" x14ac:dyDescent="0.25">
      <c r="A1022" s="1" t="s">
        <v>1676</v>
      </c>
      <c r="B1022" s="1" t="s">
        <v>35</v>
      </c>
      <c r="C1022" s="1" t="s">
        <v>861</v>
      </c>
      <c r="D1022" s="1">
        <v>18</v>
      </c>
      <c r="E1022" s="1">
        <v>2</v>
      </c>
      <c r="F1022" s="1">
        <v>4</v>
      </c>
      <c r="G1022" s="1">
        <v>5</v>
      </c>
      <c r="H1022" s="1">
        <v>5</v>
      </c>
      <c r="I1022" s="1">
        <v>5</v>
      </c>
      <c r="J1022" s="1">
        <v>5</v>
      </c>
      <c r="K1022" s="1">
        <f t="shared" si="193"/>
        <v>20</v>
      </c>
      <c r="L1022" s="12">
        <f t="shared" si="201"/>
        <v>0.5</v>
      </c>
      <c r="M1022" s="1">
        <v>6</v>
      </c>
      <c r="N1022" s="1">
        <v>5</v>
      </c>
      <c r="O1022" s="1">
        <v>5</v>
      </c>
      <c r="P1022" s="1">
        <v>5</v>
      </c>
      <c r="Q1022" s="1">
        <f t="shared" si="194"/>
        <v>21</v>
      </c>
      <c r="R1022" s="12">
        <f t="shared" si="202"/>
        <v>0.52500000000000002</v>
      </c>
      <c r="S1022" s="1">
        <v>5</v>
      </c>
      <c r="T1022" s="1">
        <v>6</v>
      </c>
      <c r="U1022" s="1">
        <f t="shared" si="195"/>
        <v>11</v>
      </c>
      <c r="V1022" s="12">
        <f t="shared" si="203"/>
        <v>0.55000000000000004</v>
      </c>
      <c r="Z1022" s="1">
        <f t="shared" si="196"/>
        <v>0</v>
      </c>
      <c r="AB1022" s="2" t="s">
        <v>1117</v>
      </c>
    </row>
    <row r="1023" spans="1:28" x14ac:dyDescent="0.25">
      <c r="A1023" s="1" t="s">
        <v>1676</v>
      </c>
      <c r="B1023" s="1" t="s">
        <v>35</v>
      </c>
      <c r="C1023" s="1" t="s">
        <v>861</v>
      </c>
      <c r="D1023" s="1">
        <v>18</v>
      </c>
      <c r="E1023" s="1">
        <v>2</v>
      </c>
      <c r="F1023" s="1">
        <v>4</v>
      </c>
      <c r="G1023" s="1">
        <v>5</v>
      </c>
      <c r="H1023" s="1">
        <v>5</v>
      </c>
      <c r="I1023" s="1">
        <v>5</v>
      </c>
      <c r="J1023" s="1">
        <v>5</v>
      </c>
      <c r="K1023" s="1">
        <f t="shared" si="193"/>
        <v>20</v>
      </c>
      <c r="L1023" s="12">
        <f t="shared" si="201"/>
        <v>0.5</v>
      </c>
      <c r="M1023" s="1">
        <v>5</v>
      </c>
      <c r="N1023" s="1">
        <v>5</v>
      </c>
      <c r="O1023" s="1">
        <v>5</v>
      </c>
      <c r="P1023" s="1">
        <v>4</v>
      </c>
      <c r="Q1023" s="1">
        <f t="shared" si="194"/>
        <v>19</v>
      </c>
      <c r="R1023" s="12">
        <f t="shared" si="202"/>
        <v>0.47499999999999998</v>
      </c>
      <c r="S1023" s="1">
        <v>5</v>
      </c>
      <c r="T1023" s="1">
        <v>5</v>
      </c>
      <c r="U1023" s="1">
        <f t="shared" si="195"/>
        <v>10</v>
      </c>
      <c r="V1023" s="12">
        <f t="shared" si="203"/>
        <v>0.5</v>
      </c>
      <c r="Z1023" s="1">
        <f t="shared" si="196"/>
        <v>0</v>
      </c>
      <c r="AB1023" s="2" t="s">
        <v>1118</v>
      </c>
    </row>
    <row r="1024" spans="1:28" x14ac:dyDescent="0.25">
      <c r="A1024" s="1" t="s">
        <v>1676</v>
      </c>
      <c r="B1024" s="1" t="s">
        <v>35</v>
      </c>
      <c r="C1024" s="1" t="s">
        <v>861</v>
      </c>
      <c r="D1024" s="1">
        <v>18</v>
      </c>
      <c r="E1024" s="1">
        <v>2</v>
      </c>
      <c r="F1024" s="1">
        <v>4</v>
      </c>
      <c r="G1024" s="1">
        <v>7</v>
      </c>
      <c r="H1024" s="1">
        <v>7</v>
      </c>
      <c r="I1024" s="1">
        <v>6</v>
      </c>
      <c r="J1024" s="1">
        <v>6</v>
      </c>
      <c r="K1024" s="1">
        <f t="shared" si="193"/>
        <v>26</v>
      </c>
      <c r="L1024" s="12">
        <f t="shared" si="201"/>
        <v>0.65</v>
      </c>
      <c r="M1024" s="1">
        <v>6</v>
      </c>
      <c r="N1024" s="1">
        <v>6</v>
      </c>
      <c r="O1024" s="1">
        <v>6</v>
      </c>
      <c r="P1024" s="1">
        <v>5</v>
      </c>
      <c r="Q1024" s="1">
        <f t="shared" si="194"/>
        <v>23</v>
      </c>
      <c r="R1024" s="12">
        <f t="shared" si="202"/>
        <v>0.57499999999999996</v>
      </c>
      <c r="S1024" s="1">
        <v>6</v>
      </c>
      <c r="T1024" s="1">
        <v>6</v>
      </c>
      <c r="U1024" s="1">
        <f t="shared" si="195"/>
        <v>12</v>
      </c>
      <c r="V1024" s="12">
        <f t="shared" si="203"/>
        <v>0.6</v>
      </c>
      <c r="Z1024" s="1">
        <f t="shared" si="196"/>
        <v>0</v>
      </c>
      <c r="AB1024" s="2" t="s">
        <v>1119</v>
      </c>
    </row>
    <row r="1025" spans="1:28" x14ac:dyDescent="0.25">
      <c r="A1025" s="1" t="s">
        <v>1676</v>
      </c>
      <c r="B1025" s="1" t="s">
        <v>35</v>
      </c>
      <c r="C1025" s="1" t="s">
        <v>861</v>
      </c>
      <c r="D1025" s="1">
        <v>18</v>
      </c>
      <c r="E1025" s="1">
        <v>2</v>
      </c>
      <c r="F1025" s="1">
        <v>4</v>
      </c>
      <c r="G1025" s="1">
        <v>6</v>
      </c>
      <c r="H1025" s="1">
        <v>6</v>
      </c>
      <c r="I1025" s="1">
        <v>5</v>
      </c>
      <c r="J1025" s="1">
        <v>6</v>
      </c>
      <c r="K1025" s="1">
        <f t="shared" si="193"/>
        <v>23</v>
      </c>
      <c r="L1025" s="12">
        <f t="shared" si="201"/>
        <v>0.57499999999999996</v>
      </c>
      <c r="M1025" s="1">
        <v>5</v>
      </c>
      <c r="N1025" s="1">
        <v>6</v>
      </c>
      <c r="O1025" s="1">
        <v>5</v>
      </c>
      <c r="P1025" s="1">
        <v>5</v>
      </c>
      <c r="Q1025" s="1">
        <f t="shared" si="194"/>
        <v>21</v>
      </c>
      <c r="R1025" s="12">
        <f t="shared" si="202"/>
        <v>0.52500000000000002</v>
      </c>
      <c r="S1025" s="1">
        <v>5</v>
      </c>
      <c r="T1025" s="1">
        <v>6</v>
      </c>
      <c r="U1025" s="1">
        <f t="shared" si="195"/>
        <v>11</v>
      </c>
      <c r="V1025" s="12">
        <f t="shared" si="203"/>
        <v>0.55000000000000004</v>
      </c>
      <c r="Z1025" s="1">
        <f t="shared" si="196"/>
        <v>0</v>
      </c>
      <c r="AB1025" s="2" t="s">
        <v>1120</v>
      </c>
    </row>
    <row r="1026" spans="1:28" x14ac:dyDescent="0.25">
      <c r="A1026" s="1" t="s">
        <v>1676</v>
      </c>
      <c r="B1026" s="1" t="s">
        <v>35</v>
      </c>
      <c r="C1026" s="1" t="s">
        <v>861</v>
      </c>
      <c r="D1026" s="1">
        <v>18</v>
      </c>
      <c r="E1026" s="1">
        <v>2</v>
      </c>
      <c r="F1026" s="1">
        <v>4</v>
      </c>
      <c r="G1026" s="1">
        <v>7</v>
      </c>
      <c r="H1026" s="1">
        <v>6</v>
      </c>
      <c r="I1026" s="1">
        <v>5</v>
      </c>
      <c r="J1026" s="1">
        <v>5</v>
      </c>
      <c r="K1026" s="1">
        <f t="shared" si="193"/>
        <v>23</v>
      </c>
      <c r="L1026" s="12">
        <f t="shared" si="201"/>
        <v>0.57499999999999996</v>
      </c>
      <c r="M1026" s="1">
        <v>5</v>
      </c>
      <c r="N1026" s="1">
        <v>6</v>
      </c>
      <c r="O1026" s="1">
        <v>5</v>
      </c>
      <c r="P1026" s="1">
        <v>5</v>
      </c>
      <c r="Q1026" s="1">
        <f t="shared" si="194"/>
        <v>21</v>
      </c>
      <c r="R1026" s="12">
        <f t="shared" si="202"/>
        <v>0.52500000000000002</v>
      </c>
      <c r="S1026" s="1">
        <v>5</v>
      </c>
      <c r="T1026" s="1">
        <v>5</v>
      </c>
      <c r="U1026" s="1">
        <f t="shared" si="195"/>
        <v>10</v>
      </c>
      <c r="V1026" s="12">
        <f t="shared" si="203"/>
        <v>0.5</v>
      </c>
      <c r="Z1026" s="1">
        <f t="shared" si="196"/>
        <v>0</v>
      </c>
      <c r="AB1026" s="2" t="s">
        <v>1121</v>
      </c>
    </row>
    <row r="1027" spans="1:28" x14ac:dyDescent="0.25">
      <c r="A1027" s="1" t="s">
        <v>1676</v>
      </c>
      <c r="B1027" s="1" t="s">
        <v>35</v>
      </c>
      <c r="C1027" s="1" t="s">
        <v>861</v>
      </c>
      <c r="D1027" s="1">
        <v>18</v>
      </c>
      <c r="E1027" s="1">
        <v>2</v>
      </c>
      <c r="F1027" s="1">
        <v>4</v>
      </c>
      <c r="G1027" s="1">
        <v>6</v>
      </c>
      <c r="H1027" s="1">
        <v>5</v>
      </c>
      <c r="I1027" s="1">
        <v>5</v>
      </c>
      <c r="J1027" s="1">
        <v>5</v>
      </c>
      <c r="K1027" s="1">
        <f t="shared" ref="K1027:K1090" si="204">SUM(G1027:J1027)</f>
        <v>21</v>
      </c>
      <c r="L1027" s="12">
        <f t="shared" si="201"/>
        <v>0.52500000000000002</v>
      </c>
      <c r="M1027" s="1">
        <v>5</v>
      </c>
      <c r="N1027" s="1">
        <v>5</v>
      </c>
      <c r="O1027" s="1">
        <v>4</v>
      </c>
      <c r="P1027" s="1">
        <v>4</v>
      </c>
      <c r="Q1027" s="1">
        <f t="shared" ref="Q1027:Q1090" si="205">SUM(M1027:P1027)</f>
        <v>18</v>
      </c>
      <c r="R1027" s="12">
        <f t="shared" si="202"/>
        <v>0.45</v>
      </c>
      <c r="S1027" s="1">
        <v>5</v>
      </c>
      <c r="T1027" s="1">
        <v>5</v>
      </c>
      <c r="U1027" s="1">
        <f t="shared" ref="U1027:U1090" si="206">SUM(S1027:T1027)</f>
        <v>10</v>
      </c>
      <c r="V1027" s="12">
        <f t="shared" si="203"/>
        <v>0.5</v>
      </c>
      <c r="Z1027" s="1">
        <f t="shared" ref="Z1027:Z1090" si="207">SUM(W1027:Y1027)</f>
        <v>0</v>
      </c>
      <c r="AB1027" s="2" t="s">
        <v>1122</v>
      </c>
    </row>
    <row r="1028" spans="1:28" x14ac:dyDescent="0.25">
      <c r="A1028" s="1" t="s">
        <v>1676</v>
      </c>
      <c r="B1028" s="1" t="s">
        <v>35</v>
      </c>
      <c r="C1028" s="1" t="s">
        <v>861</v>
      </c>
      <c r="D1028" s="1">
        <v>18</v>
      </c>
      <c r="E1028" s="1">
        <v>2</v>
      </c>
      <c r="F1028" s="1">
        <v>4</v>
      </c>
      <c r="G1028" s="1">
        <v>6</v>
      </c>
      <c r="H1028" s="1">
        <v>6</v>
      </c>
      <c r="I1028" s="1">
        <v>5</v>
      </c>
      <c r="J1028" s="1">
        <v>5</v>
      </c>
      <c r="K1028" s="1">
        <f t="shared" si="204"/>
        <v>22</v>
      </c>
      <c r="L1028" s="12">
        <f t="shared" si="201"/>
        <v>0.55000000000000004</v>
      </c>
      <c r="M1028" s="1">
        <v>5</v>
      </c>
      <c r="N1028" s="1">
        <v>5</v>
      </c>
      <c r="O1028" s="1">
        <v>5</v>
      </c>
      <c r="P1028" s="1">
        <v>4</v>
      </c>
      <c r="Q1028" s="1">
        <f t="shared" si="205"/>
        <v>19</v>
      </c>
      <c r="R1028" s="12">
        <f t="shared" si="202"/>
        <v>0.47499999999999998</v>
      </c>
      <c r="S1028" s="1">
        <v>5</v>
      </c>
      <c r="T1028" s="1">
        <v>6</v>
      </c>
      <c r="U1028" s="1">
        <f t="shared" si="206"/>
        <v>11</v>
      </c>
      <c r="V1028" s="12">
        <f t="shared" si="203"/>
        <v>0.55000000000000004</v>
      </c>
      <c r="Z1028" s="1">
        <f t="shared" si="207"/>
        <v>0</v>
      </c>
      <c r="AB1028" s="2" t="s">
        <v>1123</v>
      </c>
    </row>
    <row r="1029" spans="1:28" x14ac:dyDescent="0.25">
      <c r="A1029" s="1" t="s">
        <v>1676</v>
      </c>
      <c r="B1029" s="1" t="s">
        <v>35</v>
      </c>
      <c r="C1029" s="1" t="s">
        <v>861</v>
      </c>
      <c r="D1029" s="1">
        <v>4</v>
      </c>
      <c r="E1029" s="1">
        <v>3</v>
      </c>
      <c r="F1029" s="1">
        <v>5</v>
      </c>
      <c r="G1029" s="1">
        <v>7</v>
      </c>
      <c r="H1029" s="1">
        <v>8</v>
      </c>
      <c r="I1029" s="1">
        <v>7</v>
      </c>
      <c r="J1029" s="1">
        <v>7</v>
      </c>
      <c r="K1029" s="1">
        <f t="shared" si="204"/>
        <v>29</v>
      </c>
      <c r="L1029" s="12">
        <f t="shared" si="201"/>
        <v>0.72499999999999998</v>
      </c>
      <c r="M1029" s="1">
        <v>7</v>
      </c>
      <c r="N1029" s="1">
        <v>6</v>
      </c>
      <c r="O1029" s="1">
        <v>6</v>
      </c>
      <c r="P1029" s="1">
        <v>7</v>
      </c>
      <c r="Q1029" s="1">
        <f t="shared" si="205"/>
        <v>26</v>
      </c>
      <c r="R1029" s="12">
        <f t="shared" si="202"/>
        <v>0.65</v>
      </c>
      <c r="S1029" s="1">
        <v>7</v>
      </c>
      <c r="T1029" s="1">
        <v>6</v>
      </c>
      <c r="U1029" s="1">
        <f t="shared" si="206"/>
        <v>13</v>
      </c>
      <c r="V1029" s="12">
        <f t="shared" si="203"/>
        <v>0.65</v>
      </c>
      <c r="Z1029" s="1">
        <f t="shared" si="207"/>
        <v>0</v>
      </c>
      <c r="AB1029" s="2" t="s">
        <v>1321</v>
      </c>
    </row>
    <row r="1030" spans="1:28" x14ac:dyDescent="0.25">
      <c r="A1030" s="1" t="s">
        <v>1676</v>
      </c>
      <c r="B1030" s="1" t="s">
        <v>35</v>
      </c>
      <c r="C1030" s="1" t="s">
        <v>861</v>
      </c>
      <c r="D1030" s="1">
        <v>4</v>
      </c>
      <c r="E1030" s="1">
        <v>3</v>
      </c>
      <c r="F1030" s="1">
        <v>5</v>
      </c>
      <c r="G1030" s="1">
        <v>6</v>
      </c>
      <c r="H1030" s="1">
        <v>6</v>
      </c>
      <c r="I1030" s="1">
        <v>6</v>
      </c>
      <c r="J1030" s="1">
        <v>5</v>
      </c>
      <c r="K1030" s="1">
        <f t="shared" si="204"/>
        <v>23</v>
      </c>
      <c r="L1030" s="12">
        <f t="shared" si="201"/>
        <v>0.57499999999999996</v>
      </c>
      <c r="M1030" s="1">
        <v>6</v>
      </c>
      <c r="N1030" s="1">
        <v>6</v>
      </c>
      <c r="O1030" s="1">
        <v>6</v>
      </c>
      <c r="P1030" s="1">
        <v>5</v>
      </c>
      <c r="Q1030" s="1">
        <f t="shared" si="205"/>
        <v>23</v>
      </c>
      <c r="R1030" s="12">
        <f t="shared" si="202"/>
        <v>0.57499999999999996</v>
      </c>
      <c r="S1030" s="1">
        <v>6</v>
      </c>
      <c r="T1030" s="1">
        <v>6</v>
      </c>
      <c r="U1030" s="1">
        <f t="shared" si="206"/>
        <v>12</v>
      </c>
      <c r="V1030" s="12">
        <f t="shared" si="203"/>
        <v>0.6</v>
      </c>
      <c r="Z1030" s="1">
        <f t="shared" si="207"/>
        <v>0</v>
      </c>
      <c r="AB1030" s="2" t="s">
        <v>1322</v>
      </c>
    </row>
    <row r="1031" spans="1:28" x14ac:dyDescent="0.25">
      <c r="A1031" s="1" t="s">
        <v>1676</v>
      </c>
      <c r="B1031" s="1" t="s">
        <v>35</v>
      </c>
      <c r="C1031" s="1" t="s">
        <v>861</v>
      </c>
      <c r="D1031" s="1">
        <v>4</v>
      </c>
      <c r="E1031" s="1">
        <v>3</v>
      </c>
      <c r="F1031" s="1">
        <v>5</v>
      </c>
      <c r="G1031" s="1">
        <v>7</v>
      </c>
      <c r="H1031" s="1">
        <v>6</v>
      </c>
      <c r="I1031" s="1">
        <v>6</v>
      </c>
      <c r="J1031" s="1">
        <v>5</v>
      </c>
      <c r="K1031" s="1">
        <f t="shared" si="204"/>
        <v>24</v>
      </c>
      <c r="L1031" s="12">
        <f t="shared" si="201"/>
        <v>0.6</v>
      </c>
      <c r="M1031" s="1">
        <v>6</v>
      </c>
      <c r="N1031" s="1">
        <v>6</v>
      </c>
      <c r="O1031" s="1">
        <v>6</v>
      </c>
      <c r="P1031" s="1">
        <v>5</v>
      </c>
      <c r="Q1031" s="1">
        <f t="shared" si="205"/>
        <v>23</v>
      </c>
      <c r="R1031" s="12">
        <f t="shared" si="202"/>
        <v>0.57499999999999996</v>
      </c>
      <c r="S1031" s="1">
        <v>5</v>
      </c>
      <c r="T1031" s="1">
        <v>6</v>
      </c>
      <c r="U1031" s="1">
        <f t="shared" si="206"/>
        <v>11</v>
      </c>
      <c r="V1031" s="12">
        <f t="shared" si="203"/>
        <v>0.55000000000000004</v>
      </c>
      <c r="Z1031" s="1">
        <f t="shared" si="207"/>
        <v>0</v>
      </c>
      <c r="AB1031" s="2" t="s">
        <v>1323</v>
      </c>
    </row>
    <row r="1032" spans="1:28" x14ac:dyDescent="0.25">
      <c r="A1032" s="1" t="s">
        <v>1676</v>
      </c>
      <c r="B1032" s="1" t="s">
        <v>35</v>
      </c>
      <c r="C1032" s="1" t="s">
        <v>861</v>
      </c>
      <c r="D1032" s="1">
        <v>4</v>
      </c>
      <c r="E1032" s="1">
        <v>3</v>
      </c>
      <c r="F1032" s="1">
        <v>5</v>
      </c>
      <c r="G1032" s="1">
        <v>7</v>
      </c>
      <c r="H1032" s="1">
        <v>5</v>
      </c>
      <c r="I1032" s="1">
        <v>6</v>
      </c>
      <c r="J1032" s="1">
        <v>6</v>
      </c>
      <c r="K1032" s="1">
        <f t="shared" si="204"/>
        <v>24</v>
      </c>
      <c r="L1032" s="12">
        <f t="shared" si="201"/>
        <v>0.6</v>
      </c>
      <c r="M1032" s="1">
        <v>7</v>
      </c>
      <c r="N1032" s="1">
        <v>5</v>
      </c>
      <c r="O1032" s="1">
        <v>6</v>
      </c>
      <c r="P1032" s="1">
        <v>6</v>
      </c>
      <c r="Q1032" s="1">
        <f t="shared" si="205"/>
        <v>24</v>
      </c>
      <c r="R1032" s="12">
        <f t="shared" si="202"/>
        <v>0.6</v>
      </c>
      <c r="S1032" s="1">
        <v>6</v>
      </c>
      <c r="T1032" s="1">
        <v>6</v>
      </c>
      <c r="U1032" s="1">
        <f t="shared" si="206"/>
        <v>12</v>
      </c>
      <c r="V1032" s="12">
        <f t="shared" si="203"/>
        <v>0.6</v>
      </c>
      <c r="Z1032" s="1">
        <f t="shared" si="207"/>
        <v>0</v>
      </c>
      <c r="AB1032" s="2" t="s">
        <v>1324</v>
      </c>
    </row>
    <row r="1033" spans="1:28" x14ac:dyDescent="0.25">
      <c r="A1033" s="1" t="s">
        <v>1676</v>
      </c>
      <c r="B1033" s="1" t="s">
        <v>35</v>
      </c>
      <c r="C1033" s="1" t="s">
        <v>861</v>
      </c>
      <c r="D1033" s="1">
        <v>4</v>
      </c>
      <c r="E1033" s="1">
        <v>3</v>
      </c>
      <c r="F1033" s="1">
        <v>5</v>
      </c>
      <c r="G1033" s="1">
        <v>7</v>
      </c>
      <c r="H1033" s="1">
        <v>6</v>
      </c>
      <c r="I1033" s="1">
        <v>6</v>
      </c>
      <c r="J1033" s="1">
        <v>7</v>
      </c>
      <c r="K1033" s="1">
        <f t="shared" si="204"/>
        <v>26</v>
      </c>
      <c r="L1033" s="12">
        <f t="shared" si="201"/>
        <v>0.65</v>
      </c>
      <c r="M1033" s="1">
        <v>7</v>
      </c>
      <c r="N1033" s="1">
        <v>6</v>
      </c>
      <c r="O1033" s="1">
        <v>6</v>
      </c>
      <c r="P1033" s="1">
        <v>7</v>
      </c>
      <c r="Q1033" s="1">
        <f t="shared" si="205"/>
        <v>26</v>
      </c>
      <c r="R1033" s="12">
        <f t="shared" si="202"/>
        <v>0.65</v>
      </c>
      <c r="S1033" s="1">
        <v>6</v>
      </c>
      <c r="T1033" s="1">
        <v>6</v>
      </c>
      <c r="U1033" s="1">
        <f t="shared" si="206"/>
        <v>12</v>
      </c>
      <c r="V1033" s="12">
        <f t="shared" si="203"/>
        <v>0.6</v>
      </c>
      <c r="Z1033" s="1">
        <f t="shared" si="207"/>
        <v>0</v>
      </c>
      <c r="AB1033" s="2" t="s">
        <v>1325</v>
      </c>
    </row>
    <row r="1034" spans="1:28" x14ac:dyDescent="0.25">
      <c r="A1034" s="1" t="s">
        <v>1676</v>
      </c>
      <c r="B1034" s="1" t="s">
        <v>35</v>
      </c>
      <c r="C1034" s="1" t="s">
        <v>861</v>
      </c>
      <c r="D1034" s="1">
        <v>4</v>
      </c>
      <c r="E1034" s="1">
        <v>3</v>
      </c>
      <c r="F1034" s="1">
        <v>5</v>
      </c>
      <c r="G1034" s="1">
        <v>7</v>
      </c>
      <c r="H1034" s="1">
        <v>6</v>
      </c>
      <c r="I1034" s="1">
        <v>6</v>
      </c>
      <c r="J1034" s="1">
        <v>8</v>
      </c>
      <c r="K1034" s="1">
        <f t="shared" si="204"/>
        <v>27</v>
      </c>
      <c r="L1034" s="12">
        <f t="shared" si="201"/>
        <v>0.67500000000000004</v>
      </c>
      <c r="M1034" s="1">
        <v>7</v>
      </c>
      <c r="N1034" s="1">
        <v>6</v>
      </c>
      <c r="O1034" s="1">
        <v>7</v>
      </c>
      <c r="P1034" s="1">
        <v>6</v>
      </c>
      <c r="Q1034" s="1">
        <f t="shared" si="205"/>
        <v>26</v>
      </c>
      <c r="R1034" s="12">
        <f t="shared" si="202"/>
        <v>0.65</v>
      </c>
      <c r="S1034" s="1">
        <v>6</v>
      </c>
      <c r="T1034" s="1">
        <v>6</v>
      </c>
      <c r="U1034" s="1">
        <f t="shared" si="206"/>
        <v>12</v>
      </c>
      <c r="V1034" s="12">
        <f t="shared" si="203"/>
        <v>0.6</v>
      </c>
      <c r="Z1034" s="1">
        <f t="shared" si="207"/>
        <v>0</v>
      </c>
      <c r="AB1034" s="2" t="s">
        <v>1326</v>
      </c>
    </row>
    <row r="1035" spans="1:28" x14ac:dyDescent="0.25">
      <c r="A1035" s="1" t="s">
        <v>1676</v>
      </c>
      <c r="B1035" s="1" t="s">
        <v>35</v>
      </c>
      <c r="C1035" s="1" t="s">
        <v>861</v>
      </c>
      <c r="D1035" s="1">
        <v>4</v>
      </c>
      <c r="E1035" s="1">
        <v>3</v>
      </c>
      <c r="F1035" s="1">
        <v>5</v>
      </c>
      <c r="G1035" s="1">
        <v>7</v>
      </c>
      <c r="H1035" s="1">
        <v>7</v>
      </c>
      <c r="I1035" s="1">
        <v>8</v>
      </c>
      <c r="J1035" s="1">
        <v>7</v>
      </c>
      <c r="K1035" s="1">
        <f t="shared" si="204"/>
        <v>29</v>
      </c>
      <c r="L1035" s="12">
        <f t="shared" si="201"/>
        <v>0.72499999999999998</v>
      </c>
      <c r="M1035" s="1">
        <v>7</v>
      </c>
      <c r="N1035" s="1">
        <v>6</v>
      </c>
      <c r="O1035" s="1">
        <v>7</v>
      </c>
      <c r="P1035" s="1">
        <v>6</v>
      </c>
      <c r="Q1035" s="1">
        <f t="shared" si="205"/>
        <v>26</v>
      </c>
      <c r="R1035" s="12">
        <f t="shared" si="202"/>
        <v>0.65</v>
      </c>
      <c r="S1035" s="1">
        <v>6</v>
      </c>
      <c r="T1035" s="1">
        <v>6</v>
      </c>
      <c r="U1035" s="1">
        <f t="shared" si="206"/>
        <v>12</v>
      </c>
      <c r="V1035" s="12">
        <f t="shared" si="203"/>
        <v>0.6</v>
      </c>
      <c r="Z1035" s="1">
        <f t="shared" si="207"/>
        <v>0</v>
      </c>
      <c r="AB1035" s="2" t="s">
        <v>1327</v>
      </c>
    </row>
    <row r="1036" spans="1:28" x14ac:dyDescent="0.25">
      <c r="A1036" s="1" t="s">
        <v>1676</v>
      </c>
      <c r="B1036" s="1" t="s">
        <v>35</v>
      </c>
      <c r="C1036" s="1" t="s">
        <v>861</v>
      </c>
      <c r="D1036" s="1">
        <v>4</v>
      </c>
      <c r="E1036" s="1">
        <v>3</v>
      </c>
      <c r="F1036" s="1">
        <v>5</v>
      </c>
      <c r="G1036" s="1">
        <v>7</v>
      </c>
      <c r="H1036" s="1">
        <v>7</v>
      </c>
      <c r="I1036" s="1">
        <v>7</v>
      </c>
      <c r="J1036" s="1">
        <v>8</v>
      </c>
      <c r="K1036" s="1">
        <f t="shared" si="204"/>
        <v>29</v>
      </c>
      <c r="L1036" s="12">
        <f t="shared" si="201"/>
        <v>0.72499999999999998</v>
      </c>
      <c r="M1036" s="1">
        <v>8</v>
      </c>
      <c r="N1036" s="1">
        <v>7</v>
      </c>
      <c r="O1036" s="1">
        <v>7</v>
      </c>
      <c r="P1036" s="1">
        <v>7</v>
      </c>
      <c r="Q1036" s="1">
        <f t="shared" si="205"/>
        <v>29</v>
      </c>
      <c r="R1036" s="12">
        <f t="shared" si="202"/>
        <v>0.72499999999999998</v>
      </c>
      <c r="S1036" s="1">
        <v>6</v>
      </c>
      <c r="T1036" s="1">
        <v>6</v>
      </c>
      <c r="U1036" s="1">
        <f t="shared" si="206"/>
        <v>12</v>
      </c>
      <c r="V1036" s="12">
        <f t="shared" si="203"/>
        <v>0.6</v>
      </c>
      <c r="Z1036" s="1">
        <f t="shared" si="207"/>
        <v>0</v>
      </c>
      <c r="AB1036" s="2" t="s">
        <v>1328</v>
      </c>
    </row>
    <row r="1037" spans="1:28" x14ac:dyDescent="0.25">
      <c r="A1037" s="1" t="s">
        <v>1676</v>
      </c>
      <c r="B1037" s="1" t="s">
        <v>35</v>
      </c>
      <c r="C1037" s="1" t="s">
        <v>861</v>
      </c>
      <c r="D1037" s="1">
        <v>4</v>
      </c>
      <c r="E1037" s="1">
        <v>3</v>
      </c>
      <c r="F1037" s="1">
        <v>5</v>
      </c>
      <c r="G1037" s="1">
        <v>8</v>
      </c>
      <c r="H1037" s="1">
        <v>5</v>
      </c>
      <c r="I1037" s="1">
        <v>7</v>
      </c>
      <c r="J1037" s="1">
        <v>7</v>
      </c>
      <c r="K1037" s="1">
        <f t="shared" si="204"/>
        <v>27</v>
      </c>
      <c r="L1037" s="12">
        <f t="shared" si="201"/>
        <v>0.67500000000000004</v>
      </c>
      <c r="M1037" s="1">
        <v>6</v>
      </c>
      <c r="N1037" s="1">
        <v>7</v>
      </c>
      <c r="O1037" s="1">
        <v>8</v>
      </c>
      <c r="P1037" s="1">
        <v>7</v>
      </c>
      <c r="Q1037" s="1">
        <f t="shared" si="205"/>
        <v>28</v>
      </c>
      <c r="R1037" s="12">
        <f t="shared" si="202"/>
        <v>0.7</v>
      </c>
      <c r="S1037" s="1">
        <v>7</v>
      </c>
      <c r="T1037" s="1">
        <v>5</v>
      </c>
      <c r="U1037" s="1">
        <f t="shared" si="206"/>
        <v>12</v>
      </c>
      <c r="V1037" s="12">
        <f t="shared" si="203"/>
        <v>0.6</v>
      </c>
      <c r="Z1037" s="1">
        <f t="shared" si="207"/>
        <v>0</v>
      </c>
      <c r="AB1037" s="2" t="s">
        <v>1329</v>
      </c>
    </row>
    <row r="1038" spans="1:28" x14ac:dyDescent="0.25">
      <c r="A1038" s="1" t="s">
        <v>1676</v>
      </c>
      <c r="B1038" s="1" t="s">
        <v>576</v>
      </c>
      <c r="C1038" s="1" t="s">
        <v>861</v>
      </c>
      <c r="D1038" s="1">
        <v>25</v>
      </c>
      <c r="E1038" s="1">
        <v>2</v>
      </c>
      <c r="F1038" s="1">
        <v>4</v>
      </c>
      <c r="G1038" s="1">
        <v>7</v>
      </c>
      <c r="H1038" s="1">
        <v>6</v>
      </c>
      <c r="I1038" s="1">
        <v>6</v>
      </c>
      <c r="J1038" s="1">
        <v>6</v>
      </c>
      <c r="K1038" s="1">
        <f t="shared" si="204"/>
        <v>25</v>
      </c>
      <c r="L1038" s="12">
        <f t="shared" si="201"/>
        <v>0.625</v>
      </c>
      <c r="M1038" s="1">
        <v>6</v>
      </c>
      <c r="N1038" s="1">
        <v>6</v>
      </c>
      <c r="O1038" s="1">
        <v>5</v>
      </c>
      <c r="P1038" s="1">
        <v>6</v>
      </c>
      <c r="Q1038" s="1">
        <f t="shared" si="205"/>
        <v>23</v>
      </c>
      <c r="R1038" s="12">
        <f t="shared" si="202"/>
        <v>0.57499999999999996</v>
      </c>
      <c r="S1038" s="1">
        <v>6</v>
      </c>
      <c r="T1038" s="1">
        <v>6</v>
      </c>
      <c r="U1038" s="1">
        <f t="shared" si="206"/>
        <v>12</v>
      </c>
      <c r="V1038" s="12">
        <f t="shared" si="203"/>
        <v>0.6</v>
      </c>
      <c r="Z1038" s="1">
        <f t="shared" si="207"/>
        <v>0</v>
      </c>
      <c r="AB1038" s="2" t="s">
        <v>1505</v>
      </c>
    </row>
    <row r="1039" spans="1:28" x14ac:dyDescent="0.25">
      <c r="A1039" s="1" t="s">
        <v>1676</v>
      </c>
      <c r="B1039" s="1" t="s">
        <v>576</v>
      </c>
      <c r="C1039" s="1" t="s">
        <v>861</v>
      </c>
      <c r="D1039" s="1">
        <v>25</v>
      </c>
      <c r="E1039" s="1">
        <v>2</v>
      </c>
      <c r="F1039" s="1">
        <v>4</v>
      </c>
      <c r="G1039" s="1">
        <v>7</v>
      </c>
      <c r="H1039" s="1">
        <v>6</v>
      </c>
      <c r="I1039" s="1">
        <v>6</v>
      </c>
      <c r="J1039" s="1">
        <v>6</v>
      </c>
      <c r="K1039" s="1">
        <f t="shared" si="204"/>
        <v>25</v>
      </c>
      <c r="L1039" s="12">
        <f t="shared" si="201"/>
        <v>0.625</v>
      </c>
      <c r="M1039" s="1">
        <v>6</v>
      </c>
      <c r="N1039" s="1">
        <v>6</v>
      </c>
      <c r="O1039" s="1">
        <v>6</v>
      </c>
      <c r="P1039" s="1">
        <v>6</v>
      </c>
      <c r="Q1039" s="1">
        <f t="shared" si="205"/>
        <v>24</v>
      </c>
      <c r="R1039" s="12">
        <f t="shared" si="202"/>
        <v>0.6</v>
      </c>
      <c r="S1039" s="1">
        <v>5</v>
      </c>
      <c r="T1039" s="1">
        <v>5</v>
      </c>
      <c r="U1039" s="1">
        <f t="shared" si="206"/>
        <v>10</v>
      </c>
      <c r="V1039" s="12">
        <f t="shared" si="203"/>
        <v>0.5</v>
      </c>
      <c r="Z1039" s="1">
        <f t="shared" si="207"/>
        <v>0</v>
      </c>
      <c r="AB1039" s="2" t="s">
        <v>1506</v>
      </c>
    </row>
    <row r="1040" spans="1:28" x14ac:dyDescent="0.25">
      <c r="A1040" s="1" t="s">
        <v>1676</v>
      </c>
      <c r="B1040" s="1" t="s">
        <v>576</v>
      </c>
      <c r="C1040" s="1" t="s">
        <v>861</v>
      </c>
      <c r="D1040" s="1">
        <v>25</v>
      </c>
      <c r="E1040" s="1">
        <v>2</v>
      </c>
      <c r="F1040" s="1">
        <v>4</v>
      </c>
      <c r="G1040" s="1">
        <v>8</v>
      </c>
      <c r="H1040" s="1">
        <v>8</v>
      </c>
      <c r="I1040" s="1">
        <v>8</v>
      </c>
      <c r="J1040" s="1">
        <v>7</v>
      </c>
      <c r="K1040" s="1">
        <f t="shared" si="204"/>
        <v>31</v>
      </c>
      <c r="L1040" s="12">
        <f t="shared" si="201"/>
        <v>0.77500000000000002</v>
      </c>
      <c r="M1040" s="1">
        <v>7</v>
      </c>
      <c r="N1040" s="1">
        <v>7</v>
      </c>
      <c r="O1040" s="1">
        <v>7</v>
      </c>
      <c r="P1040" s="1">
        <v>7</v>
      </c>
      <c r="Q1040" s="1">
        <f t="shared" si="205"/>
        <v>28</v>
      </c>
      <c r="R1040" s="12">
        <f t="shared" si="202"/>
        <v>0.7</v>
      </c>
      <c r="S1040" s="1">
        <v>6</v>
      </c>
      <c r="T1040" s="1">
        <v>6</v>
      </c>
      <c r="U1040" s="1">
        <f t="shared" si="206"/>
        <v>12</v>
      </c>
      <c r="V1040" s="12">
        <f t="shared" si="203"/>
        <v>0.6</v>
      </c>
      <c r="Z1040" s="1">
        <f t="shared" si="207"/>
        <v>0</v>
      </c>
      <c r="AB1040" s="2" t="s">
        <v>1507</v>
      </c>
    </row>
    <row r="1041" spans="1:28" x14ac:dyDescent="0.25">
      <c r="A1041" s="1" t="s">
        <v>1676</v>
      </c>
      <c r="B1041" s="1" t="s">
        <v>576</v>
      </c>
      <c r="C1041" s="1" t="s">
        <v>861</v>
      </c>
      <c r="D1041" s="1">
        <v>25</v>
      </c>
      <c r="E1041" s="1">
        <v>2</v>
      </c>
      <c r="F1041" s="1">
        <v>4</v>
      </c>
      <c r="G1041" s="1">
        <v>5</v>
      </c>
      <c r="H1041" s="1">
        <v>5</v>
      </c>
      <c r="I1041" s="1">
        <v>5</v>
      </c>
      <c r="J1041" s="1">
        <v>5</v>
      </c>
      <c r="K1041" s="1">
        <f t="shared" si="204"/>
        <v>20</v>
      </c>
      <c r="L1041" s="12">
        <f t="shared" si="201"/>
        <v>0.5</v>
      </c>
      <c r="M1041" s="1">
        <v>4</v>
      </c>
      <c r="N1041" s="1">
        <v>4</v>
      </c>
      <c r="O1041" s="1">
        <v>4</v>
      </c>
      <c r="P1041" s="1">
        <v>4</v>
      </c>
      <c r="Q1041" s="1">
        <f t="shared" si="205"/>
        <v>16</v>
      </c>
      <c r="R1041" s="12">
        <f t="shared" si="202"/>
        <v>0.4</v>
      </c>
      <c r="S1041" s="1">
        <v>4</v>
      </c>
      <c r="T1041" s="1">
        <v>3</v>
      </c>
      <c r="U1041" s="1">
        <f t="shared" si="206"/>
        <v>7</v>
      </c>
      <c r="V1041" s="12">
        <f t="shared" si="203"/>
        <v>0.35</v>
      </c>
      <c r="Z1041" s="1">
        <f t="shared" si="207"/>
        <v>0</v>
      </c>
      <c r="AB1041" s="2" t="s">
        <v>1508</v>
      </c>
    </row>
    <row r="1042" spans="1:28" x14ac:dyDescent="0.25">
      <c r="A1042" s="1" t="s">
        <v>1676</v>
      </c>
      <c r="B1042" s="1" t="s">
        <v>576</v>
      </c>
      <c r="C1042" s="1" t="s">
        <v>861</v>
      </c>
      <c r="D1042" s="1">
        <v>25</v>
      </c>
      <c r="E1042" s="1">
        <v>2</v>
      </c>
      <c r="F1042" s="1">
        <v>4</v>
      </c>
      <c r="G1042" s="1">
        <v>8</v>
      </c>
      <c r="H1042" s="1">
        <v>7</v>
      </c>
      <c r="I1042" s="1">
        <v>7</v>
      </c>
      <c r="J1042" s="1">
        <v>7</v>
      </c>
      <c r="K1042" s="1">
        <f t="shared" si="204"/>
        <v>29</v>
      </c>
      <c r="L1042" s="12">
        <f t="shared" si="201"/>
        <v>0.72499999999999998</v>
      </c>
      <c r="M1042" s="1">
        <v>8</v>
      </c>
      <c r="N1042" s="1">
        <v>7</v>
      </c>
      <c r="O1042" s="1">
        <v>7</v>
      </c>
      <c r="P1042" s="1">
        <v>7</v>
      </c>
      <c r="Q1042" s="1">
        <f t="shared" si="205"/>
        <v>29</v>
      </c>
      <c r="R1042" s="12">
        <f t="shared" si="202"/>
        <v>0.72499999999999998</v>
      </c>
      <c r="S1042" s="1">
        <v>6</v>
      </c>
      <c r="T1042" s="1">
        <v>7</v>
      </c>
      <c r="U1042" s="1">
        <f t="shared" si="206"/>
        <v>13</v>
      </c>
      <c r="V1042" s="12">
        <f t="shared" si="203"/>
        <v>0.65</v>
      </c>
      <c r="Z1042" s="1">
        <f t="shared" si="207"/>
        <v>0</v>
      </c>
      <c r="AB1042" s="2" t="s">
        <v>1509</v>
      </c>
    </row>
    <row r="1043" spans="1:28" x14ac:dyDescent="0.25">
      <c r="A1043" s="1" t="s">
        <v>1676</v>
      </c>
      <c r="B1043" s="1" t="s">
        <v>576</v>
      </c>
      <c r="C1043" s="1" t="s">
        <v>861</v>
      </c>
      <c r="D1043" s="1">
        <v>25</v>
      </c>
      <c r="E1043" s="1">
        <v>2</v>
      </c>
      <c r="F1043" s="1">
        <v>4</v>
      </c>
      <c r="G1043" s="1">
        <v>7</v>
      </c>
      <c r="H1043" s="1">
        <v>5</v>
      </c>
      <c r="I1043" s="1">
        <v>5</v>
      </c>
      <c r="J1043" s="1">
        <v>6</v>
      </c>
      <c r="K1043" s="1">
        <f t="shared" si="204"/>
        <v>23</v>
      </c>
      <c r="L1043" s="12">
        <f t="shared" si="201"/>
        <v>0.57499999999999996</v>
      </c>
      <c r="M1043" s="1">
        <v>6</v>
      </c>
      <c r="N1043" s="1">
        <v>6</v>
      </c>
      <c r="O1043" s="1">
        <v>6</v>
      </c>
      <c r="P1043" s="1">
        <v>6</v>
      </c>
      <c r="Q1043" s="1">
        <f t="shared" si="205"/>
        <v>24</v>
      </c>
      <c r="R1043" s="12">
        <f t="shared" si="202"/>
        <v>0.6</v>
      </c>
      <c r="S1043" s="1">
        <v>6</v>
      </c>
      <c r="T1043" s="1">
        <v>5</v>
      </c>
      <c r="U1043" s="1">
        <f t="shared" si="206"/>
        <v>11</v>
      </c>
      <c r="V1043" s="12">
        <f t="shared" si="203"/>
        <v>0.55000000000000004</v>
      </c>
      <c r="Z1043" s="1">
        <f t="shared" si="207"/>
        <v>0</v>
      </c>
      <c r="AB1043" s="2" t="s">
        <v>1510</v>
      </c>
    </row>
    <row r="1044" spans="1:28" x14ac:dyDescent="0.25">
      <c r="A1044" s="1" t="s">
        <v>1677</v>
      </c>
      <c r="B1044" s="1" t="s">
        <v>576</v>
      </c>
      <c r="C1044" s="1" t="s">
        <v>861</v>
      </c>
      <c r="D1044" s="1">
        <v>24</v>
      </c>
      <c r="E1044" s="1">
        <v>1</v>
      </c>
      <c r="F1044" s="1">
        <v>4</v>
      </c>
      <c r="G1044" s="1">
        <v>7</v>
      </c>
      <c r="H1044" s="1">
        <v>8</v>
      </c>
      <c r="I1044" s="1">
        <v>8</v>
      </c>
      <c r="J1044" s="1">
        <v>5</v>
      </c>
      <c r="K1044" s="1">
        <f t="shared" si="204"/>
        <v>28</v>
      </c>
      <c r="L1044" s="12">
        <f t="shared" si="201"/>
        <v>0.7</v>
      </c>
      <c r="M1044" s="1">
        <v>4</v>
      </c>
      <c r="N1044" s="1">
        <v>6</v>
      </c>
      <c r="O1044" s="1">
        <v>8</v>
      </c>
      <c r="P1044" s="1">
        <v>7</v>
      </c>
      <c r="Q1044" s="1">
        <f t="shared" si="205"/>
        <v>25</v>
      </c>
      <c r="R1044" s="12">
        <f t="shared" si="202"/>
        <v>0.625</v>
      </c>
      <c r="S1044" s="1">
        <v>7</v>
      </c>
      <c r="T1044" s="1">
        <v>7</v>
      </c>
      <c r="U1044" s="1">
        <f t="shared" si="206"/>
        <v>14</v>
      </c>
      <c r="V1044" s="12">
        <f t="shared" si="203"/>
        <v>0.7</v>
      </c>
      <c r="Z1044" s="1">
        <f t="shared" si="207"/>
        <v>0</v>
      </c>
      <c r="AB1044" s="2" t="s">
        <v>1421</v>
      </c>
    </row>
    <row r="1045" spans="1:28" x14ac:dyDescent="0.25">
      <c r="A1045" s="1" t="s">
        <v>1677</v>
      </c>
      <c r="B1045" s="1" t="s">
        <v>576</v>
      </c>
      <c r="C1045" s="1" t="s">
        <v>861</v>
      </c>
      <c r="D1045" s="1">
        <v>24</v>
      </c>
      <c r="E1045" s="1">
        <v>1</v>
      </c>
      <c r="F1045" s="1">
        <v>4</v>
      </c>
      <c r="G1045" s="1">
        <v>8</v>
      </c>
      <c r="H1045" s="1">
        <v>9</v>
      </c>
      <c r="I1045" s="1">
        <v>10</v>
      </c>
      <c r="J1045" s="1">
        <v>10</v>
      </c>
      <c r="K1045" s="1">
        <f t="shared" si="204"/>
        <v>37</v>
      </c>
      <c r="L1045" s="12">
        <f t="shared" si="201"/>
        <v>0.92500000000000004</v>
      </c>
      <c r="M1045" s="1">
        <v>6</v>
      </c>
      <c r="N1045" s="1">
        <v>10</v>
      </c>
      <c r="O1045" s="1">
        <v>10</v>
      </c>
      <c r="P1045" s="1">
        <v>8</v>
      </c>
      <c r="Q1045" s="1">
        <f t="shared" si="205"/>
        <v>34</v>
      </c>
      <c r="R1045" s="12">
        <f t="shared" si="202"/>
        <v>0.85</v>
      </c>
      <c r="S1045" s="1">
        <v>10</v>
      </c>
      <c r="T1045" s="1">
        <v>8</v>
      </c>
      <c r="U1045" s="1">
        <f t="shared" si="206"/>
        <v>18</v>
      </c>
      <c r="V1045" s="12">
        <f t="shared" si="203"/>
        <v>0.9</v>
      </c>
      <c r="Z1045" s="1">
        <f t="shared" si="207"/>
        <v>0</v>
      </c>
      <c r="AB1045" s="2" t="s">
        <v>1422</v>
      </c>
    </row>
    <row r="1046" spans="1:28" x14ac:dyDescent="0.25">
      <c r="A1046" s="1" t="s">
        <v>1677</v>
      </c>
      <c r="B1046" s="1" t="s">
        <v>576</v>
      </c>
      <c r="C1046" s="1" t="s">
        <v>861</v>
      </c>
      <c r="D1046" s="1">
        <v>24</v>
      </c>
      <c r="E1046" s="1">
        <v>1</v>
      </c>
      <c r="F1046" s="1">
        <v>4</v>
      </c>
      <c r="G1046" s="1">
        <v>7</v>
      </c>
      <c r="H1046" s="1">
        <v>7</v>
      </c>
      <c r="I1046" s="1">
        <v>7</v>
      </c>
      <c r="J1046" s="1">
        <v>7</v>
      </c>
      <c r="K1046" s="1">
        <f t="shared" si="204"/>
        <v>28</v>
      </c>
      <c r="L1046" s="12">
        <f t="shared" si="201"/>
        <v>0.7</v>
      </c>
      <c r="M1046" s="1">
        <v>6</v>
      </c>
      <c r="N1046" s="1">
        <v>6</v>
      </c>
      <c r="O1046" s="1">
        <v>6</v>
      </c>
      <c r="P1046" s="1">
        <v>7</v>
      </c>
      <c r="Q1046" s="1">
        <f t="shared" si="205"/>
        <v>25</v>
      </c>
      <c r="R1046" s="12">
        <f t="shared" si="202"/>
        <v>0.625</v>
      </c>
      <c r="S1046" s="1">
        <v>7</v>
      </c>
      <c r="T1046" s="1">
        <v>7</v>
      </c>
      <c r="U1046" s="1">
        <f t="shared" si="206"/>
        <v>14</v>
      </c>
      <c r="V1046" s="12">
        <f t="shared" si="203"/>
        <v>0.7</v>
      </c>
      <c r="Z1046" s="1">
        <f t="shared" si="207"/>
        <v>0</v>
      </c>
      <c r="AB1046" s="2" t="s">
        <v>1423</v>
      </c>
    </row>
    <row r="1047" spans="1:28" x14ac:dyDescent="0.25">
      <c r="A1047" s="1" t="s">
        <v>1677</v>
      </c>
      <c r="B1047" s="1" t="s">
        <v>576</v>
      </c>
      <c r="C1047" s="1" t="s">
        <v>861</v>
      </c>
      <c r="D1047" s="1">
        <v>24</v>
      </c>
      <c r="E1047" s="1">
        <v>1</v>
      </c>
      <c r="F1047" s="1">
        <v>4</v>
      </c>
      <c r="G1047" s="1">
        <v>6</v>
      </c>
      <c r="H1047" s="1">
        <v>5</v>
      </c>
      <c r="I1047" s="1">
        <v>5</v>
      </c>
      <c r="J1047" s="1">
        <v>5</v>
      </c>
      <c r="K1047" s="1">
        <f t="shared" si="204"/>
        <v>21</v>
      </c>
      <c r="L1047" s="12">
        <f t="shared" si="201"/>
        <v>0.52500000000000002</v>
      </c>
      <c r="M1047" s="1">
        <v>6</v>
      </c>
      <c r="N1047" s="1">
        <v>7</v>
      </c>
      <c r="O1047" s="1">
        <v>5</v>
      </c>
      <c r="P1047" s="1">
        <v>7</v>
      </c>
      <c r="Q1047" s="1">
        <f t="shared" si="205"/>
        <v>25</v>
      </c>
      <c r="R1047" s="12">
        <f t="shared" si="202"/>
        <v>0.625</v>
      </c>
      <c r="S1047" s="1">
        <v>7</v>
      </c>
      <c r="T1047" s="1">
        <v>7</v>
      </c>
      <c r="U1047" s="1">
        <f t="shared" si="206"/>
        <v>14</v>
      </c>
      <c r="V1047" s="12">
        <f t="shared" si="203"/>
        <v>0.7</v>
      </c>
      <c r="Z1047" s="1">
        <f t="shared" si="207"/>
        <v>0</v>
      </c>
      <c r="AB1047" s="2" t="s">
        <v>1424</v>
      </c>
    </row>
    <row r="1048" spans="1:28" x14ac:dyDescent="0.25">
      <c r="A1048" s="1" t="s">
        <v>1677</v>
      </c>
      <c r="B1048" s="1" t="s">
        <v>576</v>
      </c>
      <c r="C1048" s="1" t="s">
        <v>861</v>
      </c>
      <c r="D1048" s="1">
        <v>24</v>
      </c>
      <c r="E1048" s="1">
        <v>1</v>
      </c>
      <c r="F1048" s="1">
        <v>4</v>
      </c>
      <c r="G1048" s="1">
        <v>8</v>
      </c>
      <c r="H1048" s="1">
        <v>7</v>
      </c>
      <c r="I1048" s="1">
        <v>6</v>
      </c>
      <c r="J1048" s="1">
        <v>6</v>
      </c>
      <c r="K1048" s="1">
        <f t="shared" si="204"/>
        <v>27</v>
      </c>
      <c r="L1048" s="12">
        <f t="shared" si="201"/>
        <v>0.67500000000000004</v>
      </c>
      <c r="M1048" s="1">
        <v>7</v>
      </c>
      <c r="N1048" s="1">
        <v>9</v>
      </c>
      <c r="O1048" s="1">
        <v>8</v>
      </c>
      <c r="P1048" s="1">
        <v>8</v>
      </c>
      <c r="Q1048" s="1">
        <f t="shared" si="205"/>
        <v>32</v>
      </c>
      <c r="R1048" s="12">
        <f t="shared" si="202"/>
        <v>0.8</v>
      </c>
      <c r="S1048" s="1">
        <v>8</v>
      </c>
      <c r="T1048" s="1">
        <v>8</v>
      </c>
      <c r="U1048" s="1">
        <f t="shared" si="206"/>
        <v>16</v>
      </c>
      <c r="V1048" s="12">
        <f t="shared" si="203"/>
        <v>0.8</v>
      </c>
      <c r="Z1048" s="1">
        <f t="shared" si="207"/>
        <v>0</v>
      </c>
      <c r="AB1048" s="2" t="s">
        <v>1425</v>
      </c>
    </row>
    <row r="1049" spans="1:28" x14ac:dyDescent="0.25">
      <c r="A1049" s="1" t="s">
        <v>1677</v>
      </c>
      <c r="B1049" s="1" t="s">
        <v>576</v>
      </c>
      <c r="C1049" s="1" t="s">
        <v>861</v>
      </c>
      <c r="D1049" s="1">
        <v>24</v>
      </c>
      <c r="E1049" s="1">
        <v>1</v>
      </c>
      <c r="F1049" s="1">
        <v>4</v>
      </c>
      <c r="G1049" s="1">
        <v>8</v>
      </c>
      <c r="H1049" s="1">
        <v>6</v>
      </c>
      <c r="I1049" s="1">
        <v>7</v>
      </c>
      <c r="J1049" s="1">
        <v>7</v>
      </c>
      <c r="K1049" s="1">
        <f t="shared" si="204"/>
        <v>28</v>
      </c>
      <c r="L1049" s="12">
        <f t="shared" si="201"/>
        <v>0.7</v>
      </c>
      <c r="M1049" s="1">
        <v>7</v>
      </c>
      <c r="N1049" s="1">
        <v>8</v>
      </c>
      <c r="O1049" s="1">
        <v>7</v>
      </c>
      <c r="P1049" s="1">
        <v>7</v>
      </c>
      <c r="Q1049" s="1">
        <f t="shared" si="205"/>
        <v>29</v>
      </c>
      <c r="R1049" s="12">
        <f t="shared" si="202"/>
        <v>0.72499999999999998</v>
      </c>
      <c r="S1049" s="1">
        <v>7</v>
      </c>
      <c r="T1049" s="1">
        <v>8</v>
      </c>
      <c r="U1049" s="1">
        <f t="shared" si="206"/>
        <v>15</v>
      </c>
      <c r="V1049" s="12">
        <f t="shared" si="203"/>
        <v>0.75</v>
      </c>
      <c r="Z1049" s="1">
        <f t="shared" si="207"/>
        <v>0</v>
      </c>
      <c r="AB1049" s="2" t="s">
        <v>1426</v>
      </c>
    </row>
    <row r="1050" spans="1:28" x14ac:dyDescent="0.25">
      <c r="A1050" s="1" t="s">
        <v>1677</v>
      </c>
      <c r="B1050" s="1" t="s">
        <v>576</v>
      </c>
      <c r="C1050" s="1" t="s">
        <v>861</v>
      </c>
      <c r="D1050" s="1">
        <v>25</v>
      </c>
      <c r="E1050" s="1">
        <v>2</v>
      </c>
      <c r="F1050" s="1">
        <v>3</v>
      </c>
      <c r="G1050" s="1">
        <v>7</v>
      </c>
      <c r="H1050" s="1">
        <v>7</v>
      </c>
      <c r="I1050" s="1">
        <v>6</v>
      </c>
      <c r="J1050" s="1">
        <v>7</v>
      </c>
      <c r="K1050" s="1">
        <f t="shared" si="204"/>
        <v>27</v>
      </c>
      <c r="L1050" s="12">
        <f t="shared" si="201"/>
        <v>0.67500000000000004</v>
      </c>
      <c r="M1050" s="1">
        <v>9</v>
      </c>
      <c r="N1050" s="1">
        <v>7</v>
      </c>
      <c r="O1050" s="1">
        <v>6</v>
      </c>
      <c r="P1050" s="1">
        <v>7</v>
      </c>
      <c r="Q1050" s="1">
        <f t="shared" si="205"/>
        <v>29</v>
      </c>
      <c r="R1050" s="12">
        <f t="shared" si="202"/>
        <v>0.72499999999999998</v>
      </c>
      <c r="S1050" s="1">
        <v>6</v>
      </c>
      <c r="T1050" s="1">
        <v>6</v>
      </c>
      <c r="U1050" s="1">
        <f t="shared" si="206"/>
        <v>12</v>
      </c>
      <c r="V1050" s="12">
        <f t="shared" si="203"/>
        <v>0.6</v>
      </c>
      <c r="Z1050" s="1">
        <f t="shared" si="207"/>
        <v>0</v>
      </c>
      <c r="AB1050" s="2" t="s">
        <v>1493</v>
      </c>
    </row>
    <row r="1051" spans="1:28" x14ac:dyDescent="0.25">
      <c r="A1051" s="1" t="s">
        <v>1677</v>
      </c>
      <c r="B1051" s="1" t="s">
        <v>576</v>
      </c>
      <c r="C1051" s="1" t="s">
        <v>861</v>
      </c>
      <c r="D1051" s="1">
        <v>25</v>
      </c>
      <c r="E1051" s="1">
        <v>2</v>
      </c>
      <c r="F1051" s="1">
        <v>3</v>
      </c>
      <c r="G1051" s="1">
        <v>5</v>
      </c>
      <c r="H1051" s="1">
        <v>5</v>
      </c>
      <c r="I1051" s="1">
        <v>5</v>
      </c>
      <c r="J1051" s="1">
        <v>5</v>
      </c>
      <c r="K1051" s="1">
        <f t="shared" si="204"/>
        <v>20</v>
      </c>
      <c r="L1051" s="12">
        <f t="shared" si="201"/>
        <v>0.5</v>
      </c>
      <c r="M1051" s="1">
        <v>8</v>
      </c>
      <c r="N1051" s="1">
        <v>7</v>
      </c>
      <c r="O1051" s="1">
        <v>7</v>
      </c>
      <c r="P1051" s="1">
        <v>6</v>
      </c>
      <c r="Q1051" s="1">
        <f t="shared" si="205"/>
        <v>28</v>
      </c>
      <c r="R1051" s="12">
        <f t="shared" si="202"/>
        <v>0.7</v>
      </c>
      <c r="S1051" s="1">
        <v>6</v>
      </c>
      <c r="T1051" s="1">
        <v>7</v>
      </c>
      <c r="U1051" s="1">
        <f t="shared" si="206"/>
        <v>13</v>
      </c>
      <c r="V1051" s="12">
        <f t="shared" si="203"/>
        <v>0.65</v>
      </c>
      <c r="Z1051" s="1">
        <f t="shared" si="207"/>
        <v>0</v>
      </c>
      <c r="AB1051" s="2" t="s">
        <v>1494</v>
      </c>
    </row>
    <row r="1052" spans="1:28" x14ac:dyDescent="0.25">
      <c r="A1052" s="1" t="s">
        <v>1677</v>
      </c>
      <c r="B1052" s="1" t="s">
        <v>576</v>
      </c>
      <c r="C1052" s="1" t="s">
        <v>861</v>
      </c>
      <c r="D1052" s="1">
        <v>25</v>
      </c>
      <c r="E1052" s="1">
        <v>2</v>
      </c>
      <c r="F1052" s="1">
        <v>3</v>
      </c>
      <c r="G1052" s="1">
        <v>8</v>
      </c>
      <c r="H1052" s="1">
        <v>5</v>
      </c>
      <c r="I1052" s="1">
        <v>6</v>
      </c>
      <c r="J1052" s="1">
        <v>5</v>
      </c>
      <c r="K1052" s="1">
        <f t="shared" si="204"/>
        <v>24</v>
      </c>
      <c r="L1052" s="12">
        <f t="shared" si="201"/>
        <v>0.6</v>
      </c>
      <c r="M1052" s="1">
        <v>6</v>
      </c>
      <c r="N1052" s="1">
        <v>7</v>
      </c>
      <c r="O1052" s="1">
        <v>6</v>
      </c>
      <c r="P1052" s="1">
        <v>7</v>
      </c>
      <c r="Q1052" s="1">
        <f t="shared" si="205"/>
        <v>26</v>
      </c>
      <c r="R1052" s="12">
        <f t="shared" si="202"/>
        <v>0.65</v>
      </c>
      <c r="S1052" s="1">
        <v>7</v>
      </c>
      <c r="T1052" s="1">
        <v>5</v>
      </c>
      <c r="U1052" s="1">
        <f t="shared" si="206"/>
        <v>12</v>
      </c>
      <c r="V1052" s="12">
        <f t="shared" si="203"/>
        <v>0.6</v>
      </c>
      <c r="Z1052" s="1">
        <f t="shared" si="207"/>
        <v>0</v>
      </c>
      <c r="AB1052" s="2" t="s">
        <v>1495</v>
      </c>
    </row>
    <row r="1053" spans="1:28" x14ac:dyDescent="0.25">
      <c r="A1053" s="1" t="s">
        <v>1677</v>
      </c>
      <c r="B1053" s="1" t="s">
        <v>576</v>
      </c>
      <c r="C1053" s="1" t="s">
        <v>861</v>
      </c>
      <c r="D1053" s="1">
        <v>25</v>
      </c>
      <c r="E1053" s="1">
        <v>2</v>
      </c>
      <c r="F1053" s="1">
        <v>3</v>
      </c>
      <c r="G1053" s="1">
        <v>7</v>
      </c>
      <c r="H1053" s="1">
        <v>7</v>
      </c>
      <c r="I1053" s="1">
        <v>7</v>
      </c>
      <c r="J1053" s="1">
        <v>8</v>
      </c>
      <c r="K1053" s="1">
        <f t="shared" si="204"/>
        <v>29</v>
      </c>
      <c r="L1053" s="12">
        <f t="shared" si="201"/>
        <v>0.72499999999999998</v>
      </c>
      <c r="M1053" s="1">
        <v>7</v>
      </c>
      <c r="N1053" s="1">
        <v>7</v>
      </c>
      <c r="O1053" s="1">
        <v>7</v>
      </c>
      <c r="P1053" s="1">
        <v>7</v>
      </c>
      <c r="Q1053" s="1">
        <f t="shared" si="205"/>
        <v>28</v>
      </c>
      <c r="R1053" s="12">
        <f t="shared" si="202"/>
        <v>0.7</v>
      </c>
      <c r="S1053" s="1">
        <v>7</v>
      </c>
      <c r="T1053" s="1">
        <v>7</v>
      </c>
      <c r="U1053" s="1">
        <f t="shared" si="206"/>
        <v>14</v>
      </c>
      <c r="V1053" s="12">
        <f t="shared" si="203"/>
        <v>0.7</v>
      </c>
      <c r="Z1053" s="1">
        <f t="shared" si="207"/>
        <v>0</v>
      </c>
      <c r="AB1053" s="2" t="s">
        <v>1496</v>
      </c>
    </row>
    <row r="1054" spans="1:28" x14ac:dyDescent="0.25">
      <c r="A1054" s="1" t="s">
        <v>1677</v>
      </c>
      <c r="B1054" s="1" t="s">
        <v>576</v>
      </c>
      <c r="C1054" s="1" t="s">
        <v>861</v>
      </c>
      <c r="D1054" s="1">
        <v>25</v>
      </c>
      <c r="E1054" s="1">
        <v>2</v>
      </c>
      <c r="F1054" s="1">
        <v>3</v>
      </c>
      <c r="G1054" s="1">
        <v>8</v>
      </c>
      <c r="H1054" s="1">
        <v>7</v>
      </c>
      <c r="I1054" s="1">
        <v>7</v>
      </c>
      <c r="J1054" s="1">
        <v>7</v>
      </c>
      <c r="K1054" s="1">
        <f t="shared" si="204"/>
        <v>29</v>
      </c>
      <c r="L1054" s="12">
        <f t="shared" si="201"/>
        <v>0.72499999999999998</v>
      </c>
      <c r="M1054" s="1">
        <v>7</v>
      </c>
      <c r="N1054" s="1">
        <v>8</v>
      </c>
      <c r="O1054" s="1">
        <v>8</v>
      </c>
      <c r="P1054" s="1">
        <v>7</v>
      </c>
      <c r="Q1054" s="1">
        <f t="shared" si="205"/>
        <v>30</v>
      </c>
      <c r="R1054" s="12">
        <f t="shared" si="202"/>
        <v>0.75</v>
      </c>
      <c r="S1054" s="1">
        <v>7</v>
      </c>
      <c r="T1054" s="1">
        <v>8</v>
      </c>
      <c r="U1054" s="1">
        <f t="shared" si="206"/>
        <v>15</v>
      </c>
      <c r="V1054" s="12">
        <f t="shared" si="203"/>
        <v>0.75</v>
      </c>
      <c r="Z1054" s="1">
        <f t="shared" si="207"/>
        <v>0</v>
      </c>
      <c r="AB1054" s="2" t="s">
        <v>1497</v>
      </c>
    </row>
    <row r="1055" spans="1:28" x14ac:dyDescent="0.25">
      <c r="A1055" s="1" t="s">
        <v>1677</v>
      </c>
      <c r="B1055" s="1" t="s">
        <v>576</v>
      </c>
      <c r="C1055" s="1" t="s">
        <v>861</v>
      </c>
      <c r="D1055" s="1">
        <v>25</v>
      </c>
      <c r="E1055" s="1">
        <v>2</v>
      </c>
      <c r="F1055" s="1">
        <v>3</v>
      </c>
      <c r="G1055" s="1">
        <v>7</v>
      </c>
      <c r="H1055" s="1">
        <v>6</v>
      </c>
      <c r="I1055" s="1">
        <v>7</v>
      </c>
      <c r="J1055" s="1">
        <v>7</v>
      </c>
      <c r="K1055" s="1">
        <f t="shared" si="204"/>
        <v>27</v>
      </c>
      <c r="L1055" s="12">
        <f t="shared" si="201"/>
        <v>0.67500000000000004</v>
      </c>
      <c r="M1055" s="1">
        <v>7</v>
      </c>
      <c r="N1055" s="1">
        <v>7</v>
      </c>
      <c r="O1055" s="1">
        <v>6</v>
      </c>
      <c r="P1055" s="1">
        <v>6</v>
      </c>
      <c r="Q1055" s="1">
        <f t="shared" si="205"/>
        <v>26</v>
      </c>
      <c r="R1055" s="12">
        <f t="shared" si="202"/>
        <v>0.65</v>
      </c>
      <c r="S1055" s="1">
        <v>6</v>
      </c>
      <c r="T1055" s="1">
        <v>6</v>
      </c>
      <c r="U1055" s="1">
        <f t="shared" si="206"/>
        <v>12</v>
      </c>
      <c r="V1055" s="12">
        <f t="shared" si="203"/>
        <v>0.6</v>
      </c>
      <c r="Z1055" s="1">
        <f t="shared" si="207"/>
        <v>0</v>
      </c>
      <c r="AB1055" s="2" t="s">
        <v>1498</v>
      </c>
    </row>
    <row r="1056" spans="1:28" x14ac:dyDescent="0.25">
      <c r="A1056" s="1" t="s">
        <v>1678</v>
      </c>
      <c r="B1056" s="1" t="s">
        <v>35</v>
      </c>
      <c r="C1056" s="1" t="s">
        <v>36</v>
      </c>
      <c r="D1056" s="1">
        <v>5</v>
      </c>
      <c r="E1056" s="1">
        <v>3</v>
      </c>
      <c r="F1056" s="1">
        <v>1</v>
      </c>
      <c r="G1056" s="1">
        <v>9</v>
      </c>
      <c r="H1056" s="1">
        <v>8</v>
      </c>
      <c r="I1056" s="1">
        <v>9</v>
      </c>
      <c r="J1056" s="1">
        <v>5</v>
      </c>
      <c r="K1056" s="1">
        <f t="shared" si="204"/>
        <v>31</v>
      </c>
      <c r="L1056" s="12">
        <f t="shared" ref="L1056:L1070" si="208">K1056/35</f>
        <v>0.88571428571428568</v>
      </c>
      <c r="M1056" s="1">
        <v>7</v>
      </c>
      <c r="N1056" s="1">
        <v>7</v>
      </c>
      <c r="O1056" s="1">
        <v>7</v>
      </c>
      <c r="P1056" s="1">
        <v>5</v>
      </c>
      <c r="Q1056" s="1">
        <f t="shared" si="205"/>
        <v>26</v>
      </c>
      <c r="R1056" s="12">
        <f t="shared" ref="R1056:R1070" si="209">Q1056/35</f>
        <v>0.74285714285714288</v>
      </c>
      <c r="S1056" s="1">
        <v>8</v>
      </c>
      <c r="T1056" s="1">
        <v>5</v>
      </c>
      <c r="U1056" s="1">
        <f t="shared" si="206"/>
        <v>13</v>
      </c>
      <c r="V1056" s="12">
        <f t="shared" ref="V1056:V1070" si="210">U1056/15</f>
        <v>0.8666666666666667</v>
      </c>
      <c r="W1056" s="1">
        <v>4</v>
      </c>
      <c r="X1056" s="1">
        <v>4</v>
      </c>
      <c r="Y1056" s="1">
        <v>4</v>
      </c>
      <c r="Z1056" s="1">
        <f t="shared" si="207"/>
        <v>12</v>
      </c>
      <c r="AA1056" s="12">
        <f t="shared" ref="AA1056:AA1070" si="211">Z1056/15</f>
        <v>0.8</v>
      </c>
      <c r="AB1056" s="2" t="s">
        <v>441</v>
      </c>
    </row>
    <row r="1057" spans="1:28" x14ac:dyDescent="0.25">
      <c r="A1057" s="1" t="s">
        <v>1678</v>
      </c>
      <c r="B1057" s="1" t="s">
        <v>35</v>
      </c>
      <c r="C1057" s="1" t="s">
        <v>36</v>
      </c>
      <c r="D1057" s="1">
        <v>5</v>
      </c>
      <c r="E1057" s="1">
        <v>3</v>
      </c>
      <c r="F1057" s="1">
        <v>1</v>
      </c>
      <c r="G1057" s="1">
        <v>8</v>
      </c>
      <c r="H1057" s="1">
        <v>7</v>
      </c>
      <c r="I1057" s="1">
        <v>7</v>
      </c>
      <c r="J1057" s="1">
        <v>5</v>
      </c>
      <c r="K1057" s="1">
        <f t="shared" si="204"/>
        <v>27</v>
      </c>
      <c r="L1057" s="12">
        <f t="shared" si="208"/>
        <v>0.77142857142857146</v>
      </c>
      <c r="M1057" s="1">
        <v>5</v>
      </c>
      <c r="N1057" s="1">
        <v>6</v>
      </c>
      <c r="O1057" s="1">
        <v>6</v>
      </c>
      <c r="P1057" s="1">
        <v>4</v>
      </c>
      <c r="Q1057" s="1">
        <f t="shared" si="205"/>
        <v>21</v>
      </c>
      <c r="R1057" s="12">
        <f t="shared" si="209"/>
        <v>0.6</v>
      </c>
      <c r="S1057" s="1">
        <v>7</v>
      </c>
      <c r="T1057" s="1">
        <v>3</v>
      </c>
      <c r="U1057" s="1">
        <f t="shared" si="206"/>
        <v>10</v>
      </c>
      <c r="V1057" s="12">
        <f t="shared" si="210"/>
        <v>0.66666666666666663</v>
      </c>
      <c r="W1057" s="1">
        <v>4</v>
      </c>
      <c r="X1057" s="1">
        <v>3</v>
      </c>
      <c r="Y1057" s="1">
        <v>3</v>
      </c>
      <c r="Z1057" s="1">
        <f t="shared" si="207"/>
        <v>10</v>
      </c>
      <c r="AA1057" s="12">
        <f t="shared" si="211"/>
        <v>0.66666666666666663</v>
      </c>
      <c r="AB1057" s="2" t="s">
        <v>442</v>
      </c>
    </row>
    <row r="1058" spans="1:28" x14ac:dyDescent="0.25">
      <c r="A1058" s="1" t="s">
        <v>1678</v>
      </c>
      <c r="B1058" s="1" t="s">
        <v>35</v>
      </c>
      <c r="C1058" s="1" t="s">
        <v>36</v>
      </c>
      <c r="D1058" s="1">
        <v>5</v>
      </c>
      <c r="E1058" s="1">
        <v>3</v>
      </c>
      <c r="F1058" s="1">
        <v>1</v>
      </c>
      <c r="G1058" s="1">
        <v>9</v>
      </c>
      <c r="H1058" s="1">
        <v>9</v>
      </c>
      <c r="I1058" s="1">
        <v>9</v>
      </c>
      <c r="J1058" s="1">
        <v>5</v>
      </c>
      <c r="K1058" s="1">
        <f t="shared" si="204"/>
        <v>32</v>
      </c>
      <c r="L1058" s="12">
        <f t="shared" si="208"/>
        <v>0.91428571428571426</v>
      </c>
      <c r="M1058" s="1">
        <v>5</v>
      </c>
      <c r="N1058" s="1">
        <v>5</v>
      </c>
      <c r="O1058" s="1">
        <v>5</v>
      </c>
      <c r="P1058" s="1">
        <v>3</v>
      </c>
      <c r="Q1058" s="1">
        <f t="shared" si="205"/>
        <v>18</v>
      </c>
      <c r="R1058" s="12">
        <f t="shared" si="209"/>
        <v>0.51428571428571423</v>
      </c>
      <c r="S1058" s="1">
        <v>6</v>
      </c>
      <c r="T1058" s="1">
        <v>4</v>
      </c>
      <c r="U1058" s="1">
        <f t="shared" si="206"/>
        <v>10</v>
      </c>
      <c r="V1058" s="12">
        <f t="shared" si="210"/>
        <v>0.66666666666666663</v>
      </c>
      <c r="W1058" s="1">
        <v>3</v>
      </c>
      <c r="X1058" s="1">
        <v>3</v>
      </c>
      <c r="Y1058" s="1">
        <v>3</v>
      </c>
      <c r="Z1058" s="1">
        <f t="shared" si="207"/>
        <v>9</v>
      </c>
      <c r="AA1058" s="12">
        <f t="shared" si="211"/>
        <v>0.6</v>
      </c>
      <c r="AB1058" s="2" t="s">
        <v>443</v>
      </c>
    </row>
    <row r="1059" spans="1:28" x14ac:dyDescent="0.25">
      <c r="A1059" s="1" t="s">
        <v>1678</v>
      </c>
      <c r="B1059" s="1" t="s">
        <v>35</v>
      </c>
      <c r="C1059" s="1" t="s">
        <v>36</v>
      </c>
      <c r="D1059" s="1">
        <v>5</v>
      </c>
      <c r="E1059" s="1">
        <v>3</v>
      </c>
      <c r="F1059" s="1">
        <v>1</v>
      </c>
      <c r="G1059" s="1">
        <v>9</v>
      </c>
      <c r="H1059" s="1">
        <v>9</v>
      </c>
      <c r="I1059" s="1">
        <v>9</v>
      </c>
      <c r="J1059" s="1">
        <v>4</v>
      </c>
      <c r="K1059" s="1">
        <f t="shared" si="204"/>
        <v>31</v>
      </c>
      <c r="L1059" s="12">
        <f t="shared" si="208"/>
        <v>0.88571428571428568</v>
      </c>
      <c r="M1059" s="1">
        <v>8</v>
      </c>
      <c r="N1059" s="1">
        <v>8</v>
      </c>
      <c r="O1059" s="1">
        <v>8</v>
      </c>
      <c r="P1059" s="1">
        <v>5</v>
      </c>
      <c r="Q1059" s="1">
        <f t="shared" si="205"/>
        <v>29</v>
      </c>
      <c r="R1059" s="12">
        <f t="shared" si="209"/>
        <v>0.82857142857142863</v>
      </c>
      <c r="S1059" s="1">
        <v>8</v>
      </c>
      <c r="T1059" s="1">
        <v>5</v>
      </c>
      <c r="U1059" s="1">
        <f t="shared" si="206"/>
        <v>13</v>
      </c>
      <c r="V1059" s="12">
        <f t="shared" si="210"/>
        <v>0.8666666666666667</v>
      </c>
      <c r="W1059" s="1">
        <v>4</v>
      </c>
      <c r="X1059" s="1">
        <v>4</v>
      </c>
      <c r="Y1059" s="1">
        <v>5</v>
      </c>
      <c r="Z1059" s="1">
        <f t="shared" si="207"/>
        <v>13</v>
      </c>
      <c r="AA1059" s="12">
        <f t="shared" si="211"/>
        <v>0.8666666666666667</v>
      </c>
      <c r="AB1059" s="2" t="s">
        <v>444</v>
      </c>
    </row>
    <row r="1060" spans="1:28" x14ac:dyDescent="0.25">
      <c r="A1060" s="1" t="s">
        <v>1678</v>
      </c>
      <c r="B1060" s="1" t="s">
        <v>35</v>
      </c>
      <c r="C1060" s="1" t="s">
        <v>36</v>
      </c>
      <c r="D1060" s="1">
        <v>5</v>
      </c>
      <c r="E1060" s="1">
        <v>3</v>
      </c>
      <c r="F1060" s="1">
        <v>1</v>
      </c>
      <c r="G1060" s="1">
        <v>9</v>
      </c>
      <c r="H1060" s="1">
        <v>9</v>
      </c>
      <c r="I1060" s="1">
        <v>9</v>
      </c>
      <c r="J1060" s="1">
        <v>5</v>
      </c>
      <c r="K1060" s="1">
        <f t="shared" si="204"/>
        <v>32</v>
      </c>
      <c r="L1060" s="12">
        <f t="shared" si="208"/>
        <v>0.91428571428571426</v>
      </c>
      <c r="M1060" s="1">
        <v>8</v>
      </c>
      <c r="N1060" s="1">
        <v>8</v>
      </c>
      <c r="O1060" s="1">
        <v>8</v>
      </c>
      <c r="P1060" s="1">
        <v>5</v>
      </c>
      <c r="Q1060" s="1">
        <f t="shared" si="205"/>
        <v>29</v>
      </c>
      <c r="R1060" s="12">
        <f t="shared" si="209"/>
        <v>0.82857142857142863</v>
      </c>
      <c r="S1060" s="1">
        <v>8</v>
      </c>
      <c r="T1060" s="1">
        <v>4</v>
      </c>
      <c r="U1060" s="1">
        <f t="shared" si="206"/>
        <v>12</v>
      </c>
      <c r="V1060" s="12">
        <f t="shared" si="210"/>
        <v>0.8</v>
      </c>
      <c r="W1060" s="1">
        <v>3</v>
      </c>
      <c r="X1060" s="1">
        <v>3</v>
      </c>
      <c r="Y1060" s="1">
        <v>4</v>
      </c>
      <c r="Z1060" s="1">
        <f t="shared" si="207"/>
        <v>10</v>
      </c>
      <c r="AA1060" s="12">
        <f t="shared" si="211"/>
        <v>0.66666666666666663</v>
      </c>
      <c r="AB1060" s="2" t="s">
        <v>445</v>
      </c>
    </row>
    <row r="1061" spans="1:28" x14ac:dyDescent="0.25">
      <c r="A1061" s="1" t="s">
        <v>1678</v>
      </c>
      <c r="B1061" s="1" t="s">
        <v>35</v>
      </c>
      <c r="C1061" s="1" t="s">
        <v>36</v>
      </c>
      <c r="D1061" s="1">
        <v>5</v>
      </c>
      <c r="E1061" s="1">
        <v>3</v>
      </c>
      <c r="F1061" s="1">
        <v>1</v>
      </c>
      <c r="G1061" s="1">
        <v>8</v>
      </c>
      <c r="H1061" s="1">
        <v>8</v>
      </c>
      <c r="I1061" s="1">
        <v>8</v>
      </c>
      <c r="J1061" s="1">
        <v>4</v>
      </c>
      <c r="K1061" s="1">
        <f t="shared" si="204"/>
        <v>28</v>
      </c>
      <c r="L1061" s="12">
        <f t="shared" si="208"/>
        <v>0.8</v>
      </c>
      <c r="M1061" s="1">
        <v>7</v>
      </c>
      <c r="N1061" s="1">
        <v>7</v>
      </c>
      <c r="O1061" s="1">
        <v>7</v>
      </c>
      <c r="P1061" s="1">
        <v>4</v>
      </c>
      <c r="Q1061" s="1">
        <f t="shared" si="205"/>
        <v>25</v>
      </c>
      <c r="R1061" s="12">
        <f t="shared" si="209"/>
        <v>0.7142857142857143</v>
      </c>
      <c r="S1061" s="1">
        <v>6</v>
      </c>
      <c r="T1061" s="1">
        <v>4</v>
      </c>
      <c r="U1061" s="1">
        <f t="shared" si="206"/>
        <v>10</v>
      </c>
      <c r="V1061" s="12">
        <f t="shared" si="210"/>
        <v>0.66666666666666663</v>
      </c>
      <c r="W1061" s="1">
        <v>3</v>
      </c>
      <c r="X1061" s="1">
        <v>3</v>
      </c>
      <c r="Y1061" s="1">
        <v>3</v>
      </c>
      <c r="Z1061" s="1">
        <f t="shared" si="207"/>
        <v>9</v>
      </c>
      <c r="AA1061" s="12">
        <f t="shared" si="211"/>
        <v>0.6</v>
      </c>
      <c r="AB1061" s="2" t="s">
        <v>446</v>
      </c>
    </row>
    <row r="1062" spans="1:28" x14ac:dyDescent="0.25">
      <c r="A1062" s="1" t="s">
        <v>1678</v>
      </c>
      <c r="B1062" s="1" t="s">
        <v>35</v>
      </c>
      <c r="C1062" s="1" t="s">
        <v>36</v>
      </c>
      <c r="D1062" s="1">
        <v>5</v>
      </c>
      <c r="E1062" s="1">
        <v>3</v>
      </c>
      <c r="F1062" s="1">
        <v>1</v>
      </c>
      <c r="G1062" s="1">
        <v>8</v>
      </c>
      <c r="H1062" s="1">
        <v>8</v>
      </c>
      <c r="I1062" s="1">
        <v>8</v>
      </c>
      <c r="J1062" s="1">
        <v>4</v>
      </c>
      <c r="K1062" s="1">
        <f t="shared" si="204"/>
        <v>28</v>
      </c>
      <c r="L1062" s="12">
        <f t="shared" si="208"/>
        <v>0.8</v>
      </c>
      <c r="M1062" s="1">
        <v>7</v>
      </c>
      <c r="N1062" s="1">
        <v>6</v>
      </c>
      <c r="O1062" s="1">
        <v>6</v>
      </c>
      <c r="P1062" s="1">
        <v>3</v>
      </c>
      <c r="Q1062" s="1">
        <f t="shared" si="205"/>
        <v>22</v>
      </c>
      <c r="R1062" s="12">
        <f t="shared" si="209"/>
        <v>0.62857142857142856</v>
      </c>
      <c r="S1062" s="1">
        <v>7</v>
      </c>
      <c r="T1062" s="1">
        <v>3</v>
      </c>
      <c r="U1062" s="1">
        <f t="shared" si="206"/>
        <v>10</v>
      </c>
      <c r="V1062" s="12">
        <f t="shared" si="210"/>
        <v>0.66666666666666663</v>
      </c>
      <c r="W1062" s="1">
        <v>3</v>
      </c>
      <c r="X1062" s="1">
        <v>3</v>
      </c>
      <c r="Y1062" s="1">
        <v>3</v>
      </c>
      <c r="Z1062" s="1">
        <f t="shared" si="207"/>
        <v>9</v>
      </c>
      <c r="AA1062" s="12">
        <f t="shared" si="211"/>
        <v>0.6</v>
      </c>
      <c r="AB1062" s="2" t="s">
        <v>447</v>
      </c>
    </row>
    <row r="1063" spans="1:28" x14ac:dyDescent="0.25">
      <c r="A1063" s="1" t="s">
        <v>1678</v>
      </c>
      <c r="B1063" s="1" t="s">
        <v>35</v>
      </c>
      <c r="C1063" s="1" t="s">
        <v>36</v>
      </c>
      <c r="D1063" s="1">
        <v>5</v>
      </c>
      <c r="E1063" s="1">
        <v>3</v>
      </c>
      <c r="F1063" s="1">
        <v>1</v>
      </c>
      <c r="G1063" s="1">
        <v>8</v>
      </c>
      <c r="H1063" s="1">
        <v>8</v>
      </c>
      <c r="I1063" s="1">
        <v>8</v>
      </c>
      <c r="J1063" s="1">
        <v>4</v>
      </c>
      <c r="K1063" s="1">
        <f t="shared" si="204"/>
        <v>28</v>
      </c>
      <c r="L1063" s="12">
        <f t="shared" si="208"/>
        <v>0.8</v>
      </c>
      <c r="M1063" s="1">
        <v>6</v>
      </c>
      <c r="N1063" s="1">
        <v>6</v>
      </c>
      <c r="O1063" s="1">
        <v>6</v>
      </c>
      <c r="P1063" s="1">
        <v>3</v>
      </c>
      <c r="Q1063" s="1">
        <f t="shared" si="205"/>
        <v>21</v>
      </c>
      <c r="R1063" s="12">
        <f t="shared" si="209"/>
        <v>0.6</v>
      </c>
      <c r="S1063" s="1">
        <v>6</v>
      </c>
      <c r="T1063" s="1">
        <v>3</v>
      </c>
      <c r="U1063" s="1">
        <f t="shared" si="206"/>
        <v>9</v>
      </c>
      <c r="V1063" s="12">
        <f t="shared" si="210"/>
        <v>0.6</v>
      </c>
      <c r="W1063" s="1">
        <v>3</v>
      </c>
      <c r="X1063" s="1">
        <v>3</v>
      </c>
      <c r="Y1063" s="1">
        <v>3</v>
      </c>
      <c r="Z1063" s="1">
        <f t="shared" si="207"/>
        <v>9</v>
      </c>
      <c r="AA1063" s="12">
        <f t="shared" si="211"/>
        <v>0.6</v>
      </c>
      <c r="AB1063" s="2" t="s">
        <v>448</v>
      </c>
    </row>
    <row r="1064" spans="1:28" x14ac:dyDescent="0.25">
      <c r="A1064" s="1" t="s">
        <v>1678</v>
      </c>
      <c r="B1064" s="1" t="s">
        <v>35</v>
      </c>
      <c r="C1064" s="1" t="s">
        <v>36</v>
      </c>
      <c r="D1064" s="1">
        <v>5</v>
      </c>
      <c r="E1064" s="1">
        <v>3</v>
      </c>
      <c r="F1064" s="1">
        <v>1</v>
      </c>
      <c r="G1064" s="1">
        <v>6</v>
      </c>
      <c r="H1064" s="1">
        <v>6</v>
      </c>
      <c r="I1064" s="1">
        <v>6</v>
      </c>
      <c r="J1064" s="1">
        <v>3</v>
      </c>
      <c r="K1064" s="1">
        <f t="shared" si="204"/>
        <v>21</v>
      </c>
      <c r="L1064" s="12">
        <f t="shared" si="208"/>
        <v>0.6</v>
      </c>
      <c r="M1064" s="1">
        <v>5</v>
      </c>
      <c r="N1064" s="1">
        <v>5</v>
      </c>
      <c r="O1064" s="1">
        <v>6</v>
      </c>
      <c r="P1064" s="1">
        <v>3</v>
      </c>
      <c r="Q1064" s="1">
        <f t="shared" si="205"/>
        <v>19</v>
      </c>
      <c r="R1064" s="12">
        <f t="shared" si="209"/>
        <v>0.54285714285714282</v>
      </c>
      <c r="S1064" s="1">
        <v>6</v>
      </c>
      <c r="T1064" s="1">
        <v>4</v>
      </c>
      <c r="U1064" s="1">
        <f t="shared" si="206"/>
        <v>10</v>
      </c>
      <c r="V1064" s="12">
        <f t="shared" si="210"/>
        <v>0.66666666666666663</v>
      </c>
      <c r="W1064" s="1">
        <v>3</v>
      </c>
      <c r="X1064" s="1">
        <v>3</v>
      </c>
      <c r="Y1064" s="1">
        <v>3</v>
      </c>
      <c r="Z1064" s="1">
        <f t="shared" si="207"/>
        <v>9</v>
      </c>
      <c r="AA1064" s="12">
        <f t="shared" si="211"/>
        <v>0.6</v>
      </c>
      <c r="AB1064" s="2" t="s">
        <v>449</v>
      </c>
    </row>
    <row r="1065" spans="1:28" x14ac:dyDescent="0.25">
      <c r="A1065" s="1" t="s">
        <v>1678</v>
      </c>
      <c r="B1065" s="1" t="s">
        <v>576</v>
      </c>
      <c r="C1065" s="1" t="s">
        <v>36</v>
      </c>
      <c r="D1065" s="1">
        <v>26</v>
      </c>
      <c r="E1065" s="1">
        <v>1</v>
      </c>
      <c r="F1065" s="1">
        <v>5</v>
      </c>
      <c r="G1065" s="1">
        <v>5</v>
      </c>
      <c r="H1065" s="1">
        <v>5</v>
      </c>
      <c r="I1065" s="1">
        <v>5</v>
      </c>
      <c r="J1065" s="1">
        <v>3</v>
      </c>
      <c r="K1065" s="1">
        <f t="shared" si="204"/>
        <v>18</v>
      </c>
      <c r="L1065" s="12">
        <f t="shared" si="208"/>
        <v>0.51428571428571423</v>
      </c>
      <c r="M1065" s="1">
        <v>5</v>
      </c>
      <c r="N1065" s="1">
        <v>5</v>
      </c>
      <c r="O1065" s="1">
        <v>5</v>
      </c>
      <c r="P1065" s="1">
        <v>4</v>
      </c>
      <c r="Q1065" s="1">
        <f t="shared" si="205"/>
        <v>19</v>
      </c>
      <c r="R1065" s="12">
        <f t="shared" si="209"/>
        <v>0.54285714285714282</v>
      </c>
      <c r="S1065" s="1">
        <v>5</v>
      </c>
      <c r="T1065" s="1">
        <v>4</v>
      </c>
      <c r="U1065" s="1">
        <f t="shared" si="206"/>
        <v>9</v>
      </c>
      <c r="V1065" s="12">
        <f t="shared" si="210"/>
        <v>0.6</v>
      </c>
      <c r="W1065" s="1">
        <v>4</v>
      </c>
      <c r="X1065" s="1">
        <v>3</v>
      </c>
      <c r="Y1065" s="1">
        <v>4</v>
      </c>
      <c r="Z1065" s="1">
        <f t="shared" si="207"/>
        <v>11</v>
      </c>
      <c r="AA1065" s="12">
        <f t="shared" si="211"/>
        <v>0.73333333333333328</v>
      </c>
      <c r="AB1065" s="2" t="s">
        <v>659</v>
      </c>
    </row>
    <row r="1066" spans="1:28" x14ac:dyDescent="0.25">
      <c r="A1066" s="1" t="s">
        <v>1678</v>
      </c>
      <c r="B1066" s="1" t="s">
        <v>576</v>
      </c>
      <c r="C1066" s="1" t="s">
        <v>36</v>
      </c>
      <c r="D1066" s="1">
        <v>26</v>
      </c>
      <c r="E1066" s="1">
        <v>1</v>
      </c>
      <c r="F1066" s="1">
        <v>5</v>
      </c>
      <c r="G1066" s="1">
        <v>8</v>
      </c>
      <c r="H1066" s="1">
        <v>9</v>
      </c>
      <c r="I1066" s="1">
        <v>9</v>
      </c>
      <c r="J1066" s="1">
        <v>5</v>
      </c>
      <c r="K1066" s="1">
        <f t="shared" si="204"/>
        <v>31</v>
      </c>
      <c r="L1066" s="12">
        <f t="shared" si="208"/>
        <v>0.88571428571428568</v>
      </c>
      <c r="M1066" s="1">
        <v>6</v>
      </c>
      <c r="N1066" s="1">
        <v>5</v>
      </c>
      <c r="O1066" s="1">
        <v>5</v>
      </c>
      <c r="P1066" s="1">
        <v>5</v>
      </c>
      <c r="Q1066" s="1">
        <f t="shared" si="205"/>
        <v>21</v>
      </c>
      <c r="R1066" s="12">
        <f t="shared" si="209"/>
        <v>0.6</v>
      </c>
      <c r="S1066" s="1">
        <v>8</v>
      </c>
      <c r="T1066" s="1">
        <v>5</v>
      </c>
      <c r="U1066" s="1">
        <f t="shared" si="206"/>
        <v>13</v>
      </c>
      <c r="V1066" s="12">
        <f t="shared" si="210"/>
        <v>0.8666666666666667</v>
      </c>
      <c r="W1066" s="1">
        <v>5</v>
      </c>
      <c r="X1066" s="1">
        <v>5</v>
      </c>
      <c r="Y1066" s="1">
        <v>5</v>
      </c>
      <c r="Z1066" s="1">
        <f t="shared" si="207"/>
        <v>15</v>
      </c>
      <c r="AA1066" s="12">
        <f t="shared" si="211"/>
        <v>1</v>
      </c>
      <c r="AB1066" s="2" t="s">
        <v>660</v>
      </c>
    </row>
    <row r="1067" spans="1:28" x14ac:dyDescent="0.25">
      <c r="A1067" s="1" t="s">
        <v>1678</v>
      </c>
      <c r="B1067" s="1" t="s">
        <v>576</v>
      </c>
      <c r="C1067" s="1" t="s">
        <v>36</v>
      </c>
      <c r="D1067" s="1">
        <v>26</v>
      </c>
      <c r="E1067" s="1">
        <v>1</v>
      </c>
      <c r="F1067" s="1">
        <v>5</v>
      </c>
      <c r="G1067" s="1">
        <v>9</v>
      </c>
      <c r="H1067" s="1">
        <v>9</v>
      </c>
      <c r="I1067" s="1">
        <v>8</v>
      </c>
      <c r="J1067" s="1">
        <v>5</v>
      </c>
      <c r="K1067" s="1">
        <f t="shared" si="204"/>
        <v>31</v>
      </c>
      <c r="L1067" s="12">
        <f t="shared" si="208"/>
        <v>0.88571428571428568</v>
      </c>
      <c r="M1067" s="1">
        <v>6</v>
      </c>
      <c r="N1067" s="1">
        <v>5</v>
      </c>
      <c r="O1067" s="1">
        <v>6</v>
      </c>
      <c r="P1067" s="1">
        <v>5</v>
      </c>
      <c r="Q1067" s="1">
        <f t="shared" si="205"/>
        <v>22</v>
      </c>
      <c r="R1067" s="12">
        <f t="shared" si="209"/>
        <v>0.62857142857142856</v>
      </c>
      <c r="S1067" s="1">
        <v>9</v>
      </c>
      <c r="T1067" s="1">
        <v>5</v>
      </c>
      <c r="U1067" s="1">
        <f t="shared" si="206"/>
        <v>14</v>
      </c>
      <c r="V1067" s="12">
        <f t="shared" si="210"/>
        <v>0.93333333333333335</v>
      </c>
      <c r="W1067" s="1">
        <v>5</v>
      </c>
      <c r="X1067" s="1">
        <v>5</v>
      </c>
      <c r="Y1067" s="1">
        <v>5</v>
      </c>
      <c r="Z1067" s="1">
        <f t="shared" si="207"/>
        <v>15</v>
      </c>
      <c r="AA1067" s="12">
        <f t="shared" si="211"/>
        <v>1</v>
      </c>
      <c r="AB1067" s="2" t="s">
        <v>661</v>
      </c>
    </row>
    <row r="1068" spans="1:28" x14ac:dyDescent="0.25">
      <c r="A1068" s="1" t="s">
        <v>1678</v>
      </c>
      <c r="B1068" s="1" t="s">
        <v>576</v>
      </c>
      <c r="C1068" s="1" t="s">
        <v>36</v>
      </c>
      <c r="D1068" s="1">
        <v>26</v>
      </c>
      <c r="E1068" s="1">
        <v>1</v>
      </c>
      <c r="F1068" s="1">
        <v>5</v>
      </c>
      <c r="G1068" s="1">
        <v>9</v>
      </c>
      <c r="H1068" s="1">
        <v>9</v>
      </c>
      <c r="I1068" s="1">
        <v>9</v>
      </c>
      <c r="J1068" s="1">
        <v>5</v>
      </c>
      <c r="K1068" s="1">
        <f t="shared" si="204"/>
        <v>32</v>
      </c>
      <c r="L1068" s="12">
        <f t="shared" si="208"/>
        <v>0.91428571428571426</v>
      </c>
      <c r="M1068" s="1">
        <v>5</v>
      </c>
      <c r="N1068" s="1">
        <v>5</v>
      </c>
      <c r="O1068" s="1">
        <v>5</v>
      </c>
      <c r="P1068" s="1">
        <v>3</v>
      </c>
      <c r="Q1068" s="1">
        <f t="shared" si="205"/>
        <v>18</v>
      </c>
      <c r="R1068" s="12">
        <f t="shared" si="209"/>
        <v>0.51428571428571423</v>
      </c>
      <c r="S1068" s="1">
        <v>9</v>
      </c>
      <c r="T1068" s="1">
        <v>5</v>
      </c>
      <c r="U1068" s="1">
        <f t="shared" si="206"/>
        <v>14</v>
      </c>
      <c r="V1068" s="12">
        <f t="shared" si="210"/>
        <v>0.93333333333333335</v>
      </c>
      <c r="W1068" s="1">
        <v>4</v>
      </c>
      <c r="X1068" s="1">
        <v>4</v>
      </c>
      <c r="Y1068" s="1">
        <v>4</v>
      </c>
      <c r="Z1068" s="1">
        <f t="shared" si="207"/>
        <v>12</v>
      </c>
      <c r="AA1068" s="12">
        <f t="shared" si="211"/>
        <v>0.8</v>
      </c>
      <c r="AB1068" s="2" t="s">
        <v>662</v>
      </c>
    </row>
    <row r="1069" spans="1:28" x14ac:dyDescent="0.25">
      <c r="A1069" s="1" t="s">
        <v>1678</v>
      </c>
      <c r="B1069" s="1" t="s">
        <v>576</v>
      </c>
      <c r="C1069" s="1" t="s">
        <v>36</v>
      </c>
      <c r="D1069" s="1">
        <v>26</v>
      </c>
      <c r="E1069" s="1">
        <v>1</v>
      </c>
      <c r="F1069" s="1">
        <v>5</v>
      </c>
      <c r="G1069" s="1">
        <v>8</v>
      </c>
      <c r="H1069" s="1">
        <v>8</v>
      </c>
      <c r="I1069" s="1">
        <v>8</v>
      </c>
      <c r="J1069" s="1">
        <v>4</v>
      </c>
      <c r="K1069" s="1">
        <f t="shared" si="204"/>
        <v>28</v>
      </c>
      <c r="L1069" s="12">
        <f t="shared" si="208"/>
        <v>0.8</v>
      </c>
      <c r="M1069" s="1">
        <v>5</v>
      </c>
      <c r="N1069" s="1">
        <v>5</v>
      </c>
      <c r="O1069" s="1">
        <v>6</v>
      </c>
      <c r="P1069" s="1">
        <v>4</v>
      </c>
      <c r="Q1069" s="1">
        <f t="shared" si="205"/>
        <v>20</v>
      </c>
      <c r="R1069" s="12">
        <f t="shared" si="209"/>
        <v>0.5714285714285714</v>
      </c>
      <c r="S1069" s="1">
        <v>7</v>
      </c>
      <c r="T1069" s="1">
        <v>3</v>
      </c>
      <c r="U1069" s="1">
        <f t="shared" si="206"/>
        <v>10</v>
      </c>
      <c r="V1069" s="12">
        <f t="shared" si="210"/>
        <v>0.66666666666666663</v>
      </c>
      <c r="W1069" s="1">
        <v>3</v>
      </c>
      <c r="X1069" s="1">
        <v>3</v>
      </c>
      <c r="Y1069" s="1">
        <v>3</v>
      </c>
      <c r="Z1069" s="1">
        <f t="shared" si="207"/>
        <v>9</v>
      </c>
      <c r="AA1069" s="12">
        <f t="shared" si="211"/>
        <v>0.6</v>
      </c>
      <c r="AB1069" s="2" t="s">
        <v>663</v>
      </c>
    </row>
    <row r="1070" spans="1:28" x14ac:dyDescent="0.25">
      <c r="A1070" s="1" t="s">
        <v>1678</v>
      </c>
      <c r="B1070" s="1" t="s">
        <v>576</v>
      </c>
      <c r="C1070" s="1" t="s">
        <v>36</v>
      </c>
      <c r="D1070" s="1">
        <v>26</v>
      </c>
      <c r="E1070" s="1">
        <v>1</v>
      </c>
      <c r="F1070" s="1">
        <v>5</v>
      </c>
      <c r="G1070" s="1">
        <v>9</v>
      </c>
      <c r="H1070" s="1">
        <v>10</v>
      </c>
      <c r="I1070" s="1">
        <v>9</v>
      </c>
      <c r="J1070" s="1">
        <v>5</v>
      </c>
      <c r="K1070" s="1">
        <f t="shared" si="204"/>
        <v>33</v>
      </c>
      <c r="L1070" s="12">
        <f t="shared" si="208"/>
        <v>0.94285714285714284</v>
      </c>
      <c r="M1070" s="1">
        <v>7</v>
      </c>
      <c r="N1070" s="1">
        <v>7</v>
      </c>
      <c r="O1070" s="1">
        <v>7</v>
      </c>
      <c r="P1070" s="1">
        <v>5</v>
      </c>
      <c r="Q1070" s="1">
        <f t="shared" si="205"/>
        <v>26</v>
      </c>
      <c r="R1070" s="12">
        <f t="shared" si="209"/>
        <v>0.74285714285714288</v>
      </c>
      <c r="S1070" s="1">
        <v>9</v>
      </c>
      <c r="T1070" s="1">
        <v>5</v>
      </c>
      <c r="U1070" s="1">
        <f t="shared" si="206"/>
        <v>14</v>
      </c>
      <c r="V1070" s="12">
        <f t="shared" si="210"/>
        <v>0.93333333333333335</v>
      </c>
      <c r="W1070" s="1">
        <v>5</v>
      </c>
      <c r="X1070" s="1">
        <v>5</v>
      </c>
      <c r="Y1070" s="1">
        <v>5</v>
      </c>
      <c r="Z1070" s="1">
        <f t="shared" si="207"/>
        <v>15</v>
      </c>
      <c r="AA1070" s="12">
        <f t="shared" si="211"/>
        <v>1</v>
      </c>
      <c r="AB1070" s="2" t="s">
        <v>664</v>
      </c>
    </row>
    <row r="1071" spans="1:28" x14ac:dyDescent="0.25">
      <c r="A1071" s="1" t="s">
        <v>1678</v>
      </c>
      <c r="B1071" s="1" t="s">
        <v>35</v>
      </c>
      <c r="C1071" s="1" t="s">
        <v>861</v>
      </c>
      <c r="D1071" s="1">
        <v>17</v>
      </c>
      <c r="E1071" s="1">
        <v>1</v>
      </c>
      <c r="F1071" s="1">
        <v>2</v>
      </c>
      <c r="G1071" s="1">
        <v>7</v>
      </c>
      <c r="H1071" s="1">
        <v>8</v>
      </c>
      <c r="I1071" s="1">
        <v>5</v>
      </c>
      <c r="J1071" s="1">
        <v>8</v>
      </c>
      <c r="K1071" s="1">
        <f t="shared" si="204"/>
        <v>28</v>
      </c>
      <c r="L1071" s="12">
        <f t="shared" ref="L1071:L1114" si="212">K1071/40</f>
        <v>0.7</v>
      </c>
      <c r="M1071" s="1">
        <v>6</v>
      </c>
      <c r="N1071" s="1">
        <v>6</v>
      </c>
      <c r="O1071" s="1">
        <v>6</v>
      </c>
      <c r="P1071" s="1">
        <v>4</v>
      </c>
      <c r="Q1071" s="1">
        <f t="shared" si="205"/>
        <v>22</v>
      </c>
      <c r="R1071" s="12">
        <f t="shared" ref="R1071:R1114" si="213">Q1071/40</f>
        <v>0.55000000000000004</v>
      </c>
      <c r="S1071" s="1">
        <v>7</v>
      </c>
      <c r="T1071" s="1">
        <v>5</v>
      </c>
      <c r="U1071" s="1">
        <f t="shared" si="206"/>
        <v>12</v>
      </c>
      <c r="V1071" s="12">
        <f t="shared" ref="V1071:V1114" si="214">U1071/20</f>
        <v>0.6</v>
      </c>
      <c r="Z1071" s="1">
        <f t="shared" si="207"/>
        <v>0</v>
      </c>
      <c r="AB1071" s="2" t="s">
        <v>897</v>
      </c>
    </row>
    <row r="1072" spans="1:28" x14ac:dyDescent="0.25">
      <c r="A1072" s="1" t="s">
        <v>1678</v>
      </c>
      <c r="B1072" s="1" t="s">
        <v>35</v>
      </c>
      <c r="C1072" s="1" t="s">
        <v>861</v>
      </c>
      <c r="D1072" s="1">
        <v>17</v>
      </c>
      <c r="E1072" s="1">
        <v>1</v>
      </c>
      <c r="F1072" s="1">
        <v>2</v>
      </c>
      <c r="G1072" s="1">
        <v>5</v>
      </c>
      <c r="H1072" s="1">
        <v>5</v>
      </c>
      <c r="I1072" s="1">
        <v>4</v>
      </c>
      <c r="J1072" s="1">
        <v>4</v>
      </c>
      <c r="K1072" s="1">
        <f t="shared" si="204"/>
        <v>18</v>
      </c>
      <c r="L1072" s="12">
        <f t="shared" si="212"/>
        <v>0.45</v>
      </c>
      <c r="M1072" s="1">
        <v>6</v>
      </c>
      <c r="N1072" s="1">
        <v>5</v>
      </c>
      <c r="O1072" s="1">
        <v>5</v>
      </c>
      <c r="P1072" s="1">
        <v>4</v>
      </c>
      <c r="Q1072" s="1">
        <f t="shared" si="205"/>
        <v>20</v>
      </c>
      <c r="R1072" s="12">
        <f t="shared" si="213"/>
        <v>0.5</v>
      </c>
      <c r="S1072" s="1">
        <v>3</v>
      </c>
      <c r="T1072" s="1">
        <v>6</v>
      </c>
      <c r="U1072" s="1">
        <f t="shared" si="206"/>
        <v>9</v>
      </c>
      <c r="V1072" s="12">
        <f t="shared" si="214"/>
        <v>0.45</v>
      </c>
      <c r="Z1072" s="1">
        <f t="shared" si="207"/>
        <v>0</v>
      </c>
      <c r="AB1072" s="2" t="s">
        <v>898</v>
      </c>
    </row>
    <row r="1073" spans="1:28" x14ac:dyDescent="0.25">
      <c r="A1073" s="1" t="s">
        <v>1678</v>
      </c>
      <c r="B1073" s="1" t="s">
        <v>35</v>
      </c>
      <c r="C1073" s="1" t="s">
        <v>861</v>
      </c>
      <c r="D1073" s="1">
        <v>17</v>
      </c>
      <c r="E1073" s="1">
        <v>1</v>
      </c>
      <c r="F1073" s="1">
        <v>2</v>
      </c>
      <c r="G1073" s="1">
        <v>4</v>
      </c>
      <c r="H1073" s="1">
        <v>4</v>
      </c>
      <c r="I1073" s="1">
        <v>4</v>
      </c>
      <c r="J1073" s="1">
        <v>3</v>
      </c>
      <c r="K1073" s="1">
        <f t="shared" si="204"/>
        <v>15</v>
      </c>
      <c r="L1073" s="12">
        <f t="shared" si="212"/>
        <v>0.375</v>
      </c>
      <c r="M1073" s="1">
        <v>4</v>
      </c>
      <c r="N1073" s="1">
        <v>5</v>
      </c>
      <c r="O1073" s="1">
        <v>4</v>
      </c>
      <c r="P1073" s="1">
        <v>4</v>
      </c>
      <c r="Q1073" s="1">
        <f t="shared" si="205"/>
        <v>17</v>
      </c>
      <c r="R1073" s="12">
        <f t="shared" si="213"/>
        <v>0.42499999999999999</v>
      </c>
      <c r="S1073" s="1">
        <v>5</v>
      </c>
      <c r="T1073" s="1">
        <v>5</v>
      </c>
      <c r="U1073" s="1">
        <f t="shared" si="206"/>
        <v>10</v>
      </c>
      <c r="V1073" s="12">
        <f t="shared" si="214"/>
        <v>0.5</v>
      </c>
      <c r="Z1073" s="1">
        <f t="shared" si="207"/>
        <v>0</v>
      </c>
      <c r="AB1073" s="2" t="s">
        <v>899</v>
      </c>
    </row>
    <row r="1074" spans="1:28" x14ac:dyDescent="0.25">
      <c r="A1074" s="1" t="s">
        <v>1678</v>
      </c>
      <c r="B1074" s="1" t="s">
        <v>35</v>
      </c>
      <c r="C1074" s="1" t="s">
        <v>861</v>
      </c>
      <c r="D1074" s="1">
        <v>17</v>
      </c>
      <c r="E1074" s="1">
        <v>1</v>
      </c>
      <c r="F1074" s="1">
        <v>2</v>
      </c>
      <c r="G1074" s="1">
        <v>4</v>
      </c>
      <c r="H1074" s="1">
        <v>4</v>
      </c>
      <c r="I1074" s="1">
        <v>3</v>
      </c>
      <c r="J1074" s="1">
        <v>3</v>
      </c>
      <c r="K1074" s="1">
        <f t="shared" si="204"/>
        <v>14</v>
      </c>
      <c r="L1074" s="12">
        <f t="shared" si="212"/>
        <v>0.35</v>
      </c>
      <c r="M1074" s="1">
        <v>3</v>
      </c>
      <c r="N1074" s="1">
        <v>3</v>
      </c>
      <c r="O1074" s="1">
        <v>3</v>
      </c>
      <c r="P1074" s="1">
        <v>3</v>
      </c>
      <c r="Q1074" s="1">
        <f t="shared" si="205"/>
        <v>12</v>
      </c>
      <c r="R1074" s="12">
        <f t="shared" si="213"/>
        <v>0.3</v>
      </c>
      <c r="S1074" s="1">
        <v>2</v>
      </c>
      <c r="T1074" s="1">
        <v>4</v>
      </c>
      <c r="U1074" s="1">
        <f t="shared" si="206"/>
        <v>6</v>
      </c>
      <c r="V1074" s="12">
        <f t="shared" si="214"/>
        <v>0.3</v>
      </c>
      <c r="Z1074" s="1">
        <f t="shared" si="207"/>
        <v>0</v>
      </c>
      <c r="AB1074" s="2" t="s">
        <v>900</v>
      </c>
    </row>
    <row r="1075" spans="1:28" x14ac:dyDescent="0.25">
      <c r="A1075" s="1" t="s">
        <v>1678</v>
      </c>
      <c r="B1075" s="1" t="s">
        <v>35</v>
      </c>
      <c r="C1075" s="1" t="s">
        <v>861</v>
      </c>
      <c r="D1075" s="1">
        <v>17</v>
      </c>
      <c r="E1075" s="1">
        <v>1</v>
      </c>
      <c r="F1075" s="1">
        <v>2</v>
      </c>
      <c r="G1075" s="1">
        <v>7</v>
      </c>
      <c r="H1075" s="1">
        <v>6</v>
      </c>
      <c r="I1075" s="1">
        <v>5</v>
      </c>
      <c r="J1075" s="1">
        <v>5</v>
      </c>
      <c r="K1075" s="1">
        <f t="shared" si="204"/>
        <v>23</v>
      </c>
      <c r="L1075" s="12">
        <f t="shared" si="212"/>
        <v>0.57499999999999996</v>
      </c>
      <c r="M1075" s="1">
        <v>6</v>
      </c>
      <c r="N1075" s="1">
        <v>7</v>
      </c>
      <c r="O1075" s="1">
        <v>8</v>
      </c>
      <c r="P1075" s="1">
        <v>6</v>
      </c>
      <c r="Q1075" s="1">
        <f t="shared" si="205"/>
        <v>27</v>
      </c>
      <c r="R1075" s="12">
        <f t="shared" si="213"/>
        <v>0.67500000000000004</v>
      </c>
      <c r="S1075" s="1">
        <v>6</v>
      </c>
      <c r="T1075" s="1">
        <v>5</v>
      </c>
      <c r="U1075" s="1">
        <f t="shared" si="206"/>
        <v>11</v>
      </c>
      <c r="V1075" s="12">
        <f t="shared" si="214"/>
        <v>0.55000000000000004</v>
      </c>
      <c r="Z1075" s="1">
        <f t="shared" si="207"/>
        <v>0</v>
      </c>
      <c r="AB1075" s="2" t="s">
        <v>901</v>
      </c>
    </row>
    <row r="1076" spans="1:28" x14ac:dyDescent="0.25">
      <c r="A1076" s="1" t="s">
        <v>1678</v>
      </c>
      <c r="B1076" s="1" t="s">
        <v>35</v>
      </c>
      <c r="C1076" s="1" t="s">
        <v>861</v>
      </c>
      <c r="D1076" s="1">
        <v>17</v>
      </c>
      <c r="E1076" s="1">
        <v>1</v>
      </c>
      <c r="F1076" s="1">
        <v>2</v>
      </c>
      <c r="G1076" s="1">
        <v>5</v>
      </c>
      <c r="H1076" s="1">
        <v>5</v>
      </c>
      <c r="I1076" s="1">
        <v>4</v>
      </c>
      <c r="J1076" s="1">
        <v>4</v>
      </c>
      <c r="K1076" s="1">
        <f t="shared" si="204"/>
        <v>18</v>
      </c>
      <c r="L1076" s="12">
        <f t="shared" si="212"/>
        <v>0.45</v>
      </c>
      <c r="M1076" s="1">
        <v>5</v>
      </c>
      <c r="N1076" s="1">
        <v>5</v>
      </c>
      <c r="O1076" s="1">
        <v>5</v>
      </c>
      <c r="P1076" s="1">
        <v>5</v>
      </c>
      <c r="Q1076" s="1">
        <f t="shared" si="205"/>
        <v>20</v>
      </c>
      <c r="R1076" s="12">
        <f t="shared" si="213"/>
        <v>0.5</v>
      </c>
      <c r="S1076" s="1">
        <v>2</v>
      </c>
      <c r="T1076" s="1">
        <v>2</v>
      </c>
      <c r="U1076" s="1">
        <f t="shared" si="206"/>
        <v>4</v>
      </c>
      <c r="V1076" s="12">
        <f t="shared" si="214"/>
        <v>0.2</v>
      </c>
      <c r="Z1076" s="1">
        <f t="shared" si="207"/>
        <v>0</v>
      </c>
      <c r="AB1076" s="2" t="s">
        <v>902</v>
      </c>
    </row>
    <row r="1077" spans="1:28" x14ac:dyDescent="0.25">
      <c r="A1077" s="1" t="s">
        <v>1678</v>
      </c>
      <c r="B1077" s="1" t="s">
        <v>35</v>
      </c>
      <c r="C1077" s="1" t="s">
        <v>861</v>
      </c>
      <c r="D1077" s="1">
        <v>17</v>
      </c>
      <c r="E1077" s="1">
        <v>1</v>
      </c>
      <c r="F1077" s="1">
        <v>2</v>
      </c>
      <c r="G1077" s="1">
        <v>7</v>
      </c>
      <c r="H1077" s="1">
        <v>5</v>
      </c>
      <c r="I1077" s="1">
        <v>6</v>
      </c>
      <c r="J1077" s="1">
        <v>6</v>
      </c>
      <c r="K1077" s="1">
        <f t="shared" si="204"/>
        <v>24</v>
      </c>
      <c r="L1077" s="12">
        <f t="shared" si="212"/>
        <v>0.6</v>
      </c>
      <c r="M1077" s="1">
        <v>6</v>
      </c>
      <c r="N1077" s="1">
        <v>5</v>
      </c>
      <c r="O1077" s="1">
        <v>5</v>
      </c>
      <c r="P1077" s="1">
        <v>6</v>
      </c>
      <c r="Q1077" s="1">
        <f t="shared" si="205"/>
        <v>22</v>
      </c>
      <c r="R1077" s="12">
        <f t="shared" si="213"/>
        <v>0.55000000000000004</v>
      </c>
      <c r="S1077" s="1">
        <v>6</v>
      </c>
      <c r="T1077" s="1">
        <v>5</v>
      </c>
      <c r="U1077" s="1">
        <f t="shared" si="206"/>
        <v>11</v>
      </c>
      <c r="V1077" s="12">
        <f t="shared" si="214"/>
        <v>0.55000000000000004</v>
      </c>
      <c r="Z1077" s="1">
        <f t="shared" si="207"/>
        <v>0</v>
      </c>
      <c r="AB1077" s="2" t="s">
        <v>903</v>
      </c>
    </row>
    <row r="1078" spans="1:28" x14ac:dyDescent="0.25">
      <c r="A1078" s="1" t="s">
        <v>1678</v>
      </c>
      <c r="B1078" s="1" t="s">
        <v>35</v>
      </c>
      <c r="C1078" s="1" t="s">
        <v>861</v>
      </c>
      <c r="D1078" s="1">
        <v>17</v>
      </c>
      <c r="E1078" s="1">
        <v>1</v>
      </c>
      <c r="F1078" s="1">
        <v>2</v>
      </c>
      <c r="G1078" s="1">
        <v>4</v>
      </c>
      <c r="H1078" s="1">
        <v>4</v>
      </c>
      <c r="I1078" s="1">
        <v>4</v>
      </c>
      <c r="J1078" s="1">
        <v>4</v>
      </c>
      <c r="K1078" s="1">
        <f t="shared" si="204"/>
        <v>16</v>
      </c>
      <c r="L1078" s="12">
        <f t="shared" si="212"/>
        <v>0.4</v>
      </c>
      <c r="M1078" s="1">
        <v>5</v>
      </c>
      <c r="N1078" s="1">
        <v>5</v>
      </c>
      <c r="O1078" s="1">
        <v>4</v>
      </c>
      <c r="P1078" s="1">
        <v>3</v>
      </c>
      <c r="Q1078" s="1">
        <f t="shared" si="205"/>
        <v>17</v>
      </c>
      <c r="R1078" s="12">
        <f t="shared" si="213"/>
        <v>0.42499999999999999</v>
      </c>
      <c r="S1078" s="1">
        <v>2</v>
      </c>
      <c r="T1078" s="1">
        <v>2</v>
      </c>
      <c r="U1078" s="1">
        <f t="shared" si="206"/>
        <v>4</v>
      </c>
      <c r="V1078" s="12">
        <f t="shared" si="214"/>
        <v>0.2</v>
      </c>
      <c r="Z1078" s="1">
        <f t="shared" si="207"/>
        <v>0</v>
      </c>
      <c r="AB1078" s="2" t="s">
        <v>904</v>
      </c>
    </row>
    <row r="1079" spans="1:28" x14ac:dyDescent="0.25">
      <c r="A1079" s="1" t="s">
        <v>1678</v>
      </c>
      <c r="B1079" s="1" t="s">
        <v>35</v>
      </c>
      <c r="C1079" s="1" t="s">
        <v>861</v>
      </c>
      <c r="D1079" s="1">
        <v>18</v>
      </c>
      <c r="E1079" s="1">
        <v>2</v>
      </c>
      <c r="F1079" s="1">
        <v>1</v>
      </c>
      <c r="G1079" s="1">
        <v>5</v>
      </c>
      <c r="H1079" s="1">
        <v>5</v>
      </c>
      <c r="I1079" s="1">
        <v>5</v>
      </c>
      <c r="J1079" s="1">
        <v>5</v>
      </c>
      <c r="K1079" s="1">
        <f t="shared" si="204"/>
        <v>20</v>
      </c>
      <c r="L1079" s="12">
        <f t="shared" si="212"/>
        <v>0.5</v>
      </c>
      <c r="M1079" s="1">
        <v>5</v>
      </c>
      <c r="N1079" s="1">
        <v>4</v>
      </c>
      <c r="O1079" s="1">
        <v>4</v>
      </c>
      <c r="P1079" s="1">
        <v>5</v>
      </c>
      <c r="Q1079" s="1">
        <f t="shared" si="205"/>
        <v>18</v>
      </c>
      <c r="R1079" s="12">
        <f t="shared" si="213"/>
        <v>0.45</v>
      </c>
      <c r="S1079" s="1">
        <v>5</v>
      </c>
      <c r="T1079" s="1">
        <v>2</v>
      </c>
      <c r="U1079" s="1">
        <f t="shared" si="206"/>
        <v>7</v>
      </c>
      <c r="V1079" s="12">
        <f t="shared" si="214"/>
        <v>0.35</v>
      </c>
      <c r="Z1079" s="1">
        <f t="shared" si="207"/>
        <v>0</v>
      </c>
      <c r="AB1079" s="2" t="s">
        <v>1044</v>
      </c>
    </row>
    <row r="1080" spans="1:28" x14ac:dyDescent="0.25">
      <c r="A1080" s="1" t="s">
        <v>1678</v>
      </c>
      <c r="B1080" s="1" t="s">
        <v>35</v>
      </c>
      <c r="C1080" s="1" t="s">
        <v>861</v>
      </c>
      <c r="D1080" s="1">
        <v>18</v>
      </c>
      <c r="E1080" s="1">
        <v>2</v>
      </c>
      <c r="F1080" s="1">
        <v>1</v>
      </c>
      <c r="G1080" s="1">
        <v>6</v>
      </c>
      <c r="H1080" s="1">
        <v>8</v>
      </c>
      <c r="I1080" s="1">
        <v>6</v>
      </c>
      <c r="J1080" s="1">
        <v>7</v>
      </c>
      <c r="K1080" s="1">
        <f t="shared" si="204"/>
        <v>27</v>
      </c>
      <c r="L1080" s="12">
        <f t="shared" si="212"/>
        <v>0.67500000000000004</v>
      </c>
      <c r="M1080" s="1">
        <v>6</v>
      </c>
      <c r="N1080" s="1">
        <v>5</v>
      </c>
      <c r="O1080" s="1">
        <v>7</v>
      </c>
      <c r="P1080" s="1">
        <v>5</v>
      </c>
      <c r="Q1080" s="1">
        <f t="shared" si="205"/>
        <v>23</v>
      </c>
      <c r="R1080" s="12">
        <f t="shared" si="213"/>
        <v>0.57499999999999996</v>
      </c>
      <c r="S1080" s="1">
        <v>5</v>
      </c>
      <c r="T1080" s="1">
        <v>7</v>
      </c>
      <c r="U1080" s="1">
        <f t="shared" si="206"/>
        <v>12</v>
      </c>
      <c r="V1080" s="12">
        <f t="shared" si="214"/>
        <v>0.6</v>
      </c>
      <c r="Z1080" s="1">
        <f t="shared" si="207"/>
        <v>0</v>
      </c>
      <c r="AB1080" s="2" t="s">
        <v>1045</v>
      </c>
    </row>
    <row r="1081" spans="1:28" x14ac:dyDescent="0.25">
      <c r="A1081" s="1" t="s">
        <v>1678</v>
      </c>
      <c r="B1081" s="1" t="s">
        <v>35</v>
      </c>
      <c r="C1081" s="1" t="s">
        <v>861</v>
      </c>
      <c r="D1081" s="1">
        <v>18</v>
      </c>
      <c r="E1081" s="1">
        <v>2</v>
      </c>
      <c r="F1081" s="1">
        <v>1</v>
      </c>
      <c r="G1081" s="1">
        <v>5</v>
      </c>
      <c r="H1081" s="1">
        <v>4</v>
      </c>
      <c r="I1081" s="1">
        <v>4</v>
      </c>
      <c r="J1081" s="1">
        <v>4</v>
      </c>
      <c r="K1081" s="1">
        <f t="shared" si="204"/>
        <v>17</v>
      </c>
      <c r="L1081" s="12">
        <f t="shared" si="212"/>
        <v>0.42499999999999999</v>
      </c>
      <c r="M1081" s="1">
        <v>5</v>
      </c>
      <c r="N1081" s="1">
        <v>4</v>
      </c>
      <c r="O1081" s="1">
        <v>4</v>
      </c>
      <c r="P1081" s="1">
        <v>4</v>
      </c>
      <c r="Q1081" s="1">
        <f t="shared" si="205"/>
        <v>17</v>
      </c>
      <c r="R1081" s="12">
        <f t="shared" si="213"/>
        <v>0.42499999999999999</v>
      </c>
      <c r="S1081" s="1">
        <v>2</v>
      </c>
      <c r="T1081" s="1">
        <v>2</v>
      </c>
      <c r="U1081" s="1">
        <f t="shared" si="206"/>
        <v>4</v>
      </c>
      <c r="V1081" s="12">
        <f t="shared" si="214"/>
        <v>0.2</v>
      </c>
      <c r="Z1081" s="1">
        <f t="shared" si="207"/>
        <v>0</v>
      </c>
      <c r="AB1081" s="2" t="s">
        <v>1046</v>
      </c>
    </row>
    <row r="1082" spans="1:28" x14ac:dyDescent="0.25">
      <c r="A1082" s="1" t="s">
        <v>1678</v>
      </c>
      <c r="B1082" s="1" t="s">
        <v>35</v>
      </c>
      <c r="C1082" s="1" t="s">
        <v>861</v>
      </c>
      <c r="D1082" s="1">
        <v>18</v>
      </c>
      <c r="E1082" s="1">
        <v>2</v>
      </c>
      <c r="F1082" s="1">
        <v>1</v>
      </c>
      <c r="G1082" s="1">
        <v>6</v>
      </c>
      <c r="H1082" s="1">
        <v>8</v>
      </c>
      <c r="I1082" s="1">
        <v>6</v>
      </c>
      <c r="J1082" s="1">
        <v>8</v>
      </c>
      <c r="K1082" s="1">
        <f t="shared" si="204"/>
        <v>28</v>
      </c>
      <c r="L1082" s="12">
        <f t="shared" si="212"/>
        <v>0.7</v>
      </c>
      <c r="M1082" s="1">
        <v>7</v>
      </c>
      <c r="N1082" s="1">
        <v>8</v>
      </c>
      <c r="O1082" s="1">
        <v>6</v>
      </c>
      <c r="P1082" s="1">
        <v>7</v>
      </c>
      <c r="Q1082" s="1">
        <f t="shared" si="205"/>
        <v>28</v>
      </c>
      <c r="R1082" s="12">
        <f t="shared" si="213"/>
        <v>0.7</v>
      </c>
      <c r="S1082" s="1">
        <v>8</v>
      </c>
      <c r="T1082" s="1">
        <v>8</v>
      </c>
      <c r="U1082" s="1">
        <f t="shared" si="206"/>
        <v>16</v>
      </c>
      <c r="V1082" s="12">
        <f t="shared" si="214"/>
        <v>0.8</v>
      </c>
      <c r="Z1082" s="1">
        <f t="shared" si="207"/>
        <v>0</v>
      </c>
      <c r="AB1082" s="2" t="s">
        <v>1047</v>
      </c>
    </row>
    <row r="1083" spans="1:28" x14ac:dyDescent="0.25">
      <c r="A1083" s="1" t="s">
        <v>1678</v>
      </c>
      <c r="B1083" s="1" t="s">
        <v>35</v>
      </c>
      <c r="C1083" s="1" t="s">
        <v>861</v>
      </c>
      <c r="D1083" s="1">
        <v>18</v>
      </c>
      <c r="E1083" s="1">
        <v>2</v>
      </c>
      <c r="F1083" s="1">
        <v>1</v>
      </c>
      <c r="G1083" s="1">
        <v>5</v>
      </c>
      <c r="H1083" s="1">
        <v>5</v>
      </c>
      <c r="I1083" s="1">
        <v>5</v>
      </c>
      <c r="J1083" s="1">
        <v>5</v>
      </c>
      <c r="K1083" s="1">
        <f t="shared" si="204"/>
        <v>20</v>
      </c>
      <c r="L1083" s="12">
        <f t="shared" si="212"/>
        <v>0.5</v>
      </c>
      <c r="M1083" s="1">
        <v>5</v>
      </c>
      <c r="N1083" s="1">
        <v>5</v>
      </c>
      <c r="O1083" s="1">
        <v>5</v>
      </c>
      <c r="P1083" s="1">
        <v>5</v>
      </c>
      <c r="Q1083" s="1">
        <f t="shared" si="205"/>
        <v>20</v>
      </c>
      <c r="R1083" s="12">
        <f t="shared" si="213"/>
        <v>0.5</v>
      </c>
      <c r="S1083" s="1">
        <v>7</v>
      </c>
      <c r="T1083" s="1">
        <v>7</v>
      </c>
      <c r="U1083" s="1">
        <f t="shared" si="206"/>
        <v>14</v>
      </c>
      <c r="V1083" s="12">
        <f t="shared" si="214"/>
        <v>0.7</v>
      </c>
      <c r="Z1083" s="1">
        <f t="shared" si="207"/>
        <v>0</v>
      </c>
      <c r="AB1083" s="2" t="s">
        <v>1048</v>
      </c>
    </row>
    <row r="1084" spans="1:28" x14ac:dyDescent="0.25">
      <c r="A1084" s="1" t="s">
        <v>1678</v>
      </c>
      <c r="B1084" s="1" t="s">
        <v>35</v>
      </c>
      <c r="C1084" s="1" t="s">
        <v>861</v>
      </c>
      <c r="D1084" s="1">
        <v>18</v>
      </c>
      <c r="E1084" s="1">
        <v>2</v>
      </c>
      <c r="F1084" s="1">
        <v>1</v>
      </c>
      <c r="G1084" s="1">
        <v>9</v>
      </c>
      <c r="H1084" s="1">
        <v>9</v>
      </c>
      <c r="I1084" s="1">
        <v>9</v>
      </c>
      <c r="J1084" s="1">
        <v>9</v>
      </c>
      <c r="K1084" s="1">
        <f t="shared" si="204"/>
        <v>36</v>
      </c>
      <c r="L1084" s="12">
        <f t="shared" si="212"/>
        <v>0.9</v>
      </c>
      <c r="M1084" s="1">
        <v>9</v>
      </c>
      <c r="N1084" s="1">
        <v>8</v>
      </c>
      <c r="O1084" s="1">
        <v>9</v>
      </c>
      <c r="P1084" s="1">
        <v>8</v>
      </c>
      <c r="Q1084" s="1">
        <f t="shared" si="205"/>
        <v>34</v>
      </c>
      <c r="R1084" s="12">
        <f t="shared" si="213"/>
        <v>0.85</v>
      </c>
      <c r="S1084" s="1">
        <v>9</v>
      </c>
      <c r="T1084" s="1">
        <v>8</v>
      </c>
      <c r="U1084" s="1">
        <f t="shared" si="206"/>
        <v>17</v>
      </c>
      <c r="V1084" s="12">
        <f t="shared" si="214"/>
        <v>0.85</v>
      </c>
      <c r="Z1084" s="1">
        <f t="shared" si="207"/>
        <v>0</v>
      </c>
      <c r="AB1084" s="2" t="s">
        <v>1049</v>
      </c>
    </row>
    <row r="1085" spans="1:28" x14ac:dyDescent="0.25">
      <c r="A1085" s="1" t="s">
        <v>1678</v>
      </c>
      <c r="B1085" s="1" t="s">
        <v>35</v>
      </c>
      <c r="C1085" s="1" t="s">
        <v>861</v>
      </c>
      <c r="D1085" s="1">
        <v>18</v>
      </c>
      <c r="E1085" s="1">
        <v>2</v>
      </c>
      <c r="F1085" s="1">
        <v>1</v>
      </c>
      <c r="G1085" s="1">
        <v>5</v>
      </c>
      <c r="H1085" s="1">
        <v>5</v>
      </c>
      <c r="I1085" s="1">
        <v>5</v>
      </c>
      <c r="J1085" s="1">
        <v>5</v>
      </c>
      <c r="K1085" s="1">
        <f t="shared" si="204"/>
        <v>20</v>
      </c>
      <c r="L1085" s="12">
        <f t="shared" si="212"/>
        <v>0.5</v>
      </c>
      <c r="M1085" s="1">
        <v>5</v>
      </c>
      <c r="N1085" s="1">
        <v>5</v>
      </c>
      <c r="O1085" s="1">
        <v>5</v>
      </c>
      <c r="P1085" s="1">
        <v>5</v>
      </c>
      <c r="Q1085" s="1">
        <f t="shared" si="205"/>
        <v>20</v>
      </c>
      <c r="R1085" s="12">
        <f t="shared" si="213"/>
        <v>0.5</v>
      </c>
      <c r="S1085" s="1">
        <v>6</v>
      </c>
      <c r="T1085" s="1">
        <v>6</v>
      </c>
      <c r="U1085" s="1">
        <f t="shared" si="206"/>
        <v>12</v>
      </c>
      <c r="V1085" s="12">
        <f t="shared" si="214"/>
        <v>0.6</v>
      </c>
      <c r="Z1085" s="1">
        <f t="shared" si="207"/>
        <v>0</v>
      </c>
      <c r="AB1085" s="2" t="s">
        <v>1050</v>
      </c>
    </row>
    <row r="1086" spans="1:28" x14ac:dyDescent="0.25">
      <c r="A1086" s="1" t="s">
        <v>1678</v>
      </c>
      <c r="B1086" s="1" t="s">
        <v>35</v>
      </c>
      <c r="C1086" s="1" t="s">
        <v>861</v>
      </c>
      <c r="D1086" s="1">
        <v>18</v>
      </c>
      <c r="E1086" s="1">
        <v>2</v>
      </c>
      <c r="F1086" s="1">
        <v>1</v>
      </c>
      <c r="G1086" s="1">
        <v>6</v>
      </c>
      <c r="H1086" s="1">
        <v>6</v>
      </c>
      <c r="I1086" s="1">
        <v>6</v>
      </c>
      <c r="J1086" s="1">
        <v>6</v>
      </c>
      <c r="K1086" s="1">
        <f t="shared" si="204"/>
        <v>24</v>
      </c>
      <c r="L1086" s="12">
        <f t="shared" si="212"/>
        <v>0.6</v>
      </c>
      <c r="M1086" s="1">
        <v>5</v>
      </c>
      <c r="N1086" s="1">
        <v>6</v>
      </c>
      <c r="O1086" s="1">
        <v>5</v>
      </c>
      <c r="P1086" s="1">
        <v>6</v>
      </c>
      <c r="Q1086" s="1">
        <f t="shared" si="205"/>
        <v>22</v>
      </c>
      <c r="R1086" s="12">
        <f t="shared" si="213"/>
        <v>0.55000000000000004</v>
      </c>
      <c r="S1086" s="1">
        <v>5</v>
      </c>
      <c r="T1086" s="1">
        <v>2</v>
      </c>
      <c r="U1086" s="1">
        <f t="shared" si="206"/>
        <v>7</v>
      </c>
      <c r="V1086" s="12">
        <f t="shared" si="214"/>
        <v>0.35</v>
      </c>
      <c r="Z1086" s="1">
        <f t="shared" si="207"/>
        <v>0</v>
      </c>
      <c r="AB1086" s="2" t="s">
        <v>1051</v>
      </c>
    </row>
    <row r="1087" spans="1:28" x14ac:dyDescent="0.25">
      <c r="A1087" s="1" t="s">
        <v>1678</v>
      </c>
      <c r="B1087" s="1" t="s">
        <v>35</v>
      </c>
      <c r="C1087" s="1" t="s">
        <v>861</v>
      </c>
      <c r="D1087" s="1">
        <v>4</v>
      </c>
      <c r="E1087" s="1">
        <v>3</v>
      </c>
      <c r="F1087" s="1">
        <v>6</v>
      </c>
      <c r="G1087" s="1">
        <v>5</v>
      </c>
      <c r="H1087" s="1">
        <v>6</v>
      </c>
      <c r="I1087" s="1">
        <v>5</v>
      </c>
      <c r="J1087" s="1">
        <v>5</v>
      </c>
      <c r="K1087" s="1">
        <f t="shared" si="204"/>
        <v>21</v>
      </c>
      <c r="L1087" s="12">
        <f t="shared" si="212"/>
        <v>0.52500000000000002</v>
      </c>
      <c r="M1087" s="1">
        <v>7</v>
      </c>
      <c r="N1087" s="1">
        <v>7</v>
      </c>
      <c r="O1087" s="1">
        <v>7</v>
      </c>
      <c r="P1087" s="1">
        <v>7</v>
      </c>
      <c r="Q1087" s="1">
        <f t="shared" si="205"/>
        <v>28</v>
      </c>
      <c r="R1087" s="12">
        <f t="shared" si="213"/>
        <v>0.7</v>
      </c>
      <c r="S1087" s="1">
        <v>6</v>
      </c>
      <c r="T1087" s="1">
        <v>6</v>
      </c>
      <c r="U1087" s="1">
        <f t="shared" si="206"/>
        <v>12</v>
      </c>
      <c r="V1087" s="12">
        <f t="shared" si="214"/>
        <v>0.6</v>
      </c>
      <c r="Z1087" s="1">
        <f t="shared" si="207"/>
        <v>0</v>
      </c>
      <c r="AB1087" s="2" t="s">
        <v>1338</v>
      </c>
    </row>
    <row r="1088" spans="1:28" x14ac:dyDescent="0.25">
      <c r="A1088" s="1" t="s">
        <v>1678</v>
      </c>
      <c r="B1088" s="1" t="s">
        <v>35</v>
      </c>
      <c r="C1088" s="1" t="s">
        <v>861</v>
      </c>
      <c r="D1088" s="1">
        <v>4</v>
      </c>
      <c r="E1088" s="1">
        <v>3</v>
      </c>
      <c r="F1088" s="1">
        <v>6</v>
      </c>
      <c r="G1088" s="1">
        <v>6</v>
      </c>
      <c r="H1088" s="1">
        <v>6</v>
      </c>
      <c r="I1088" s="1">
        <v>7</v>
      </c>
      <c r="J1088" s="1">
        <v>6</v>
      </c>
      <c r="K1088" s="1">
        <f t="shared" si="204"/>
        <v>25</v>
      </c>
      <c r="L1088" s="12">
        <f t="shared" si="212"/>
        <v>0.625</v>
      </c>
      <c r="M1088" s="1">
        <v>7</v>
      </c>
      <c r="N1088" s="1">
        <v>8</v>
      </c>
      <c r="O1088" s="1">
        <v>8</v>
      </c>
      <c r="P1088" s="1">
        <v>7</v>
      </c>
      <c r="Q1088" s="1">
        <f t="shared" si="205"/>
        <v>30</v>
      </c>
      <c r="R1088" s="12">
        <f t="shared" si="213"/>
        <v>0.75</v>
      </c>
      <c r="S1088" s="1">
        <v>7</v>
      </c>
      <c r="T1088" s="1">
        <v>7</v>
      </c>
      <c r="U1088" s="1">
        <f t="shared" si="206"/>
        <v>14</v>
      </c>
      <c r="V1088" s="12">
        <f t="shared" si="214"/>
        <v>0.7</v>
      </c>
      <c r="Z1088" s="1">
        <f t="shared" si="207"/>
        <v>0</v>
      </c>
      <c r="AB1088" s="2" t="s">
        <v>1339</v>
      </c>
    </row>
    <row r="1089" spans="1:28" x14ac:dyDescent="0.25">
      <c r="A1089" s="1" t="s">
        <v>1678</v>
      </c>
      <c r="B1089" s="1" t="s">
        <v>35</v>
      </c>
      <c r="C1089" s="1" t="s">
        <v>861</v>
      </c>
      <c r="D1089" s="1">
        <v>4</v>
      </c>
      <c r="E1089" s="1">
        <v>3</v>
      </c>
      <c r="F1089" s="1">
        <v>6</v>
      </c>
      <c r="G1089" s="1">
        <v>7</v>
      </c>
      <c r="H1089" s="1">
        <v>7</v>
      </c>
      <c r="I1089" s="1">
        <v>7</v>
      </c>
      <c r="J1089" s="1">
        <v>7</v>
      </c>
      <c r="K1089" s="1">
        <f t="shared" si="204"/>
        <v>28</v>
      </c>
      <c r="L1089" s="12">
        <f t="shared" si="212"/>
        <v>0.7</v>
      </c>
      <c r="M1089" s="1">
        <v>6</v>
      </c>
      <c r="N1089" s="1">
        <v>6</v>
      </c>
      <c r="O1089" s="1">
        <v>6</v>
      </c>
      <c r="P1089" s="1">
        <v>7</v>
      </c>
      <c r="Q1089" s="1">
        <f t="shared" si="205"/>
        <v>25</v>
      </c>
      <c r="R1089" s="12">
        <f t="shared" si="213"/>
        <v>0.625</v>
      </c>
      <c r="S1089" s="1">
        <v>7</v>
      </c>
      <c r="T1089" s="1">
        <v>7</v>
      </c>
      <c r="U1089" s="1">
        <f t="shared" si="206"/>
        <v>14</v>
      </c>
      <c r="V1089" s="12">
        <f t="shared" si="214"/>
        <v>0.7</v>
      </c>
      <c r="Z1089" s="1">
        <f t="shared" si="207"/>
        <v>0</v>
      </c>
      <c r="AB1089" s="2" t="s">
        <v>1340</v>
      </c>
    </row>
    <row r="1090" spans="1:28" x14ac:dyDescent="0.25">
      <c r="A1090" s="1" t="s">
        <v>1678</v>
      </c>
      <c r="B1090" s="1" t="s">
        <v>35</v>
      </c>
      <c r="C1090" s="1" t="s">
        <v>861</v>
      </c>
      <c r="D1090" s="1">
        <v>4</v>
      </c>
      <c r="E1090" s="1">
        <v>3</v>
      </c>
      <c r="F1090" s="1">
        <v>6</v>
      </c>
      <c r="G1090" s="1">
        <v>6</v>
      </c>
      <c r="H1090" s="1">
        <v>5</v>
      </c>
      <c r="I1090" s="1">
        <v>5</v>
      </c>
      <c r="J1090" s="1">
        <v>5</v>
      </c>
      <c r="K1090" s="1">
        <f t="shared" si="204"/>
        <v>21</v>
      </c>
      <c r="L1090" s="12">
        <f t="shared" si="212"/>
        <v>0.52500000000000002</v>
      </c>
      <c r="M1090" s="1">
        <v>5</v>
      </c>
      <c r="N1090" s="1">
        <v>5</v>
      </c>
      <c r="O1090" s="1">
        <v>5</v>
      </c>
      <c r="P1090" s="1">
        <v>6</v>
      </c>
      <c r="Q1090" s="1">
        <f t="shared" si="205"/>
        <v>21</v>
      </c>
      <c r="R1090" s="12">
        <f t="shared" si="213"/>
        <v>0.52500000000000002</v>
      </c>
      <c r="S1090" s="1">
        <v>6</v>
      </c>
      <c r="T1090" s="1">
        <v>5</v>
      </c>
      <c r="U1090" s="1">
        <f t="shared" si="206"/>
        <v>11</v>
      </c>
      <c r="V1090" s="12">
        <f t="shared" si="214"/>
        <v>0.55000000000000004</v>
      </c>
      <c r="Z1090" s="1">
        <f t="shared" si="207"/>
        <v>0</v>
      </c>
      <c r="AB1090" s="2" t="s">
        <v>1341</v>
      </c>
    </row>
    <row r="1091" spans="1:28" x14ac:dyDescent="0.25">
      <c r="A1091" s="1" t="s">
        <v>1678</v>
      </c>
      <c r="B1091" s="1" t="s">
        <v>35</v>
      </c>
      <c r="C1091" s="1" t="s">
        <v>861</v>
      </c>
      <c r="D1091" s="1">
        <v>4</v>
      </c>
      <c r="E1091" s="1">
        <v>3</v>
      </c>
      <c r="F1091" s="1">
        <v>6</v>
      </c>
      <c r="G1091" s="1">
        <v>9</v>
      </c>
      <c r="H1091" s="1">
        <v>8</v>
      </c>
      <c r="I1091" s="1">
        <v>9</v>
      </c>
      <c r="J1091" s="1">
        <v>8</v>
      </c>
      <c r="K1091" s="1">
        <f t="shared" ref="K1091:K1154" si="215">SUM(G1091:J1091)</f>
        <v>34</v>
      </c>
      <c r="L1091" s="12">
        <f t="shared" si="212"/>
        <v>0.85</v>
      </c>
      <c r="M1091" s="1">
        <v>9</v>
      </c>
      <c r="N1091" s="1">
        <v>8</v>
      </c>
      <c r="O1091" s="1">
        <v>8</v>
      </c>
      <c r="P1091" s="1">
        <v>9</v>
      </c>
      <c r="Q1091" s="1">
        <f t="shared" ref="Q1091:Q1154" si="216">SUM(M1091:P1091)</f>
        <v>34</v>
      </c>
      <c r="R1091" s="12">
        <f t="shared" si="213"/>
        <v>0.85</v>
      </c>
      <c r="S1091" s="1">
        <v>9</v>
      </c>
      <c r="T1091" s="1">
        <v>8</v>
      </c>
      <c r="U1091" s="1">
        <f t="shared" ref="U1091:U1154" si="217">SUM(S1091:T1091)</f>
        <v>17</v>
      </c>
      <c r="V1091" s="12">
        <f t="shared" si="214"/>
        <v>0.85</v>
      </c>
      <c r="Z1091" s="1">
        <f t="shared" ref="Z1091:Z1154" si="218">SUM(W1091:Y1091)</f>
        <v>0</v>
      </c>
      <c r="AB1091" s="2" t="s">
        <v>1342</v>
      </c>
    </row>
    <row r="1092" spans="1:28" x14ac:dyDescent="0.25">
      <c r="A1092" s="1" t="s">
        <v>1678</v>
      </c>
      <c r="B1092" s="1" t="s">
        <v>35</v>
      </c>
      <c r="C1092" s="1" t="s">
        <v>861</v>
      </c>
      <c r="D1092" s="1">
        <v>4</v>
      </c>
      <c r="E1092" s="1">
        <v>3</v>
      </c>
      <c r="F1092" s="1">
        <v>6</v>
      </c>
      <c r="G1092" s="1">
        <v>7</v>
      </c>
      <c r="H1092" s="1">
        <v>6</v>
      </c>
      <c r="I1092" s="1">
        <v>6</v>
      </c>
      <c r="J1092" s="1">
        <v>6</v>
      </c>
      <c r="K1092" s="1">
        <f t="shared" si="215"/>
        <v>25</v>
      </c>
      <c r="L1092" s="12">
        <f t="shared" si="212"/>
        <v>0.625</v>
      </c>
      <c r="M1092" s="1">
        <v>5</v>
      </c>
      <c r="N1092" s="1">
        <v>5</v>
      </c>
      <c r="O1092" s="1">
        <v>5</v>
      </c>
      <c r="P1092" s="1">
        <v>6</v>
      </c>
      <c r="Q1092" s="1">
        <f t="shared" si="216"/>
        <v>21</v>
      </c>
      <c r="R1092" s="12">
        <f t="shared" si="213"/>
        <v>0.52500000000000002</v>
      </c>
      <c r="S1092" s="1">
        <v>5</v>
      </c>
      <c r="T1092" s="1">
        <v>7</v>
      </c>
      <c r="U1092" s="1">
        <f t="shared" si="217"/>
        <v>12</v>
      </c>
      <c r="V1092" s="12">
        <f t="shared" si="214"/>
        <v>0.6</v>
      </c>
      <c r="Z1092" s="1">
        <f t="shared" si="218"/>
        <v>0</v>
      </c>
      <c r="AB1092" s="2" t="s">
        <v>1343</v>
      </c>
    </row>
    <row r="1093" spans="1:28" x14ac:dyDescent="0.25">
      <c r="A1093" s="1" t="s">
        <v>1678</v>
      </c>
      <c r="B1093" s="1" t="s">
        <v>35</v>
      </c>
      <c r="C1093" s="1" t="s">
        <v>861</v>
      </c>
      <c r="D1093" s="1">
        <v>4</v>
      </c>
      <c r="E1093" s="1">
        <v>3</v>
      </c>
      <c r="F1093" s="1">
        <v>6</v>
      </c>
      <c r="G1093" s="1">
        <v>6</v>
      </c>
      <c r="H1093" s="1">
        <v>6</v>
      </c>
      <c r="I1093" s="1">
        <v>7</v>
      </c>
      <c r="J1093" s="1">
        <v>7</v>
      </c>
      <c r="K1093" s="1">
        <f t="shared" si="215"/>
        <v>26</v>
      </c>
      <c r="L1093" s="12">
        <f t="shared" si="212"/>
        <v>0.65</v>
      </c>
      <c r="M1093" s="1">
        <v>7</v>
      </c>
      <c r="N1093" s="1">
        <v>6</v>
      </c>
      <c r="O1093" s="1">
        <v>6</v>
      </c>
      <c r="P1093" s="1">
        <v>6</v>
      </c>
      <c r="Q1093" s="1">
        <f t="shared" si="216"/>
        <v>25</v>
      </c>
      <c r="R1093" s="12">
        <f t="shared" si="213"/>
        <v>0.625</v>
      </c>
      <c r="S1093" s="1">
        <v>6</v>
      </c>
      <c r="T1093" s="1">
        <v>6</v>
      </c>
      <c r="U1093" s="1">
        <f t="shared" si="217"/>
        <v>12</v>
      </c>
      <c r="V1093" s="12">
        <f t="shared" si="214"/>
        <v>0.6</v>
      </c>
      <c r="Z1093" s="1">
        <f t="shared" si="218"/>
        <v>0</v>
      </c>
      <c r="AB1093" s="2" t="s">
        <v>1344</v>
      </c>
    </row>
    <row r="1094" spans="1:28" x14ac:dyDescent="0.25">
      <c r="A1094" s="1" t="s">
        <v>1678</v>
      </c>
      <c r="B1094" s="1" t="s">
        <v>35</v>
      </c>
      <c r="C1094" s="1" t="s">
        <v>861</v>
      </c>
      <c r="D1094" s="1">
        <v>4</v>
      </c>
      <c r="E1094" s="1">
        <v>3</v>
      </c>
      <c r="F1094" s="1">
        <v>6</v>
      </c>
      <c r="G1094" s="1">
        <v>9</v>
      </c>
      <c r="H1094" s="1">
        <v>9</v>
      </c>
      <c r="I1094" s="1">
        <v>9</v>
      </c>
      <c r="J1094" s="1">
        <v>9</v>
      </c>
      <c r="K1094" s="1">
        <f t="shared" si="215"/>
        <v>36</v>
      </c>
      <c r="L1094" s="12">
        <f t="shared" si="212"/>
        <v>0.9</v>
      </c>
      <c r="M1094" s="1">
        <v>9</v>
      </c>
      <c r="N1094" s="1">
        <v>8</v>
      </c>
      <c r="O1094" s="1">
        <v>9</v>
      </c>
      <c r="P1094" s="1">
        <v>9</v>
      </c>
      <c r="Q1094" s="1">
        <f t="shared" si="216"/>
        <v>35</v>
      </c>
      <c r="R1094" s="12">
        <f t="shared" si="213"/>
        <v>0.875</v>
      </c>
      <c r="S1094" s="1">
        <v>8</v>
      </c>
      <c r="T1094" s="1">
        <v>8</v>
      </c>
      <c r="U1094" s="1">
        <f t="shared" si="217"/>
        <v>16</v>
      </c>
      <c r="V1094" s="12">
        <f t="shared" si="214"/>
        <v>0.8</v>
      </c>
      <c r="Z1094" s="1">
        <f t="shared" si="218"/>
        <v>0</v>
      </c>
      <c r="AB1094" s="2" t="s">
        <v>1345</v>
      </c>
    </row>
    <row r="1095" spans="1:28" x14ac:dyDescent="0.25">
      <c r="A1095" s="1" t="s">
        <v>1678</v>
      </c>
      <c r="B1095" s="1" t="s">
        <v>576</v>
      </c>
      <c r="C1095" s="1" t="s">
        <v>861</v>
      </c>
      <c r="D1095" s="1">
        <v>24</v>
      </c>
      <c r="E1095" s="1">
        <v>1</v>
      </c>
      <c r="F1095" s="1">
        <v>3</v>
      </c>
      <c r="G1095" s="1">
        <v>6</v>
      </c>
      <c r="H1095" s="1">
        <v>6</v>
      </c>
      <c r="I1095" s="1">
        <v>5</v>
      </c>
      <c r="J1095" s="1">
        <v>6</v>
      </c>
      <c r="K1095" s="1">
        <f t="shared" si="215"/>
        <v>23</v>
      </c>
      <c r="L1095" s="12">
        <f t="shared" si="212"/>
        <v>0.57499999999999996</v>
      </c>
      <c r="M1095" s="1">
        <v>7</v>
      </c>
      <c r="N1095" s="1">
        <v>7</v>
      </c>
      <c r="O1095" s="1">
        <v>7</v>
      </c>
      <c r="P1095" s="1">
        <v>7</v>
      </c>
      <c r="Q1095" s="1">
        <f t="shared" si="216"/>
        <v>28</v>
      </c>
      <c r="R1095" s="12">
        <f t="shared" si="213"/>
        <v>0.7</v>
      </c>
      <c r="S1095" s="1">
        <v>7</v>
      </c>
      <c r="T1095" s="1">
        <v>4</v>
      </c>
      <c r="U1095" s="1">
        <f t="shared" si="217"/>
        <v>11</v>
      </c>
      <c r="V1095" s="12">
        <f t="shared" si="214"/>
        <v>0.55000000000000004</v>
      </c>
      <c r="Z1095" s="1">
        <f t="shared" si="218"/>
        <v>0</v>
      </c>
      <c r="AB1095" s="2" t="s">
        <v>1408</v>
      </c>
    </row>
    <row r="1096" spans="1:28" x14ac:dyDescent="0.25">
      <c r="A1096" s="1" t="s">
        <v>1678</v>
      </c>
      <c r="B1096" s="1" t="s">
        <v>576</v>
      </c>
      <c r="C1096" s="1" t="s">
        <v>861</v>
      </c>
      <c r="D1096" s="1">
        <v>24</v>
      </c>
      <c r="E1096" s="1">
        <v>1</v>
      </c>
      <c r="F1096" s="1">
        <v>3</v>
      </c>
      <c r="G1096" s="1">
        <v>8</v>
      </c>
      <c r="H1096" s="1">
        <v>7</v>
      </c>
      <c r="I1096" s="1">
        <v>8</v>
      </c>
      <c r="J1096" s="1">
        <v>8</v>
      </c>
      <c r="K1096" s="1">
        <f t="shared" si="215"/>
        <v>31</v>
      </c>
      <c r="L1096" s="12">
        <f t="shared" si="212"/>
        <v>0.77500000000000002</v>
      </c>
      <c r="M1096" s="1">
        <v>8</v>
      </c>
      <c r="N1096" s="1">
        <v>8</v>
      </c>
      <c r="O1096" s="1">
        <v>8</v>
      </c>
      <c r="P1096" s="1">
        <v>7</v>
      </c>
      <c r="Q1096" s="1">
        <f t="shared" si="216"/>
        <v>31</v>
      </c>
      <c r="R1096" s="12">
        <f t="shared" si="213"/>
        <v>0.77500000000000002</v>
      </c>
      <c r="S1096" s="1">
        <v>9</v>
      </c>
      <c r="T1096" s="1">
        <v>9</v>
      </c>
      <c r="U1096" s="1">
        <f t="shared" si="217"/>
        <v>18</v>
      </c>
      <c r="V1096" s="12">
        <f t="shared" si="214"/>
        <v>0.9</v>
      </c>
      <c r="Z1096" s="1">
        <f t="shared" si="218"/>
        <v>0</v>
      </c>
      <c r="AB1096" s="2" t="s">
        <v>1409</v>
      </c>
    </row>
    <row r="1097" spans="1:28" x14ac:dyDescent="0.25">
      <c r="A1097" s="1" t="s">
        <v>1678</v>
      </c>
      <c r="B1097" s="1" t="s">
        <v>576</v>
      </c>
      <c r="C1097" s="1" t="s">
        <v>861</v>
      </c>
      <c r="D1097" s="1">
        <v>24</v>
      </c>
      <c r="E1097" s="1">
        <v>1</v>
      </c>
      <c r="F1097" s="1">
        <v>3</v>
      </c>
      <c r="G1097" s="1">
        <v>6</v>
      </c>
      <c r="H1097" s="1">
        <v>6</v>
      </c>
      <c r="I1097" s="1">
        <v>6</v>
      </c>
      <c r="J1097" s="1">
        <v>7</v>
      </c>
      <c r="K1097" s="1">
        <f t="shared" si="215"/>
        <v>25</v>
      </c>
      <c r="L1097" s="12">
        <f t="shared" si="212"/>
        <v>0.625</v>
      </c>
      <c r="M1097" s="1">
        <v>5</v>
      </c>
      <c r="N1097" s="1">
        <v>5</v>
      </c>
      <c r="O1097" s="1">
        <v>5</v>
      </c>
      <c r="P1097" s="1">
        <v>6</v>
      </c>
      <c r="Q1097" s="1">
        <f t="shared" si="216"/>
        <v>21</v>
      </c>
      <c r="R1097" s="12">
        <f t="shared" si="213"/>
        <v>0.52500000000000002</v>
      </c>
      <c r="S1097" s="1">
        <v>7</v>
      </c>
      <c r="T1097" s="1">
        <v>6</v>
      </c>
      <c r="U1097" s="1">
        <f t="shared" si="217"/>
        <v>13</v>
      </c>
      <c r="V1097" s="12">
        <f t="shared" si="214"/>
        <v>0.65</v>
      </c>
      <c r="Z1097" s="1">
        <f t="shared" si="218"/>
        <v>0</v>
      </c>
      <c r="AB1097" s="2" t="s">
        <v>1410</v>
      </c>
    </row>
    <row r="1098" spans="1:28" x14ac:dyDescent="0.25">
      <c r="A1098" s="1" t="s">
        <v>1678</v>
      </c>
      <c r="B1098" s="1" t="s">
        <v>576</v>
      </c>
      <c r="C1098" s="1" t="s">
        <v>861</v>
      </c>
      <c r="D1098" s="1">
        <v>24</v>
      </c>
      <c r="E1098" s="1">
        <v>1</v>
      </c>
      <c r="F1098" s="1">
        <v>3</v>
      </c>
      <c r="G1098" s="1">
        <v>9</v>
      </c>
      <c r="H1098" s="1">
        <v>9</v>
      </c>
      <c r="I1098" s="1">
        <v>9</v>
      </c>
      <c r="J1098" s="1">
        <v>9</v>
      </c>
      <c r="K1098" s="1">
        <f t="shared" si="215"/>
        <v>36</v>
      </c>
      <c r="L1098" s="12">
        <f t="shared" si="212"/>
        <v>0.9</v>
      </c>
      <c r="M1098" s="1">
        <v>5</v>
      </c>
      <c r="N1098" s="1">
        <v>5</v>
      </c>
      <c r="O1098" s="1">
        <v>5</v>
      </c>
      <c r="P1098" s="1">
        <v>5</v>
      </c>
      <c r="Q1098" s="1">
        <f t="shared" si="216"/>
        <v>20</v>
      </c>
      <c r="R1098" s="12">
        <f t="shared" si="213"/>
        <v>0.5</v>
      </c>
      <c r="S1098" s="1">
        <v>6</v>
      </c>
      <c r="T1098" s="1">
        <v>6</v>
      </c>
      <c r="U1098" s="1">
        <f t="shared" si="217"/>
        <v>12</v>
      </c>
      <c r="V1098" s="12">
        <f t="shared" si="214"/>
        <v>0.6</v>
      </c>
      <c r="Z1098" s="1">
        <f t="shared" si="218"/>
        <v>0</v>
      </c>
      <c r="AB1098" s="2" t="s">
        <v>1411</v>
      </c>
    </row>
    <row r="1099" spans="1:28" x14ac:dyDescent="0.25">
      <c r="A1099" s="1" t="s">
        <v>1678</v>
      </c>
      <c r="B1099" s="1" t="s">
        <v>576</v>
      </c>
      <c r="C1099" s="1" t="s">
        <v>861</v>
      </c>
      <c r="D1099" s="1">
        <v>24</v>
      </c>
      <c r="E1099" s="1">
        <v>1</v>
      </c>
      <c r="F1099" s="1">
        <v>3</v>
      </c>
      <c r="G1099" s="1">
        <v>8</v>
      </c>
      <c r="H1099" s="1">
        <v>7</v>
      </c>
      <c r="I1099" s="1">
        <v>8</v>
      </c>
      <c r="J1099" s="1">
        <v>7</v>
      </c>
      <c r="K1099" s="1">
        <f t="shared" si="215"/>
        <v>30</v>
      </c>
      <c r="L1099" s="12">
        <f t="shared" si="212"/>
        <v>0.75</v>
      </c>
      <c r="M1099" s="1">
        <v>7</v>
      </c>
      <c r="N1099" s="1">
        <v>7</v>
      </c>
      <c r="O1099" s="1">
        <v>8</v>
      </c>
      <c r="P1099" s="1">
        <v>7</v>
      </c>
      <c r="Q1099" s="1">
        <f t="shared" si="216"/>
        <v>29</v>
      </c>
      <c r="R1099" s="12">
        <f t="shared" si="213"/>
        <v>0.72499999999999998</v>
      </c>
      <c r="S1099" s="1">
        <v>9</v>
      </c>
      <c r="T1099" s="1">
        <v>8</v>
      </c>
      <c r="U1099" s="1">
        <f t="shared" si="217"/>
        <v>17</v>
      </c>
      <c r="V1099" s="12">
        <f t="shared" si="214"/>
        <v>0.85</v>
      </c>
      <c r="Z1099" s="1">
        <f t="shared" si="218"/>
        <v>0</v>
      </c>
      <c r="AB1099" s="2" t="s">
        <v>1412</v>
      </c>
    </row>
    <row r="1100" spans="1:28" x14ac:dyDescent="0.25">
      <c r="A1100" s="1" t="s">
        <v>1678</v>
      </c>
      <c r="B1100" s="1" t="s">
        <v>576</v>
      </c>
      <c r="C1100" s="1" t="s">
        <v>861</v>
      </c>
      <c r="D1100" s="1">
        <v>24</v>
      </c>
      <c r="E1100" s="1">
        <v>1</v>
      </c>
      <c r="F1100" s="1">
        <v>3</v>
      </c>
      <c r="G1100" s="1">
        <v>5</v>
      </c>
      <c r="H1100" s="1">
        <v>4</v>
      </c>
      <c r="I1100" s="1">
        <v>5</v>
      </c>
      <c r="J1100" s="1">
        <v>5</v>
      </c>
      <c r="K1100" s="1">
        <f t="shared" si="215"/>
        <v>19</v>
      </c>
      <c r="L1100" s="12">
        <f t="shared" si="212"/>
        <v>0.47499999999999998</v>
      </c>
      <c r="M1100" s="1">
        <v>6</v>
      </c>
      <c r="N1100" s="1">
        <v>5</v>
      </c>
      <c r="O1100" s="1">
        <v>5</v>
      </c>
      <c r="P1100" s="1">
        <v>5</v>
      </c>
      <c r="Q1100" s="1">
        <f t="shared" si="216"/>
        <v>21</v>
      </c>
      <c r="R1100" s="12">
        <f t="shared" si="213"/>
        <v>0.52500000000000002</v>
      </c>
      <c r="S1100" s="1">
        <v>5</v>
      </c>
      <c r="T1100" s="1">
        <v>4</v>
      </c>
      <c r="U1100" s="1">
        <f t="shared" si="217"/>
        <v>9</v>
      </c>
      <c r="V1100" s="12">
        <f t="shared" si="214"/>
        <v>0.45</v>
      </c>
      <c r="Z1100" s="1">
        <f t="shared" si="218"/>
        <v>0</v>
      </c>
      <c r="AB1100" s="2" t="s">
        <v>1413</v>
      </c>
    </row>
    <row r="1101" spans="1:28" x14ac:dyDescent="0.25">
      <c r="A1101" s="1" t="s">
        <v>1678</v>
      </c>
      <c r="B1101" s="1" t="s">
        <v>576</v>
      </c>
      <c r="C1101" s="1" t="s">
        <v>861</v>
      </c>
      <c r="D1101" s="1">
        <v>25</v>
      </c>
      <c r="E1101" s="1">
        <v>2</v>
      </c>
      <c r="F1101" s="1">
        <v>2</v>
      </c>
      <c r="G1101" s="1">
        <v>5</v>
      </c>
      <c r="H1101" s="1">
        <v>6</v>
      </c>
      <c r="I1101" s="1">
        <v>5</v>
      </c>
      <c r="J1101" s="1">
        <v>5</v>
      </c>
      <c r="K1101" s="1">
        <f t="shared" si="215"/>
        <v>21</v>
      </c>
      <c r="L1101" s="12">
        <f t="shared" si="212"/>
        <v>0.52500000000000002</v>
      </c>
      <c r="M1101" s="1">
        <v>4</v>
      </c>
      <c r="N1101" s="1">
        <v>4</v>
      </c>
      <c r="O1101" s="1">
        <v>4</v>
      </c>
      <c r="P1101" s="1">
        <v>5</v>
      </c>
      <c r="Q1101" s="1">
        <f t="shared" si="216"/>
        <v>17</v>
      </c>
      <c r="R1101" s="12">
        <f t="shared" si="213"/>
        <v>0.42499999999999999</v>
      </c>
      <c r="S1101" s="1">
        <v>5</v>
      </c>
      <c r="T1101" s="1">
        <v>4</v>
      </c>
      <c r="U1101" s="1">
        <f t="shared" si="217"/>
        <v>9</v>
      </c>
      <c r="V1101" s="12">
        <f t="shared" si="214"/>
        <v>0.45</v>
      </c>
      <c r="Z1101" s="1">
        <f t="shared" si="218"/>
        <v>0</v>
      </c>
      <c r="AB1101" s="2" t="s">
        <v>1475</v>
      </c>
    </row>
    <row r="1102" spans="1:28" x14ac:dyDescent="0.25">
      <c r="A1102" s="1" t="s">
        <v>1678</v>
      </c>
      <c r="B1102" s="1" t="s">
        <v>576</v>
      </c>
      <c r="C1102" s="1" t="s">
        <v>861</v>
      </c>
      <c r="D1102" s="1">
        <v>25</v>
      </c>
      <c r="E1102" s="1">
        <v>2</v>
      </c>
      <c r="F1102" s="1">
        <v>2</v>
      </c>
      <c r="G1102" s="1">
        <v>7</v>
      </c>
      <c r="H1102" s="1">
        <v>6</v>
      </c>
      <c r="I1102" s="1">
        <v>7</v>
      </c>
      <c r="J1102" s="1">
        <v>6</v>
      </c>
      <c r="K1102" s="1">
        <f t="shared" si="215"/>
        <v>26</v>
      </c>
      <c r="L1102" s="12">
        <f t="shared" si="212"/>
        <v>0.65</v>
      </c>
      <c r="M1102" s="1">
        <v>8</v>
      </c>
      <c r="N1102" s="1">
        <v>8</v>
      </c>
      <c r="O1102" s="1">
        <v>8</v>
      </c>
      <c r="P1102" s="1">
        <v>7</v>
      </c>
      <c r="Q1102" s="1">
        <f t="shared" si="216"/>
        <v>31</v>
      </c>
      <c r="R1102" s="12">
        <f t="shared" si="213"/>
        <v>0.77500000000000002</v>
      </c>
      <c r="S1102" s="1">
        <v>8</v>
      </c>
      <c r="T1102" s="1">
        <v>7</v>
      </c>
      <c r="U1102" s="1">
        <f t="shared" si="217"/>
        <v>15</v>
      </c>
      <c r="V1102" s="12">
        <f t="shared" si="214"/>
        <v>0.75</v>
      </c>
      <c r="Z1102" s="1">
        <f t="shared" si="218"/>
        <v>0</v>
      </c>
      <c r="AB1102" s="2" t="s">
        <v>1476</v>
      </c>
    </row>
    <row r="1103" spans="1:28" x14ac:dyDescent="0.25">
      <c r="A1103" s="1" t="s">
        <v>1678</v>
      </c>
      <c r="B1103" s="1" t="s">
        <v>576</v>
      </c>
      <c r="C1103" s="1" t="s">
        <v>861</v>
      </c>
      <c r="D1103" s="1">
        <v>25</v>
      </c>
      <c r="E1103" s="1">
        <v>2</v>
      </c>
      <c r="F1103" s="1">
        <v>2</v>
      </c>
      <c r="G1103" s="1">
        <v>8</v>
      </c>
      <c r="H1103" s="1">
        <v>8</v>
      </c>
      <c r="I1103" s="1">
        <v>7</v>
      </c>
      <c r="J1103" s="1">
        <v>7</v>
      </c>
      <c r="K1103" s="1">
        <f t="shared" si="215"/>
        <v>30</v>
      </c>
      <c r="L1103" s="12">
        <f t="shared" si="212"/>
        <v>0.75</v>
      </c>
      <c r="M1103" s="1">
        <v>7</v>
      </c>
      <c r="N1103" s="1">
        <v>6</v>
      </c>
      <c r="O1103" s="1">
        <v>7</v>
      </c>
      <c r="P1103" s="1">
        <v>7</v>
      </c>
      <c r="Q1103" s="1">
        <f t="shared" si="216"/>
        <v>27</v>
      </c>
      <c r="R1103" s="12">
        <f t="shared" si="213"/>
        <v>0.67500000000000004</v>
      </c>
      <c r="S1103" s="1">
        <v>8</v>
      </c>
      <c r="T1103" s="1">
        <v>9</v>
      </c>
      <c r="U1103" s="1">
        <f t="shared" si="217"/>
        <v>17</v>
      </c>
      <c r="V1103" s="12">
        <f t="shared" si="214"/>
        <v>0.85</v>
      </c>
      <c r="Z1103" s="1">
        <f t="shared" si="218"/>
        <v>0</v>
      </c>
      <c r="AB1103" s="2" t="s">
        <v>1477</v>
      </c>
    </row>
    <row r="1104" spans="1:28" x14ac:dyDescent="0.25">
      <c r="A1104" s="1" t="s">
        <v>1678</v>
      </c>
      <c r="B1104" s="1" t="s">
        <v>576</v>
      </c>
      <c r="C1104" s="1" t="s">
        <v>861</v>
      </c>
      <c r="D1104" s="1">
        <v>25</v>
      </c>
      <c r="E1104" s="1">
        <v>2</v>
      </c>
      <c r="F1104" s="1">
        <v>2</v>
      </c>
      <c r="G1104" s="1">
        <v>8</v>
      </c>
      <c r="H1104" s="1">
        <v>8</v>
      </c>
      <c r="I1104" s="1">
        <v>9</v>
      </c>
      <c r="J1104" s="1">
        <v>8</v>
      </c>
      <c r="K1104" s="1">
        <f t="shared" si="215"/>
        <v>33</v>
      </c>
      <c r="L1104" s="12">
        <f t="shared" si="212"/>
        <v>0.82499999999999996</v>
      </c>
      <c r="M1104" s="1">
        <v>6</v>
      </c>
      <c r="N1104" s="1">
        <v>8</v>
      </c>
      <c r="O1104" s="1">
        <v>8</v>
      </c>
      <c r="P1104" s="1">
        <v>8</v>
      </c>
      <c r="Q1104" s="1">
        <f t="shared" si="216"/>
        <v>30</v>
      </c>
      <c r="R1104" s="12">
        <f t="shared" si="213"/>
        <v>0.75</v>
      </c>
      <c r="S1104" s="1">
        <v>8</v>
      </c>
      <c r="T1104" s="1">
        <v>7</v>
      </c>
      <c r="U1104" s="1">
        <f t="shared" si="217"/>
        <v>15</v>
      </c>
      <c r="V1104" s="12">
        <f t="shared" si="214"/>
        <v>0.75</v>
      </c>
      <c r="Z1104" s="1">
        <f t="shared" si="218"/>
        <v>0</v>
      </c>
      <c r="AB1104" s="2" t="s">
        <v>1478</v>
      </c>
    </row>
    <row r="1105" spans="1:28" x14ac:dyDescent="0.25">
      <c r="A1105" s="1" t="s">
        <v>1678</v>
      </c>
      <c r="B1105" s="1" t="s">
        <v>576</v>
      </c>
      <c r="C1105" s="1" t="s">
        <v>861</v>
      </c>
      <c r="D1105" s="1">
        <v>25</v>
      </c>
      <c r="E1105" s="1">
        <v>2</v>
      </c>
      <c r="F1105" s="1">
        <v>2</v>
      </c>
      <c r="G1105" s="1">
        <v>6</v>
      </c>
      <c r="H1105" s="1">
        <v>6</v>
      </c>
      <c r="I1105" s="1">
        <v>5</v>
      </c>
      <c r="J1105" s="1">
        <v>6</v>
      </c>
      <c r="K1105" s="1">
        <f t="shared" si="215"/>
        <v>23</v>
      </c>
      <c r="L1105" s="12">
        <f t="shared" si="212"/>
        <v>0.57499999999999996</v>
      </c>
      <c r="M1105" s="1">
        <v>5</v>
      </c>
      <c r="N1105" s="1">
        <v>5</v>
      </c>
      <c r="O1105" s="1">
        <v>5</v>
      </c>
      <c r="P1105" s="1">
        <v>5</v>
      </c>
      <c r="Q1105" s="1">
        <f t="shared" si="216"/>
        <v>20</v>
      </c>
      <c r="R1105" s="12">
        <f t="shared" si="213"/>
        <v>0.5</v>
      </c>
      <c r="S1105" s="1">
        <v>5</v>
      </c>
      <c r="T1105" s="1">
        <v>7</v>
      </c>
      <c r="U1105" s="1">
        <f t="shared" si="217"/>
        <v>12</v>
      </c>
      <c r="V1105" s="12">
        <f t="shared" si="214"/>
        <v>0.6</v>
      </c>
      <c r="Z1105" s="1">
        <f t="shared" si="218"/>
        <v>0</v>
      </c>
      <c r="AB1105" s="2" t="s">
        <v>1479</v>
      </c>
    </row>
    <row r="1106" spans="1:28" x14ac:dyDescent="0.25">
      <c r="A1106" s="1" t="s">
        <v>1678</v>
      </c>
      <c r="B1106" s="1" t="s">
        <v>576</v>
      </c>
      <c r="C1106" s="1" t="s">
        <v>861</v>
      </c>
      <c r="D1106" s="1">
        <v>25</v>
      </c>
      <c r="E1106" s="1">
        <v>2</v>
      </c>
      <c r="F1106" s="1">
        <v>2</v>
      </c>
      <c r="G1106" s="1">
        <v>7</v>
      </c>
      <c r="H1106" s="1">
        <v>7</v>
      </c>
      <c r="I1106" s="1">
        <v>6</v>
      </c>
      <c r="J1106" s="1">
        <v>7</v>
      </c>
      <c r="K1106" s="1">
        <f t="shared" si="215"/>
        <v>27</v>
      </c>
      <c r="L1106" s="12">
        <f t="shared" si="212"/>
        <v>0.67500000000000004</v>
      </c>
      <c r="M1106" s="1">
        <v>7</v>
      </c>
      <c r="N1106" s="1">
        <v>7</v>
      </c>
      <c r="O1106" s="1">
        <v>6</v>
      </c>
      <c r="P1106" s="1">
        <v>6</v>
      </c>
      <c r="Q1106" s="1">
        <f t="shared" si="216"/>
        <v>26</v>
      </c>
      <c r="R1106" s="12">
        <f t="shared" si="213"/>
        <v>0.65</v>
      </c>
      <c r="S1106" s="1">
        <v>6</v>
      </c>
      <c r="T1106" s="1">
        <v>7</v>
      </c>
      <c r="U1106" s="1">
        <f t="shared" si="217"/>
        <v>13</v>
      </c>
      <c r="V1106" s="12">
        <f t="shared" si="214"/>
        <v>0.65</v>
      </c>
      <c r="Z1106" s="1">
        <f t="shared" si="218"/>
        <v>0</v>
      </c>
      <c r="AB1106" s="2" t="s">
        <v>1480</v>
      </c>
    </row>
    <row r="1107" spans="1:28" x14ac:dyDescent="0.25">
      <c r="A1107" s="1" t="s">
        <v>1678</v>
      </c>
      <c r="B1107" s="1" t="s">
        <v>576</v>
      </c>
      <c r="C1107" s="1" t="s">
        <v>861</v>
      </c>
      <c r="D1107" s="1">
        <v>11</v>
      </c>
      <c r="E1107" s="1">
        <v>3</v>
      </c>
      <c r="F1107" s="1">
        <v>2</v>
      </c>
      <c r="G1107" s="1">
        <v>6</v>
      </c>
      <c r="H1107" s="1">
        <v>6</v>
      </c>
      <c r="I1107" s="1">
        <v>6</v>
      </c>
      <c r="J1107" s="1">
        <v>6</v>
      </c>
      <c r="K1107" s="1">
        <f t="shared" si="215"/>
        <v>24</v>
      </c>
      <c r="L1107" s="12">
        <f t="shared" si="212"/>
        <v>0.6</v>
      </c>
      <c r="M1107" s="1">
        <v>7</v>
      </c>
      <c r="N1107" s="1">
        <v>6</v>
      </c>
      <c r="O1107" s="1">
        <v>6</v>
      </c>
      <c r="P1107" s="1">
        <v>7</v>
      </c>
      <c r="Q1107" s="1">
        <f t="shared" si="216"/>
        <v>26</v>
      </c>
      <c r="R1107" s="12">
        <f t="shared" si="213"/>
        <v>0.65</v>
      </c>
      <c r="S1107" s="1">
        <v>6</v>
      </c>
      <c r="T1107" s="1">
        <v>5</v>
      </c>
      <c r="U1107" s="1">
        <f t="shared" si="217"/>
        <v>11</v>
      </c>
      <c r="V1107" s="12">
        <f t="shared" si="214"/>
        <v>0.55000000000000004</v>
      </c>
      <c r="Z1107" s="1">
        <f t="shared" si="218"/>
        <v>0</v>
      </c>
      <c r="AB1107" s="2" t="s">
        <v>1565</v>
      </c>
    </row>
    <row r="1108" spans="1:28" x14ac:dyDescent="0.25">
      <c r="A1108" s="1" t="s">
        <v>1678</v>
      </c>
      <c r="B1108" s="1" t="s">
        <v>576</v>
      </c>
      <c r="C1108" s="1" t="s">
        <v>861</v>
      </c>
      <c r="D1108" s="1">
        <v>11</v>
      </c>
      <c r="E1108" s="1">
        <v>3</v>
      </c>
      <c r="F1108" s="1">
        <v>2</v>
      </c>
      <c r="G1108" s="1">
        <v>8</v>
      </c>
      <c r="H1108" s="1">
        <v>8</v>
      </c>
      <c r="I1108" s="1">
        <v>8</v>
      </c>
      <c r="J1108" s="1">
        <v>8</v>
      </c>
      <c r="K1108" s="1">
        <f t="shared" si="215"/>
        <v>32</v>
      </c>
      <c r="L1108" s="12">
        <f t="shared" si="212"/>
        <v>0.8</v>
      </c>
      <c r="M1108" s="1">
        <v>8</v>
      </c>
      <c r="N1108" s="1">
        <v>8</v>
      </c>
      <c r="O1108" s="1">
        <v>8</v>
      </c>
      <c r="P1108" s="1">
        <v>7</v>
      </c>
      <c r="Q1108" s="1">
        <f t="shared" si="216"/>
        <v>31</v>
      </c>
      <c r="R1108" s="12">
        <f t="shared" si="213"/>
        <v>0.77500000000000002</v>
      </c>
      <c r="S1108" s="1">
        <v>8</v>
      </c>
      <c r="T1108" s="1">
        <v>8</v>
      </c>
      <c r="U1108" s="1">
        <f t="shared" si="217"/>
        <v>16</v>
      </c>
      <c r="V1108" s="12">
        <f t="shared" si="214"/>
        <v>0.8</v>
      </c>
      <c r="Z1108" s="1">
        <f t="shared" si="218"/>
        <v>0</v>
      </c>
      <c r="AB1108" s="2" t="s">
        <v>1566</v>
      </c>
    </row>
    <row r="1109" spans="1:28" x14ac:dyDescent="0.25">
      <c r="A1109" s="1" t="s">
        <v>1678</v>
      </c>
      <c r="B1109" s="1" t="s">
        <v>576</v>
      </c>
      <c r="C1109" s="1" t="s">
        <v>861</v>
      </c>
      <c r="D1109" s="1">
        <v>11</v>
      </c>
      <c r="E1109" s="1">
        <v>3</v>
      </c>
      <c r="F1109" s="1">
        <v>2</v>
      </c>
      <c r="G1109" s="1">
        <v>9</v>
      </c>
      <c r="H1109" s="1">
        <v>9</v>
      </c>
      <c r="I1109" s="1">
        <v>9</v>
      </c>
      <c r="J1109" s="1">
        <v>9</v>
      </c>
      <c r="K1109" s="1">
        <f t="shared" si="215"/>
        <v>36</v>
      </c>
      <c r="L1109" s="12">
        <f t="shared" si="212"/>
        <v>0.9</v>
      </c>
      <c r="M1109" s="1">
        <v>6</v>
      </c>
      <c r="N1109" s="1">
        <v>7</v>
      </c>
      <c r="O1109" s="1">
        <v>7</v>
      </c>
      <c r="P1109" s="1">
        <v>8</v>
      </c>
      <c r="Q1109" s="1">
        <f t="shared" si="216"/>
        <v>28</v>
      </c>
      <c r="R1109" s="12">
        <f t="shared" si="213"/>
        <v>0.7</v>
      </c>
      <c r="S1109" s="1">
        <v>8</v>
      </c>
      <c r="T1109" s="1">
        <v>7</v>
      </c>
      <c r="U1109" s="1">
        <f t="shared" si="217"/>
        <v>15</v>
      </c>
      <c r="V1109" s="12">
        <f t="shared" si="214"/>
        <v>0.75</v>
      </c>
      <c r="Z1109" s="1">
        <f t="shared" si="218"/>
        <v>0</v>
      </c>
      <c r="AB1109" s="2" t="s">
        <v>1567</v>
      </c>
    </row>
    <row r="1110" spans="1:28" x14ac:dyDescent="0.25">
      <c r="A1110" s="1" t="s">
        <v>1678</v>
      </c>
      <c r="B1110" s="1" t="s">
        <v>576</v>
      </c>
      <c r="C1110" s="1" t="s">
        <v>861</v>
      </c>
      <c r="D1110" s="1">
        <v>11</v>
      </c>
      <c r="E1110" s="1">
        <v>3</v>
      </c>
      <c r="F1110" s="1">
        <v>2</v>
      </c>
      <c r="G1110" s="1">
        <v>9</v>
      </c>
      <c r="H1110" s="1">
        <v>8</v>
      </c>
      <c r="I1110" s="1">
        <v>9</v>
      </c>
      <c r="J1110" s="1">
        <v>8</v>
      </c>
      <c r="K1110" s="1">
        <f t="shared" si="215"/>
        <v>34</v>
      </c>
      <c r="L1110" s="12">
        <f t="shared" si="212"/>
        <v>0.85</v>
      </c>
      <c r="M1110" s="1">
        <v>8</v>
      </c>
      <c r="N1110" s="1">
        <v>8</v>
      </c>
      <c r="O1110" s="1">
        <v>7</v>
      </c>
      <c r="P1110" s="1">
        <v>9</v>
      </c>
      <c r="Q1110" s="1">
        <f t="shared" si="216"/>
        <v>32</v>
      </c>
      <c r="R1110" s="12">
        <f t="shared" si="213"/>
        <v>0.8</v>
      </c>
      <c r="S1110" s="1">
        <v>8</v>
      </c>
      <c r="T1110" s="1">
        <v>8</v>
      </c>
      <c r="U1110" s="1">
        <f t="shared" si="217"/>
        <v>16</v>
      </c>
      <c r="V1110" s="12">
        <f t="shared" si="214"/>
        <v>0.8</v>
      </c>
      <c r="Z1110" s="1">
        <f t="shared" si="218"/>
        <v>0</v>
      </c>
      <c r="AB1110" s="2" t="s">
        <v>1568</v>
      </c>
    </row>
    <row r="1111" spans="1:28" x14ac:dyDescent="0.25">
      <c r="A1111" s="1" t="s">
        <v>1678</v>
      </c>
      <c r="B1111" s="1" t="s">
        <v>576</v>
      </c>
      <c r="C1111" s="1" t="s">
        <v>861</v>
      </c>
      <c r="D1111" s="1">
        <v>11</v>
      </c>
      <c r="E1111" s="1">
        <v>3</v>
      </c>
      <c r="F1111" s="1">
        <v>2</v>
      </c>
      <c r="G1111" s="1">
        <v>8</v>
      </c>
      <c r="H1111" s="1">
        <v>8</v>
      </c>
      <c r="I1111" s="1">
        <v>8</v>
      </c>
      <c r="J1111" s="1">
        <v>8</v>
      </c>
      <c r="K1111" s="1">
        <f t="shared" si="215"/>
        <v>32</v>
      </c>
      <c r="L1111" s="12">
        <f t="shared" si="212"/>
        <v>0.8</v>
      </c>
      <c r="M1111" s="1">
        <v>7</v>
      </c>
      <c r="N1111" s="1">
        <v>7</v>
      </c>
      <c r="O1111" s="1">
        <v>7</v>
      </c>
      <c r="P1111" s="1">
        <v>7</v>
      </c>
      <c r="Q1111" s="1">
        <f t="shared" si="216"/>
        <v>28</v>
      </c>
      <c r="R1111" s="12">
        <f t="shared" si="213"/>
        <v>0.7</v>
      </c>
      <c r="S1111" s="1">
        <v>8</v>
      </c>
      <c r="T1111" s="1">
        <v>8</v>
      </c>
      <c r="U1111" s="1">
        <f t="shared" si="217"/>
        <v>16</v>
      </c>
      <c r="V1111" s="12">
        <f t="shared" si="214"/>
        <v>0.8</v>
      </c>
      <c r="Z1111" s="1">
        <f t="shared" si="218"/>
        <v>0</v>
      </c>
      <c r="AB1111" s="2" t="s">
        <v>1569</v>
      </c>
    </row>
    <row r="1112" spans="1:28" x14ac:dyDescent="0.25">
      <c r="A1112" s="1" t="s">
        <v>1678</v>
      </c>
      <c r="B1112" s="1" t="s">
        <v>576</v>
      </c>
      <c r="C1112" s="1" t="s">
        <v>861</v>
      </c>
      <c r="D1112" s="1">
        <v>11</v>
      </c>
      <c r="E1112" s="1">
        <v>3</v>
      </c>
      <c r="F1112" s="1">
        <v>2</v>
      </c>
      <c r="G1112" s="1">
        <v>7</v>
      </c>
      <c r="H1112" s="1">
        <v>7</v>
      </c>
      <c r="I1112" s="1">
        <v>7</v>
      </c>
      <c r="J1112" s="1">
        <v>7</v>
      </c>
      <c r="K1112" s="1">
        <f t="shared" si="215"/>
        <v>28</v>
      </c>
      <c r="L1112" s="12">
        <f t="shared" si="212"/>
        <v>0.7</v>
      </c>
      <c r="M1112" s="1">
        <v>7</v>
      </c>
      <c r="N1112" s="1">
        <v>8</v>
      </c>
      <c r="O1112" s="1">
        <v>7</v>
      </c>
      <c r="P1112" s="1">
        <v>8</v>
      </c>
      <c r="Q1112" s="1">
        <f t="shared" si="216"/>
        <v>30</v>
      </c>
      <c r="R1112" s="12">
        <f t="shared" si="213"/>
        <v>0.75</v>
      </c>
      <c r="S1112" s="1">
        <v>8</v>
      </c>
      <c r="T1112" s="1">
        <v>7</v>
      </c>
      <c r="U1112" s="1">
        <f t="shared" si="217"/>
        <v>15</v>
      </c>
      <c r="V1112" s="12">
        <f t="shared" si="214"/>
        <v>0.75</v>
      </c>
      <c r="Z1112" s="1">
        <f t="shared" si="218"/>
        <v>0</v>
      </c>
      <c r="AB1112" s="2" t="s">
        <v>1570</v>
      </c>
    </row>
    <row r="1113" spans="1:28" x14ac:dyDescent="0.25">
      <c r="A1113" s="1" t="s">
        <v>1678</v>
      </c>
      <c r="B1113" s="1" t="s">
        <v>576</v>
      </c>
      <c r="C1113" s="1" t="s">
        <v>861</v>
      </c>
      <c r="D1113" s="1">
        <v>11</v>
      </c>
      <c r="E1113" s="1">
        <v>3</v>
      </c>
      <c r="F1113" s="1">
        <v>2</v>
      </c>
      <c r="G1113" s="1">
        <v>8</v>
      </c>
      <c r="H1113" s="1">
        <v>8</v>
      </c>
      <c r="I1113" s="1">
        <v>8</v>
      </c>
      <c r="J1113" s="1">
        <v>8</v>
      </c>
      <c r="K1113" s="1">
        <f t="shared" si="215"/>
        <v>32</v>
      </c>
      <c r="L1113" s="12">
        <f t="shared" si="212"/>
        <v>0.8</v>
      </c>
      <c r="M1113" s="1">
        <v>7</v>
      </c>
      <c r="N1113" s="1">
        <v>7</v>
      </c>
      <c r="O1113" s="1">
        <v>8</v>
      </c>
      <c r="P1113" s="1">
        <v>7</v>
      </c>
      <c r="Q1113" s="1">
        <f t="shared" si="216"/>
        <v>29</v>
      </c>
      <c r="R1113" s="12">
        <f t="shared" si="213"/>
        <v>0.72499999999999998</v>
      </c>
      <c r="S1113" s="1">
        <v>7</v>
      </c>
      <c r="T1113" s="1">
        <v>8</v>
      </c>
      <c r="U1113" s="1">
        <f t="shared" si="217"/>
        <v>15</v>
      </c>
      <c r="V1113" s="12">
        <f t="shared" si="214"/>
        <v>0.75</v>
      </c>
      <c r="Z1113" s="1">
        <f t="shared" si="218"/>
        <v>0</v>
      </c>
      <c r="AB1113" s="2" t="s">
        <v>1571</v>
      </c>
    </row>
    <row r="1114" spans="1:28" x14ac:dyDescent="0.25">
      <c r="A1114" s="1" t="s">
        <v>1678</v>
      </c>
      <c r="B1114" s="1" t="s">
        <v>576</v>
      </c>
      <c r="C1114" s="1" t="s">
        <v>861</v>
      </c>
      <c r="D1114" s="1">
        <v>11</v>
      </c>
      <c r="E1114" s="1">
        <v>3</v>
      </c>
      <c r="F1114" s="1">
        <v>2</v>
      </c>
      <c r="G1114" s="1">
        <v>9</v>
      </c>
      <c r="H1114" s="1">
        <v>7</v>
      </c>
      <c r="I1114" s="1">
        <v>8</v>
      </c>
      <c r="J1114" s="1">
        <v>8</v>
      </c>
      <c r="K1114" s="1">
        <f t="shared" si="215"/>
        <v>32</v>
      </c>
      <c r="L1114" s="12">
        <f t="shared" si="212"/>
        <v>0.8</v>
      </c>
      <c r="M1114" s="1">
        <v>9</v>
      </c>
      <c r="N1114" s="1">
        <v>9</v>
      </c>
      <c r="O1114" s="1">
        <v>9</v>
      </c>
      <c r="P1114" s="1">
        <v>8</v>
      </c>
      <c r="Q1114" s="1">
        <f t="shared" si="216"/>
        <v>35</v>
      </c>
      <c r="R1114" s="12">
        <f t="shared" si="213"/>
        <v>0.875</v>
      </c>
      <c r="S1114" s="1">
        <v>9</v>
      </c>
      <c r="T1114" s="1">
        <v>9</v>
      </c>
      <c r="U1114" s="1">
        <f t="shared" si="217"/>
        <v>18</v>
      </c>
      <c r="V1114" s="12">
        <f t="shared" si="214"/>
        <v>0.9</v>
      </c>
      <c r="Z1114" s="1">
        <f t="shared" si="218"/>
        <v>0</v>
      </c>
      <c r="AB1114" s="2" t="s">
        <v>1572</v>
      </c>
    </row>
    <row r="1115" spans="1:28" x14ac:dyDescent="0.25">
      <c r="A1115" s="1" t="s">
        <v>1679</v>
      </c>
      <c r="B1115" s="1" t="s">
        <v>35</v>
      </c>
      <c r="C1115" s="1" t="s">
        <v>36</v>
      </c>
      <c r="D1115" s="1">
        <v>19</v>
      </c>
      <c r="E1115" s="1">
        <v>1</v>
      </c>
      <c r="F1115" s="1">
        <v>7</v>
      </c>
      <c r="G1115" s="1">
        <v>5</v>
      </c>
      <c r="H1115" s="1">
        <v>5</v>
      </c>
      <c r="I1115" s="1">
        <v>4</v>
      </c>
      <c r="J1115" s="1">
        <v>3</v>
      </c>
      <c r="K1115" s="1">
        <f t="shared" si="215"/>
        <v>17</v>
      </c>
      <c r="L1115" s="12">
        <f t="shared" ref="L1115:L1143" si="219">K1115/35</f>
        <v>0.48571428571428571</v>
      </c>
      <c r="M1115" s="1">
        <v>7</v>
      </c>
      <c r="N1115" s="1">
        <v>7</v>
      </c>
      <c r="O1115" s="1">
        <v>6</v>
      </c>
      <c r="P1115" s="1">
        <v>3</v>
      </c>
      <c r="Q1115" s="1">
        <f t="shared" si="216"/>
        <v>23</v>
      </c>
      <c r="R1115" s="12">
        <f t="shared" ref="R1115:R1143" si="220">Q1115/35</f>
        <v>0.65714285714285714</v>
      </c>
      <c r="S1115" s="1">
        <v>6</v>
      </c>
      <c r="T1115" s="1">
        <v>3</v>
      </c>
      <c r="U1115" s="1">
        <f t="shared" si="217"/>
        <v>9</v>
      </c>
      <c r="V1115" s="12">
        <f t="shared" ref="V1115:V1143" si="221">U1115/15</f>
        <v>0.6</v>
      </c>
      <c r="W1115" s="1">
        <v>4</v>
      </c>
      <c r="X1115" s="1">
        <v>2</v>
      </c>
      <c r="Y1115" s="1">
        <v>3</v>
      </c>
      <c r="Z1115" s="1">
        <f t="shared" si="218"/>
        <v>9</v>
      </c>
      <c r="AA1115" s="12">
        <f t="shared" ref="AA1115:AA1143" si="222">Z1115/15</f>
        <v>0.6</v>
      </c>
      <c r="AB1115" s="2" t="s">
        <v>202</v>
      </c>
    </row>
    <row r="1116" spans="1:28" x14ac:dyDescent="0.25">
      <c r="A1116" s="1" t="s">
        <v>1679</v>
      </c>
      <c r="B1116" s="1" t="s">
        <v>35</v>
      </c>
      <c r="C1116" s="1" t="s">
        <v>36</v>
      </c>
      <c r="D1116" s="1">
        <v>19</v>
      </c>
      <c r="E1116" s="1">
        <v>1</v>
      </c>
      <c r="F1116" s="1">
        <v>7</v>
      </c>
      <c r="G1116" s="1">
        <v>6</v>
      </c>
      <c r="H1116" s="1">
        <v>7</v>
      </c>
      <c r="I1116" s="1">
        <v>7</v>
      </c>
      <c r="J1116" s="1">
        <v>4</v>
      </c>
      <c r="K1116" s="1">
        <f t="shared" si="215"/>
        <v>24</v>
      </c>
      <c r="L1116" s="12">
        <f t="shared" si="219"/>
        <v>0.68571428571428572</v>
      </c>
      <c r="M1116" s="1">
        <v>7</v>
      </c>
      <c r="N1116" s="1">
        <v>7</v>
      </c>
      <c r="O1116" s="1">
        <v>7</v>
      </c>
      <c r="P1116" s="1">
        <v>3</v>
      </c>
      <c r="Q1116" s="1">
        <f t="shared" si="216"/>
        <v>24</v>
      </c>
      <c r="R1116" s="12">
        <f t="shared" si="220"/>
        <v>0.68571428571428572</v>
      </c>
      <c r="S1116" s="1">
        <v>6</v>
      </c>
      <c r="T1116" s="1">
        <v>1</v>
      </c>
      <c r="U1116" s="1">
        <f t="shared" si="217"/>
        <v>7</v>
      </c>
      <c r="V1116" s="12">
        <f t="shared" si="221"/>
        <v>0.46666666666666667</v>
      </c>
      <c r="W1116" s="1">
        <v>4</v>
      </c>
      <c r="X1116" s="1">
        <v>3</v>
      </c>
      <c r="Y1116" s="1">
        <v>3</v>
      </c>
      <c r="Z1116" s="1">
        <f t="shared" si="218"/>
        <v>10</v>
      </c>
      <c r="AA1116" s="12">
        <f t="shared" si="222"/>
        <v>0.66666666666666663</v>
      </c>
      <c r="AB1116" s="2" t="s">
        <v>203</v>
      </c>
    </row>
    <row r="1117" spans="1:28" x14ac:dyDescent="0.25">
      <c r="A1117" s="1" t="s">
        <v>1679</v>
      </c>
      <c r="B1117" s="1" t="s">
        <v>35</v>
      </c>
      <c r="C1117" s="1" t="s">
        <v>36</v>
      </c>
      <c r="D1117" s="1">
        <v>19</v>
      </c>
      <c r="E1117" s="1">
        <v>1</v>
      </c>
      <c r="F1117" s="1">
        <v>7</v>
      </c>
      <c r="G1117" s="1">
        <v>2</v>
      </c>
      <c r="H1117" s="1">
        <v>2</v>
      </c>
      <c r="I1117" s="1">
        <v>1</v>
      </c>
      <c r="J1117" s="1">
        <v>1</v>
      </c>
      <c r="K1117" s="1">
        <f t="shared" si="215"/>
        <v>6</v>
      </c>
      <c r="L1117" s="12">
        <f t="shared" si="219"/>
        <v>0.17142857142857143</v>
      </c>
      <c r="M1117" s="1">
        <v>5</v>
      </c>
      <c r="N1117" s="1">
        <v>6</v>
      </c>
      <c r="O1117" s="1">
        <v>3</v>
      </c>
      <c r="P1117" s="1">
        <v>3</v>
      </c>
      <c r="Q1117" s="1">
        <f t="shared" si="216"/>
        <v>17</v>
      </c>
      <c r="R1117" s="12">
        <f t="shared" si="220"/>
        <v>0.48571428571428571</v>
      </c>
      <c r="S1117" s="1">
        <v>5</v>
      </c>
      <c r="T1117" s="1">
        <v>2</v>
      </c>
      <c r="U1117" s="1">
        <f t="shared" si="217"/>
        <v>7</v>
      </c>
      <c r="V1117" s="12">
        <f t="shared" si="221"/>
        <v>0.46666666666666667</v>
      </c>
      <c r="W1117" s="1">
        <v>3</v>
      </c>
      <c r="X1117" s="1">
        <v>2</v>
      </c>
      <c r="Y1117" s="1">
        <v>2</v>
      </c>
      <c r="Z1117" s="1">
        <f t="shared" si="218"/>
        <v>7</v>
      </c>
      <c r="AA1117" s="12">
        <f t="shared" si="222"/>
        <v>0.46666666666666667</v>
      </c>
      <c r="AB1117" s="2" t="s">
        <v>204</v>
      </c>
    </row>
    <row r="1118" spans="1:28" x14ac:dyDescent="0.25">
      <c r="A1118" s="1" t="s">
        <v>1679</v>
      </c>
      <c r="B1118" s="1" t="s">
        <v>35</v>
      </c>
      <c r="C1118" s="1" t="s">
        <v>36</v>
      </c>
      <c r="D1118" s="1">
        <v>19</v>
      </c>
      <c r="E1118" s="1">
        <v>1</v>
      </c>
      <c r="F1118" s="1">
        <v>7</v>
      </c>
      <c r="G1118" s="1">
        <v>9</v>
      </c>
      <c r="H1118" s="1">
        <v>9</v>
      </c>
      <c r="I1118" s="1">
        <v>10</v>
      </c>
      <c r="J1118" s="1">
        <v>5</v>
      </c>
      <c r="K1118" s="1">
        <f t="shared" si="215"/>
        <v>33</v>
      </c>
      <c r="L1118" s="12">
        <f t="shared" si="219"/>
        <v>0.94285714285714284</v>
      </c>
      <c r="M1118" s="1">
        <v>9</v>
      </c>
      <c r="N1118" s="1">
        <v>8</v>
      </c>
      <c r="O1118" s="1">
        <v>10</v>
      </c>
      <c r="P1118" s="1">
        <v>4</v>
      </c>
      <c r="Q1118" s="1">
        <f t="shared" si="216"/>
        <v>31</v>
      </c>
      <c r="R1118" s="12">
        <f t="shared" si="220"/>
        <v>0.88571428571428568</v>
      </c>
      <c r="S1118" s="1">
        <v>8</v>
      </c>
      <c r="T1118" s="1">
        <v>5</v>
      </c>
      <c r="U1118" s="1">
        <f t="shared" si="217"/>
        <v>13</v>
      </c>
      <c r="V1118" s="12">
        <f t="shared" si="221"/>
        <v>0.8666666666666667</v>
      </c>
      <c r="W1118" s="1">
        <v>3</v>
      </c>
      <c r="X1118" s="1">
        <v>3</v>
      </c>
      <c r="Y1118" s="1">
        <v>3</v>
      </c>
      <c r="Z1118" s="1">
        <f t="shared" si="218"/>
        <v>9</v>
      </c>
      <c r="AA1118" s="12">
        <f t="shared" si="222"/>
        <v>0.6</v>
      </c>
      <c r="AB1118" s="2" t="s">
        <v>205</v>
      </c>
    </row>
    <row r="1119" spans="1:28" x14ac:dyDescent="0.25">
      <c r="A1119" s="1" t="s">
        <v>1679</v>
      </c>
      <c r="B1119" s="1" t="s">
        <v>35</v>
      </c>
      <c r="C1119" s="1" t="s">
        <v>36</v>
      </c>
      <c r="D1119" s="1">
        <v>19</v>
      </c>
      <c r="E1119" s="1">
        <v>1</v>
      </c>
      <c r="F1119" s="1">
        <v>7</v>
      </c>
      <c r="G1119" s="1">
        <v>7</v>
      </c>
      <c r="H1119" s="1">
        <v>6</v>
      </c>
      <c r="I1119" s="1">
        <v>6</v>
      </c>
      <c r="J1119" s="1">
        <v>3</v>
      </c>
      <c r="K1119" s="1">
        <f t="shared" si="215"/>
        <v>22</v>
      </c>
      <c r="L1119" s="12">
        <f t="shared" si="219"/>
        <v>0.62857142857142856</v>
      </c>
      <c r="M1119" s="1">
        <v>6</v>
      </c>
      <c r="N1119" s="1">
        <v>6</v>
      </c>
      <c r="O1119" s="1">
        <v>6</v>
      </c>
      <c r="P1119" s="1">
        <v>3</v>
      </c>
      <c r="Q1119" s="1">
        <f t="shared" si="216"/>
        <v>21</v>
      </c>
      <c r="R1119" s="12">
        <f t="shared" si="220"/>
        <v>0.6</v>
      </c>
      <c r="S1119" s="1">
        <v>5</v>
      </c>
      <c r="T1119" s="1">
        <v>4</v>
      </c>
      <c r="U1119" s="1">
        <f t="shared" si="217"/>
        <v>9</v>
      </c>
      <c r="V1119" s="12">
        <f t="shared" si="221"/>
        <v>0.6</v>
      </c>
      <c r="W1119" s="1">
        <v>2</v>
      </c>
      <c r="X1119" s="1">
        <v>1</v>
      </c>
      <c r="Y1119" s="1">
        <v>2</v>
      </c>
      <c r="Z1119" s="1">
        <f t="shared" si="218"/>
        <v>5</v>
      </c>
      <c r="AA1119" s="12">
        <f t="shared" si="222"/>
        <v>0.33333333333333331</v>
      </c>
      <c r="AB1119" s="2" t="s">
        <v>206</v>
      </c>
    </row>
    <row r="1120" spans="1:28" x14ac:dyDescent="0.25">
      <c r="A1120" s="1" t="s">
        <v>1679</v>
      </c>
      <c r="B1120" s="1" t="s">
        <v>35</v>
      </c>
      <c r="C1120" s="1" t="s">
        <v>36</v>
      </c>
      <c r="D1120" s="1">
        <v>19</v>
      </c>
      <c r="E1120" s="1">
        <v>1</v>
      </c>
      <c r="F1120" s="1">
        <v>7</v>
      </c>
      <c r="G1120" s="1">
        <v>9</v>
      </c>
      <c r="H1120" s="1">
        <v>9</v>
      </c>
      <c r="I1120" s="1">
        <v>8</v>
      </c>
      <c r="J1120" s="1">
        <v>4</v>
      </c>
      <c r="K1120" s="1">
        <f t="shared" si="215"/>
        <v>30</v>
      </c>
      <c r="L1120" s="12">
        <f t="shared" si="219"/>
        <v>0.8571428571428571</v>
      </c>
      <c r="M1120" s="1">
        <v>10</v>
      </c>
      <c r="N1120" s="1">
        <v>9</v>
      </c>
      <c r="O1120" s="1">
        <v>9</v>
      </c>
      <c r="P1120" s="1">
        <v>5</v>
      </c>
      <c r="Q1120" s="1">
        <f t="shared" si="216"/>
        <v>33</v>
      </c>
      <c r="R1120" s="12">
        <f t="shared" si="220"/>
        <v>0.94285714285714284</v>
      </c>
      <c r="S1120" s="1">
        <v>9</v>
      </c>
      <c r="T1120" s="1">
        <v>5</v>
      </c>
      <c r="U1120" s="1">
        <f t="shared" si="217"/>
        <v>14</v>
      </c>
      <c r="V1120" s="12">
        <f t="shared" si="221"/>
        <v>0.93333333333333335</v>
      </c>
      <c r="W1120" s="1">
        <v>4</v>
      </c>
      <c r="X1120" s="1">
        <v>4</v>
      </c>
      <c r="Y1120" s="1">
        <v>4</v>
      </c>
      <c r="Z1120" s="1">
        <f t="shared" si="218"/>
        <v>12</v>
      </c>
      <c r="AA1120" s="12">
        <f t="shared" si="222"/>
        <v>0.8</v>
      </c>
      <c r="AB1120" s="2" t="s">
        <v>207</v>
      </c>
    </row>
    <row r="1121" spans="1:28" x14ac:dyDescent="0.25">
      <c r="A1121" s="1" t="s">
        <v>1679</v>
      </c>
      <c r="B1121" s="1" t="s">
        <v>35</v>
      </c>
      <c r="C1121" s="1" t="s">
        <v>36</v>
      </c>
      <c r="D1121" s="1">
        <v>19</v>
      </c>
      <c r="E1121" s="1">
        <v>1</v>
      </c>
      <c r="F1121" s="1">
        <v>7</v>
      </c>
      <c r="G1121" s="1">
        <v>3</v>
      </c>
      <c r="H1121" s="1">
        <v>3</v>
      </c>
      <c r="I1121" s="1">
        <v>2</v>
      </c>
      <c r="J1121" s="1">
        <v>2</v>
      </c>
      <c r="K1121" s="1">
        <f t="shared" si="215"/>
        <v>10</v>
      </c>
      <c r="L1121" s="12">
        <f t="shared" si="219"/>
        <v>0.2857142857142857</v>
      </c>
      <c r="M1121" s="1">
        <v>6</v>
      </c>
      <c r="N1121" s="1">
        <v>5</v>
      </c>
      <c r="O1121" s="1">
        <v>3</v>
      </c>
      <c r="P1121" s="1">
        <v>2</v>
      </c>
      <c r="Q1121" s="1">
        <f t="shared" si="216"/>
        <v>16</v>
      </c>
      <c r="R1121" s="12">
        <f t="shared" si="220"/>
        <v>0.45714285714285713</v>
      </c>
      <c r="S1121" s="1">
        <v>3</v>
      </c>
      <c r="T1121" s="1">
        <v>3</v>
      </c>
      <c r="U1121" s="1">
        <f t="shared" si="217"/>
        <v>6</v>
      </c>
      <c r="V1121" s="12">
        <f t="shared" si="221"/>
        <v>0.4</v>
      </c>
      <c r="W1121" s="1">
        <v>2</v>
      </c>
      <c r="X1121" s="1">
        <v>1</v>
      </c>
      <c r="Y1121" s="1">
        <v>2</v>
      </c>
      <c r="Z1121" s="1">
        <f t="shared" si="218"/>
        <v>5</v>
      </c>
      <c r="AA1121" s="12">
        <f t="shared" si="222"/>
        <v>0.33333333333333331</v>
      </c>
      <c r="AB1121" s="2" t="s">
        <v>208</v>
      </c>
    </row>
    <row r="1122" spans="1:28" x14ac:dyDescent="0.25">
      <c r="A1122" s="1" t="s">
        <v>1679</v>
      </c>
      <c r="B1122" s="1" t="s">
        <v>35</v>
      </c>
      <c r="C1122" s="1" t="s">
        <v>36</v>
      </c>
      <c r="D1122" s="1">
        <v>19</v>
      </c>
      <c r="E1122" s="1">
        <v>1</v>
      </c>
      <c r="F1122" s="1">
        <v>7</v>
      </c>
      <c r="G1122" s="1">
        <v>7</v>
      </c>
      <c r="H1122" s="1">
        <v>7</v>
      </c>
      <c r="I1122" s="1">
        <v>7</v>
      </c>
      <c r="J1122" s="1">
        <v>3</v>
      </c>
      <c r="K1122" s="1">
        <f t="shared" si="215"/>
        <v>24</v>
      </c>
      <c r="L1122" s="12">
        <f t="shared" si="219"/>
        <v>0.68571428571428572</v>
      </c>
      <c r="M1122" s="1">
        <v>6</v>
      </c>
      <c r="N1122" s="1">
        <v>5</v>
      </c>
      <c r="O1122" s="1">
        <v>5</v>
      </c>
      <c r="P1122" s="1">
        <v>4</v>
      </c>
      <c r="Q1122" s="1">
        <f t="shared" si="216"/>
        <v>20</v>
      </c>
      <c r="R1122" s="12">
        <f t="shared" si="220"/>
        <v>0.5714285714285714</v>
      </c>
      <c r="S1122" s="1">
        <v>6</v>
      </c>
      <c r="T1122" s="1">
        <v>3</v>
      </c>
      <c r="U1122" s="1">
        <f t="shared" si="217"/>
        <v>9</v>
      </c>
      <c r="V1122" s="12">
        <f t="shared" si="221"/>
        <v>0.6</v>
      </c>
      <c r="W1122" s="1">
        <v>4</v>
      </c>
      <c r="X1122" s="1">
        <v>2</v>
      </c>
      <c r="Y1122" s="1">
        <v>3</v>
      </c>
      <c r="Z1122" s="1">
        <f t="shared" si="218"/>
        <v>9</v>
      </c>
      <c r="AA1122" s="12">
        <f t="shared" si="222"/>
        <v>0.6</v>
      </c>
      <c r="AB1122" s="2" t="s">
        <v>209</v>
      </c>
    </row>
    <row r="1123" spans="1:28" x14ac:dyDescent="0.25">
      <c r="A1123" s="1" t="s">
        <v>1679</v>
      </c>
      <c r="B1123" s="1" t="s">
        <v>35</v>
      </c>
      <c r="C1123" s="1" t="s">
        <v>36</v>
      </c>
      <c r="D1123" s="1">
        <v>20</v>
      </c>
      <c r="E1123" s="1">
        <v>2</v>
      </c>
      <c r="F1123" s="1">
        <v>6</v>
      </c>
      <c r="G1123" s="1">
        <v>7</v>
      </c>
      <c r="H1123" s="1">
        <v>6</v>
      </c>
      <c r="I1123" s="1">
        <v>6</v>
      </c>
      <c r="J1123" s="1">
        <v>3</v>
      </c>
      <c r="K1123" s="1">
        <f t="shared" si="215"/>
        <v>22</v>
      </c>
      <c r="L1123" s="12">
        <f t="shared" si="219"/>
        <v>0.62857142857142856</v>
      </c>
      <c r="M1123" s="1">
        <v>6</v>
      </c>
      <c r="N1123" s="1">
        <v>6</v>
      </c>
      <c r="O1123" s="1">
        <v>5</v>
      </c>
      <c r="P1123" s="1">
        <v>4</v>
      </c>
      <c r="Q1123" s="1">
        <f t="shared" si="216"/>
        <v>21</v>
      </c>
      <c r="R1123" s="12">
        <f t="shared" si="220"/>
        <v>0.6</v>
      </c>
      <c r="S1123" s="1">
        <v>7</v>
      </c>
      <c r="T1123" s="1">
        <v>4</v>
      </c>
      <c r="U1123" s="1">
        <f t="shared" si="217"/>
        <v>11</v>
      </c>
      <c r="V1123" s="12">
        <f t="shared" si="221"/>
        <v>0.73333333333333328</v>
      </c>
      <c r="W1123" s="1">
        <v>4</v>
      </c>
      <c r="X1123" s="1">
        <v>3</v>
      </c>
      <c r="Y1123" s="1">
        <v>4</v>
      </c>
      <c r="Z1123" s="1">
        <f t="shared" si="218"/>
        <v>11</v>
      </c>
      <c r="AA1123" s="12">
        <f t="shared" si="222"/>
        <v>0.73333333333333328</v>
      </c>
      <c r="AB1123" s="2" t="s">
        <v>389</v>
      </c>
    </row>
    <row r="1124" spans="1:28" x14ac:dyDescent="0.25">
      <c r="A1124" s="1" t="s">
        <v>1679</v>
      </c>
      <c r="B1124" s="1" t="s">
        <v>35</v>
      </c>
      <c r="C1124" s="1" t="s">
        <v>36</v>
      </c>
      <c r="D1124" s="1">
        <v>20</v>
      </c>
      <c r="E1124" s="1">
        <v>2</v>
      </c>
      <c r="F1124" s="1">
        <v>6</v>
      </c>
      <c r="G1124" s="1">
        <v>6</v>
      </c>
      <c r="H1124" s="1">
        <v>4</v>
      </c>
      <c r="I1124" s="1">
        <v>5</v>
      </c>
      <c r="J1124" s="1">
        <v>3</v>
      </c>
      <c r="K1124" s="1">
        <f t="shared" si="215"/>
        <v>18</v>
      </c>
      <c r="L1124" s="12">
        <f t="shared" si="219"/>
        <v>0.51428571428571423</v>
      </c>
      <c r="M1124" s="1">
        <v>5</v>
      </c>
      <c r="N1124" s="1">
        <v>4</v>
      </c>
      <c r="O1124" s="1">
        <v>4</v>
      </c>
      <c r="P1124" s="1">
        <v>4</v>
      </c>
      <c r="Q1124" s="1">
        <f t="shared" si="216"/>
        <v>17</v>
      </c>
      <c r="R1124" s="12">
        <f t="shared" si="220"/>
        <v>0.48571428571428571</v>
      </c>
      <c r="S1124" s="1">
        <v>5</v>
      </c>
      <c r="T1124" s="1">
        <v>4</v>
      </c>
      <c r="U1124" s="1">
        <f t="shared" si="217"/>
        <v>9</v>
      </c>
      <c r="V1124" s="12">
        <f t="shared" si="221"/>
        <v>0.6</v>
      </c>
      <c r="W1124" s="1">
        <v>3</v>
      </c>
      <c r="X1124" s="1">
        <v>2</v>
      </c>
      <c r="Y1124" s="1">
        <v>2</v>
      </c>
      <c r="Z1124" s="1">
        <f t="shared" si="218"/>
        <v>7</v>
      </c>
      <c r="AA1124" s="12">
        <f t="shared" si="222"/>
        <v>0.46666666666666667</v>
      </c>
      <c r="AB1124" s="2" t="s">
        <v>390</v>
      </c>
    </row>
    <row r="1125" spans="1:28" x14ac:dyDescent="0.25">
      <c r="A1125" s="1" t="s">
        <v>1679</v>
      </c>
      <c r="B1125" s="1" t="s">
        <v>35</v>
      </c>
      <c r="C1125" s="1" t="s">
        <v>36</v>
      </c>
      <c r="D1125" s="1">
        <v>20</v>
      </c>
      <c r="E1125" s="1">
        <v>2</v>
      </c>
      <c r="F1125" s="1">
        <v>6</v>
      </c>
      <c r="G1125" s="1">
        <v>5</v>
      </c>
      <c r="H1125" s="1">
        <v>6</v>
      </c>
      <c r="I1125" s="1">
        <v>6</v>
      </c>
      <c r="J1125" s="1">
        <v>4</v>
      </c>
      <c r="K1125" s="1">
        <f t="shared" si="215"/>
        <v>21</v>
      </c>
      <c r="L1125" s="12">
        <f t="shared" si="219"/>
        <v>0.6</v>
      </c>
      <c r="M1125" s="1">
        <v>7</v>
      </c>
      <c r="N1125" s="1">
        <v>7</v>
      </c>
      <c r="O1125" s="1">
        <v>8</v>
      </c>
      <c r="P1125" s="1">
        <v>4</v>
      </c>
      <c r="Q1125" s="1">
        <f t="shared" si="216"/>
        <v>26</v>
      </c>
      <c r="R1125" s="12">
        <f t="shared" si="220"/>
        <v>0.74285714285714288</v>
      </c>
      <c r="S1125" s="1">
        <v>6</v>
      </c>
      <c r="T1125" s="1">
        <v>4</v>
      </c>
      <c r="U1125" s="1">
        <f t="shared" si="217"/>
        <v>10</v>
      </c>
      <c r="V1125" s="12">
        <f t="shared" si="221"/>
        <v>0.66666666666666663</v>
      </c>
      <c r="W1125" s="1">
        <v>4</v>
      </c>
      <c r="X1125" s="1">
        <v>3</v>
      </c>
      <c r="Y1125" s="1">
        <v>3</v>
      </c>
      <c r="Z1125" s="1">
        <f t="shared" si="218"/>
        <v>10</v>
      </c>
      <c r="AA1125" s="12">
        <f t="shared" si="222"/>
        <v>0.66666666666666663</v>
      </c>
      <c r="AB1125" s="2" t="s">
        <v>391</v>
      </c>
    </row>
    <row r="1126" spans="1:28" x14ac:dyDescent="0.25">
      <c r="A1126" s="1" t="s">
        <v>1679</v>
      </c>
      <c r="B1126" s="1" t="s">
        <v>35</v>
      </c>
      <c r="C1126" s="1" t="s">
        <v>36</v>
      </c>
      <c r="D1126" s="1">
        <v>20</v>
      </c>
      <c r="E1126" s="1">
        <v>2</v>
      </c>
      <c r="F1126" s="1">
        <v>6</v>
      </c>
      <c r="G1126" s="1">
        <v>6</v>
      </c>
      <c r="H1126" s="1">
        <v>7</v>
      </c>
      <c r="I1126" s="1">
        <v>7</v>
      </c>
      <c r="J1126" s="1">
        <v>3</v>
      </c>
      <c r="K1126" s="1">
        <f t="shared" si="215"/>
        <v>23</v>
      </c>
      <c r="L1126" s="12">
        <f t="shared" si="219"/>
        <v>0.65714285714285714</v>
      </c>
      <c r="M1126" s="1">
        <v>6</v>
      </c>
      <c r="N1126" s="1">
        <v>6</v>
      </c>
      <c r="O1126" s="1">
        <v>7</v>
      </c>
      <c r="P1126" s="1">
        <v>3</v>
      </c>
      <c r="Q1126" s="1">
        <f t="shared" si="216"/>
        <v>22</v>
      </c>
      <c r="R1126" s="12">
        <f t="shared" si="220"/>
        <v>0.62857142857142856</v>
      </c>
      <c r="S1126" s="1">
        <v>7</v>
      </c>
      <c r="T1126" s="1">
        <v>4</v>
      </c>
      <c r="U1126" s="1">
        <f t="shared" si="217"/>
        <v>11</v>
      </c>
      <c r="V1126" s="12">
        <f t="shared" si="221"/>
        <v>0.73333333333333328</v>
      </c>
      <c r="W1126" s="1">
        <v>4</v>
      </c>
      <c r="X1126" s="1">
        <v>3</v>
      </c>
      <c r="Y1126" s="1">
        <v>4</v>
      </c>
      <c r="Z1126" s="1">
        <f t="shared" si="218"/>
        <v>11</v>
      </c>
      <c r="AA1126" s="12">
        <f t="shared" si="222"/>
        <v>0.73333333333333328</v>
      </c>
      <c r="AB1126" s="2" t="s">
        <v>392</v>
      </c>
    </row>
    <row r="1127" spans="1:28" x14ac:dyDescent="0.25">
      <c r="A1127" s="1" t="s">
        <v>1679</v>
      </c>
      <c r="B1127" s="1" t="s">
        <v>35</v>
      </c>
      <c r="C1127" s="1" t="s">
        <v>36</v>
      </c>
      <c r="D1127" s="1">
        <v>20</v>
      </c>
      <c r="E1127" s="1">
        <v>2</v>
      </c>
      <c r="F1127" s="1">
        <v>6</v>
      </c>
      <c r="G1127" s="1">
        <v>7</v>
      </c>
      <c r="H1127" s="1">
        <v>6</v>
      </c>
      <c r="I1127" s="1">
        <v>7</v>
      </c>
      <c r="J1127" s="1">
        <v>3</v>
      </c>
      <c r="K1127" s="1">
        <f t="shared" si="215"/>
        <v>23</v>
      </c>
      <c r="L1127" s="12">
        <f t="shared" si="219"/>
        <v>0.65714285714285714</v>
      </c>
      <c r="M1127" s="1">
        <v>7</v>
      </c>
      <c r="N1127" s="1">
        <v>6</v>
      </c>
      <c r="O1127" s="1">
        <v>6</v>
      </c>
      <c r="P1127" s="1">
        <v>3</v>
      </c>
      <c r="Q1127" s="1">
        <f t="shared" si="216"/>
        <v>22</v>
      </c>
      <c r="R1127" s="12">
        <f t="shared" si="220"/>
        <v>0.62857142857142856</v>
      </c>
      <c r="S1127" s="1">
        <v>6</v>
      </c>
      <c r="T1127" s="1">
        <v>4</v>
      </c>
      <c r="U1127" s="1">
        <f t="shared" si="217"/>
        <v>10</v>
      </c>
      <c r="V1127" s="12">
        <f t="shared" si="221"/>
        <v>0.66666666666666663</v>
      </c>
      <c r="W1127" s="1">
        <v>3</v>
      </c>
      <c r="X1127" s="1">
        <v>2</v>
      </c>
      <c r="Y1127" s="1">
        <v>3</v>
      </c>
      <c r="Z1127" s="1">
        <f t="shared" si="218"/>
        <v>8</v>
      </c>
      <c r="AA1127" s="12">
        <f t="shared" si="222"/>
        <v>0.53333333333333333</v>
      </c>
      <c r="AB1127" s="2" t="s">
        <v>393</v>
      </c>
    </row>
    <row r="1128" spans="1:28" x14ac:dyDescent="0.25">
      <c r="A1128" s="1" t="s">
        <v>1679</v>
      </c>
      <c r="B1128" s="1" t="s">
        <v>35</v>
      </c>
      <c r="C1128" s="1" t="s">
        <v>36</v>
      </c>
      <c r="D1128" s="1">
        <v>20</v>
      </c>
      <c r="E1128" s="1">
        <v>2</v>
      </c>
      <c r="F1128" s="1">
        <v>6</v>
      </c>
      <c r="G1128" s="1">
        <v>5</v>
      </c>
      <c r="H1128" s="1">
        <v>4</v>
      </c>
      <c r="I1128" s="1">
        <v>3</v>
      </c>
      <c r="J1128" s="1">
        <v>2</v>
      </c>
      <c r="K1128" s="1">
        <f t="shared" si="215"/>
        <v>14</v>
      </c>
      <c r="L1128" s="12">
        <f t="shared" si="219"/>
        <v>0.4</v>
      </c>
      <c r="M1128" s="1">
        <v>5</v>
      </c>
      <c r="N1128" s="1">
        <v>6</v>
      </c>
      <c r="O1128" s="1">
        <v>5</v>
      </c>
      <c r="P1128" s="1">
        <v>2</v>
      </c>
      <c r="Q1128" s="1">
        <f t="shared" si="216"/>
        <v>18</v>
      </c>
      <c r="R1128" s="12">
        <f t="shared" si="220"/>
        <v>0.51428571428571423</v>
      </c>
      <c r="S1128" s="1">
        <v>6</v>
      </c>
      <c r="T1128" s="1">
        <v>2</v>
      </c>
      <c r="U1128" s="1">
        <f t="shared" si="217"/>
        <v>8</v>
      </c>
      <c r="V1128" s="12">
        <f t="shared" si="221"/>
        <v>0.53333333333333333</v>
      </c>
      <c r="W1128" s="1">
        <v>3</v>
      </c>
      <c r="X1128" s="1">
        <v>3</v>
      </c>
      <c r="Y1128" s="1">
        <v>3</v>
      </c>
      <c r="Z1128" s="1">
        <f t="shared" si="218"/>
        <v>9</v>
      </c>
      <c r="AA1128" s="12">
        <f t="shared" si="222"/>
        <v>0.6</v>
      </c>
      <c r="AB1128" s="2" t="s">
        <v>394</v>
      </c>
    </row>
    <row r="1129" spans="1:28" x14ac:dyDescent="0.25">
      <c r="A1129" s="1" t="s">
        <v>1679</v>
      </c>
      <c r="B1129" s="1" t="s">
        <v>35</v>
      </c>
      <c r="C1129" s="1" t="s">
        <v>36</v>
      </c>
      <c r="D1129" s="1">
        <v>20</v>
      </c>
      <c r="E1129" s="1">
        <v>2</v>
      </c>
      <c r="F1129" s="1">
        <v>6</v>
      </c>
      <c r="G1129" s="1">
        <v>5</v>
      </c>
      <c r="H1129" s="1">
        <v>4</v>
      </c>
      <c r="I1129" s="1">
        <v>3</v>
      </c>
      <c r="J1129" s="1">
        <v>2</v>
      </c>
      <c r="K1129" s="1">
        <f t="shared" si="215"/>
        <v>14</v>
      </c>
      <c r="L1129" s="12">
        <f t="shared" si="219"/>
        <v>0.4</v>
      </c>
      <c r="M1129" s="1">
        <v>7</v>
      </c>
      <c r="N1129" s="1">
        <v>7</v>
      </c>
      <c r="O1129" s="1">
        <v>6</v>
      </c>
      <c r="P1129" s="1">
        <v>4</v>
      </c>
      <c r="Q1129" s="1">
        <f t="shared" si="216"/>
        <v>24</v>
      </c>
      <c r="R1129" s="12">
        <f t="shared" si="220"/>
        <v>0.68571428571428572</v>
      </c>
      <c r="S1129" s="1">
        <v>7</v>
      </c>
      <c r="T1129" s="1">
        <v>4</v>
      </c>
      <c r="U1129" s="1">
        <f t="shared" si="217"/>
        <v>11</v>
      </c>
      <c r="V1129" s="12">
        <f t="shared" si="221"/>
        <v>0.73333333333333328</v>
      </c>
      <c r="W1129" s="1">
        <v>3</v>
      </c>
      <c r="X1129" s="1">
        <v>2</v>
      </c>
      <c r="Y1129" s="1">
        <v>2</v>
      </c>
      <c r="Z1129" s="1">
        <f t="shared" si="218"/>
        <v>7</v>
      </c>
      <c r="AA1129" s="12">
        <f t="shared" si="222"/>
        <v>0.46666666666666667</v>
      </c>
      <c r="AB1129" s="2" t="s">
        <v>395</v>
      </c>
    </row>
    <row r="1130" spans="1:28" x14ac:dyDescent="0.25">
      <c r="A1130" s="1" t="s">
        <v>1679</v>
      </c>
      <c r="B1130" s="1" t="s">
        <v>35</v>
      </c>
      <c r="C1130" s="1" t="s">
        <v>36</v>
      </c>
      <c r="D1130" s="1">
        <v>20</v>
      </c>
      <c r="E1130" s="1">
        <v>2</v>
      </c>
      <c r="F1130" s="1">
        <v>6</v>
      </c>
      <c r="G1130" s="1">
        <v>6</v>
      </c>
      <c r="H1130" s="1">
        <v>7</v>
      </c>
      <c r="I1130" s="1">
        <v>6</v>
      </c>
      <c r="J1130" s="1">
        <v>3</v>
      </c>
      <c r="K1130" s="1">
        <f t="shared" si="215"/>
        <v>22</v>
      </c>
      <c r="L1130" s="12">
        <f t="shared" si="219"/>
        <v>0.62857142857142856</v>
      </c>
      <c r="M1130" s="1">
        <v>7</v>
      </c>
      <c r="N1130" s="1">
        <v>6</v>
      </c>
      <c r="O1130" s="1">
        <v>7</v>
      </c>
      <c r="P1130" s="1">
        <v>4</v>
      </c>
      <c r="Q1130" s="1">
        <f t="shared" si="216"/>
        <v>24</v>
      </c>
      <c r="R1130" s="12">
        <f t="shared" si="220"/>
        <v>0.68571428571428572</v>
      </c>
      <c r="S1130" s="1">
        <v>6</v>
      </c>
      <c r="T1130" s="1">
        <v>3</v>
      </c>
      <c r="U1130" s="1">
        <f t="shared" si="217"/>
        <v>9</v>
      </c>
      <c r="V1130" s="12">
        <f t="shared" si="221"/>
        <v>0.6</v>
      </c>
      <c r="W1130" s="1">
        <v>4</v>
      </c>
      <c r="X1130" s="1">
        <v>4</v>
      </c>
      <c r="Y1130" s="1">
        <v>4</v>
      </c>
      <c r="Z1130" s="1">
        <f t="shared" si="218"/>
        <v>12</v>
      </c>
      <c r="AA1130" s="12">
        <f t="shared" si="222"/>
        <v>0.8</v>
      </c>
      <c r="AB1130" s="2" t="s">
        <v>396</v>
      </c>
    </row>
    <row r="1131" spans="1:28" x14ac:dyDescent="0.25">
      <c r="A1131" s="1" t="s">
        <v>1679</v>
      </c>
      <c r="B1131" s="1" t="s">
        <v>576</v>
      </c>
      <c r="C1131" s="1" t="s">
        <v>36</v>
      </c>
      <c r="D1131" s="1">
        <v>27</v>
      </c>
      <c r="E1131" s="1">
        <v>2</v>
      </c>
      <c r="F1131" s="1">
        <v>2</v>
      </c>
      <c r="G1131" s="1">
        <v>5</v>
      </c>
      <c r="H1131" s="1">
        <v>6</v>
      </c>
      <c r="I1131" s="1">
        <v>5</v>
      </c>
      <c r="J1131" s="1">
        <v>2</v>
      </c>
      <c r="K1131" s="1">
        <f t="shared" si="215"/>
        <v>18</v>
      </c>
      <c r="L1131" s="12">
        <f t="shared" si="219"/>
        <v>0.51428571428571423</v>
      </c>
      <c r="M1131" s="1">
        <v>6</v>
      </c>
      <c r="N1131" s="1">
        <v>5</v>
      </c>
      <c r="O1131" s="1">
        <v>6</v>
      </c>
      <c r="P1131" s="1">
        <v>3</v>
      </c>
      <c r="Q1131" s="1">
        <f t="shared" si="216"/>
        <v>20</v>
      </c>
      <c r="R1131" s="12">
        <f t="shared" si="220"/>
        <v>0.5714285714285714</v>
      </c>
      <c r="S1131" s="1">
        <v>6</v>
      </c>
      <c r="T1131" s="1">
        <v>4</v>
      </c>
      <c r="U1131" s="1">
        <f t="shared" si="217"/>
        <v>10</v>
      </c>
      <c r="V1131" s="12">
        <f t="shared" si="221"/>
        <v>0.66666666666666663</v>
      </c>
      <c r="W1131" s="1">
        <v>2</v>
      </c>
      <c r="X1131" s="1">
        <v>2</v>
      </c>
      <c r="Y1131" s="1">
        <v>2</v>
      </c>
      <c r="Z1131" s="1">
        <f t="shared" si="218"/>
        <v>6</v>
      </c>
      <c r="AA1131" s="12">
        <f t="shared" si="222"/>
        <v>0.4</v>
      </c>
      <c r="AB1131" s="2" t="s">
        <v>695</v>
      </c>
    </row>
    <row r="1132" spans="1:28" x14ac:dyDescent="0.25">
      <c r="A1132" s="1" t="s">
        <v>1679</v>
      </c>
      <c r="B1132" s="1" t="s">
        <v>576</v>
      </c>
      <c r="C1132" s="1" t="s">
        <v>36</v>
      </c>
      <c r="D1132" s="1">
        <v>27</v>
      </c>
      <c r="E1132" s="1">
        <v>2</v>
      </c>
      <c r="F1132" s="1">
        <v>2</v>
      </c>
      <c r="G1132" s="1">
        <v>7</v>
      </c>
      <c r="H1132" s="1">
        <v>4</v>
      </c>
      <c r="I1132" s="1">
        <v>6</v>
      </c>
      <c r="J1132" s="1">
        <v>3</v>
      </c>
      <c r="K1132" s="1">
        <f t="shared" si="215"/>
        <v>20</v>
      </c>
      <c r="L1132" s="12">
        <f t="shared" si="219"/>
        <v>0.5714285714285714</v>
      </c>
      <c r="M1132" s="1">
        <v>7</v>
      </c>
      <c r="N1132" s="1">
        <v>8</v>
      </c>
      <c r="O1132" s="1">
        <v>6</v>
      </c>
      <c r="P1132" s="1">
        <v>4</v>
      </c>
      <c r="Q1132" s="1">
        <f t="shared" si="216"/>
        <v>25</v>
      </c>
      <c r="R1132" s="12">
        <f t="shared" si="220"/>
        <v>0.7142857142857143</v>
      </c>
      <c r="S1132" s="1">
        <v>7</v>
      </c>
      <c r="T1132" s="1">
        <v>4</v>
      </c>
      <c r="U1132" s="1">
        <f t="shared" si="217"/>
        <v>11</v>
      </c>
      <c r="V1132" s="12">
        <f t="shared" si="221"/>
        <v>0.73333333333333328</v>
      </c>
      <c r="W1132" s="1">
        <v>4</v>
      </c>
      <c r="X1132" s="1">
        <v>3</v>
      </c>
      <c r="Y1132" s="1">
        <v>3</v>
      </c>
      <c r="Z1132" s="1">
        <f t="shared" si="218"/>
        <v>10</v>
      </c>
      <c r="AA1132" s="12">
        <f t="shared" si="222"/>
        <v>0.66666666666666663</v>
      </c>
      <c r="AB1132" s="2" t="s">
        <v>696</v>
      </c>
    </row>
    <row r="1133" spans="1:28" x14ac:dyDescent="0.25">
      <c r="A1133" s="1" t="s">
        <v>1679</v>
      </c>
      <c r="B1133" s="1" t="s">
        <v>576</v>
      </c>
      <c r="C1133" s="1" t="s">
        <v>36</v>
      </c>
      <c r="D1133" s="1">
        <v>27</v>
      </c>
      <c r="E1133" s="1">
        <v>2</v>
      </c>
      <c r="F1133" s="1">
        <v>2</v>
      </c>
      <c r="G1133" s="1">
        <v>6</v>
      </c>
      <c r="H1133" s="1">
        <v>6</v>
      </c>
      <c r="I1133" s="1">
        <v>5</v>
      </c>
      <c r="J1133" s="1">
        <v>3</v>
      </c>
      <c r="K1133" s="1">
        <f t="shared" si="215"/>
        <v>20</v>
      </c>
      <c r="L1133" s="12">
        <f t="shared" si="219"/>
        <v>0.5714285714285714</v>
      </c>
      <c r="M1133" s="1">
        <v>5</v>
      </c>
      <c r="N1133" s="1">
        <v>4</v>
      </c>
      <c r="O1133" s="1">
        <v>5</v>
      </c>
      <c r="P1133" s="1">
        <v>2</v>
      </c>
      <c r="Q1133" s="1">
        <f t="shared" si="216"/>
        <v>16</v>
      </c>
      <c r="R1133" s="12">
        <f t="shared" si="220"/>
        <v>0.45714285714285713</v>
      </c>
      <c r="S1133" s="1">
        <v>5</v>
      </c>
      <c r="T1133" s="1">
        <v>2</v>
      </c>
      <c r="U1133" s="1">
        <f t="shared" si="217"/>
        <v>7</v>
      </c>
      <c r="V1133" s="12">
        <f t="shared" si="221"/>
        <v>0.46666666666666667</v>
      </c>
      <c r="W1133" s="1">
        <v>4</v>
      </c>
      <c r="X1133" s="1">
        <v>3</v>
      </c>
      <c r="Y1133" s="1">
        <v>4</v>
      </c>
      <c r="Z1133" s="1">
        <f t="shared" si="218"/>
        <v>11</v>
      </c>
      <c r="AA1133" s="12">
        <f t="shared" si="222"/>
        <v>0.73333333333333328</v>
      </c>
      <c r="AB1133" s="2" t="s">
        <v>697</v>
      </c>
    </row>
    <row r="1134" spans="1:28" x14ac:dyDescent="0.25">
      <c r="A1134" s="1" t="s">
        <v>1679</v>
      </c>
      <c r="B1134" s="1" t="s">
        <v>576</v>
      </c>
      <c r="C1134" s="1" t="s">
        <v>36</v>
      </c>
      <c r="D1134" s="1">
        <v>27</v>
      </c>
      <c r="E1134" s="1">
        <v>2</v>
      </c>
      <c r="F1134" s="1">
        <v>2</v>
      </c>
      <c r="G1134" s="1">
        <v>7</v>
      </c>
      <c r="H1134" s="1">
        <v>9</v>
      </c>
      <c r="I1134" s="1">
        <v>8</v>
      </c>
      <c r="J1134" s="1">
        <v>4</v>
      </c>
      <c r="K1134" s="1">
        <f t="shared" si="215"/>
        <v>28</v>
      </c>
      <c r="L1134" s="12">
        <f t="shared" si="219"/>
        <v>0.8</v>
      </c>
      <c r="M1134" s="1">
        <v>8</v>
      </c>
      <c r="N1134" s="1">
        <v>8</v>
      </c>
      <c r="O1134" s="1">
        <v>7</v>
      </c>
      <c r="P1134" s="1">
        <v>4</v>
      </c>
      <c r="Q1134" s="1">
        <f t="shared" si="216"/>
        <v>27</v>
      </c>
      <c r="R1134" s="12">
        <f t="shared" si="220"/>
        <v>0.77142857142857146</v>
      </c>
      <c r="S1134" s="1">
        <v>7</v>
      </c>
      <c r="T1134" s="1">
        <v>4</v>
      </c>
      <c r="U1134" s="1">
        <f t="shared" si="217"/>
        <v>11</v>
      </c>
      <c r="V1134" s="12">
        <f t="shared" si="221"/>
        <v>0.73333333333333328</v>
      </c>
      <c r="W1134" s="1">
        <v>5</v>
      </c>
      <c r="X1134" s="1">
        <v>4</v>
      </c>
      <c r="Y1134" s="1">
        <v>4</v>
      </c>
      <c r="Z1134" s="1">
        <f t="shared" si="218"/>
        <v>13</v>
      </c>
      <c r="AA1134" s="12">
        <f t="shared" si="222"/>
        <v>0.8666666666666667</v>
      </c>
      <c r="AB1134" s="2" t="s">
        <v>698</v>
      </c>
    </row>
    <row r="1135" spans="1:28" x14ac:dyDescent="0.25">
      <c r="A1135" s="1" t="s">
        <v>1679</v>
      </c>
      <c r="B1135" s="1" t="s">
        <v>576</v>
      </c>
      <c r="C1135" s="1" t="s">
        <v>36</v>
      </c>
      <c r="D1135" s="1">
        <v>27</v>
      </c>
      <c r="E1135" s="1">
        <v>2</v>
      </c>
      <c r="F1135" s="1">
        <v>2</v>
      </c>
      <c r="G1135" s="1">
        <v>7</v>
      </c>
      <c r="H1135" s="1">
        <v>8</v>
      </c>
      <c r="I1135" s="1">
        <v>7</v>
      </c>
      <c r="J1135" s="1">
        <v>4</v>
      </c>
      <c r="K1135" s="1">
        <f t="shared" si="215"/>
        <v>26</v>
      </c>
      <c r="L1135" s="12">
        <f t="shared" si="219"/>
        <v>0.74285714285714288</v>
      </c>
      <c r="M1135" s="1">
        <v>6</v>
      </c>
      <c r="N1135" s="1">
        <v>6</v>
      </c>
      <c r="O1135" s="1">
        <v>5</v>
      </c>
      <c r="P1135" s="1">
        <v>2</v>
      </c>
      <c r="Q1135" s="1">
        <f t="shared" si="216"/>
        <v>19</v>
      </c>
      <c r="R1135" s="12">
        <f t="shared" si="220"/>
        <v>0.54285714285714282</v>
      </c>
      <c r="S1135" s="1">
        <v>6</v>
      </c>
      <c r="T1135" s="1">
        <v>3</v>
      </c>
      <c r="U1135" s="1">
        <f t="shared" si="217"/>
        <v>9</v>
      </c>
      <c r="V1135" s="12">
        <f t="shared" si="221"/>
        <v>0.6</v>
      </c>
      <c r="W1135" s="1">
        <v>4</v>
      </c>
      <c r="X1135" s="1">
        <v>4</v>
      </c>
      <c r="Y1135" s="1">
        <v>3</v>
      </c>
      <c r="Z1135" s="1">
        <f t="shared" si="218"/>
        <v>11</v>
      </c>
      <c r="AA1135" s="12">
        <f t="shared" si="222"/>
        <v>0.73333333333333328</v>
      </c>
      <c r="AB1135" s="2" t="s">
        <v>699</v>
      </c>
    </row>
    <row r="1136" spans="1:28" x14ac:dyDescent="0.25">
      <c r="A1136" s="1" t="s">
        <v>1679</v>
      </c>
      <c r="B1136" s="1" t="s">
        <v>576</v>
      </c>
      <c r="C1136" s="1" t="s">
        <v>36</v>
      </c>
      <c r="D1136" s="1">
        <v>27</v>
      </c>
      <c r="E1136" s="1">
        <v>2</v>
      </c>
      <c r="F1136" s="1">
        <v>2</v>
      </c>
      <c r="G1136" s="1">
        <v>7</v>
      </c>
      <c r="H1136" s="1">
        <v>6</v>
      </c>
      <c r="I1136" s="1">
        <v>7</v>
      </c>
      <c r="J1136" s="1">
        <v>4</v>
      </c>
      <c r="K1136" s="1">
        <f t="shared" si="215"/>
        <v>24</v>
      </c>
      <c r="L1136" s="12">
        <f t="shared" si="219"/>
        <v>0.68571428571428572</v>
      </c>
      <c r="M1136" s="1">
        <v>8</v>
      </c>
      <c r="N1136" s="1">
        <v>7</v>
      </c>
      <c r="O1136" s="1">
        <v>6</v>
      </c>
      <c r="P1136" s="1">
        <v>4</v>
      </c>
      <c r="Q1136" s="1">
        <f t="shared" si="216"/>
        <v>25</v>
      </c>
      <c r="R1136" s="12">
        <f t="shared" si="220"/>
        <v>0.7142857142857143</v>
      </c>
      <c r="S1136" s="1">
        <v>7</v>
      </c>
      <c r="T1136" s="1">
        <v>3</v>
      </c>
      <c r="U1136" s="1">
        <f t="shared" si="217"/>
        <v>10</v>
      </c>
      <c r="V1136" s="12">
        <f t="shared" si="221"/>
        <v>0.66666666666666663</v>
      </c>
      <c r="W1136" s="1">
        <v>4</v>
      </c>
      <c r="X1136" s="1">
        <v>4</v>
      </c>
      <c r="Y1136" s="1">
        <v>4</v>
      </c>
      <c r="Z1136" s="1">
        <f t="shared" si="218"/>
        <v>12</v>
      </c>
      <c r="AA1136" s="12">
        <f t="shared" si="222"/>
        <v>0.8</v>
      </c>
      <c r="AB1136" s="2" t="s">
        <v>700</v>
      </c>
    </row>
    <row r="1137" spans="1:28" x14ac:dyDescent="0.25">
      <c r="A1137" s="1" t="s">
        <v>1679</v>
      </c>
      <c r="B1137" s="1" t="s">
        <v>576</v>
      </c>
      <c r="C1137" s="1" t="s">
        <v>36</v>
      </c>
      <c r="D1137" s="1">
        <v>12</v>
      </c>
      <c r="E1137" s="1">
        <v>3</v>
      </c>
      <c r="F1137" s="1">
        <v>1</v>
      </c>
      <c r="G1137" s="1">
        <v>8</v>
      </c>
      <c r="H1137" s="1">
        <v>9</v>
      </c>
      <c r="I1137" s="1">
        <v>9</v>
      </c>
      <c r="J1137" s="1">
        <v>4</v>
      </c>
      <c r="K1137" s="1">
        <f t="shared" si="215"/>
        <v>30</v>
      </c>
      <c r="L1137" s="12">
        <f t="shared" si="219"/>
        <v>0.8571428571428571</v>
      </c>
      <c r="M1137" s="1">
        <v>9</v>
      </c>
      <c r="N1137" s="1">
        <v>8</v>
      </c>
      <c r="O1137" s="1">
        <v>9</v>
      </c>
      <c r="P1137" s="1">
        <v>4</v>
      </c>
      <c r="Q1137" s="1">
        <f t="shared" si="216"/>
        <v>30</v>
      </c>
      <c r="R1137" s="12">
        <f t="shared" si="220"/>
        <v>0.8571428571428571</v>
      </c>
      <c r="S1137" s="1">
        <v>7</v>
      </c>
      <c r="T1137" s="1">
        <v>3</v>
      </c>
      <c r="U1137" s="1">
        <f t="shared" si="217"/>
        <v>10</v>
      </c>
      <c r="V1137" s="12">
        <f t="shared" si="221"/>
        <v>0.66666666666666663</v>
      </c>
      <c r="W1137" s="1">
        <v>5</v>
      </c>
      <c r="X1137" s="1">
        <v>5</v>
      </c>
      <c r="Y1137" s="1">
        <v>5</v>
      </c>
      <c r="Z1137" s="1">
        <f t="shared" si="218"/>
        <v>15</v>
      </c>
      <c r="AA1137" s="12">
        <f t="shared" si="222"/>
        <v>1</v>
      </c>
      <c r="AB1137" s="2" t="s">
        <v>759</v>
      </c>
    </row>
    <row r="1138" spans="1:28" x14ac:dyDescent="0.25">
      <c r="A1138" s="1" t="s">
        <v>1679</v>
      </c>
      <c r="B1138" s="1" t="s">
        <v>576</v>
      </c>
      <c r="C1138" s="1" t="s">
        <v>36</v>
      </c>
      <c r="D1138" s="1">
        <v>12</v>
      </c>
      <c r="E1138" s="1">
        <v>3</v>
      </c>
      <c r="F1138" s="1">
        <v>1</v>
      </c>
      <c r="G1138" s="1">
        <v>8</v>
      </c>
      <c r="H1138" s="1">
        <v>6</v>
      </c>
      <c r="I1138" s="1">
        <v>7</v>
      </c>
      <c r="J1138" s="1">
        <v>4</v>
      </c>
      <c r="K1138" s="1">
        <f t="shared" si="215"/>
        <v>25</v>
      </c>
      <c r="L1138" s="12">
        <f t="shared" si="219"/>
        <v>0.7142857142857143</v>
      </c>
      <c r="M1138" s="1">
        <v>6</v>
      </c>
      <c r="N1138" s="1">
        <v>6</v>
      </c>
      <c r="O1138" s="1">
        <v>6</v>
      </c>
      <c r="P1138" s="1">
        <v>3</v>
      </c>
      <c r="Q1138" s="1">
        <f t="shared" si="216"/>
        <v>21</v>
      </c>
      <c r="R1138" s="12">
        <f t="shared" si="220"/>
        <v>0.6</v>
      </c>
      <c r="S1138" s="1">
        <v>7</v>
      </c>
      <c r="T1138" s="1">
        <v>4</v>
      </c>
      <c r="U1138" s="1">
        <f t="shared" si="217"/>
        <v>11</v>
      </c>
      <c r="V1138" s="12">
        <f t="shared" si="221"/>
        <v>0.73333333333333328</v>
      </c>
      <c r="W1138" s="1">
        <v>3</v>
      </c>
      <c r="X1138" s="1">
        <v>4</v>
      </c>
      <c r="Y1138" s="1">
        <v>3</v>
      </c>
      <c r="Z1138" s="1">
        <f t="shared" si="218"/>
        <v>10</v>
      </c>
      <c r="AA1138" s="12">
        <f t="shared" si="222"/>
        <v>0.66666666666666663</v>
      </c>
      <c r="AB1138" s="2" t="s">
        <v>760</v>
      </c>
    </row>
    <row r="1139" spans="1:28" x14ac:dyDescent="0.25">
      <c r="A1139" s="1" t="s">
        <v>1679</v>
      </c>
      <c r="B1139" s="1" t="s">
        <v>576</v>
      </c>
      <c r="C1139" s="1" t="s">
        <v>36</v>
      </c>
      <c r="D1139" s="1">
        <v>12</v>
      </c>
      <c r="E1139" s="1">
        <v>3</v>
      </c>
      <c r="F1139" s="1">
        <v>1</v>
      </c>
      <c r="G1139" s="1">
        <v>8</v>
      </c>
      <c r="H1139" s="1">
        <v>6</v>
      </c>
      <c r="I1139" s="1">
        <v>7</v>
      </c>
      <c r="J1139" s="1">
        <v>4</v>
      </c>
      <c r="K1139" s="1">
        <f t="shared" si="215"/>
        <v>25</v>
      </c>
      <c r="L1139" s="12">
        <f t="shared" si="219"/>
        <v>0.7142857142857143</v>
      </c>
      <c r="M1139" s="1">
        <v>7</v>
      </c>
      <c r="N1139" s="1">
        <v>5</v>
      </c>
      <c r="O1139" s="1">
        <v>5</v>
      </c>
      <c r="P1139" s="1">
        <v>4</v>
      </c>
      <c r="Q1139" s="1">
        <f t="shared" si="216"/>
        <v>21</v>
      </c>
      <c r="R1139" s="12">
        <f t="shared" si="220"/>
        <v>0.6</v>
      </c>
      <c r="S1139" s="1">
        <v>7</v>
      </c>
      <c r="T1139" s="1">
        <v>4</v>
      </c>
      <c r="U1139" s="1">
        <f t="shared" si="217"/>
        <v>11</v>
      </c>
      <c r="V1139" s="12">
        <f t="shared" si="221"/>
        <v>0.73333333333333328</v>
      </c>
      <c r="W1139" s="1">
        <v>2</v>
      </c>
      <c r="X1139" s="1">
        <v>3</v>
      </c>
      <c r="Y1139" s="1">
        <v>2</v>
      </c>
      <c r="Z1139" s="1">
        <f t="shared" si="218"/>
        <v>7</v>
      </c>
      <c r="AA1139" s="12">
        <f t="shared" si="222"/>
        <v>0.46666666666666667</v>
      </c>
      <c r="AB1139" s="2" t="s">
        <v>761</v>
      </c>
    </row>
    <row r="1140" spans="1:28" x14ac:dyDescent="0.25">
      <c r="A1140" s="1" t="s">
        <v>1679</v>
      </c>
      <c r="B1140" s="1" t="s">
        <v>576</v>
      </c>
      <c r="C1140" s="1" t="s">
        <v>36</v>
      </c>
      <c r="D1140" s="1">
        <v>12</v>
      </c>
      <c r="E1140" s="1">
        <v>3</v>
      </c>
      <c r="F1140" s="1">
        <v>1</v>
      </c>
      <c r="G1140" s="1">
        <v>8</v>
      </c>
      <c r="H1140" s="1">
        <v>6</v>
      </c>
      <c r="I1140" s="1">
        <v>7</v>
      </c>
      <c r="J1140" s="1">
        <v>4</v>
      </c>
      <c r="K1140" s="1">
        <f t="shared" si="215"/>
        <v>25</v>
      </c>
      <c r="L1140" s="12">
        <f t="shared" si="219"/>
        <v>0.7142857142857143</v>
      </c>
      <c r="M1140" s="1">
        <v>7</v>
      </c>
      <c r="N1140" s="1">
        <v>6</v>
      </c>
      <c r="O1140" s="1">
        <v>6</v>
      </c>
      <c r="P1140" s="1">
        <v>3</v>
      </c>
      <c r="Q1140" s="1">
        <f t="shared" si="216"/>
        <v>22</v>
      </c>
      <c r="R1140" s="12">
        <f t="shared" si="220"/>
        <v>0.62857142857142856</v>
      </c>
      <c r="S1140" s="1">
        <v>7</v>
      </c>
      <c r="T1140" s="1">
        <v>3</v>
      </c>
      <c r="U1140" s="1">
        <f t="shared" si="217"/>
        <v>10</v>
      </c>
      <c r="V1140" s="12">
        <f t="shared" si="221"/>
        <v>0.66666666666666663</v>
      </c>
      <c r="W1140" s="1">
        <v>5</v>
      </c>
      <c r="X1140" s="1">
        <v>4</v>
      </c>
      <c r="Y1140" s="1">
        <v>3</v>
      </c>
      <c r="Z1140" s="1">
        <f t="shared" si="218"/>
        <v>12</v>
      </c>
      <c r="AA1140" s="12">
        <f t="shared" si="222"/>
        <v>0.8</v>
      </c>
      <c r="AB1140" s="2" t="s">
        <v>762</v>
      </c>
    </row>
    <row r="1141" spans="1:28" x14ac:dyDescent="0.25">
      <c r="A1141" s="1" t="s">
        <v>1679</v>
      </c>
      <c r="B1141" s="1" t="s">
        <v>576</v>
      </c>
      <c r="C1141" s="1" t="s">
        <v>36</v>
      </c>
      <c r="D1141" s="1">
        <v>12</v>
      </c>
      <c r="E1141" s="1">
        <v>3</v>
      </c>
      <c r="F1141" s="1">
        <v>1</v>
      </c>
      <c r="G1141" s="1">
        <v>8</v>
      </c>
      <c r="H1141" s="1">
        <v>6</v>
      </c>
      <c r="I1141" s="1">
        <v>8</v>
      </c>
      <c r="J1141" s="1">
        <v>3</v>
      </c>
      <c r="K1141" s="1">
        <f t="shared" si="215"/>
        <v>25</v>
      </c>
      <c r="L1141" s="12">
        <f t="shared" si="219"/>
        <v>0.7142857142857143</v>
      </c>
      <c r="M1141" s="1">
        <v>9</v>
      </c>
      <c r="N1141" s="1">
        <v>8</v>
      </c>
      <c r="O1141" s="1">
        <v>8</v>
      </c>
      <c r="P1141" s="1">
        <v>4</v>
      </c>
      <c r="Q1141" s="1">
        <f t="shared" si="216"/>
        <v>29</v>
      </c>
      <c r="R1141" s="12">
        <f t="shared" si="220"/>
        <v>0.82857142857142863</v>
      </c>
      <c r="S1141" s="1">
        <v>9</v>
      </c>
      <c r="T1141" s="1">
        <v>4</v>
      </c>
      <c r="U1141" s="1">
        <f t="shared" si="217"/>
        <v>13</v>
      </c>
      <c r="V1141" s="12">
        <f t="shared" si="221"/>
        <v>0.8666666666666667</v>
      </c>
      <c r="W1141" s="1">
        <v>4</v>
      </c>
      <c r="X1141" s="1">
        <v>5</v>
      </c>
      <c r="Y1141" s="1">
        <v>4</v>
      </c>
      <c r="Z1141" s="1">
        <f t="shared" si="218"/>
        <v>13</v>
      </c>
      <c r="AA1141" s="12">
        <f t="shared" si="222"/>
        <v>0.8666666666666667</v>
      </c>
      <c r="AB1141" s="2" t="s">
        <v>763</v>
      </c>
    </row>
    <row r="1142" spans="1:28" x14ac:dyDescent="0.25">
      <c r="A1142" s="1" t="s">
        <v>1679</v>
      </c>
      <c r="B1142" s="1" t="s">
        <v>576</v>
      </c>
      <c r="C1142" s="1" t="s">
        <v>36</v>
      </c>
      <c r="D1142" s="1">
        <v>12</v>
      </c>
      <c r="E1142" s="1">
        <v>3</v>
      </c>
      <c r="F1142" s="1">
        <v>1</v>
      </c>
      <c r="G1142" s="1">
        <v>7</v>
      </c>
      <c r="H1142" s="1">
        <v>6</v>
      </c>
      <c r="I1142" s="1">
        <v>7</v>
      </c>
      <c r="J1142" s="1">
        <v>3</v>
      </c>
      <c r="K1142" s="1">
        <f t="shared" si="215"/>
        <v>23</v>
      </c>
      <c r="L1142" s="12">
        <f t="shared" si="219"/>
        <v>0.65714285714285714</v>
      </c>
      <c r="M1142" s="1">
        <v>7</v>
      </c>
      <c r="N1142" s="1">
        <v>6</v>
      </c>
      <c r="O1142" s="1">
        <v>7</v>
      </c>
      <c r="P1142" s="1">
        <v>4</v>
      </c>
      <c r="Q1142" s="1">
        <f t="shared" si="216"/>
        <v>24</v>
      </c>
      <c r="R1142" s="12">
        <f t="shared" si="220"/>
        <v>0.68571428571428572</v>
      </c>
      <c r="S1142" s="1">
        <v>8</v>
      </c>
      <c r="T1142" s="1">
        <v>4</v>
      </c>
      <c r="U1142" s="1">
        <f t="shared" si="217"/>
        <v>12</v>
      </c>
      <c r="V1142" s="12">
        <f t="shared" si="221"/>
        <v>0.8</v>
      </c>
      <c r="W1142" s="1">
        <v>4</v>
      </c>
      <c r="X1142" s="1">
        <v>4</v>
      </c>
      <c r="Y1142" s="1">
        <v>3</v>
      </c>
      <c r="Z1142" s="1">
        <f t="shared" si="218"/>
        <v>11</v>
      </c>
      <c r="AA1142" s="12">
        <f t="shared" si="222"/>
        <v>0.73333333333333328</v>
      </c>
      <c r="AB1142" s="2" t="s">
        <v>764</v>
      </c>
    </row>
    <row r="1143" spans="1:28" x14ac:dyDescent="0.25">
      <c r="A1143" s="1" t="s">
        <v>1679</v>
      </c>
      <c r="B1143" s="1" t="s">
        <v>576</v>
      </c>
      <c r="C1143" s="1" t="s">
        <v>36</v>
      </c>
      <c r="D1143" s="1">
        <v>12</v>
      </c>
      <c r="E1143" s="1">
        <v>3</v>
      </c>
      <c r="F1143" s="1">
        <v>1</v>
      </c>
      <c r="G1143" s="1">
        <v>7</v>
      </c>
      <c r="H1143" s="1">
        <v>8</v>
      </c>
      <c r="I1143" s="1">
        <v>8</v>
      </c>
      <c r="J1143" s="1">
        <v>4</v>
      </c>
      <c r="K1143" s="1">
        <f t="shared" si="215"/>
        <v>27</v>
      </c>
      <c r="L1143" s="12">
        <f t="shared" si="219"/>
        <v>0.77142857142857146</v>
      </c>
      <c r="M1143" s="1">
        <v>8</v>
      </c>
      <c r="N1143" s="1">
        <v>7</v>
      </c>
      <c r="O1143" s="1">
        <v>7</v>
      </c>
      <c r="P1143" s="1">
        <v>4</v>
      </c>
      <c r="Q1143" s="1">
        <f t="shared" si="216"/>
        <v>26</v>
      </c>
      <c r="R1143" s="12">
        <f t="shared" si="220"/>
        <v>0.74285714285714288</v>
      </c>
      <c r="S1143" s="1">
        <v>7</v>
      </c>
      <c r="T1143" s="1">
        <v>4</v>
      </c>
      <c r="U1143" s="1">
        <f t="shared" si="217"/>
        <v>11</v>
      </c>
      <c r="V1143" s="12">
        <f t="shared" si="221"/>
        <v>0.73333333333333328</v>
      </c>
      <c r="W1143" s="1">
        <v>4</v>
      </c>
      <c r="X1143" s="1">
        <v>5</v>
      </c>
      <c r="Y1143" s="1">
        <v>4</v>
      </c>
      <c r="Z1143" s="1">
        <f t="shared" si="218"/>
        <v>13</v>
      </c>
      <c r="AA1143" s="12">
        <f t="shared" si="222"/>
        <v>0.8666666666666667</v>
      </c>
      <c r="AB1143" s="2" t="s">
        <v>765</v>
      </c>
    </row>
    <row r="1144" spans="1:28" x14ac:dyDescent="0.25">
      <c r="A1144" s="1" t="s">
        <v>1679</v>
      </c>
      <c r="B1144" s="1" t="s">
        <v>35</v>
      </c>
      <c r="C1144" s="1" t="s">
        <v>861</v>
      </c>
      <c r="D1144" s="1">
        <v>17</v>
      </c>
      <c r="E1144" s="1">
        <v>1</v>
      </c>
      <c r="F1144" s="1">
        <v>7</v>
      </c>
      <c r="G1144" s="1">
        <v>3</v>
      </c>
      <c r="H1144" s="1">
        <v>2</v>
      </c>
      <c r="I1144" s="1">
        <v>2</v>
      </c>
      <c r="J1144" s="1">
        <v>3</v>
      </c>
      <c r="K1144" s="1">
        <f t="shared" si="215"/>
        <v>10</v>
      </c>
      <c r="L1144" s="12">
        <f t="shared" ref="L1144:L1166" si="223">K1144/40</f>
        <v>0.25</v>
      </c>
      <c r="M1144" s="1">
        <v>2</v>
      </c>
      <c r="N1144" s="1">
        <v>2</v>
      </c>
      <c r="O1144" s="1">
        <v>2</v>
      </c>
      <c r="P1144" s="1">
        <v>3</v>
      </c>
      <c r="Q1144" s="1">
        <f t="shared" si="216"/>
        <v>9</v>
      </c>
      <c r="R1144" s="12">
        <f t="shared" ref="R1144:R1166" si="224">Q1144/40</f>
        <v>0.22500000000000001</v>
      </c>
      <c r="S1144" s="1">
        <v>3</v>
      </c>
      <c r="T1144" s="1">
        <v>1</v>
      </c>
      <c r="U1144" s="1">
        <f t="shared" si="217"/>
        <v>4</v>
      </c>
      <c r="V1144" s="12">
        <f t="shared" ref="V1144:V1166" si="225">U1144/20</f>
        <v>0.2</v>
      </c>
      <c r="Z1144" s="1">
        <f t="shared" si="218"/>
        <v>0</v>
      </c>
      <c r="AB1144" s="2" t="s">
        <v>1021</v>
      </c>
    </row>
    <row r="1145" spans="1:28" x14ac:dyDescent="0.25">
      <c r="A1145" s="1" t="s">
        <v>1679</v>
      </c>
      <c r="B1145" s="1" t="s">
        <v>35</v>
      </c>
      <c r="C1145" s="1" t="s">
        <v>861</v>
      </c>
      <c r="D1145" s="1">
        <v>17</v>
      </c>
      <c r="E1145" s="1">
        <v>1</v>
      </c>
      <c r="F1145" s="1">
        <v>7</v>
      </c>
      <c r="G1145" s="1">
        <v>6</v>
      </c>
      <c r="H1145" s="1">
        <v>5</v>
      </c>
      <c r="I1145" s="1">
        <v>4</v>
      </c>
      <c r="J1145" s="1">
        <v>3</v>
      </c>
      <c r="K1145" s="1">
        <f t="shared" si="215"/>
        <v>18</v>
      </c>
      <c r="L1145" s="12">
        <f t="shared" si="223"/>
        <v>0.45</v>
      </c>
      <c r="M1145" s="1">
        <v>5</v>
      </c>
      <c r="N1145" s="1">
        <v>4</v>
      </c>
      <c r="O1145" s="1">
        <v>6</v>
      </c>
      <c r="P1145" s="1">
        <v>4</v>
      </c>
      <c r="Q1145" s="1">
        <f t="shared" si="216"/>
        <v>19</v>
      </c>
      <c r="R1145" s="12">
        <f t="shared" si="224"/>
        <v>0.47499999999999998</v>
      </c>
      <c r="S1145" s="1">
        <v>5</v>
      </c>
      <c r="T1145" s="1">
        <v>2</v>
      </c>
      <c r="U1145" s="1">
        <f t="shared" si="217"/>
        <v>7</v>
      </c>
      <c r="V1145" s="12">
        <f t="shared" si="225"/>
        <v>0.35</v>
      </c>
      <c r="Z1145" s="1">
        <f t="shared" si="218"/>
        <v>0</v>
      </c>
      <c r="AB1145" s="2" t="s">
        <v>1022</v>
      </c>
    </row>
    <row r="1146" spans="1:28" x14ac:dyDescent="0.25">
      <c r="A1146" s="1" t="s">
        <v>1679</v>
      </c>
      <c r="B1146" s="1" t="s">
        <v>35</v>
      </c>
      <c r="C1146" s="1" t="s">
        <v>861</v>
      </c>
      <c r="D1146" s="1">
        <v>17</v>
      </c>
      <c r="E1146" s="1">
        <v>1</v>
      </c>
      <c r="F1146" s="1">
        <v>7</v>
      </c>
      <c r="G1146" s="1">
        <v>7</v>
      </c>
      <c r="H1146" s="1">
        <v>4</v>
      </c>
      <c r="I1146" s="1">
        <v>6</v>
      </c>
      <c r="J1146" s="1">
        <v>5</v>
      </c>
      <c r="K1146" s="1">
        <f t="shared" si="215"/>
        <v>22</v>
      </c>
      <c r="L1146" s="12">
        <f t="shared" si="223"/>
        <v>0.55000000000000004</v>
      </c>
      <c r="M1146" s="1">
        <v>4</v>
      </c>
      <c r="N1146" s="1">
        <v>3</v>
      </c>
      <c r="O1146" s="1">
        <v>4</v>
      </c>
      <c r="P1146" s="1">
        <v>5</v>
      </c>
      <c r="Q1146" s="1">
        <f t="shared" si="216"/>
        <v>16</v>
      </c>
      <c r="R1146" s="12">
        <f t="shared" si="224"/>
        <v>0.4</v>
      </c>
      <c r="S1146" s="1">
        <v>6</v>
      </c>
      <c r="T1146" s="1">
        <v>6</v>
      </c>
      <c r="U1146" s="1">
        <f t="shared" si="217"/>
        <v>12</v>
      </c>
      <c r="V1146" s="12">
        <f t="shared" si="225"/>
        <v>0.6</v>
      </c>
      <c r="Z1146" s="1">
        <f t="shared" si="218"/>
        <v>0</v>
      </c>
      <c r="AB1146" s="2" t="s">
        <v>1023</v>
      </c>
    </row>
    <row r="1147" spans="1:28" x14ac:dyDescent="0.25">
      <c r="A1147" s="1" t="s">
        <v>1679</v>
      </c>
      <c r="B1147" s="1" t="s">
        <v>35</v>
      </c>
      <c r="C1147" s="1" t="s">
        <v>861</v>
      </c>
      <c r="D1147" s="1">
        <v>17</v>
      </c>
      <c r="E1147" s="1">
        <v>1</v>
      </c>
      <c r="F1147" s="1">
        <v>7</v>
      </c>
      <c r="G1147" s="1">
        <v>9</v>
      </c>
      <c r="H1147" s="1">
        <v>9</v>
      </c>
      <c r="I1147" s="1">
        <v>9</v>
      </c>
      <c r="J1147" s="1">
        <v>8</v>
      </c>
      <c r="K1147" s="1">
        <f t="shared" si="215"/>
        <v>35</v>
      </c>
      <c r="L1147" s="12">
        <f t="shared" si="223"/>
        <v>0.875</v>
      </c>
      <c r="M1147" s="1">
        <v>9</v>
      </c>
      <c r="N1147" s="1">
        <v>9</v>
      </c>
      <c r="O1147" s="1">
        <v>9</v>
      </c>
      <c r="P1147" s="1">
        <v>10</v>
      </c>
      <c r="Q1147" s="1">
        <f t="shared" si="216"/>
        <v>37</v>
      </c>
      <c r="R1147" s="12">
        <f t="shared" si="224"/>
        <v>0.92500000000000004</v>
      </c>
      <c r="S1147" s="1">
        <v>10</v>
      </c>
      <c r="T1147" s="1">
        <v>9</v>
      </c>
      <c r="U1147" s="1">
        <f t="shared" si="217"/>
        <v>19</v>
      </c>
      <c r="V1147" s="12">
        <f t="shared" si="225"/>
        <v>0.95</v>
      </c>
      <c r="Z1147" s="1">
        <f t="shared" si="218"/>
        <v>0</v>
      </c>
      <c r="AB1147" s="2" t="s">
        <v>1024</v>
      </c>
    </row>
    <row r="1148" spans="1:28" x14ac:dyDescent="0.25">
      <c r="A1148" s="1" t="s">
        <v>1679</v>
      </c>
      <c r="B1148" s="1" t="s">
        <v>35</v>
      </c>
      <c r="C1148" s="1" t="s">
        <v>861</v>
      </c>
      <c r="D1148" s="1">
        <v>17</v>
      </c>
      <c r="E1148" s="1">
        <v>1</v>
      </c>
      <c r="F1148" s="1">
        <v>7</v>
      </c>
      <c r="G1148" s="1">
        <v>8</v>
      </c>
      <c r="H1148" s="1">
        <v>7</v>
      </c>
      <c r="I1148" s="1">
        <v>8</v>
      </c>
      <c r="J1148" s="1">
        <v>7</v>
      </c>
      <c r="K1148" s="1">
        <f t="shared" si="215"/>
        <v>30</v>
      </c>
      <c r="L1148" s="12">
        <f t="shared" si="223"/>
        <v>0.75</v>
      </c>
      <c r="M1148" s="1">
        <v>7</v>
      </c>
      <c r="N1148" s="1">
        <v>6</v>
      </c>
      <c r="O1148" s="1">
        <v>7</v>
      </c>
      <c r="P1148" s="1">
        <v>6</v>
      </c>
      <c r="Q1148" s="1">
        <f t="shared" si="216"/>
        <v>26</v>
      </c>
      <c r="R1148" s="12">
        <f t="shared" si="224"/>
        <v>0.65</v>
      </c>
      <c r="S1148" s="1">
        <v>7</v>
      </c>
      <c r="T1148" s="1">
        <v>3</v>
      </c>
      <c r="U1148" s="1">
        <f t="shared" si="217"/>
        <v>10</v>
      </c>
      <c r="V1148" s="12">
        <f t="shared" si="225"/>
        <v>0.5</v>
      </c>
      <c r="Z1148" s="1">
        <f t="shared" si="218"/>
        <v>0</v>
      </c>
      <c r="AB1148" s="2" t="s">
        <v>1025</v>
      </c>
    </row>
    <row r="1149" spans="1:28" x14ac:dyDescent="0.25">
      <c r="A1149" s="1" t="s">
        <v>1679</v>
      </c>
      <c r="B1149" s="1" t="s">
        <v>35</v>
      </c>
      <c r="C1149" s="1" t="s">
        <v>861</v>
      </c>
      <c r="D1149" s="1">
        <v>17</v>
      </c>
      <c r="E1149" s="1">
        <v>1</v>
      </c>
      <c r="F1149" s="1">
        <v>7</v>
      </c>
      <c r="G1149" s="1">
        <v>7</v>
      </c>
      <c r="H1149" s="1">
        <v>8</v>
      </c>
      <c r="I1149" s="1">
        <v>9</v>
      </c>
      <c r="J1149" s="1">
        <v>9</v>
      </c>
      <c r="K1149" s="1">
        <f t="shared" si="215"/>
        <v>33</v>
      </c>
      <c r="L1149" s="12">
        <f t="shared" si="223"/>
        <v>0.82499999999999996</v>
      </c>
      <c r="M1149" s="1">
        <v>10</v>
      </c>
      <c r="N1149" s="1">
        <v>9</v>
      </c>
      <c r="O1149" s="1">
        <v>9</v>
      </c>
      <c r="P1149" s="1">
        <v>10</v>
      </c>
      <c r="Q1149" s="1">
        <f t="shared" si="216"/>
        <v>38</v>
      </c>
      <c r="R1149" s="12">
        <f t="shared" si="224"/>
        <v>0.95</v>
      </c>
      <c r="S1149" s="1">
        <v>10</v>
      </c>
      <c r="T1149" s="1">
        <v>8</v>
      </c>
      <c r="U1149" s="1">
        <f t="shared" si="217"/>
        <v>18</v>
      </c>
      <c r="V1149" s="12">
        <f t="shared" si="225"/>
        <v>0.9</v>
      </c>
      <c r="Z1149" s="1">
        <f t="shared" si="218"/>
        <v>0</v>
      </c>
      <c r="AB1149" s="2" t="s">
        <v>1026</v>
      </c>
    </row>
    <row r="1150" spans="1:28" x14ac:dyDescent="0.25">
      <c r="A1150" s="1" t="s">
        <v>1679</v>
      </c>
      <c r="B1150" s="1" t="s">
        <v>35</v>
      </c>
      <c r="C1150" s="1" t="s">
        <v>861</v>
      </c>
      <c r="D1150" s="1">
        <v>17</v>
      </c>
      <c r="E1150" s="1">
        <v>1</v>
      </c>
      <c r="F1150" s="1">
        <v>7</v>
      </c>
      <c r="G1150" s="1">
        <v>6</v>
      </c>
      <c r="H1150" s="1">
        <v>8</v>
      </c>
      <c r="I1150" s="1">
        <v>8</v>
      </c>
      <c r="J1150" s="1">
        <v>7</v>
      </c>
      <c r="K1150" s="1">
        <f t="shared" si="215"/>
        <v>29</v>
      </c>
      <c r="L1150" s="12">
        <f t="shared" si="223"/>
        <v>0.72499999999999998</v>
      </c>
      <c r="M1150" s="1">
        <v>9</v>
      </c>
      <c r="N1150" s="1">
        <v>9</v>
      </c>
      <c r="O1150" s="1">
        <v>8</v>
      </c>
      <c r="P1150" s="1">
        <v>8</v>
      </c>
      <c r="Q1150" s="1">
        <f t="shared" si="216"/>
        <v>34</v>
      </c>
      <c r="R1150" s="12">
        <f t="shared" si="224"/>
        <v>0.85</v>
      </c>
      <c r="S1150" s="1">
        <v>8</v>
      </c>
      <c r="T1150" s="1">
        <v>10</v>
      </c>
      <c r="U1150" s="1">
        <f t="shared" si="217"/>
        <v>18</v>
      </c>
      <c r="V1150" s="12">
        <f t="shared" si="225"/>
        <v>0.9</v>
      </c>
      <c r="Z1150" s="1">
        <f t="shared" si="218"/>
        <v>0</v>
      </c>
      <c r="AB1150" s="2" t="s">
        <v>1027</v>
      </c>
    </row>
    <row r="1151" spans="1:28" x14ac:dyDescent="0.25">
      <c r="A1151" s="1" t="s">
        <v>1679</v>
      </c>
      <c r="B1151" s="1" t="s">
        <v>35</v>
      </c>
      <c r="C1151" s="1" t="s">
        <v>861</v>
      </c>
      <c r="D1151" s="1">
        <v>4</v>
      </c>
      <c r="E1151" s="1">
        <v>3</v>
      </c>
      <c r="F1151" s="1">
        <v>1</v>
      </c>
      <c r="G1151" s="1">
        <v>6</v>
      </c>
      <c r="H1151" s="1">
        <v>5</v>
      </c>
      <c r="I1151" s="1">
        <v>6</v>
      </c>
      <c r="J1151" s="1">
        <v>5</v>
      </c>
      <c r="K1151" s="1">
        <f t="shared" si="215"/>
        <v>22</v>
      </c>
      <c r="L1151" s="12">
        <f t="shared" si="223"/>
        <v>0.55000000000000004</v>
      </c>
      <c r="M1151" s="1">
        <v>6</v>
      </c>
      <c r="N1151" s="1">
        <v>5</v>
      </c>
      <c r="O1151" s="1">
        <v>5</v>
      </c>
      <c r="P1151" s="1">
        <v>5</v>
      </c>
      <c r="Q1151" s="1">
        <f t="shared" si="216"/>
        <v>21</v>
      </c>
      <c r="R1151" s="12">
        <f t="shared" si="224"/>
        <v>0.52500000000000002</v>
      </c>
      <c r="S1151" s="1">
        <v>5</v>
      </c>
      <c r="T1151" s="1">
        <v>5</v>
      </c>
      <c r="U1151" s="1">
        <f t="shared" si="217"/>
        <v>10</v>
      </c>
      <c r="V1151" s="12">
        <f t="shared" si="225"/>
        <v>0.5</v>
      </c>
      <c r="Z1151" s="1">
        <f t="shared" si="218"/>
        <v>0</v>
      </c>
      <c r="AB1151" s="2" t="s">
        <v>1222</v>
      </c>
    </row>
    <row r="1152" spans="1:28" x14ac:dyDescent="0.25">
      <c r="A1152" s="1" t="s">
        <v>1679</v>
      </c>
      <c r="B1152" s="1" t="s">
        <v>35</v>
      </c>
      <c r="C1152" s="1" t="s">
        <v>861</v>
      </c>
      <c r="D1152" s="1">
        <v>4</v>
      </c>
      <c r="E1152" s="1">
        <v>3</v>
      </c>
      <c r="F1152" s="1">
        <v>1</v>
      </c>
      <c r="G1152" s="1">
        <v>6</v>
      </c>
      <c r="H1152" s="1">
        <v>6</v>
      </c>
      <c r="I1152" s="1">
        <v>6</v>
      </c>
      <c r="J1152" s="1">
        <v>7</v>
      </c>
      <c r="K1152" s="1">
        <f t="shared" si="215"/>
        <v>25</v>
      </c>
      <c r="L1152" s="12">
        <f t="shared" si="223"/>
        <v>0.625</v>
      </c>
      <c r="M1152" s="1">
        <v>8</v>
      </c>
      <c r="N1152" s="1">
        <v>7</v>
      </c>
      <c r="O1152" s="1">
        <v>6</v>
      </c>
      <c r="P1152" s="1">
        <v>5</v>
      </c>
      <c r="Q1152" s="1">
        <f t="shared" si="216"/>
        <v>26</v>
      </c>
      <c r="R1152" s="12">
        <f t="shared" si="224"/>
        <v>0.65</v>
      </c>
      <c r="S1152" s="1">
        <v>5</v>
      </c>
      <c r="T1152" s="1">
        <v>6</v>
      </c>
      <c r="U1152" s="1">
        <f t="shared" si="217"/>
        <v>11</v>
      </c>
      <c r="V1152" s="12">
        <f t="shared" si="225"/>
        <v>0.55000000000000004</v>
      </c>
      <c r="Z1152" s="1">
        <f t="shared" si="218"/>
        <v>0</v>
      </c>
      <c r="AB1152" s="2" t="s">
        <v>1223</v>
      </c>
    </row>
    <row r="1153" spans="1:28" x14ac:dyDescent="0.25">
      <c r="A1153" s="1" t="s">
        <v>1679</v>
      </c>
      <c r="B1153" s="1" t="s">
        <v>35</v>
      </c>
      <c r="C1153" s="1" t="s">
        <v>861</v>
      </c>
      <c r="D1153" s="1">
        <v>4</v>
      </c>
      <c r="E1153" s="1">
        <v>3</v>
      </c>
      <c r="F1153" s="1">
        <v>1</v>
      </c>
      <c r="G1153" s="1">
        <v>8</v>
      </c>
      <c r="H1153" s="1">
        <v>7</v>
      </c>
      <c r="I1153" s="1">
        <v>8</v>
      </c>
      <c r="J1153" s="1">
        <v>8</v>
      </c>
      <c r="K1153" s="1">
        <f t="shared" si="215"/>
        <v>31</v>
      </c>
      <c r="L1153" s="12">
        <f t="shared" si="223"/>
        <v>0.77500000000000002</v>
      </c>
      <c r="M1153" s="1">
        <v>8</v>
      </c>
      <c r="N1153" s="1">
        <v>7</v>
      </c>
      <c r="O1153" s="1">
        <v>8</v>
      </c>
      <c r="P1153" s="1">
        <v>9</v>
      </c>
      <c r="Q1153" s="1">
        <f t="shared" si="216"/>
        <v>32</v>
      </c>
      <c r="R1153" s="12">
        <f t="shared" si="224"/>
        <v>0.8</v>
      </c>
      <c r="S1153" s="1">
        <v>7</v>
      </c>
      <c r="T1153" s="1">
        <v>7</v>
      </c>
      <c r="U1153" s="1">
        <f t="shared" si="217"/>
        <v>14</v>
      </c>
      <c r="V1153" s="12">
        <f t="shared" si="225"/>
        <v>0.7</v>
      </c>
      <c r="Z1153" s="1">
        <f t="shared" si="218"/>
        <v>0</v>
      </c>
      <c r="AB1153" s="2" t="s">
        <v>1224</v>
      </c>
    </row>
    <row r="1154" spans="1:28" x14ac:dyDescent="0.25">
      <c r="A1154" s="1" t="s">
        <v>1679</v>
      </c>
      <c r="B1154" s="1" t="s">
        <v>35</v>
      </c>
      <c r="C1154" s="1" t="s">
        <v>861</v>
      </c>
      <c r="D1154" s="1">
        <v>4</v>
      </c>
      <c r="E1154" s="1">
        <v>3</v>
      </c>
      <c r="F1154" s="1">
        <v>1</v>
      </c>
      <c r="G1154" s="1">
        <v>7</v>
      </c>
      <c r="H1154" s="1">
        <v>6</v>
      </c>
      <c r="I1154" s="1">
        <v>7</v>
      </c>
      <c r="J1154" s="1">
        <v>6</v>
      </c>
      <c r="K1154" s="1">
        <f t="shared" si="215"/>
        <v>26</v>
      </c>
      <c r="L1154" s="12">
        <f t="shared" si="223"/>
        <v>0.65</v>
      </c>
      <c r="M1154" s="1">
        <v>7</v>
      </c>
      <c r="N1154" s="1">
        <v>6</v>
      </c>
      <c r="O1154" s="1">
        <v>7</v>
      </c>
      <c r="P1154" s="1">
        <v>7</v>
      </c>
      <c r="Q1154" s="1">
        <f t="shared" si="216"/>
        <v>27</v>
      </c>
      <c r="R1154" s="12">
        <f t="shared" si="224"/>
        <v>0.67500000000000004</v>
      </c>
      <c r="S1154" s="1">
        <v>7</v>
      </c>
      <c r="T1154" s="1">
        <v>6</v>
      </c>
      <c r="U1154" s="1">
        <f t="shared" si="217"/>
        <v>13</v>
      </c>
      <c r="V1154" s="12">
        <f t="shared" si="225"/>
        <v>0.65</v>
      </c>
      <c r="Z1154" s="1">
        <f t="shared" si="218"/>
        <v>0</v>
      </c>
      <c r="AB1154" s="2" t="s">
        <v>1225</v>
      </c>
    </row>
    <row r="1155" spans="1:28" x14ac:dyDescent="0.25">
      <c r="A1155" s="1" t="s">
        <v>1679</v>
      </c>
      <c r="B1155" s="1" t="s">
        <v>35</v>
      </c>
      <c r="C1155" s="1" t="s">
        <v>861</v>
      </c>
      <c r="D1155" s="1">
        <v>4</v>
      </c>
      <c r="E1155" s="1">
        <v>3</v>
      </c>
      <c r="F1155" s="1">
        <v>1</v>
      </c>
      <c r="G1155" s="1">
        <v>8</v>
      </c>
      <c r="H1155" s="1">
        <v>7</v>
      </c>
      <c r="I1155" s="1">
        <v>8</v>
      </c>
      <c r="J1155" s="1">
        <v>7</v>
      </c>
      <c r="K1155" s="1">
        <f t="shared" ref="K1155:K1218" si="226">SUM(G1155:J1155)</f>
        <v>30</v>
      </c>
      <c r="L1155" s="12">
        <f t="shared" si="223"/>
        <v>0.75</v>
      </c>
      <c r="M1155" s="1">
        <v>9</v>
      </c>
      <c r="N1155" s="1">
        <v>8</v>
      </c>
      <c r="O1155" s="1">
        <v>8</v>
      </c>
      <c r="P1155" s="1">
        <v>8</v>
      </c>
      <c r="Q1155" s="1">
        <f t="shared" ref="Q1155:Q1218" si="227">SUM(M1155:P1155)</f>
        <v>33</v>
      </c>
      <c r="R1155" s="12">
        <f t="shared" si="224"/>
        <v>0.82499999999999996</v>
      </c>
      <c r="S1155" s="1">
        <v>9</v>
      </c>
      <c r="T1155" s="1">
        <v>8</v>
      </c>
      <c r="U1155" s="1">
        <f t="shared" ref="U1155:U1218" si="228">SUM(S1155:T1155)</f>
        <v>17</v>
      </c>
      <c r="V1155" s="12">
        <f t="shared" si="225"/>
        <v>0.85</v>
      </c>
      <c r="Z1155" s="1">
        <f t="shared" ref="Z1155:Z1218" si="229">SUM(W1155:Y1155)</f>
        <v>0</v>
      </c>
      <c r="AB1155" s="2" t="s">
        <v>1226</v>
      </c>
    </row>
    <row r="1156" spans="1:28" x14ac:dyDescent="0.25">
      <c r="A1156" s="1" t="s">
        <v>1679</v>
      </c>
      <c r="B1156" s="1" t="s">
        <v>35</v>
      </c>
      <c r="C1156" s="1" t="s">
        <v>861</v>
      </c>
      <c r="D1156" s="1">
        <v>4</v>
      </c>
      <c r="E1156" s="1">
        <v>3</v>
      </c>
      <c r="F1156" s="1">
        <v>1</v>
      </c>
      <c r="G1156" s="1">
        <v>7</v>
      </c>
      <c r="H1156" s="1">
        <v>7</v>
      </c>
      <c r="I1156" s="1">
        <v>8</v>
      </c>
      <c r="J1156" s="1">
        <v>7</v>
      </c>
      <c r="K1156" s="1">
        <f t="shared" si="226"/>
        <v>29</v>
      </c>
      <c r="L1156" s="12">
        <f t="shared" si="223"/>
        <v>0.72499999999999998</v>
      </c>
      <c r="M1156" s="1">
        <v>7</v>
      </c>
      <c r="N1156" s="1">
        <v>8</v>
      </c>
      <c r="O1156" s="1">
        <v>7</v>
      </c>
      <c r="P1156" s="1">
        <v>6</v>
      </c>
      <c r="Q1156" s="1">
        <f t="shared" si="227"/>
        <v>28</v>
      </c>
      <c r="R1156" s="12">
        <f t="shared" si="224"/>
        <v>0.7</v>
      </c>
      <c r="S1156" s="1">
        <v>6</v>
      </c>
      <c r="T1156" s="1">
        <v>6</v>
      </c>
      <c r="U1156" s="1">
        <f t="shared" si="228"/>
        <v>12</v>
      </c>
      <c r="V1156" s="12">
        <f t="shared" si="225"/>
        <v>0.6</v>
      </c>
      <c r="Z1156" s="1">
        <f t="shared" si="229"/>
        <v>0</v>
      </c>
      <c r="AB1156" s="2" t="s">
        <v>1227</v>
      </c>
    </row>
    <row r="1157" spans="1:28" x14ac:dyDescent="0.25">
      <c r="A1157" s="1" t="s">
        <v>1679</v>
      </c>
      <c r="B1157" s="1" t="s">
        <v>35</v>
      </c>
      <c r="C1157" s="1" t="s">
        <v>861</v>
      </c>
      <c r="D1157" s="1">
        <v>4</v>
      </c>
      <c r="E1157" s="1">
        <v>3</v>
      </c>
      <c r="F1157" s="1">
        <v>1</v>
      </c>
      <c r="G1157" s="1">
        <v>8</v>
      </c>
      <c r="H1157" s="1">
        <v>6</v>
      </c>
      <c r="I1157" s="1">
        <v>7</v>
      </c>
      <c r="J1157" s="1">
        <v>7</v>
      </c>
      <c r="K1157" s="1">
        <f t="shared" si="226"/>
        <v>28</v>
      </c>
      <c r="L1157" s="12">
        <f t="shared" si="223"/>
        <v>0.7</v>
      </c>
      <c r="M1157" s="1">
        <v>7</v>
      </c>
      <c r="N1157" s="1">
        <v>6</v>
      </c>
      <c r="O1157" s="1">
        <v>7</v>
      </c>
      <c r="P1157" s="1">
        <v>6</v>
      </c>
      <c r="Q1157" s="1">
        <f t="shared" si="227"/>
        <v>26</v>
      </c>
      <c r="R1157" s="12">
        <f t="shared" si="224"/>
        <v>0.65</v>
      </c>
      <c r="S1157" s="1">
        <v>7</v>
      </c>
      <c r="T1157" s="1">
        <v>6</v>
      </c>
      <c r="U1157" s="1">
        <f t="shared" si="228"/>
        <v>13</v>
      </c>
      <c r="V1157" s="12">
        <f t="shared" si="225"/>
        <v>0.65</v>
      </c>
      <c r="Z1157" s="1">
        <f t="shared" si="229"/>
        <v>0</v>
      </c>
      <c r="AB1157" s="2" t="s">
        <v>1228</v>
      </c>
    </row>
    <row r="1158" spans="1:28" x14ac:dyDescent="0.25">
      <c r="A1158" s="1" t="s">
        <v>1679</v>
      </c>
      <c r="B1158" s="1" t="s">
        <v>35</v>
      </c>
      <c r="C1158" s="1" t="s">
        <v>861</v>
      </c>
      <c r="D1158" s="1">
        <v>4</v>
      </c>
      <c r="E1158" s="1">
        <v>3</v>
      </c>
      <c r="F1158" s="1">
        <v>1</v>
      </c>
      <c r="G1158" s="1">
        <v>8</v>
      </c>
      <c r="H1158" s="1">
        <v>5</v>
      </c>
      <c r="I1158" s="1">
        <v>8</v>
      </c>
      <c r="J1158" s="1">
        <v>7</v>
      </c>
      <c r="K1158" s="1">
        <f t="shared" si="226"/>
        <v>28</v>
      </c>
      <c r="L1158" s="12">
        <f t="shared" si="223"/>
        <v>0.7</v>
      </c>
      <c r="M1158" s="1">
        <v>8</v>
      </c>
      <c r="N1158" s="1">
        <v>7</v>
      </c>
      <c r="O1158" s="1">
        <v>8</v>
      </c>
      <c r="P1158" s="1">
        <v>7</v>
      </c>
      <c r="Q1158" s="1">
        <f t="shared" si="227"/>
        <v>30</v>
      </c>
      <c r="R1158" s="12">
        <f t="shared" si="224"/>
        <v>0.75</v>
      </c>
      <c r="S1158" s="1">
        <v>7</v>
      </c>
      <c r="T1158" s="1">
        <v>8</v>
      </c>
      <c r="U1158" s="1">
        <f t="shared" si="228"/>
        <v>15</v>
      </c>
      <c r="V1158" s="12">
        <f t="shared" si="225"/>
        <v>0.75</v>
      </c>
      <c r="Z1158" s="1">
        <f t="shared" si="229"/>
        <v>0</v>
      </c>
      <c r="AB1158" s="2" t="s">
        <v>1229</v>
      </c>
    </row>
    <row r="1159" spans="1:28" x14ac:dyDescent="0.25">
      <c r="A1159" s="1" t="s">
        <v>1679</v>
      </c>
      <c r="B1159" s="1" t="s">
        <v>35</v>
      </c>
      <c r="C1159" s="1" t="s">
        <v>861</v>
      </c>
      <c r="D1159" s="1">
        <v>4</v>
      </c>
      <c r="E1159" s="1">
        <v>3</v>
      </c>
      <c r="F1159" s="1">
        <v>1</v>
      </c>
      <c r="G1159" s="1">
        <v>8</v>
      </c>
      <c r="H1159" s="1">
        <v>7</v>
      </c>
      <c r="I1159" s="1">
        <v>8</v>
      </c>
      <c r="J1159" s="1">
        <v>7</v>
      </c>
      <c r="K1159" s="1">
        <f t="shared" si="226"/>
        <v>30</v>
      </c>
      <c r="L1159" s="12">
        <f t="shared" si="223"/>
        <v>0.75</v>
      </c>
      <c r="M1159" s="1">
        <v>7</v>
      </c>
      <c r="N1159" s="1">
        <v>6</v>
      </c>
      <c r="O1159" s="1">
        <v>7</v>
      </c>
      <c r="P1159" s="1">
        <v>7</v>
      </c>
      <c r="Q1159" s="1">
        <f t="shared" si="227"/>
        <v>27</v>
      </c>
      <c r="R1159" s="12">
        <f t="shared" si="224"/>
        <v>0.67500000000000004</v>
      </c>
      <c r="S1159" s="1">
        <v>7</v>
      </c>
      <c r="T1159" s="1">
        <v>7</v>
      </c>
      <c r="U1159" s="1">
        <f t="shared" si="228"/>
        <v>14</v>
      </c>
      <c r="V1159" s="12">
        <f t="shared" si="225"/>
        <v>0.7</v>
      </c>
      <c r="Z1159" s="1">
        <f t="shared" si="229"/>
        <v>0</v>
      </c>
      <c r="AB1159" s="2" t="s">
        <v>1230</v>
      </c>
    </row>
    <row r="1160" spans="1:28" x14ac:dyDescent="0.25">
      <c r="A1160" s="1" t="s">
        <v>1679</v>
      </c>
      <c r="B1160" s="1" t="s">
        <v>576</v>
      </c>
      <c r="C1160" s="1" t="s">
        <v>861</v>
      </c>
      <c r="D1160" s="1">
        <v>24</v>
      </c>
      <c r="E1160" s="1">
        <v>1</v>
      </c>
      <c r="F1160" s="1">
        <v>2</v>
      </c>
      <c r="G1160" s="1">
        <v>7</v>
      </c>
      <c r="H1160" s="1">
        <v>6</v>
      </c>
      <c r="I1160" s="1">
        <v>6</v>
      </c>
      <c r="J1160" s="1">
        <v>5</v>
      </c>
      <c r="K1160" s="1">
        <f t="shared" si="226"/>
        <v>24</v>
      </c>
      <c r="L1160" s="12">
        <f t="shared" si="223"/>
        <v>0.6</v>
      </c>
      <c r="M1160" s="1">
        <v>5</v>
      </c>
      <c r="N1160" s="1">
        <v>6</v>
      </c>
      <c r="O1160" s="1">
        <v>5</v>
      </c>
      <c r="P1160" s="1">
        <v>4</v>
      </c>
      <c r="Q1160" s="1">
        <f t="shared" si="227"/>
        <v>20</v>
      </c>
      <c r="R1160" s="12">
        <f t="shared" si="224"/>
        <v>0.5</v>
      </c>
      <c r="S1160" s="1">
        <v>4</v>
      </c>
      <c r="T1160" s="1">
        <v>3</v>
      </c>
      <c r="U1160" s="1">
        <f t="shared" si="228"/>
        <v>7</v>
      </c>
      <c r="V1160" s="12">
        <f t="shared" si="225"/>
        <v>0.35</v>
      </c>
      <c r="Z1160" s="1">
        <f t="shared" si="229"/>
        <v>0</v>
      </c>
      <c r="AB1160" s="2" t="s">
        <v>1389</v>
      </c>
    </row>
    <row r="1161" spans="1:28" x14ac:dyDescent="0.25">
      <c r="A1161" s="1" t="s">
        <v>1679</v>
      </c>
      <c r="B1161" s="1" t="s">
        <v>576</v>
      </c>
      <c r="C1161" s="1" t="s">
        <v>861</v>
      </c>
      <c r="D1161" s="1">
        <v>24</v>
      </c>
      <c r="E1161" s="1">
        <v>1</v>
      </c>
      <c r="F1161" s="1">
        <v>2</v>
      </c>
      <c r="G1161" s="1">
        <v>6</v>
      </c>
      <c r="H1161" s="1">
        <v>6</v>
      </c>
      <c r="I1161" s="1">
        <v>5</v>
      </c>
      <c r="J1161" s="1">
        <v>5</v>
      </c>
      <c r="K1161" s="1">
        <f t="shared" si="226"/>
        <v>22</v>
      </c>
      <c r="L1161" s="12">
        <f t="shared" si="223"/>
        <v>0.55000000000000004</v>
      </c>
      <c r="M1161" s="1">
        <v>7</v>
      </c>
      <c r="N1161" s="1">
        <v>5</v>
      </c>
      <c r="O1161" s="1">
        <v>5</v>
      </c>
      <c r="P1161" s="1">
        <v>6</v>
      </c>
      <c r="Q1161" s="1">
        <f t="shared" si="227"/>
        <v>23</v>
      </c>
      <c r="R1161" s="12">
        <f t="shared" si="224"/>
        <v>0.57499999999999996</v>
      </c>
      <c r="S1161" s="1">
        <v>6</v>
      </c>
      <c r="T1161" s="1">
        <v>7</v>
      </c>
      <c r="U1161" s="1">
        <f t="shared" si="228"/>
        <v>13</v>
      </c>
      <c r="V1161" s="12">
        <f t="shared" si="225"/>
        <v>0.65</v>
      </c>
      <c r="Z1161" s="1">
        <f t="shared" si="229"/>
        <v>0</v>
      </c>
      <c r="AB1161" s="2" t="s">
        <v>1390</v>
      </c>
    </row>
    <row r="1162" spans="1:28" x14ac:dyDescent="0.25">
      <c r="A1162" s="1" t="s">
        <v>1679</v>
      </c>
      <c r="B1162" s="1" t="s">
        <v>576</v>
      </c>
      <c r="C1162" s="1" t="s">
        <v>861</v>
      </c>
      <c r="D1162" s="1">
        <v>24</v>
      </c>
      <c r="E1162" s="1">
        <v>1</v>
      </c>
      <c r="F1162" s="1">
        <v>2</v>
      </c>
      <c r="G1162" s="1">
        <v>7</v>
      </c>
      <c r="H1162" s="1">
        <v>6</v>
      </c>
      <c r="I1162" s="1">
        <v>8</v>
      </c>
      <c r="J1162" s="1">
        <v>6</v>
      </c>
      <c r="K1162" s="1">
        <f t="shared" si="226"/>
        <v>27</v>
      </c>
      <c r="L1162" s="12">
        <f t="shared" si="223"/>
        <v>0.67500000000000004</v>
      </c>
      <c r="M1162" s="1">
        <v>8</v>
      </c>
      <c r="N1162" s="1">
        <v>8</v>
      </c>
      <c r="O1162" s="1">
        <v>7</v>
      </c>
      <c r="P1162" s="1">
        <v>8</v>
      </c>
      <c r="Q1162" s="1">
        <f t="shared" si="227"/>
        <v>31</v>
      </c>
      <c r="R1162" s="12">
        <f t="shared" si="224"/>
        <v>0.77500000000000002</v>
      </c>
      <c r="S1162" s="1">
        <v>9</v>
      </c>
      <c r="T1162" s="1">
        <v>8</v>
      </c>
      <c r="U1162" s="1">
        <f t="shared" si="228"/>
        <v>17</v>
      </c>
      <c r="V1162" s="12">
        <f t="shared" si="225"/>
        <v>0.85</v>
      </c>
      <c r="Z1162" s="1">
        <f t="shared" si="229"/>
        <v>0</v>
      </c>
      <c r="AB1162" s="2" t="s">
        <v>1391</v>
      </c>
    </row>
    <row r="1163" spans="1:28" x14ac:dyDescent="0.25">
      <c r="A1163" s="1" t="s">
        <v>1679</v>
      </c>
      <c r="B1163" s="1" t="s">
        <v>576</v>
      </c>
      <c r="C1163" s="1" t="s">
        <v>861</v>
      </c>
      <c r="D1163" s="1">
        <v>24</v>
      </c>
      <c r="E1163" s="1">
        <v>1</v>
      </c>
      <c r="F1163" s="1">
        <v>2</v>
      </c>
      <c r="G1163" s="1">
        <v>6</v>
      </c>
      <c r="H1163" s="1">
        <v>7</v>
      </c>
      <c r="I1163" s="1">
        <v>7</v>
      </c>
      <c r="J1163" s="1">
        <v>6</v>
      </c>
      <c r="K1163" s="1">
        <f t="shared" si="226"/>
        <v>26</v>
      </c>
      <c r="L1163" s="12">
        <f t="shared" si="223"/>
        <v>0.65</v>
      </c>
      <c r="M1163" s="1">
        <v>7</v>
      </c>
      <c r="N1163" s="1">
        <v>6</v>
      </c>
      <c r="O1163" s="1">
        <v>6</v>
      </c>
      <c r="P1163" s="1">
        <v>7</v>
      </c>
      <c r="Q1163" s="1">
        <f t="shared" si="227"/>
        <v>26</v>
      </c>
      <c r="R1163" s="12">
        <f t="shared" si="224"/>
        <v>0.65</v>
      </c>
      <c r="S1163" s="1">
        <v>8</v>
      </c>
      <c r="T1163" s="1">
        <v>7</v>
      </c>
      <c r="U1163" s="1">
        <f t="shared" si="228"/>
        <v>15</v>
      </c>
      <c r="V1163" s="12">
        <f t="shared" si="225"/>
        <v>0.75</v>
      </c>
      <c r="Z1163" s="1">
        <f t="shared" si="229"/>
        <v>0</v>
      </c>
      <c r="AB1163" s="2" t="s">
        <v>1392</v>
      </c>
    </row>
    <row r="1164" spans="1:28" x14ac:dyDescent="0.25">
      <c r="A1164" s="1" t="s">
        <v>1679</v>
      </c>
      <c r="B1164" s="1" t="s">
        <v>576</v>
      </c>
      <c r="C1164" s="1" t="s">
        <v>861</v>
      </c>
      <c r="D1164" s="1">
        <v>24</v>
      </c>
      <c r="E1164" s="1">
        <v>1</v>
      </c>
      <c r="F1164" s="1">
        <v>2</v>
      </c>
      <c r="G1164" s="1">
        <v>5</v>
      </c>
      <c r="H1164" s="1">
        <v>4</v>
      </c>
      <c r="I1164" s="1">
        <v>5</v>
      </c>
      <c r="J1164" s="1">
        <v>4</v>
      </c>
      <c r="K1164" s="1">
        <f t="shared" si="226"/>
        <v>18</v>
      </c>
      <c r="L1164" s="12">
        <f t="shared" si="223"/>
        <v>0.45</v>
      </c>
      <c r="M1164" s="1">
        <v>4</v>
      </c>
      <c r="N1164" s="1">
        <v>3</v>
      </c>
      <c r="O1164" s="1">
        <v>3</v>
      </c>
      <c r="P1164" s="1">
        <v>3</v>
      </c>
      <c r="Q1164" s="1">
        <f t="shared" si="227"/>
        <v>13</v>
      </c>
      <c r="R1164" s="12">
        <f t="shared" si="224"/>
        <v>0.32500000000000001</v>
      </c>
      <c r="S1164" s="1">
        <v>3</v>
      </c>
      <c r="T1164" s="1">
        <v>4</v>
      </c>
      <c r="U1164" s="1">
        <f t="shared" si="228"/>
        <v>7</v>
      </c>
      <c r="V1164" s="12">
        <f t="shared" si="225"/>
        <v>0.35</v>
      </c>
      <c r="Z1164" s="1">
        <f t="shared" si="229"/>
        <v>0</v>
      </c>
      <c r="AB1164" s="2" t="s">
        <v>1393</v>
      </c>
    </row>
    <row r="1165" spans="1:28" x14ac:dyDescent="0.25">
      <c r="A1165" s="1" t="s">
        <v>1679</v>
      </c>
      <c r="B1165" s="1" t="s">
        <v>576</v>
      </c>
      <c r="C1165" s="1" t="s">
        <v>861</v>
      </c>
      <c r="D1165" s="1">
        <v>24</v>
      </c>
      <c r="E1165" s="1">
        <v>1</v>
      </c>
      <c r="F1165" s="1">
        <v>2</v>
      </c>
      <c r="G1165" s="1">
        <v>6</v>
      </c>
      <c r="H1165" s="1">
        <v>5</v>
      </c>
      <c r="I1165" s="1">
        <v>5</v>
      </c>
      <c r="J1165" s="1">
        <v>4</v>
      </c>
      <c r="K1165" s="1">
        <f t="shared" si="226"/>
        <v>20</v>
      </c>
      <c r="L1165" s="12">
        <f t="shared" si="223"/>
        <v>0.5</v>
      </c>
      <c r="M1165" s="1">
        <v>6</v>
      </c>
      <c r="N1165" s="1">
        <v>5</v>
      </c>
      <c r="O1165" s="1">
        <v>4</v>
      </c>
      <c r="P1165" s="1">
        <v>5</v>
      </c>
      <c r="Q1165" s="1">
        <f t="shared" si="227"/>
        <v>20</v>
      </c>
      <c r="R1165" s="12">
        <f t="shared" si="224"/>
        <v>0.5</v>
      </c>
      <c r="S1165" s="1">
        <v>5</v>
      </c>
      <c r="T1165" s="1">
        <v>3</v>
      </c>
      <c r="U1165" s="1">
        <f t="shared" si="228"/>
        <v>8</v>
      </c>
      <c r="V1165" s="12">
        <f t="shared" si="225"/>
        <v>0.4</v>
      </c>
      <c r="Z1165" s="1">
        <f t="shared" si="229"/>
        <v>0</v>
      </c>
      <c r="AB1165" s="2" t="s">
        <v>1394</v>
      </c>
    </row>
    <row r="1166" spans="1:28" x14ac:dyDescent="0.25">
      <c r="A1166" s="1" t="s">
        <v>1679</v>
      </c>
      <c r="B1166" s="1" t="s">
        <v>576</v>
      </c>
      <c r="C1166" s="1" t="s">
        <v>861</v>
      </c>
      <c r="D1166" s="1">
        <v>24</v>
      </c>
      <c r="E1166" s="1">
        <v>1</v>
      </c>
      <c r="F1166" s="1">
        <v>2</v>
      </c>
      <c r="G1166" s="1">
        <v>7</v>
      </c>
      <c r="H1166" s="1">
        <v>5</v>
      </c>
      <c r="I1166" s="1">
        <v>6</v>
      </c>
      <c r="J1166" s="1">
        <v>7</v>
      </c>
      <c r="K1166" s="1">
        <f t="shared" si="226"/>
        <v>25</v>
      </c>
      <c r="L1166" s="12">
        <f t="shared" si="223"/>
        <v>0.625</v>
      </c>
      <c r="M1166" s="1">
        <v>8</v>
      </c>
      <c r="N1166" s="1">
        <v>7</v>
      </c>
      <c r="O1166" s="1">
        <v>6</v>
      </c>
      <c r="P1166" s="1">
        <v>7</v>
      </c>
      <c r="Q1166" s="1">
        <f t="shared" si="227"/>
        <v>28</v>
      </c>
      <c r="R1166" s="12">
        <f t="shared" si="224"/>
        <v>0.7</v>
      </c>
      <c r="S1166" s="1">
        <v>7</v>
      </c>
      <c r="T1166" s="1">
        <v>7</v>
      </c>
      <c r="U1166" s="1">
        <f t="shared" si="228"/>
        <v>14</v>
      </c>
      <c r="V1166" s="12">
        <f t="shared" si="225"/>
        <v>0.7</v>
      </c>
      <c r="Z1166" s="1">
        <f t="shared" si="229"/>
        <v>0</v>
      </c>
      <c r="AB1166" s="2" t="s">
        <v>1395</v>
      </c>
    </row>
    <row r="1167" spans="1:28" x14ac:dyDescent="0.25">
      <c r="A1167" s="1" t="s">
        <v>1680</v>
      </c>
      <c r="B1167" s="1" t="s">
        <v>35</v>
      </c>
      <c r="C1167" s="1" t="s">
        <v>36</v>
      </c>
      <c r="D1167" s="1">
        <v>19</v>
      </c>
      <c r="E1167" s="1">
        <v>1</v>
      </c>
      <c r="F1167" s="1">
        <v>5</v>
      </c>
      <c r="G1167" s="1">
        <v>6</v>
      </c>
      <c r="H1167" s="1">
        <v>5</v>
      </c>
      <c r="I1167" s="1">
        <v>6</v>
      </c>
      <c r="J1167" s="1">
        <v>5</v>
      </c>
      <c r="K1167" s="1">
        <f t="shared" si="226"/>
        <v>22</v>
      </c>
      <c r="L1167" s="12">
        <f t="shared" ref="L1167:L1202" si="230">K1167/35</f>
        <v>0.62857142857142856</v>
      </c>
      <c r="M1167" s="1">
        <v>5</v>
      </c>
      <c r="N1167" s="1">
        <v>5</v>
      </c>
      <c r="O1167" s="1">
        <v>6</v>
      </c>
      <c r="P1167" s="1">
        <v>5</v>
      </c>
      <c r="Q1167" s="1">
        <f t="shared" si="227"/>
        <v>21</v>
      </c>
      <c r="R1167" s="12">
        <f t="shared" ref="R1167:R1202" si="231">Q1167/35</f>
        <v>0.6</v>
      </c>
      <c r="S1167" s="1">
        <v>5</v>
      </c>
      <c r="T1167" s="1">
        <v>4</v>
      </c>
      <c r="U1167" s="1">
        <f t="shared" si="228"/>
        <v>9</v>
      </c>
      <c r="V1167" s="12">
        <f t="shared" ref="V1167:V1202" si="232">U1167/15</f>
        <v>0.6</v>
      </c>
      <c r="W1167" s="1">
        <v>3</v>
      </c>
      <c r="X1167" s="1">
        <v>3</v>
      </c>
      <c r="Y1167" s="1">
        <v>3</v>
      </c>
      <c r="Z1167" s="1">
        <f t="shared" si="229"/>
        <v>9</v>
      </c>
      <c r="AA1167" s="12">
        <f t="shared" ref="AA1167:AA1202" si="233">Z1167/15</f>
        <v>0.6</v>
      </c>
      <c r="AB1167" s="2" t="s">
        <v>166</v>
      </c>
    </row>
    <row r="1168" spans="1:28" x14ac:dyDescent="0.25">
      <c r="A1168" s="1" t="s">
        <v>1680</v>
      </c>
      <c r="B1168" s="1" t="s">
        <v>35</v>
      </c>
      <c r="C1168" s="1" t="s">
        <v>36</v>
      </c>
      <c r="D1168" s="1">
        <v>19</v>
      </c>
      <c r="E1168" s="1">
        <v>1</v>
      </c>
      <c r="F1168" s="1">
        <v>5</v>
      </c>
      <c r="G1168" s="1">
        <v>6</v>
      </c>
      <c r="H1168" s="1">
        <v>7</v>
      </c>
      <c r="I1168" s="1">
        <v>6</v>
      </c>
      <c r="J1168" s="1">
        <v>5</v>
      </c>
      <c r="K1168" s="1">
        <f t="shared" si="226"/>
        <v>24</v>
      </c>
      <c r="L1168" s="12">
        <f t="shared" si="230"/>
        <v>0.68571428571428572</v>
      </c>
      <c r="M1168" s="1">
        <v>5</v>
      </c>
      <c r="N1168" s="1">
        <v>6</v>
      </c>
      <c r="O1168" s="1">
        <v>7</v>
      </c>
      <c r="P1168" s="1">
        <v>5</v>
      </c>
      <c r="Q1168" s="1">
        <f t="shared" si="227"/>
        <v>23</v>
      </c>
      <c r="R1168" s="12">
        <f t="shared" si="231"/>
        <v>0.65714285714285714</v>
      </c>
      <c r="S1168" s="1">
        <v>6</v>
      </c>
      <c r="T1168" s="1">
        <v>5</v>
      </c>
      <c r="U1168" s="1">
        <f t="shared" si="228"/>
        <v>11</v>
      </c>
      <c r="V1168" s="12">
        <f t="shared" si="232"/>
        <v>0.73333333333333328</v>
      </c>
      <c r="W1168" s="1">
        <v>3</v>
      </c>
      <c r="X1168" s="1">
        <v>3</v>
      </c>
      <c r="Y1168" s="1">
        <v>4</v>
      </c>
      <c r="Z1168" s="1">
        <f t="shared" si="229"/>
        <v>10</v>
      </c>
      <c r="AA1168" s="12">
        <f t="shared" si="233"/>
        <v>0.66666666666666663</v>
      </c>
      <c r="AB1168" s="2" t="s">
        <v>167</v>
      </c>
    </row>
    <row r="1169" spans="1:28" x14ac:dyDescent="0.25">
      <c r="A1169" s="1" t="s">
        <v>1680</v>
      </c>
      <c r="B1169" s="1" t="s">
        <v>35</v>
      </c>
      <c r="C1169" s="1" t="s">
        <v>36</v>
      </c>
      <c r="D1169" s="1">
        <v>19</v>
      </c>
      <c r="E1169" s="1">
        <v>1</v>
      </c>
      <c r="F1169" s="1">
        <v>5</v>
      </c>
      <c r="G1169" s="1">
        <v>6</v>
      </c>
      <c r="H1169" s="1">
        <v>6</v>
      </c>
      <c r="I1169" s="1">
        <v>6</v>
      </c>
      <c r="J1169" s="1">
        <v>5</v>
      </c>
      <c r="K1169" s="1">
        <f t="shared" si="226"/>
        <v>23</v>
      </c>
      <c r="L1169" s="12">
        <f t="shared" si="230"/>
        <v>0.65714285714285714</v>
      </c>
      <c r="M1169" s="1">
        <v>5</v>
      </c>
      <c r="N1169" s="1">
        <v>6</v>
      </c>
      <c r="O1169" s="1">
        <v>6</v>
      </c>
      <c r="P1169" s="1">
        <v>5</v>
      </c>
      <c r="Q1169" s="1">
        <f t="shared" si="227"/>
        <v>22</v>
      </c>
      <c r="R1169" s="12">
        <f t="shared" si="231"/>
        <v>0.62857142857142856</v>
      </c>
      <c r="S1169" s="1">
        <v>5</v>
      </c>
      <c r="T1169" s="1">
        <v>4</v>
      </c>
      <c r="U1169" s="1">
        <f t="shared" si="228"/>
        <v>9</v>
      </c>
      <c r="V1169" s="12">
        <f t="shared" si="232"/>
        <v>0.6</v>
      </c>
      <c r="W1169" s="1">
        <v>3</v>
      </c>
      <c r="X1169" s="1">
        <v>3</v>
      </c>
      <c r="Y1169" s="1">
        <v>3</v>
      </c>
      <c r="Z1169" s="1">
        <f t="shared" si="229"/>
        <v>9</v>
      </c>
      <c r="AA1169" s="12">
        <f t="shared" si="233"/>
        <v>0.6</v>
      </c>
      <c r="AB1169" s="2" t="s">
        <v>168</v>
      </c>
    </row>
    <row r="1170" spans="1:28" x14ac:dyDescent="0.25">
      <c r="A1170" s="1" t="s">
        <v>1680</v>
      </c>
      <c r="B1170" s="1" t="s">
        <v>35</v>
      </c>
      <c r="C1170" s="1" t="s">
        <v>36</v>
      </c>
      <c r="D1170" s="1">
        <v>19</v>
      </c>
      <c r="E1170" s="1">
        <v>1</v>
      </c>
      <c r="F1170" s="1">
        <v>5</v>
      </c>
      <c r="G1170" s="1">
        <v>6</v>
      </c>
      <c r="H1170" s="1">
        <v>5</v>
      </c>
      <c r="I1170" s="1">
        <v>6</v>
      </c>
      <c r="J1170" s="1">
        <v>5</v>
      </c>
      <c r="K1170" s="1">
        <f t="shared" si="226"/>
        <v>22</v>
      </c>
      <c r="L1170" s="12">
        <f t="shared" si="230"/>
        <v>0.62857142857142856</v>
      </c>
      <c r="M1170" s="1">
        <v>6</v>
      </c>
      <c r="N1170" s="1">
        <v>6</v>
      </c>
      <c r="O1170" s="1">
        <v>6</v>
      </c>
      <c r="P1170" s="1">
        <v>3</v>
      </c>
      <c r="Q1170" s="1">
        <f t="shared" si="227"/>
        <v>21</v>
      </c>
      <c r="R1170" s="12">
        <f t="shared" si="231"/>
        <v>0.6</v>
      </c>
      <c r="S1170" s="1">
        <v>5</v>
      </c>
      <c r="T1170" s="1">
        <v>5</v>
      </c>
      <c r="U1170" s="1">
        <f t="shared" si="228"/>
        <v>10</v>
      </c>
      <c r="V1170" s="12">
        <f t="shared" si="232"/>
        <v>0.66666666666666663</v>
      </c>
      <c r="W1170" s="1">
        <v>3</v>
      </c>
      <c r="X1170" s="1">
        <v>3</v>
      </c>
      <c r="Y1170" s="1">
        <v>4</v>
      </c>
      <c r="Z1170" s="1">
        <f t="shared" si="229"/>
        <v>10</v>
      </c>
      <c r="AA1170" s="12">
        <f t="shared" si="233"/>
        <v>0.66666666666666663</v>
      </c>
      <c r="AB1170" s="2" t="s">
        <v>169</v>
      </c>
    </row>
    <row r="1171" spans="1:28" x14ac:dyDescent="0.25">
      <c r="A1171" s="1" t="s">
        <v>1680</v>
      </c>
      <c r="B1171" s="1" t="s">
        <v>35</v>
      </c>
      <c r="C1171" s="1" t="s">
        <v>36</v>
      </c>
      <c r="D1171" s="1">
        <v>19</v>
      </c>
      <c r="E1171" s="1">
        <v>1</v>
      </c>
      <c r="F1171" s="1">
        <v>5</v>
      </c>
      <c r="G1171" s="1">
        <v>7</v>
      </c>
      <c r="H1171" s="1">
        <v>5</v>
      </c>
      <c r="I1171" s="1">
        <v>5</v>
      </c>
      <c r="J1171" s="1">
        <v>5</v>
      </c>
      <c r="K1171" s="1">
        <f t="shared" si="226"/>
        <v>22</v>
      </c>
      <c r="L1171" s="12">
        <f t="shared" si="230"/>
        <v>0.62857142857142856</v>
      </c>
      <c r="M1171" s="1">
        <v>6</v>
      </c>
      <c r="N1171" s="1">
        <v>6</v>
      </c>
      <c r="O1171" s="1">
        <v>5</v>
      </c>
      <c r="P1171" s="1">
        <v>5</v>
      </c>
      <c r="Q1171" s="1">
        <f t="shared" si="227"/>
        <v>22</v>
      </c>
      <c r="R1171" s="12">
        <f t="shared" si="231"/>
        <v>0.62857142857142856</v>
      </c>
      <c r="S1171" s="1">
        <v>5</v>
      </c>
      <c r="T1171" s="1">
        <v>3</v>
      </c>
      <c r="U1171" s="1">
        <f t="shared" si="228"/>
        <v>8</v>
      </c>
      <c r="V1171" s="12">
        <f t="shared" si="232"/>
        <v>0.53333333333333333</v>
      </c>
      <c r="W1171" s="1">
        <v>3</v>
      </c>
      <c r="X1171" s="1">
        <v>4</v>
      </c>
      <c r="Y1171" s="1">
        <v>3</v>
      </c>
      <c r="Z1171" s="1">
        <f t="shared" si="229"/>
        <v>10</v>
      </c>
      <c r="AA1171" s="12">
        <f t="shared" si="233"/>
        <v>0.66666666666666663</v>
      </c>
      <c r="AB1171" s="2" t="s">
        <v>170</v>
      </c>
    </row>
    <row r="1172" spans="1:28" x14ac:dyDescent="0.25">
      <c r="A1172" s="1" t="s">
        <v>1680</v>
      </c>
      <c r="B1172" s="1" t="s">
        <v>35</v>
      </c>
      <c r="C1172" s="1" t="s">
        <v>36</v>
      </c>
      <c r="D1172" s="1">
        <v>19</v>
      </c>
      <c r="E1172" s="1">
        <v>1</v>
      </c>
      <c r="F1172" s="1">
        <v>5</v>
      </c>
      <c r="G1172" s="1">
        <v>7</v>
      </c>
      <c r="H1172" s="1">
        <v>6</v>
      </c>
      <c r="I1172" s="1">
        <v>6</v>
      </c>
      <c r="J1172" s="1">
        <v>5</v>
      </c>
      <c r="K1172" s="1">
        <f t="shared" si="226"/>
        <v>24</v>
      </c>
      <c r="L1172" s="12">
        <f t="shared" si="230"/>
        <v>0.68571428571428572</v>
      </c>
      <c r="M1172" s="1">
        <v>6</v>
      </c>
      <c r="N1172" s="1">
        <v>6</v>
      </c>
      <c r="O1172" s="1">
        <v>6</v>
      </c>
      <c r="P1172" s="1">
        <v>5</v>
      </c>
      <c r="Q1172" s="1">
        <f t="shared" si="227"/>
        <v>23</v>
      </c>
      <c r="R1172" s="12">
        <f t="shared" si="231"/>
        <v>0.65714285714285714</v>
      </c>
      <c r="S1172" s="1">
        <v>6</v>
      </c>
      <c r="T1172" s="1">
        <v>4</v>
      </c>
      <c r="U1172" s="1">
        <f t="shared" si="228"/>
        <v>10</v>
      </c>
      <c r="V1172" s="12">
        <f t="shared" si="232"/>
        <v>0.66666666666666663</v>
      </c>
      <c r="W1172" s="1">
        <v>3</v>
      </c>
      <c r="X1172" s="1">
        <v>4</v>
      </c>
      <c r="Y1172" s="1">
        <v>3</v>
      </c>
      <c r="Z1172" s="1">
        <f t="shared" si="229"/>
        <v>10</v>
      </c>
      <c r="AA1172" s="12">
        <f t="shared" si="233"/>
        <v>0.66666666666666663</v>
      </c>
      <c r="AB1172" s="2" t="s">
        <v>171</v>
      </c>
    </row>
    <row r="1173" spans="1:28" x14ac:dyDescent="0.25">
      <c r="A1173" s="1" t="s">
        <v>1680</v>
      </c>
      <c r="B1173" s="1" t="s">
        <v>35</v>
      </c>
      <c r="C1173" s="1" t="s">
        <v>36</v>
      </c>
      <c r="D1173" s="1">
        <v>19</v>
      </c>
      <c r="E1173" s="1">
        <v>1</v>
      </c>
      <c r="F1173" s="1">
        <v>5</v>
      </c>
      <c r="G1173" s="1">
        <v>7</v>
      </c>
      <c r="H1173" s="1">
        <v>6</v>
      </c>
      <c r="I1173" s="1">
        <v>7</v>
      </c>
      <c r="J1173" s="1">
        <v>5</v>
      </c>
      <c r="K1173" s="1">
        <f t="shared" si="226"/>
        <v>25</v>
      </c>
      <c r="L1173" s="12">
        <f t="shared" si="230"/>
        <v>0.7142857142857143</v>
      </c>
      <c r="M1173" s="1">
        <v>6</v>
      </c>
      <c r="N1173" s="1">
        <v>5</v>
      </c>
      <c r="O1173" s="1">
        <v>5</v>
      </c>
      <c r="P1173" s="1">
        <v>5</v>
      </c>
      <c r="Q1173" s="1">
        <f t="shared" si="227"/>
        <v>21</v>
      </c>
      <c r="R1173" s="12">
        <f t="shared" si="231"/>
        <v>0.6</v>
      </c>
      <c r="S1173" s="1">
        <v>5</v>
      </c>
      <c r="T1173" s="1">
        <v>4</v>
      </c>
      <c r="U1173" s="1">
        <f t="shared" si="228"/>
        <v>9</v>
      </c>
      <c r="V1173" s="12">
        <f t="shared" si="232"/>
        <v>0.6</v>
      </c>
      <c r="W1173" s="1">
        <v>3</v>
      </c>
      <c r="X1173" s="1">
        <v>3</v>
      </c>
      <c r="Y1173" s="1">
        <v>4</v>
      </c>
      <c r="Z1173" s="1">
        <f t="shared" si="229"/>
        <v>10</v>
      </c>
      <c r="AA1173" s="12">
        <f t="shared" si="233"/>
        <v>0.66666666666666663</v>
      </c>
      <c r="AB1173" s="2" t="s">
        <v>172</v>
      </c>
    </row>
    <row r="1174" spans="1:28" x14ac:dyDescent="0.25">
      <c r="A1174" s="1" t="s">
        <v>1680</v>
      </c>
      <c r="B1174" s="1" t="s">
        <v>35</v>
      </c>
      <c r="C1174" s="1" t="s">
        <v>36</v>
      </c>
      <c r="D1174" s="1">
        <v>19</v>
      </c>
      <c r="E1174" s="1">
        <v>1</v>
      </c>
      <c r="F1174" s="1">
        <v>5</v>
      </c>
      <c r="G1174" s="1">
        <v>6</v>
      </c>
      <c r="H1174" s="1">
        <v>6</v>
      </c>
      <c r="I1174" s="1">
        <v>6</v>
      </c>
      <c r="J1174" s="1">
        <v>5</v>
      </c>
      <c r="K1174" s="1">
        <f t="shared" si="226"/>
        <v>23</v>
      </c>
      <c r="L1174" s="12">
        <f t="shared" si="230"/>
        <v>0.65714285714285714</v>
      </c>
      <c r="M1174" s="1">
        <v>6</v>
      </c>
      <c r="N1174" s="1">
        <v>5</v>
      </c>
      <c r="O1174" s="1">
        <v>5</v>
      </c>
      <c r="P1174" s="1">
        <v>5</v>
      </c>
      <c r="Q1174" s="1">
        <f t="shared" si="227"/>
        <v>21</v>
      </c>
      <c r="R1174" s="12">
        <f t="shared" si="231"/>
        <v>0.6</v>
      </c>
      <c r="S1174" s="1">
        <v>5</v>
      </c>
      <c r="T1174" s="1">
        <v>4</v>
      </c>
      <c r="U1174" s="1">
        <f t="shared" si="228"/>
        <v>9</v>
      </c>
      <c r="V1174" s="12">
        <f t="shared" si="232"/>
        <v>0.6</v>
      </c>
      <c r="W1174" s="1">
        <v>4</v>
      </c>
      <c r="X1174" s="1">
        <v>3</v>
      </c>
      <c r="Y1174" s="1">
        <v>3</v>
      </c>
      <c r="Z1174" s="1">
        <f t="shared" si="229"/>
        <v>10</v>
      </c>
      <c r="AA1174" s="12">
        <f t="shared" si="233"/>
        <v>0.66666666666666663</v>
      </c>
      <c r="AB1174" s="2" t="s">
        <v>173</v>
      </c>
    </row>
    <row r="1175" spans="1:28" x14ac:dyDescent="0.25">
      <c r="A1175" s="1" t="s">
        <v>1680</v>
      </c>
      <c r="B1175" s="1" t="s">
        <v>35</v>
      </c>
      <c r="C1175" s="1" t="s">
        <v>36</v>
      </c>
      <c r="D1175" s="1">
        <v>20</v>
      </c>
      <c r="E1175" s="1">
        <v>2</v>
      </c>
      <c r="F1175" s="1">
        <v>4</v>
      </c>
      <c r="G1175" s="1">
        <v>5</v>
      </c>
      <c r="H1175" s="1">
        <v>6</v>
      </c>
      <c r="I1175" s="1">
        <v>5</v>
      </c>
      <c r="J1175" s="1">
        <v>5</v>
      </c>
      <c r="K1175" s="1">
        <f t="shared" si="226"/>
        <v>21</v>
      </c>
      <c r="L1175" s="12">
        <f t="shared" si="230"/>
        <v>0.6</v>
      </c>
      <c r="M1175" s="1">
        <v>5</v>
      </c>
      <c r="N1175" s="1">
        <v>5</v>
      </c>
      <c r="O1175" s="1">
        <v>6</v>
      </c>
      <c r="P1175" s="1">
        <v>3</v>
      </c>
      <c r="Q1175" s="1">
        <f t="shared" si="227"/>
        <v>19</v>
      </c>
      <c r="R1175" s="12">
        <f t="shared" si="231"/>
        <v>0.54285714285714282</v>
      </c>
      <c r="S1175" s="1">
        <v>6</v>
      </c>
      <c r="T1175" s="1">
        <v>4</v>
      </c>
      <c r="U1175" s="1">
        <f t="shared" si="228"/>
        <v>10</v>
      </c>
      <c r="V1175" s="12">
        <f t="shared" si="232"/>
        <v>0.66666666666666663</v>
      </c>
      <c r="W1175" s="1">
        <v>4</v>
      </c>
      <c r="X1175" s="1">
        <v>3</v>
      </c>
      <c r="Y1175" s="1">
        <v>3</v>
      </c>
      <c r="Z1175" s="1">
        <f t="shared" si="229"/>
        <v>10</v>
      </c>
      <c r="AA1175" s="12">
        <f t="shared" si="233"/>
        <v>0.66666666666666663</v>
      </c>
      <c r="AB1175" s="2" t="s">
        <v>341</v>
      </c>
    </row>
    <row r="1176" spans="1:28" x14ac:dyDescent="0.25">
      <c r="A1176" s="1" t="s">
        <v>1680</v>
      </c>
      <c r="B1176" s="1" t="s">
        <v>35</v>
      </c>
      <c r="C1176" s="1" t="s">
        <v>36</v>
      </c>
      <c r="D1176" s="1">
        <v>20</v>
      </c>
      <c r="E1176" s="1">
        <v>2</v>
      </c>
      <c r="F1176" s="1">
        <v>4</v>
      </c>
      <c r="G1176" s="1">
        <v>5</v>
      </c>
      <c r="H1176" s="1">
        <v>6</v>
      </c>
      <c r="I1176" s="1">
        <v>5</v>
      </c>
      <c r="J1176" s="1">
        <v>4</v>
      </c>
      <c r="K1176" s="1">
        <f t="shared" si="226"/>
        <v>20</v>
      </c>
      <c r="L1176" s="12">
        <f t="shared" si="230"/>
        <v>0.5714285714285714</v>
      </c>
      <c r="M1176" s="1">
        <v>5</v>
      </c>
      <c r="N1176" s="1">
        <v>4</v>
      </c>
      <c r="O1176" s="1">
        <v>5</v>
      </c>
      <c r="P1176" s="1">
        <v>3</v>
      </c>
      <c r="Q1176" s="1">
        <f t="shared" si="227"/>
        <v>17</v>
      </c>
      <c r="R1176" s="12">
        <f t="shared" si="231"/>
        <v>0.48571428571428571</v>
      </c>
      <c r="S1176" s="1">
        <v>5</v>
      </c>
      <c r="T1176" s="1">
        <v>5</v>
      </c>
      <c r="U1176" s="1">
        <f t="shared" si="228"/>
        <v>10</v>
      </c>
      <c r="V1176" s="12">
        <f t="shared" si="232"/>
        <v>0.66666666666666663</v>
      </c>
      <c r="W1176" s="1">
        <v>4</v>
      </c>
      <c r="X1176" s="1">
        <v>3</v>
      </c>
      <c r="Y1176" s="1">
        <v>4</v>
      </c>
      <c r="Z1176" s="1">
        <f t="shared" si="229"/>
        <v>11</v>
      </c>
      <c r="AA1176" s="12">
        <f t="shared" si="233"/>
        <v>0.73333333333333328</v>
      </c>
      <c r="AB1176" s="2" t="s">
        <v>342</v>
      </c>
    </row>
    <row r="1177" spans="1:28" x14ac:dyDescent="0.25">
      <c r="A1177" s="1" t="s">
        <v>1680</v>
      </c>
      <c r="B1177" s="1" t="s">
        <v>35</v>
      </c>
      <c r="C1177" s="1" t="s">
        <v>36</v>
      </c>
      <c r="D1177" s="1">
        <v>20</v>
      </c>
      <c r="E1177" s="1">
        <v>2</v>
      </c>
      <c r="F1177" s="1">
        <v>4</v>
      </c>
      <c r="G1177" s="1">
        <v>6</v>
      </c>
      <c r="H1177" s="1">
        <v>6</v>
      </c>
      <c r="I1177" s="1">
        <v>6</v>
      </c>
      <c r="J1177" s="1">
        <v>5</v>
      </c>
      <c r="K1177" s="1">
        <f t="shared" si="226"/>
        <v>23</v>
      </c>
      <c r="L1177" s="12">
        <f t="shared" si="230"/>
        <v>0.65714285714285714</v>
      </c>
      <c r="M1177" s="1">
        <v>7</v>
      </c>
      <c r="N1177" s="1">
        <v>6</v>
      </c>
      <c r="O1177" s="1">
        <v>6</v>
      </c>
      <c r="P1177" s="1">
        <v>4</v>
      </c>
      <c r="Q1177" s="1">
        <f t="shared" si="227"/>
        <v>23</v>
      </c>
      <c r="R1177" s="12">
        <f t="shared" si="231"/>
        <v>0.65714285714285714</v>
      </c>
      <c r="S1177" s="1">
        <v>6</v>
      </c>
      <c r="T1177" s="1">
        <v>5</v>
      </c>
      <c r="U1177" s="1">
        <f t="shared" si="228"/>
        <v>11</v>
      </c>
      <c r="V1177" s="12">
        <f t="shared" si="232"/>
        <v>0.73333333333333328</v>
      </c>
      <c r="W1177" s="1">
        <v>4</v>
      </c>
      <c r="X1177" s="1">
        <v>3</v>
      </c>
      <c r="Y1177" s="1">
        <v>3</v>
      </c>
      <c r="Z1177" s="1">
        <f t="shared" si="229"/>
        <v>10</v>
      </c>
      <c r="AA1177" s="12">
        <f t="shared" si="233"/>
        <v>0.66666666666666663</v>
      </c>
      <c r="AB1177" s="2" t="s">
        <v>343</v>
      </c>
    </row>
    <row r="1178" spans="1:28" x14ac:dyDescent="0.25">
      <c r="A1178" s="1" t="s">
        <v>1680</v>
      </c>
      <c r="B1178" s="1" t="s">
        <v>35</v>
      </c>
      <c r="C1178" s="1" t="s">
        <v>36</v>
      </c>
      <c r="D1178" s="1">
        <v>20</v>
      </c>
      <c r="E1178" s="1">
        <v>2</v>
      </c>
      <c r="F1178" s="1">
        <v>4</v>
      </c>
      <c r="G1178" s="1">
        <v>6</v>
      </c>
      <c r="H1178" s="1">
        <v>6</v>
      </c>
      <c r="I1178" s="1">
        <v>5</v>
      </c>
      <c r="J1178" s="1">
        <v>5</v>
      </c>
      <c r="K1178" s="1">
        <f t="shared" si="226"/>
        <v>22</v>
      </c>
      <c r="L1178" s="12">
        <f t="shared" si="230"/>
        <v>0.62857142857142856</v>
      </c>
      <c r="M1178" s="1">
        <v>5</v>
      </c>
      <c r="N1178" s="1">
        <v>5</v>
      </c>
      <c r="O1178" s="1">
        <v>5</v>
      </c>
      <c r="P1178" s="1">
        <v>5</v>
      </c>
      <c r="Q1178" s="1">
        <f t="shared" si="227"/>
        <v>20</v>
      </c>
      <c r="R1178" s="12">
        <f t="shared" si="231"/>
        <v>0.5714285714285714</v>
      </c>
      <c r="S1178" s="1">
        <v>5</v>
      </c>
      <c r="T1178" s="1">
        <v>5</v>
      </c>
      <c r="U1178" s="1">
        <f t="shared" si="228"/>
        <v>10</v>
      </c>
      <c r="V1178" s="12">
        <f t="shared" si="232"/>
        <v>0.66666666666666663</v>
      </c>
      <c r="W1178" s="1">
        <v>3</v>
      </c>
      <c r="X1178" s="1">
        <v>3</v>
      </c>
      <c r="Y1178" s="1">
        <v>4</v>
      </c>
      <c r="Z1178" s="1">
        <f t="shared" si="229"/>
        <v>10</v>
      </c>
      <c r="AA1178" s="12">
        <f t="shared" si="233"/>
        <v>0.66666666666666663</v>
      </c>
      <c r="AB1178" s="2" t="s">
        <v>344</v>
      </c>
    </row>
    <row r="1179" spans="1:28" x14ac:dyDescent="0.25">
      <c r="A1179" s="1" t="s">
        <v>1680</v>
      </c>
      <c r="B1179" s="1" t="s">
        <v>35</v>
      </c>
      <c r="C1179" s="1" t="s">
        <v>36</v>
      </c>
      <c r="D1179" s="1">
        <v>20</v>
      </c>
      <c r="E1179" s="1">
        <v>2</v>
      </c>
      <c r="F1179" s="1">
        <v>4</v>
      </c>
      <c r="G1179" s="1">
        <v>7</v>
      </c>
      <c r="H1179" s="1">
        <v>7</v>
      </c>
      <c r="I1179" s="1">
        <v>6</v>
      </c>
      <c r="J1179" s="1">
        <v>5</v>
      </c>
      <c r="K1179" s="1">
        <f t="shared" si="226"/>
        <v>25</v>
      </c>
      <c r="L1179" s="12">
        <f t="shared" si="230"/>
        <v>0.7142857142857143</v>
      </c>
      <c r="M1179" s="1">
        <v>7</v>
      </c>
      <c r="N1179" s="1">
        <v>6</v>
      </c>
      <c r="O1179" s="1">
        <v>6</v>
      </c>
      <c r="P1179" s="1">
        <v>5</v>
      </c>
      <c r="Q1179" s="1">
        <f t="shared" si="227"/>
        <v>24</v>
      </c>
      <c r="R1179" s="12">
        <f t="shared" si="231"/>
        <v>0.68571428571428572</v>
      </c>
      <c r="S1179" s="1">
        <v>6</v>
      </c>
      <c r="T1179" s="1">
        <v>5</v>
      </c>
      <c r="U1179" s="1">
        <f t="shared" si="228"/>
        <v>11</v>
      </c>
      <c r="V1179" s="12">
        <f t="shared" si="232"/>
        <v>0.73333333333333328</v>
      </c>
      <c r="W1179" s="1">
        <v>5</v>
      </c>
      <c r="X1179" s="1">
        <v>4</v>
      </c>
      <c r="Y1179" s="1">
        <v>5</v>
      </c>
      <c r="Z1179" s="1">
        <f t="shared" si="229"/>
        <v>14</v>
      </c>
      <c r="AA1179" s="12">
        <f t="shared" si="233"/>
        <v>0.93333333333333335</v>
      </c>
      <c r="AB1179" s="2" t="s">
        <v>345</v>
      </c>
    </row>
    <row r="1180" spans="1:28" x14ac:dyDescent="0.25">
      <c r="A1180" s="1" t="s">
        <v>1680</v>
      </c>
      <c r="B1180" s="1" t="s">
        <v>35</v>
      </c>
      <c r="C1180" s="1" t="s">
        <v>36</v>
      </c>
      <c r="D1180" s="1">
        <v>20</v>
      </c>
      <c r="E1180" s="1">
        <v>2</v>
      </c>
      <c r="F1180" s="1">
        <v>4</v>
      </c>
      <c r="G1180" s="1">
        <v>7</v>
      </c>
      <c r="H1180" s="1">
        <v>6</v>
      </c>
      <c r="I1180" s="1">
        <v>6</v>
      </c>
      <c r="J1180" s="1">
        <v>5</v>
      </c>
      <c r="K1180" s="1">
        <f t="shared" si="226"/>
        <v>24</v>
      </c>
      <c r="L1180" s="12">
        <f t="shared" si="230"/>
        <v>0.68571428571428572</v>
      </c>
      <c r="M1180" s="1">
        <v>6</v>
      </c>
      <c r="N1180" s="1">
        <v>6</v>
      </c>
      <c r="O1180" s="1">
        <v>6</v>
      </c>
      <c r="P1180" s="1">
        <v>4</v>
      </c>
      <c r="Q1180" s="1">
        <f t="shared" si="227"/>
        <v>22</v>
      </c>
      <c r="R1180" s="12">
        <f t="shared" si="231"/>
        <v>0.62857142857142856</v>
      </c>
      <c r="S1180" s="1">
        <v>5</v>
      </c>
      <c r="T1180" s="1">
        <v>5</v>
      </c>
      <c r="U1180" s="1">
        <f t="shared" si="228"/>
        <v>10</v>
      </c>
      <c r="V1180" s="12">
        <f t="shared" si="232"/>
        <v>0.66666666666666663</v>
      </c>
      <c r="W1180" s="1">
        <v>5</v>
      </c>
      <c r="X1180" s="1">
        <v>4</v>
      </c>
      <c r="Y1180" s="1">
        <v>4</v>
      </c>
      <c r="Z1180" s="1">
        <f t="shared" si="229"/>
        <v>13</v>
      </c>
      <c r="AA1180" s="12">
        <f t="shared" si="233"/>
        <v>0.8666666666666667</v>
      </c>
      <c r="AB1180" s="2" t="s">
        <v>346</v>
      </c>
    </row>
    <row r="1181" spans="1:28" x14ac:dyDescent="0.25">
      <c r="A1181" s="1" t="s">
        <v>1680</v>
      </c>
      <c r="B1181" s="1" t="s">
        <v>35</v>
      </c>
      <c r="C1181" s="1" t="s">
        <v>36</v>
      </c>
      <c r="D1181" s="1">
        <v>20</v>
      </c>
      <c r="E1181" s="1">
        <v>2</v>
      </c>
      <c r="F1181" s="1">
        <v>4</v>
      </c>
      <c r="G1181" s="1">
        <v>7</v>
      </c>
      <c r="H1181" s="1">
        <v>6</v>
      </c>
      <c r="I1181" s="1">
        <v>5</v>
      </c>
      <c r="J1181" s="1">
        <v>5</v>
      </c>
      <c r="K1181" s="1">
        <f t="shared" si="226"/>
        <v>23</v>
      </c>
      <c r="L1181" s="12">
        <f t="shared" si="230"/>
        <v>0.65714285714285714</v>
      </c>
      <c r="M1181" s="1">
        <v>7</v>
      </c>
      <c r="N1181" s="1">
        <v>6</v>
      </c>
      <c r="O1181" s="1">
        <v>7</v>
      </c>
      <c r="P1181" s="1">
        <v>5</v>
      </c>
      <c r="Q1181" s="1">
        <f t="shared" si="227"/>
        <v>25</v>
      </c>
      <c r="R1181" s="12">
        <f t="shared" si="231"/>
        <v>0.7142857142857143</v>
      </c>
      <c r="S1181" s="1">
        <v>6</v>
      </c>
      <c r="T1181" s="1">
        <v>5</v>
      </c>
      <c r="U1181" s="1">
        <f t="shared" si="228"/>
        <v>11</v>
      </c>
      <c r="V1181" s="12">
        <f t="shared" si="232"/>
        <v>0.73333333333333328</v>
      </c>
      <c r="W1181" s="1">
        <v>5</v>
      </c>
      <c r="X1181" s="1">
        <v>4</v>
      </c>
      <c r="Y1181" s="1">
        <v>5</v>
      </c>
      <c r="Z1181" s="1">
        <f t="shared" si="229"/>
        <v>14</v>
      </c>
      <c r="AA1181" s="12">
        <f t="shared" si="233"/>
        <v>0.93333333333333335</v>
      </c>
      <c r="AB1181" s="2" t="s">
        <v>347</v>
      </c>
    </row>
    <row r="1182" spans="1:28" x14ac:dyDescent="0.25">
      <c r="A1182" s="1" t="s">
        <v>1680</v>
      </c>
      <c r="B1182" s="1" t="s">
        <v>35</v>
      </c>
      <c r="C1182" s="1" t="s">
        <v>36</v>
      </c>
      <c r="D1182" s="1">
        <v>20</v>
      </c>
      <c r="E1182" s="1">
        <v>2</v>
      </c>
      <c r="F1182" s="1">
        <v>4</v>
      </c>
      <c r="G1182" s="1">
        <v>6</v>
      </c>
      <c r="H1182" s="1">
        <v>6</v>
      </c>
      <c r="I1182" s="1">
        <v>5</v>
      </c>
      <c r="J1182" s="1">
        <v>5</v>
      </c>
      <c r="K1182" s="1">
        <f t="shared" si="226"/>
        <v>22</v>
      </c>
      <c r="L1182" s="12">
        <f t="shared" si="230"/>
        <v>0.62857142857142856</v>
      </c>
      <c r="M1182" s="1">
        <v>6</v>
      </c>
      <c r="N1182" s="1">
        <v>5</v>
      </c>
      <c r="O1182" s="1">
        <v>6</v>
      </c>
      <c r="P1182" s="1">
        <v>4</v>
      </c>
      <c r="Q1182" s="1">
        <f t="shared" si="227"/>
        <v>21</v>
      </c>
      <c r="R1182" s="12">
        <f t="shared" si="231"/>
        <v>0.6</v>
      </c>
      <c r="S1182" s="1">
        <v>5</v>
      </c>
      <c r="T1182" s="1">
        <v>5</v>
      </c>
      <c r="U1182" s="1">
        <f t="shared" si="228"/>
        <v>10</v>
      </c>
      <c r="V1182" s="12">
        <f t="shared" si="232"/>
        <v>0.66666666666666663</v>
      </c>
      <c r="W1182" s="1">
        <v>5</v>
      </c>
      <c r="X1182" s="1">
        <v>4</v>
      </c>
      <c r="Y1182" s="1">
        <v>5</v>
      </c>
      <c r="Z1182" s="1">
        <f t="shared" si="229"/>
        <v>14</v>
      </c>
      <c r="AA1182" s="12">
        <f t="shared" si="233"/>
        <v>0.93333333333333335</v>
      </c>
      <c r="AB1182" s="2" t="s">
        <v>348</v>
      </c>
    </row>
    <row r="1183" spans="1:28" x14ac:dyDescent="0.25">
      <c r="A1183" s="1" t="s">
        <v>1680</v>
      </c>
      <c r="B1183" s="1" t="s">
        <v>35</v>
      </c>
      <c r="C1183" s="1" t="s">
        <v>36</v>
      </c>
      <c r="D1183" s="1">
        <v>5</v>
      </c>
      <c r="E1183" s="1">
        <v>3</v>
      </c>
      <c r="F1183" s="1">
        <v>5</v>
      </c>
      <c r="G1183" s="1">
        <v>5</v>
      </c>
      <c r="H1183" s="1">
        <v>6</v>
      </c>
      <c r="I1183" s="1">
        <v>5</v>
      </c>
      <c r="J1183" s="1">
        <v>4</v>
      </c>
      <c r="K1183" s="1">
        <f t="shared" si="226"/>
        <v>20</v>
      </c>
      <c r="L1183" s="12">
        <f t="shared" si="230"/>
        <v>0.5714285714285714</v>
      </c>
      <c r="M1183" s="1">
        <v>5</v>
      </c>
      <c r="N1183" s="1">
        <v>5</v>
      </c>
      <c r="O1183" s="1">
        <v>4</v>
      </c>
      <c r="P1183" s="1">
        <v>4</v>
      </c>
      <c r="Q1183" s="1">
        <f t="shared" si="227"/>
        <v>18</v>
      </c>
      <c r="R1183" s="12">
        <f t="shared" si="231"/>
        <v>0.51428571428571423</v>
      </c>
      <c r="S1183" s="1">
        <v>5</v>
      </c>
      <c r="T1183" s="1">
        <v>4</v>
      </c>
      <c r="U1183" s="1">
        <f t="shared" si="228"/>
        <v>9</v>
      </c>
      <c r="V1183" s="12">
        <f t="shared" si="232"/>
        <v>0.6</v>
      </c>
      <c r="W1183" s="1">
        <v>4</v>
      </c>
      <c r="X1183" s="1">
        <v>3</v>
      </c>
      <c r="Y1183" s="1">
        <v>3</v>
      </c>
      <c r="Z1183" s="1">
        <f t="shared" si="229"/>
        <v>10</v>
      </c>
      <c r="AA1183" s="12">
        <f t="shared" si="233"/>
        <v>0.66666666666666663</v>
      </c>
      <c r="AB1183" s="2" t="s">
        <v>544</v>
      </c>
    </row>
    <row r="1184" spans="1:28" x14ac:dyDescent="0.25">
      <c r="A1184" s="1" t="s">
        <v>1680</v>
      </c>
      <c r="B1184" s="1" t="s">
        <v>35</v>
      </c>
      <c r="C1184" s="1" t="s">
        <v>36</v>
      </c>
      <c r="D1184" s="1">
        <v>5</v>
      </c>
      <c r="E1184" s="1">
        <v>3</v>
      </c>
      <c r="F1184" s="1">
        <v>5</v>
      </c>
      <c r="G1184" s="1">
        <v>6</v>
      </c>
      <c r="H1184" s="1">
        <v>5</v>
      </c>
      <c r="I1184" s="1">
        <v>5</v>
      </c>
      <c r="J1184" s="1">
        <v>4</v>
      </c>
      <c r="K1184" s="1">
        <f t="shared" si="226"/>
        <v>20</v>
      </c>
      <c r="L1184" s="12">
        <f t="shared" si="230"/>
        <v>0.5714285714285714</v>
      </c>
      <c r="M1184" s="1">
        <v>5</v>
      </c>
      <c r="N1184" s="1">
        <v>6</v>
      </c>
      <c r="O1184" s="1">
        <v>4</v>
      </c>
      <c r="P1184" s="1">
        <v>4</v>
      </c>
      <c r="Q1184" s="1">
        <f t="shared" si="227"/>
        <v>19</v>
      </c>
      <c r="R1184" s="12">
        <f t="shared" si="231"/>
        <v>0.54285714285714282</v>
      </c>
      <c r="S1184" s="1">
        <v>5</v>
      </c>
      <c r="T1184" s="1">
        <v>5</v>
      </c>
      <c r="U1184" s="1">
        <f t="shared" si="228"/>
        <v>10</v>
      </c>
      <c r="V1184" s="12">
        <f t="shared" si="232"/>
        <v>0.66666666666666663</v>
      </c>
      <c r="W1184" s="1">
        <v>5</v>
      </c>
      <c r="X1184" s="1">
        <v>4</v>
      </c>
      <c r="Y1184" s="1">
        <v>5</v>
      </c>
      <c r="Z1184" s="1">
        <f t="shared" si="229"/>
        <v>14</v>
      </c>
      <c r="AA1184" s="12">
        <f t="shared" si="233"/>
        <v>0.93333333333333335</v>
      </c>
      <c r="AB1184" s="2" t="s">
        <v>545</v>
      </c>
    </row>
    <row r="1185" spans="1:28" x14ac:dyDescent="0.25">
      <c r="A1185" s="1" t="s">
        <v>1680</v>
      </c>
      <c r="B1185" s="1" t="s">
        <v>35</v>
      </c>
      <c r="C1185" s="1" t="s">
        <v>36</v>
      </c>
      <c r="D1185" s="1">
        <v>5</v>
      </c>
      <c r="E1185" s="1">
        <v>3</v>
      </c>
      <c r="F1185" s="1">
        <v>5</v>
      </c>
      <c r="G1185" s="1">
        <v>5</v>
      </c>
      <c r="H1185" s="1">
        <v>5</v>
      </c>
      <c r="I1185" s="1">
        <v>6</v>
      </c>
      <c r="J1185" s="1">
        <v>4</v>
      </c>
      <c r="K1185" s="1">
        <f t="shared" si="226"/>
        <v>20</v>
      </c>
      <c r="L1185" s="12">
        <f t="shared" si="230"/>
        <v>0.5714285714285714</v>
      </c>
      <c r="M1185" s="1">
        <v>5</v>
      </c>
      <c r="N1185" s="1">
        <v>4</v>
      </c>
      <c r="O1185" s="1">
        <v>4</v>
      </c>
      <c r="P1185" s="1">
        <v>4</v>
      </c>
      <c r="Q1185" s="1">
        <f t="shared" si="227"/>
        <v>17</v>
      </c>
      <c r="R1185" s="12">
        <f t="shared" si="231"/>
        <v>0.48571428571428571</v>
      </c>
      <c r="S1185" s="1">
        <v>6</v>
      </c>
      <c r="T1185" s="1">
        <v>5</v>
      </c>
      <c r="U1185" s="1">
        <f t="shared" si="228"/>
        <v>11</v>
      </c>
      <c r="V1185" s="12">
        <f t="shared" si="232"/>
        <v>0.73333333333333328</v>
      </c>
      <c r="W1185" s="1">
        <v>5</v>
      </c>
      <c r="X1185" s="1">
        <v>4</v>
      </c>
      <c r="Y1185" s="1">
        <v>4</v>
      </c>
      <c r="Z1185" s="1">
        <f t="shared" si="229"/>
        <v>13</v>
      </c>
      <c r="AA1185" s="12">
        <f t="shared" si="233"/>
        <v>0.8666666666666667</v>
      </c>
      <c r="AB1185" s="2" t="s">
        <v>546</v>
      </c>
    </row>
    <row r="1186" spans="1:28" x14ac:dyDescent="0.25">
      <c r="A1186" s="1" t="s">
        <v>1680</v>
      </c>
      <c r="B1186" s="1" t="s">
        <v>35</v>
      </c>
      <c r="C1186" s="1" t="s">
        <v>36</v>
      </c>
      <c r="D1186" s="1">
        <v>5</v>
      </c>
      <c r="E1186" s="1">
        <v>3</v>
      </c>
      <c r="F1186" s="1">
        <v>5</v>
      </c>
      <c r="G1186" s="1">
        <v>7</v>
      </c>
      <c r="H1186" s="1">
        <v>6</v>
      </c>
      <c r="I1186" s="1">
        <v>6</v>
      </c>
      <c r="J1186" s="1">
        <v>5</v>
      </c>
      <c r="K1186" s="1">
        <f t="shared" si="226"/>
        <v>24</v>
      </c>
      <c r="L1186" s="12">
        <f t="shared" si="230"/>
        <v>0.68571428571428572</v>
      </c>
      <c r="M1186" s="1">
        <v>5</v>
      </c>
      <c r="N1186" s="1">
        <v>5</v>
      </c>
      <c r="O1186" s="1">
        <v>5</v>
      </c>
      <c r="P1186" s="1">
        <v>5</v>
      </c>
      <c r="Q1186" s="1">
        <f t="shared" si="227"/>
        <v>20</v>
      </c>
      <c r="R1186" s="12">
        <f t="shared" si="231"/>
        <v>0.5714285714285714</v>
      </c>
      <c r="S1186" s="1">
        <v>5</v>
      </c>
      <c r="T1186" s="1">
        <v>5</v>
      </c>
      <c r="U1186" s="1">
        <f t="shared" si="228"/>
        <v>10</v>
      </c>
      <c r="V1186" s="12">
        <f t="shared" si="232"/>
        <v>0.66666666666666663</v>
      </c>
      <c r="W1186" s="1">
        <v>5</v>
      </c>
      <c r="X1186" s="1">
        <v>4</v>
      </c>
      <c r="Y1186" s="1">
        <v>5</v>
      </c>
      <c r="Z1186" s="1">
        <f t="shared" si="229"/>
        <v>14</v>
      </c>
      <c r="AA1186" s="12">
        <f t="shared" si="233"/>
        <v>0.93333333333333335</v>
      </c>
      <c r="AB1186" s="2" t="s">
        <v>547</v>
      </c>
    </row>
    <row r="1187" spans="1:28" x14ac:dyDescent="0.25">
      <c r="A1187" s="1" t="s">
        <v>1680</v>
      </c>
      <c r="B1187" s="1" t="s">
        <v>35</v>
      </c>
      <c r="C1187" s="1" t="s">
        <v>36</v>
      </c>
      <c r="D1187" s="1">
        <v>5</v>
      </c>
      <c r="E1187" s="1">
        <v>3</v>
      </c>
      <c r="F1187" s="1">
        <v>5</v>
      </c>
      <c r="G1187" s="1">
        <v>7</v>
      </c>
      <c r="H1187" s="1">
        <v>6</v>
      </c>
      <c r="I1187" s="1">
        <v>6</v>
      </c>
      <c r="J1187" s="1">
        <v>5</v>
      </c>
      <c r="K1187" s="1">
        <f t="shared" si="226"/>
        <v>24</v>
      </c>
      <c r="L1187" s="12">
        <f t="shared" si="230"/>
        <v>0.68571428571428572</v>
      </c>
      <c r="M1187" s="1">
        <v>5</v>
      </c>
      <c r="N1187" s="1">
        <v>5</v>
      </c>
      <c r="O1187" s="1">
        <v>5</v>
      </c>
      <c r="P1187" s="1">
        <v>5</v>
      </c>
      <c r="Q1187" s="1">
        <f t="shared" si="227"/>
        <v>20</v>
      </c>
      <c r="R1187" s="12">
        <f t="shared" si="231"/>
        <v>0.5714285714285714</v>
      </c>
      <c r="S1187" s="1">
        <v>5</v>
      </c>
      <c r="T1187" s="1">
        <v>5</v>
      </c>
      <c r="U1187" s="1">
        <f t="shared" si="228"/>
        <v>10</v>
      </c>
      <c r="V1187" s="12">
        <f t="shared" si="232"/>
        <v>0.66666666666666663</v>
      </c>
      <c r="W1187" s="1">
        <v>5</v>
      </c>
      <c r="X1187" s="1">
        <v>4</v>
      </c>
      <c r="Y1187" s="1">
        <v>5</v>
      </c>
      <c r="Z1187" s="1">
        <f t="shared" si="229"/>
        <v>14</v>
      </c>
      <c r="AA1187" s="12">
        <f t="shared" si="233"/>
        <v>0.93333333333333335</v>
      </c>
      <c r="AB1187" s="2" t="s">
        <v>548</v>
      </c>
    </row>
    <row r="1188" spans="1:28" x14ac:dyDescent="0.25">
      <c r="A1188" s="1" t="s">
        <v>1680</v>
      </c>
      <c r="B1188" s="1" t="s">
        <v>35</v>
      </c>
      <c r="C1188" s="1" t="s">
        <v>36</v>
      </c>
      <c r="D1188" s="1">
        <v>5</v>
      </c>
      <c r="E1188" s="1">
        <v>3</v>
      </c>
      <c r="F1188" s="1">
        <v>5</v>
      </c>
      <c r="G1188" s="1">
        <v>7</v>
      </c>
      <c r="H1188" s="1">
        <v>7</v>
      </c>
      <c r="I1188" s="1">
        <v>6</v>
      </c>
      <c r="J1188" s="1">
        <v>5</v>
      </c>
      <c r="K1188" s="1">
        <f t="shared" si="226"/>
        <v>25</v>
      </c>
      <c r="L1188" s="12">
        <f t="shared" si="230"/>
        <v>0.7142857142857143</v>
      </c>
      <c r="M1188" s="1">
        <v>6</v>
      </c>
      <c r="N1188" s="1">
        <v>6</v>
      </c>
      <c r="O1188" s="1">
        <v>6</v>
      </c>
      <c r="P1188" s="1">
        <v>5</v>
      </c>
      <c r="Q1188" s="1">
        <f t="shared" si="227"/>
        <v>23</v>
      </c>
      <c r="R1188" s="12">
        <f t="shared" si="231"/>
        <v>0.65714285714285714</v>
      </c>
      <c r="S1188" s="1">
        <v>5</v>
      </c>
      <c r="T1188" s="1">
        <v>5</v>
      </c>
      <c r="U1188" s="1">
        <f t="shared" si="228"/>
        <v>10</v>
      </c>
      <c r="V1188" s="12">
        <f t="shared" si="232"/>
        <v>0.66666666666666663</v>
      </c>
      <c r="W1188" s="1">
        <v>5</v>
      </c>
      <c r="X1188" s="1">
        <v>4</v>
      </c>
      <c r="Y1188" s="1">
        <v>5</v>
      </c>
      <c r="Z1188" s="1">
        <f t="shared" si="229"/>
        <v>14</v>
      </c>
      <c r="AA1188" s="12">
        <f t="shared" si="233"/>
        <v>0.93333333333333335</v>
      </c>
      <c r="AB1188" s="2" t="s">
        <v>549</v>
      </c>
    </row>
    <row r="1189" spans="1:28" x14ac:dyDescent="0.25">
      <c r="A1189" s="1" t="s">
        <v>1680</v>
      </c>
      <c r="B1189" s="1" t="s">
        <v>35</v>
      </c>
      <c r="C1189" s="1" t="s">
        <v>36</v>
      </c>
      <c r="D1189" s="1">
        <v>5</v>
      </c>
      <c r="E1189" s="1">
        <v>3</v>
      </c>
      <c r="F1189" s="1">
        <v>5</v>
      </c>
      <c r="G1189" s="1">
        <v>7</v>
      </c>
      <c r="H1189" s="1">
        <v>6</v>
      </c>
      <c r="I1189" s="1">
        <v>7</v>
      </c>
      <c r="J1189" s="1">
        <v>5</v>
      </c>
      <c r="K1189" s="1">
        <f t="shared" si="226"/>
        <v>25</v>
      </c>
      <c r="L1189" s="12">
        <f t="shared" si="230"/>
        <v>0.7142857142857143</v>
      </c>
      <c r="M1189" s="1">
        <v>6</v>
      </c>
      <c r="N1189" s="1">
        <v>6</v>
      </c>
      <c r="O1189" s="1">
        <v>6</v>
      </c>
      <c r="P1189" s="1">
        <v>5</v>
      </c>
      <c r="Q1189" s="1">
        <f t="shared" si="227"/>
        <v>23</v>
      </c>
      <c r="R1189" s="12">
        <f t="shared" si="231"/>
        <v>0.65714285714285714</v>
      </c>
      <c r="S1189" s="1">
        <v>6</v>
      </c>
      <c r="T1189" s="1">
        <v>5</v>
      </c>
      <c r="U1189" s="1">
        <f t="shared" si="228"/>
        <v>11</v>
      </c>
      <c r="V1189" s="12">
        <f t="shared" si="232"/>
        <v>0.73333333333333328</v>
      </c>
      <c r="W1189" s="1">
        <v>5</v>
      </c>
      <c r="X1189" s="1">
        <v>5</v>
      </c>
      <c r="Y1189" s="1">
        <v>5</v>
      </c>
      <c r="Z1189" s="1">
        <f t="shared" si="229"/>
        <v>15</v>
      </c>
      <c r="AA1189" s="12">
        <f t="shared" si="233"/>
        <v>1</v>
      </c>
      <c r="AB1189" s="2" t="s">
        <v>550</v>
      </c>
    </row>
    <row r="1190" spans="1:28" x14ac:dyDescent="0.25">
      <c r="A1190" s="1" t="s">
        <v>1680</v>
      </c>
      <c r="B1190" s="1" t="s">
        <v>35</v>
      </c>
      <c r="C1190" s="1" t="s">
        <v>36</v>
      </c>
      <c r="D1190" s="1">
        <v>5</v>
      </c>
      <c r="E1190" s="1">
        <v>3</v>
      </c>
      <c r="F1190" s="1">
        <v>5</v>
      </c>
      <c r="G1190" s="1">
        <v>6</v>
      </c>
      <c r="H1190" s="1">
        <v>6</v>
      </c>
      <c r="I1190" s="1">
        <v>5</v>
      </c>
      <c r="J1190" s="1">
        <v>5</v>
      </c>
      <c r="K1190" s="1">
        <f t="shared" si="226"/>
        <v>22</v>
      </c>
      <c r="L1190" s="12">
        <f t="shared" si="230"/>
        <v>0.62857142857142856</v>
      </c>
      <c r="M1190" s="1">
        <v>5</v>
      </c>
      <c r="N1190" s="1">
        <v>5</v>
      </c>
      <c r="O1190" s="1">
        <v>5</v>
      </c>
      <c r="P1190" s="1">
        <v>5</v>
      </c>
      <c r="Q1190" s="1">
        <f t="shared" si="227"/>
        <v>20</v>
      </c>
      <c r="R1190" s="12">
        <f t="shared" si="231"/>
        <v>0.5714285714285714</v>
      </c>
      <c r="S1190" s="1">
        <v>5</v>
      </c>
      <c r="T1190" s="1">
        <v>4</v>
      </c>
      <c r="U1190" s="1">
        <f t="shared" si="228"/>
        <v>9</v>
      </c>
      <c r="V1190" s="12">
        <f t="shared" si="232"/>
        <v>0.6</v>
      </c>
      <c r="W1190" s="1">
        <v>5</v>
      </c>
      <c r="X1190" s="1">
        <v>4</v>
      </c>
      <c r="Y1190" s="1">
        <v>5</v>
      </c>
      <c r="Z1190" s="1">
        <f t="shared" si="229"/>
        <v>14</v>
      </c>
      <c r="AA1190" s="12">
        <f t="shared" si="233"/>
        <v>0.93333333333333335</v>
      </c>
      <c r="AB1190" s="2" t="s">
        <v>551</v>
      </c>
    </row>
    <row r="1191" spans="1:28" x14ac:dyDescent="0.25">
      <c r="A1191" s="1" t="s">
        <v>1680</v>
      </c>
      <c r="B1191" s="1" t="s">
        <v>576</v>
      </c>
      <c r="C1191" s="1" t="s">
        <v>36</v>
      </c>
      <c r="D1191" s="1">
        <v>27</v>
      </c>
      <c r="E1191" s="1">
        <v>2</v>
      </c>
      <c r="F1191" s="1">
        <v>4</v>
      </c>
      <c r="G1191" s="1">
        <v>3</v>
      </c>
      <c r="H1191" s="1">
        <v>3</v>
      </c>
      <c r="I1191" s="1">
        <v>3</v>
      </c>
      <c r="J1191" s="1">
        <v>3</v>
      </c>
      <c r="K1191" s="1">
        <f t="shared" si="226"/>
        <v>12</v>
      </c>
      <c r="L1191" s="12">
        <f t="shared" si="230"/>
        <v>0.34285714285714286</v>
      </c>
      <c r="M1191" s="1">
        <v>4</v>
      </c>
      <c r="N1191" s="1">
        <v>4</v>
      </c>
      <c r="O1191" s="1">
        <v>4</v>
      </c>
      <c r="P1191" s="1">
        <v>3</v>
      </c>
      <c r="Q1191" s="1">
        <f t="shared" si="227"/>
        <v>15</v>
      </c>
      <c r="R1191" s="12">
        <f t="shared" si="231"/>
        <v>0.42857142857142855</v>
      </c>
      <c r="S1191" s="1">
        <v>4</v>
      </c>
      <c r="T1191" s="1">
        <v>3</v>
      </c>
      <c r="U1191" s="1">
        <f t="shared" si="228"/>
        <v>7</v>
      </c>
      <c r="V1191" s="12">
        <f t="shared" si="232"/>
        <v>0.46666666666666667</v>
      </c>
      <c r="W1191" s="1">
        <v>3</v>
      </c>
      <c r="X1191" s="1">
        <v>3</v>
      </c>
      <c r="Y1191" s="1">
        <v>3</v>
      </c>
      <c r="Z1191" s="1">
        <f t="shared" si="229"/>
        <v>9</v>
      </c>
      <c r="AA1191" s="12">
        <f t="shared" si="233"/>
        <v>0.6</v>
      </c>
      <c r="AB1191" s="2" t="s">
        <v>727</v>
      </c>
    </row>
    <row r="1192" spans="1:28" x14ac:dyDescent="0.25">
      <c r="A1192" s="1" t="s">
        <v>1680</v>
      </c>
      <c r="B1192" s="1" t="s">
        <v>576</v>
      </c>
      <c r="C1192" s="1" t="s">
        <v>36</v>
      </c>
      <c r="D1192" s="1">
        <v>27</v>
      </c>
      <c r="E1192" s="1">
        <v>2</v>
      </c>
      <c r="F1192" s="1">
        <v>4</v>
      </c>
      <c r="G1192" s="1">
        <v>3</v>
      </c>
      <c r="H1192" s="1">
        <v>4</v>
      </c>
      <c r="I1192" s="1">
        <v>3</v>
      </c>
      <c r="J1192" s="1">
        <v>3</v>
      </c>
      <c r="K1192" s="1">
        <f t="shared" si="226"/>
        <v>13</v>
      </c>
      <c r="L1192" s="12">
        <f t="shared" si="230"/>
        <v>0.37142857142857144</v>
      </c>
      <c r="M1192" s="1">
        <v>5</v>
      </c>
      <c r="N1192" s="1">
        <v>5</v>
      </c>
      <c r="O1192" s="1">
        <v>5</v>
      </c>
      <c r="P1192" s="1">
        <v>4</v>
      </c>
      <c r="Q1192" s="1">
        <f t="shared" si="227"/>
        <v>19</v>
      </c>
      <c r="R1192" s="12">
        <f t="shared" si="231"/>
        <v>0.54285714285714282</v>
      </c>
      <c r="S1192" s="1">
        <v>5</v>
      </c>
      <c r="T1192" s="1">
        <v>3</v>
      </c>
      <c r="U1192" s="1">
        <f t="shared" si="228"/>
        <v>8</v>
      </c>
      <c r="V1192" s="12">
        <f t="shared" si="232"/>
        <v>0.53333333333333333</v>
      </c>
      <c r="W1192" s="1">
        <v>3</v>
      </c>
      <c r="X1192" s="1">
        <v>3</v>
      </c>
      <c r="Y1192" s="1">
        <v>4</v>
      </c>
      <c r="Z1192" s="1">
        <f t="shared" si="229"/>
        <v>10</v>
      </c>
      <c r="AA1192" s="12">
        <f t="shared" si="233"/>
        <v>0.66666666666666663</v>
      </c>
      <c r="AB1192" s="2" t="s">
        <v>728</v>
      </c>
    </row>
    <row r="1193" spans="1:28" x14ac:dyDescent="0.25">
      <c r="A1193" s="1" t="s">
        <v>1680</v>
      </c>
      <c r="B1193" s="1" t="s">
        <v>576</v>
      </c>
      <c r="C1193" s="1" t="s">
        <v>36</v>
      </c>
      <c r="D1193" s="1">
        <v>27</v>
      </c>
      <c r="E1193" s="1">
        <v>2</v>
      </c>
      <c r="F1193" s="1">
        <v>4</v>
      </c>
      <c r="G1193" s="1">
        <v>5</v>
      </c>
      <c r="H1193" s="1">
        <v>5</v>
      </c>
      <c r="I1193" s="1">
        <v>5</v>
      </c>
      <c r="J1193" s="1">
        <v>4</v>
      </c>
      <c r="K1193" s="1">
        <f t="shared" si="226"/>
        <v>19</v>
      </c>
      <c r="L1193" s="12">
        <f t="shared" si="230"/>
        <v>0.54285714285714282</v>
      </c>
      <c r="M1193" s="1">
        <v>5</v>
      </c>
      <c r="N1193" s="1">
        <v>5</v>
      </c>
      <c r="O1193" s="1">
        <v>5</v>
      </c>
      <c r="P1193" s="1">
        <v>4</v>
      </c>
      <c r="Q1193" s="1">
        <f t="shared" si="227"/>
        <v>19</v>
      </c>
      <c r="R1193" s="12">
        <f t="shared" si="231"/>
        <v>0.54285714285714282</v>
      </c>
      <c r="S1193" s="1">
        <v>5</v>
      </c>
      <c r="T1193" s="1">
        <v>3</v>
      </c>
      <c r="U1193" s="1">
        <f t="shared" si="228"/>
        <v>8</v>
      </c>
      <c r="V1193" s="12">
        <f t="shared" si="232"/>
        <v>0.53333333333333333</v>
      </c>
      <c r="W1193" s="1">
        <v>3</v>
      </c>
      <c r="X1193" s="1">
        <v>3</v>
      </c>
      <c r="Y1193" s="1">
        <v>4</v>
      </c>
      <c r="Z1193" s="1">
        <f t="shared" si="229"/>
        <v>10</v>
      </c>
      <c r="AA1193" s="12">
        <f t="shared" si="233"/>
        <v>0.66666666666666663</v>
      </c>
      <c r="AB1193" s="2" t="s">
        <v>729</v>
      </c>
    </row>
    <row r="1194" spans="1:28" x14ac:dyDescent="0.25">
      <c r="A1194" s="1" t="s">
        <v>1680</v>
      </c>
      <c r="B1194" s="1" t="s">
        <v>576</v>
      </c>
      <c r="C1194" s="1" t="s">
        <v>36</v>
      </c>
      <c r="D1194" s="1">
        <v>27</v>
      </c>
      <c r="E1194" s="1">
        <v>2</v>
      </c>
      <c r="F1194" s="1">
        <v>4</v>
      </c>
      <c r="G1194" s="1">
        <v>5</v>
      </c>
      <c r="H1194" s="1">
        <v>5</v>
      </c>
      <c r="I1194" s="1">
        <v>4</v>
      </c>
      <c r="J1194" s="1">
        <v>4</v>
      </c>
      <c r="K1194" s="1">
        <f t="shared" si="226"/>
        <v>18</v>
      </c>
      <c r="L1194" s="12">
        <f t="shared" si="230"/>
        <v>0.51428571428571423</v>
      </c>
      <c r="M1194" s="1">
        <v>4</v>
      </c>
      <c r="N1194" s="1">
        <v>4</v>
      </c>
      <c r="O1194" s="1">
        <v>5</v>
      </c>
      <c r="P1194" s="1">
        <v>4</v>
      </c>
      <c r="Q1194" s="1">
        <f t="shared" si="227"/>
        <v>17</v>
      </c>
      <c r="R1194" s="12">
        <f t="shared" si="231"/>
        <v>0.48571428571428571</v>
      </c>
      <c r="S1194" s="1">
        <v>5</v>
      </c>
      <c r="T1194" s="1">
        <v>3</v>
      </c>
      <c r="U1194" s="1">
        <f t="shared" si="228"/>
        <v>8</v>
      </c>
      <c r="V1194" s="12">
        <f t="shared" si="232"/>
        <v>0.53333333333333333</v>
      </c>
      <c r="W1194" s="1">
        <v>2</v>
      </c>
      <c r="X1194" s="1">
        <v>3</v>
      </c>
      <c r="Y1194" s="1">
        <v>3</v>
      </c>
      <c r="Z1194" s="1">
        <f t="shared" si="229"/>
        <v>8</v>
      </c>
      <c r="AA1194" s="12">
        <f t="shared" si="233"/>
        <v>0.53333333333333333</v>
      </c>
      <c r="AB1194" s="2" t="s">
        <v>730</v>
      </c>
    </row>
    <row r="1195" spans="1:28" x14ac:dyDescent="0.25">
      <c r="A1195" s="1" t="s">
        <v>1680</v>
      </c>
      <c r="B1195" s="1" t="s">
        <v>576</v>
      </c>
      <c r="C1195" s="1" t="s">
        <v>36</v>
      </c>
      <c r="D1195" s="1">
        <v>27</v>
      </c>
      <c r="E1195" s="1">
        <v>2</v>
      </c>
      <c r="F1195" s="1">
        <v>4</v>
      </c>
      <c r="G1195" s="1">
        <v>4</v>
      </c>
      <c r="H1195" s="1">
        <v>5</v>
      </c>
      <c r="I1195" s="1">
        <v>4</v>
      </c>
      <c r="J1195" s="1">
        <v>4</v>
      </c>
      <c r="K1195" s="1">
        <f t="shared" si="226"/>
        <v>17</v>
      </c>
      <c r="L1195" s="12">
        <f t="shared" si="230"/>
        <v>0.48571428571428571</v>
      </c>
      <c r="M1195" s="1">
        <v>3</v>
      </c>
      <c r="N1195" s="1">
        <v>4</v>
      </c>
      <c r="O1195" s="1">
        <v>4</v>
      </c>
      <c r="P1195" s="1">
        <v>3</v>
      </c>
      <c r="Q1195" s="1">
        <f t="shared" si="227"/>
        <v>14</v>
      </c>
      <c r="R1195" s="12">
        <f t="shared" si="231"/>
        <v>0.4</v>
      </c>
      <c r="S1195" s="1">
        <v>4</v>
      </c>
      <c r="T1195" s="1">
        <v>3</v>
      </c>
      <c r="U1195" s="1">
        <f t="shared" si="228"/>
        <v>7</v>
      </c>
      <c r="V1195" s="12">
        <f t="shared" si="232"/>
        <v>0.46666666666666667</v>
      </c>
      <c r="W1195" s="1">
        <v>2</v>
      </c>
      <c r="X1195" s="1">
        <v>3</v>
      </c>
      <c r="Y1195" s="1">
        <v>3</v>
      </c>
      <c r="Z1195" s="1">
        <f t="shared" si="229"/>
        <v>8</v>
      </c>
      <c r="AA1195" s="12">
        <f t="shared" si="233"/>
        <v>0.53333333333333333</v>
      </c>
      <c r="AB1195" s="2" t="s">
        <v>731</v>
      </c>
    </row>
    <row r="1196" spans="1:28" x14ac:dyDescent="0.25">
      <c r="A1196" s="1" t="s">
        <v>1680</v>
      </c>
      <c r="B1196" s="1" t="s">
        <v>576</v>
      </c>
      <c r="C1196" s="1" t="s">
        <v>36</v>
      </c>
      <c r="D1196" s="1">
        <v>12</v>
      </c>
      <c r="E1196" s="1">
        <v>3</v>
      </c>
      <c r="F1196" s="1">
        <v>4</v>
      </c>
      <c r="G1196" s="1">
        <v>7</v>
      </c>
      <c r="H1196" s="1">
        <v>6</v>
      </c>
      <c r="I1196" s="1">
        <v>5</v>
      </c>
      <c r="J1196" s="1">
        <v>4</v>
      </c>
      <c r="K1196" s="1">
        <f t="shared" si="226"/>
        <v>22</v>
      </c>
      <c r="L1196" s="12">
        <f t="shared" si="230"/>
        <v>0.62857142857142856</v>
      </c>
      <c r="M1196" s="1">
        <v>5</v>
      </c>
      <c r="N1196" s="1">
        <v>4</v>
      </c>
      <c r="O1196" s="1">
        <v>5</v>
      </c>
      <c r="P1196" s="1">
        <v>4</v>
      </c>
      <c r="Q1196" s="1">
        <f t="shared" si="227"/>
        <v>18</v>
      </c>
      <c r="R1196" s="12">
        <f t="shared" si="231"/>
        <v>0.51428571428571423</v>
      </c>
      <c r="S1196" s="1">
        <v>5</v>
      </c>
      <c r="T1196" s="1">
        <v>4</v>
      </c>
      <c r="U1196" s="1">
        <f t="shared" si="228"/>
        <v>9</v>
      </c>
      <c r="V1196" s="12">
        <f t="shared" si="232"/>
        <v>0.6</v>
      </c>
      <c r="W1196" s="1">
        <v>3</v>
      </c>
      <c r="X1196" s="1">
        <v>4</v>
      </c>
      <c r="Y1196" s="1">
        <v>3</v>
      </c>
      <c r="Z1196" s="1">
        <f t="shared" si="229"/>
        <v>10</v>
      </c>
      <c r="AA1196" s="12">
        <f t="shared" si="233"/>
        <v>0.66666666666666663</v>
      </c>
      <c r="AB1196" s="2" t="s">
        <v>825</v>
      </c>
    </row>
    <row r="1197" spans="1:28" x14ac:dyDescent="0.25">
      <c r="A1197" s="1" t="s">
        <v>1680</v>
      </c>
      <c r="B1197" s="1" t="s">
        <v>576</v>
      </c>
      <c r="C1197" s="1" t="s">
        <v>36</v>
      </c>
      <c r="D1197" s="1">
        <v>12</v>
      </c>
      <c r="E1197" s="1">
        <v>3</v>
      </c>
      <c r="F1197" s="1">
        <v>4</v>
      </c>
      <c r="G1197" s="1">
        <v>7</v>
      </c>
      <c r="H1197" s="1">
        <v>7</v>
      </c>
      <c r="I1197" s="1">
        <v>7</v>
      </c>
      <c r="J1197" s="1">
        <v>5</v>
      </c>
      <c r="K1197" s="1">
        <f t="shared" si="226"/>
        <v>26</v>
      </c>
      <c r="L1197" s="12">
        <f t="shared" si="230"/>
        <v>0.74285714285714288</v>
      </c>
      <c r="M1197" s="1">
        <v>5</v>
      </c>
      <c r="N1197" s="1">
        <v>6</v>
      </c>
      <c r="O1197" s="1">
        <v>6</v>
      </c>
      <c r="P1197" s="1">
        <v>4</v>
      </c>
      <c r="Q1197" s="1">
        <f t="shared" si="227"/>
        <v>21</v>
      </c>
      <c r="R1197" s="12">
        <f t="shared" si="231"/>
        <v>0.6</v>
      </c>
      <c r="S1197" s="1">
        <v>5</v>
      </c>
      <c r="T1197" s="1">
        <v>5</v>
      </c>
      <c r="U1197" s="1">
        <f t="shared" si="228"/>
        <v>10</v>
      </c>
      <c r="V1197" s="12">
        <f t="shared" si="232"/>
        <v>0.66666666666666663</v>
      </c>
      <c r="W1197" s="1">
        <v>4</v>
      </c>
      <c r="X1197" s="1">
        <v>4</v>
      </c>
      <c r="Y1197" s="1">
        <v>4</v>
      </c>
      <c r="Z1197" s="1">
        <f t="shared" si="229"/>
        <v>12</v>
      </c>
      <c r="AA1197" s="12">
        <f t="shared" si="233"/>
        <v>0.8</v>
      </c>
      <c r="AB1197" s="2" t="s">
        <v>826</v>
      </c>
    </row>
    <row r="1198" spans="1:28" x14ac:dyDescent="0.25">
      <c r="A1198" s="1" t="s">
        <v>1680</v>
      </c>
      <c r="B1198" s="1" t="s">
        <v>576</v>
      </c>
      <c r="C1198" s="1" t="s">
        <v>36</v>
      </c>
      <c r="D1198" s="1">
        <v>12</v>
      </c>
      <c r="E1198" s="1">
        <v>3</v>
      </c>
      <c r="F1198" s="1">
        <v>4</v>
      </c>
      <c r="G1198" s="1">
        <v>6</v>
      </c>
      <c r="H1198" s="1">
        <v>6</v>
      </c>
      <c r="I1198" s="1">
        <v>6</v>
      </c>
      <c r="J1198" s="1">
        <v>4</v>
      </c>
      <c r="K1198" s="1">
        <f t="shared" si="226"/>
        <v>22</v>
      </c>
      <c r="L1198" s="12">
        <f t="shared" si="230"/>
        <v>0.62857142857142856</v>
      </c>
      <c r="M1198" s="1">
        <v>5</v>
      </c>
      <c r="N1198" s="1">
        <v>5</v>
      </c>
      <c r="O1198" s="1">
        <v>5</v>
      </c>
      <c r="P1198" s="1">
        <v>4</v>
      </c>
      <c r="Q1198" s="1">
        <f t="shared" si="227"/>
        <v>19</v>
      </c>
      <c r="R1198" s="12">
        <f t="shared" si="231"/>
        <v>0.54285714285714282</v>
      </c>
      <c r="S1198" s="1">
        <v>5</v>
      </c>
      <c r="T1198" s="1">
        <v>5</v>
      </c>
      <c r="U1198" s="1">
        <f t="shared" si="228"/>
        <v>10</v>
      </c>
      <c r="V1198" s="12">
        <f t="shared" si="232"/>
        <v>0.66666666666666663</v>
      </c>
      <c r="W1198" s="1">
        <v>5</v>
      </c>
      <c r="X1198" s="1">
        <v>4</v>
      </c>
      <c r="Y1198" s="1">
        <v>5</v>
      </c>
      <c r="Z1198" s="1">
        <f t="shared" si="229"/>
        <v>14</v>
      </c>
      <c r="AA1198" s="12">
        <f t="shared" si="233"/>
        <v>0.93333333333333335</v>
      </c>
      <c r="AB1198" s="2" t="s">
        <v>827</v>
      </c>
    </row>
    <row r="1199" spans="1:28" x14ac:dyDescent="0.25">
      <c r="A1199" s="1" t="s">
        <v>1680</v>
      </c>
      <c r="B1199" s="1" t="s">
        <v>576</v>
      </c>
      <c r="C1199" s="1" t="s">
        <v>36</v>
      </c>
      <c r="D1199" s="1">
        <v>12</v>
      </c>
      <c r="E1199" s="1">
        <v>3</v>
      </c>
      <c r="F1199" s="1">
        <v>4</v>
      </c>
      <c r="G1199" s="1">
        <v>6</v>
      </c>
      <c r="H1199" s="1">
        <v>6</v>
      </c>
      <c r="I1199" s="1">
        <v>6</v>
      </c>
      <c r="J1199" s="1">
        <v>4</v>
      </c>
      <c r="K1199" s="1">
        <f t="shared" si="226"/>
        <v>22</v>
      </c>
      <c r="L1199" s="12">
        <f t="shared" si="230"/>
        <v>0.62857142857142856</v>
      </c>
      <c r="M1199" s="1">
        <v>6</v>
      </c>
      <c r="N1199" s="1">
        <v>5</v>
      </c>
      <c r="O1199" s="1">
        <v>5</v>
      </c>
      <c r="P1199" s="1">
        <v>4</v>
      </c>
      <c r="Q1199" s="1">
        <f t="shared" si="227"/>
        <v>20</v>
      </c>
      <c r="R1199" s="12">
        <f t="shared" si="231"/>
        <v>0.5714285714285714</v>
      </c>
      <c r="S1199" s="1">
        <v>5</v>
      </c>
      <c r="T1199" s="1">
        <v>4</v>
      </c>
      <c r="U1199" s="1">
        <f t="shared" si="228"/>
        <v>9</v>
      </c>
      <c r="V1199" s="12">
        <f t="shared" si="232"/>
        <v>0.6</v>
      </c>
      <c r="W1199" s="1">
        <v>4</v>
      </c>
      <c r="X1199" s="1">
        <v>4</v>
      </c>
      <c r="Y1199" s="1">
        <v>4</v>
      </c>
      <c r="Z1199" s="1">
        <f t="shared" si="229"/>
        <v>12</v>
      </c>
      <c r="AA1199" s="12">
        <f t="shared" si="233"/>
        <v>0.8</v>
      </c>
      <c r="AB1199" s="2" t="s">
        <v>828</v>
      </c>
    </row>
    <row r="1200" spans="1:28" x14ac:dyDescent="0.25">
      <c r="A1200" s="1" t="s">
        <v>1680</v>
      </c>
      <c r="B1200" s="1" t="s">
        <v>576</v>
      </c>
      <c r="C1200" s="1" t="s">
        <v>36</v>
      </c>
      <c r="D1200" s="1">
        <v>12</v>
      </c>
      <c r="E1200" s="1">
        <v>3</v>
      </c>
      <c r="F1200" s="1">
        <v>4</v>
      </c>
      <c r="G1200" s="1">
        <v>7</v>
      </c>
      <c r="H1200" s="1">
        <v>7</v>
      </c>
      <c r="I1200" s="1">
        <v>6</v>
      </c>
      <c r="J1200" s="1">
        <v>5</v>
      </c>
      <c r="K1200" s="1">
        <f t="shared" si="226"/>
        <v>25</v>
      </c>
      <c r="L1200" s="12">
        <f t="shared" si="230"/>
        <v>0.7142857142857143</v>
      </c>
      <c r="M1200" s="1">
        <v>5</v>
      </c>
      <c r="N1200" s="1">
        <v>5</v>
      </c>
      <c r="O1200" s="1">
        <v>5</v>
      </c>
      <c r="P1200" s="1">
        <v>4</v>
      </c>
      <c r="Q1200" s="1">
        <f t="shared" si="227"/>
        <v>19</v>
      </c>
      <c r="R1200" s="12">
        <f t="shared" si="231"/>
        <v>0.54285714285714282</v>
      </c>
      <c r="S1200" s="1">
        <v>5</v>
      </c>
      <c r="T1200" s="1">
        <v>5</v>
      </c>
      <c r="U1200" s="1">
        <f t="shared" si="228"/>
        <v>10</v>
      </c>
      <c r="V1200" s="12">
        <f t="shared" si="232"/>
        <v>0.66666666666666663</v>
      </c>
      <c r="W1200" s="1">
        <v>5</v>
      </c>
      <c r="X1200" s="1">
        <v>4</v>
      </c>
      <c r="Y1200" s="1">
        <v>5</v>
      </c>
      <c r="Z1200" s="1">
        <f t="shared" si="229"/>
        <v>14</v>
      </c>
      <c r="AA1200" s="12">
        <f t="shared" si="233"/>
        <v>0.93333333333333335</v>
      </c>
      <c r="AB1200" s="2" t="s">
        <v>829</v>
      </c>
    </row>
    <row r="1201" spans="1:28" x14ac:dyDescent="0.25">
      <c r="A1201" s="1" t="s">
        <v>1680</v>
      </c>
      <c r="B1201" s="1" t="s">
        <v>576</v>
      </c>
      <c r="C1201" s="1" t="s">
        <v>36</v>
      </c>
      <c r="D1201" s="1">
        <v>12</v>
      </c>
      <c r="E1201" s="1">
        <v>3</v>
      </c>
      <c r="F1201" s="1">
        <v>4</v>
      </c>
      <c r="G1201" s="1">
        <v>7</v>
      </c>
      <c r="H1201" s="1">
        <v>6</v>
      </c>
      <c r="I1201" s="1">
        <v>6</v>
      </c>
      <c r="J1201" s="1">
        <v>5</v>
      </c>
      <c r="K1201" s="1">
        <f t="shared" si="226"/>
        <v>24</v>
      </c>
      <c r="L1201" s="12">
        <f t="shared" si="230"/>
        <v>0.68571428571428572</v>
      </c>
      <c r="M1201" s="1">
        <v>5</v>
      </c>
      <c r="N1201" s="1">
        <v>5</v>
      </c>
      <c r="O1201" s="1">
        <v>5</v>
      </c>
      <c r="P1201" s="1">
        <v>5</v>
      </c>
      <c r="Q1201" s="1">
        <f t="shared" si="227"/>
        <v>20</v>
      </c>
      <c r="R1201" s="12">
        <f t="shared" si="231"/>
        <v>0.5714285714285714</v>
      </c>
      <c r="S1201" s="1">
        <v>5</v>
      </c>
      <c r="T1201" s="1">
        <v>4</v>
      </c>
      <c r="U1201" s="1">
        <f t="shared" si="228"/>
        <v>9</v>
      </c>
      <c r="V1201" s="12">
        <f t="shared" si="232"/>
        <v>0.6</v>
      </c>
      <c r="W1201" s="1">
        <v>4</v>
      </c>
      <c r="X1201" s="1">
        <v>4</v>
      </c>
      <c r="Y1201" s="1">
        <v>4</v>
      </c>
      <c r="Z1201" s="1">
        <f t="shared" si="229"/>
        <v>12</v>
      </c>
      <c r="AA1201" s="12">
        <f t="shared" si="233"/>
        <v>0.8</v>
      </c>
      <c r="AB1201" s="2" t="s">
        <v>830</v>
      </c>
    </row>
    <row r="1202" spans="1:28" x14ac:dyDescent="0.25">
      <c r="A1202" s="1" t="s">
        <v>1680</v>
      </c>
      <c r="B1202" s="1" t="s">
        <v>576</v>
      </c>
      <c r="C1202" s="1" t="s">
        <v>36</v>
      </c>
      <c r="D1202" s="1">
        <v>12</v>
      </c>
      <c r="E1202" s="1">
        <v>3</v>
      </c>
      <c r="F1202" s="1">
        <v>4</v>
      </c>
      <c r="G1202" s="1">
        <v>7</v>
      </c>
      <c r="H1202" s="1">
        <v>6</v>
      </c>
      <c r="I1202" s="1">
        <v>7</v>
      </c>
      <c r="J1202" s="1">
        <v>5</v>
      </c>
      <c r="K1202" s="1">
        <f t="shared" si="226"/>
        <v>25</v>
      </c>
      <c r="L1202" s="12">
        <f t="shared" si="230"/>
        <v>0.7142857142857143</v>
      </c>
      <c r="M1202" s="1">
        <v>5</v>
      </c>
      <c r="N1202" s="1">
        <v>7</v>
      </c>
      <c r="O1202" s="1">
        <v>6</v>
      </c>
      <c r="P1202" s="1">
        <v>5</v>
      </c>
      <c r="Q1202" s="1">
        <f t="shared" si="227"/>
        <v>23</v>
      </c>
      <c r="R1202" s="12">
        <f t="shared" si="231"/>
        <v>0.65714285714285714</v>
      </c>
      <c r="S1202" s="1">
        <v>6</v>
      </c>
      <c r="T1202" s="1">
        <v>5</v>
      </c>
      <c r="U1202" s="1">
        <f t="shared" si="228"/>
        <v>11</v>
      </c>
      <c r="V1202" s="12">
        <f t="shared" si="232"/>
        <v>0.73333333333333328</v>
      </c>
      <c r="W1202" s="1">
        <v>5</v>
      </c>
      <c r="X1202" s="1">
        <v>5</v>
      </c>
      <c r="Y1202" s="1">
        <v>4</v>
      </c>
      <c r="Z1202" s="1">
        <f t="shared" si="229"/>
        <v>14</v>
      </c>
      <c r="AA1202" s="12">
        <f t="shared" si="233"/>
        <v>0.93333333333333335</v>
      </c>
      <c r="AB1202" s="2" t="s">
        <v>831</v>
      </c>
    </row>
    <row r="1203" spans="1:28" x14ac:dyDescent="0.25">
      <c r="A1203" s="1" t="s">
        <v>1680</v>
      </c>
      <c r="B1203" s="1" t="s">
        <v>35</v>
      </c>
      <c r="C1203" s="1" t="s">
        <v>861</v>
      </c>
      <c r="D1203" s="1">
        <v>17</v>
      </c>
      <c r="E1203" s="1">
        <v>1</v>
      </c>
      <c r="F1203" s="1">
        <v>4</v>
      </c>
      <c r="G1203" s="1">
        <v>6</v>
      </c>
      <c r="H1203" s="1">
        <v>6</v>
      </c>
      <c r="I1203" s="1">
        <v>5</v>
      </c>
      <c r="J1203" s="1">
        <v>6</v>
      </c>
      <c r="K1203" s="1">
        <f t="shared" si="226"/>
        <v>23</v>
      </c>
      <c r="L1203" s="12">
        <f t="shared" ref="L1203:L1226" si="234">K1203/40</f>
        <v>0.57499999999999996</v>
      </c>
      <c r="M1203" s="1">
        <v>6</v>
      </c>
      <c r="N1203" s="1">
        <v>5</v>
      </c>
      <c r="O1203" s="1">
        <v>5</v>
      </c>
      <c r="P1203" s="1">
        <v>5</v>
      </c>
      <c r="Q1203" s="1">
        <f t="shared" si="227"/>
        <v>21</v>
      </c>
      <c r="R1203" s="12">
        <f t="shared" ref="R1203:R1226" si="235">Q1203/40</f>
        <v>0.52500000000000002</v>
      </c>
      <c r="S1203" s="1">
        <v>5</v>
      </c>
      <c r="T1203" s="1">
        <v>5</v>
      </c>
      <c r="U1203" s="1">
        <f t="shared" si="228"/>
        <v>10</v>
      </c>
      <c r="V1203" s="12">
        <f t="shared" ref="V1203:V1226" si="236">U1203/20</f>
        <v>0.5</v>
      </c>
      <c r="Z1203" s="1">
        <f t="shared" si="229"/>
        <v>0</v>
      </c>
      <c r="AB1203" s="2" t="s">
        <v>954</v>
      </c>
    </row>
    <row r="1204" spans="1:28" x14ac:dyDescent="0.25">
      <c r="A1204" s="1" t="s">
        <v>1680</v>
      </c>
      <c r="B1204" s="1" t="s">
        <v>35</v>
      </c>
      <c r="C1204" s="1" t="s">
        <v>861</v>
      </c>
      <c r="D1204" s="1">
        <v>17</v>
      </c>
      <c r="E1204" s="1">
        <v>1</v>
      </c>
      <c r="F1204" s="1">
        <v>4</v>
      </c>
      <c r="G1204" s="1">
        <v>4</v>
      </c>
      <c r="H1204" s="1">
        <v>4</v>
      </c>
      <c r="I1204" s="1">
        <v>4</v>
      </c>
      <c r="J1204" s="1">
        <v>4</v>
      </c>
      <c r="K1204" s="1">
        <f t="shared" si="226"/>
        <v>16</v>
      </c>
      <c r="L1204" s="12">
        <f t="shared" si="234"/>
        <v>0.4</v>
      </c>
      <c r="M1204" s="1">
        <v>5</v>
      </c>
      <c r="N1204" s="1">
        <v>4</v>
      </c>
      <c r="O1204" s="1">
        <v>4</v>
      </c>
      <c r="P1204" s="1">
        <v>5</v>
      </c>
      <c r="Q1204" s="1">
        <f t="shared" si="227"/>
        <v>18</v>
      </c>
      <c r="R1204" s="12">
        <f t="shared" si="235"/>
        <v>0.45</v>
      </c>
      <c r="S1204" s="1">
        <v>5</v>
      </c>
      <c r="T1204" s="1">
        <v>4</v>
      </c>
      <c r="U1204" s="1">
        <f t="shared" si="228"/>
        <v>9</v>
      </c>
      <c r="V1204" s="12">
        <f t="shared" si="236"/>
        <v>0.45</v>
      </c>
      <c r="Z1204" s="1">
        <f t="shared" si="229"/>
        <v>0</v>
      </c>
      <c r="AB1204" s="2" t="s">
        <v>955</v>
      </c>
    </row>
    <row r="1205" spans="1:28" x14ac:dyDescent="0.25">
      <c r="A1205" s="1" t="s">
        <v>1680</v>
      </c>
      <c r="B1205" s="1" t="s">
        <v>35</v>
      </c>
      <c r="C1205" s="1" t="s">
        <v>861</v>
      </c>
      <c r="D1205" s="1">
        <v>17</v>
      </c>
      <c r="E1205" s="1">
        <v>1</v>
      </c>
      <c r="F1205" s="1">
        <v>4</v>
      </c>
      <c r="G1205" s="1">
        <v>4</v>
      </c>
      <c r="H1205" s="1">
        <v>5</v>
      </c>
      <c r="I1205" s="1">
        <v>4</v>
      </c>
      <c r="J1205" s="1">
        <v>5</v>
      </c>
      <c r="K1205" s="1">
        <f t="shared" si="226"/>
        <v>18</v>
      </c>
      <c r="L1205" s="12">
        <f t="shared" si="234"/>
        <v>0.45</v>
      </c>
      <c r="M1205" s="1">
        <v>5</v>
      </c>
      <c r="N1205" s="1">
        <v>5</v>
      </c>
      <c r="O1205" s="1">
        <v>5</v>
      </c>
      <c r="P1205" s="1">
        <v>4</v>
      </c>
      <c r="Q1205" s="1">
        <f t="shared" si="227"/>
        <v>19</v>
      </c>
      <c r="R1205" s="12">
        <f t="shared" si="235"/>
        <v>0.47499999999999998</v>
      </c>
      <c r="S1205" s="1">
        <v>5</v>
      </c>
      <c r="T1205" s="1">
        <v>5</v>
      </c>
      <c r="U1205" s="1">
        <f t="shared" si="228"/>
        <v>10</v>
      </c>
      <c r="V1205" s="12">
        <f t="shared" si="236"/>
        <v>0.5</v>
      </c>
      <c r="Z1205" s="1">
        <f t="shared" si="229"/>
        <v>0</v>
      </c>
      <c r="AB1205" s="2" t="s">
        <v>956</v>
      </c>
    </row>
    <row r="1206" spans="1:28" x14ac:dyDescent="0.25">
      <c r="A1206" s="1" t="s">
        <v>1680</v>
      </c>
      <c r="B1206" s="1" t="s">
        <v>35</v>
      </c>
      <c r="C1206" s="1" t="s">
        <v>861</v>
      </c>
      <c r="D1206" s="1">
        <v>17</v>
      </c>
      <c r="E1206" s="1">
        <v>1</v>
      </c>
      <c r="F1206" s="1">
        <v>4</v>
      </c>
      <c r="G1206" s="1">
        <v>4</v>
      </c>
      <c r="H1206" s="1">
        <v>4</v>
      </c>
      <c r="I1206" s="1">
        <v>4</v>
      </c>
      <c r="J1206" s="1">
        <v>5</v>
      </c>
      <c r="K1206" s="1">
        <f t="shared" si="226"/>
        <v>17</v>
      </c>
      <c r="L1206" s="12">
        <f t="shared" si="234"/>
        <v>0.42499999999999999</v>
      </c>
      <c r="M1206" s="1">
        <v>4</v>
      </c>
      <c r="N1206" s="1">
        <v>4</v>
      </c>
      <c r="O1206" s="1">
        <v>5</v>
      </c>
      <c r="P1206" s="1">
        <v>4</v>
      </c>
      <c r="Q1206" s="1">
        <f t="shared" si="227"/>
        <v>17</v>
      </c>
      <c r="R1206" s="12">
        <f t="shared" si="235"/>
        <v>0.42499999999999999</v>
      </c>
      <c r="S1206" s="1">
        <v>5</v>
      </c>
      <c r="T1206" s="1">
        <v>5</v>
      </c>
      <c r="U1206" s="1">
        <f t="shared" si="228"/>
        <v>10</v>
      </c>
      <c r="V1206" s="12">
        <f t="shared" si="236"/>
        <v>0.5</v>
      </c>
      <c r="Z1206" s="1">
        <f t="shared" si="229"/>
        <v>0</v>
      </c>
      <c r="AB1206" s="2" t="s">
        <v>957</v>
      </c>
    </row>
    <row r="1207" spans="1:28" x14ac:dyDescent="0.25">
      <c r="A1207" s="1" t="s">
        <v>1680</v>
      </c>
      <c r="B1207" s="1" t="s">
        <v>35</v>
      </c>
      <c r="C1207" s="1" t="s">
        <v>861</v>
      </c>
      <c r="D1207" s="1">
        <v>17</v>
      </c>
      <c r="E1207" s="1">
        <v>1</v>
      </c>
      <c r="F1207" s="1">
        <v>4</v>
      </c>
      <c r="G1207" s="1">
        <v>6</v>
      </c>
      <c r="H1207" s="1">
        <v>6</v>
      </c>
      <c r="I1207" s="1">
        <v>6</v>
      </c>
      <c r="J1207" s="1">
        <v>6</v>
      </c>
      <c r="K1207" s="1">
        <f t="shared" si="226"/>
        <v>24</v>
      </c>
      <c r="L1207" s="12">
        <f t="shared" si="234"/>
        <v>0.6</v>
      </c>
      <c r="M1207" s="1">
        <v>6</v>
      </c>
      <c r="N1207" s="1">
        <v>5</v>
      </c>
      <c r="O1207" s="1">
        <v>6</v>
      </c>
      <c r="P1207" s="1">
        <v>6</v>
      </c>
      <c r="Q1207" s="1">
        <f t="shared" si="227"/>
        <v>23</v>
      </c>
      <c r="R1207" s="12">
        <f t="shared" si="235"/>
        <v>0.57499999999999996</v>
      </c>
      <c r="S1207" s="1">
        <v>6</v>
      </c>
      <c r="T1207" s="1">
        <v>6</v>
      </c>
      <c r="U1207" s="1">
        <f t="shared" si="228"/>
        <v>12</v>
      </c>
      <c r="V1207" s="12">
        <f t="shared" si="236"/>
        <v>0.6</v>
      </c>
      <c r="Z1207" s="1">
        <f t="shared" si="229"/>
        <v>0</v>
      </c>
      <c r="AB1207" s="2" t="s">
        <v>958</v>
      </c>
    </row>
    <row r="1208" spans="1:28" x14ac:dyDescent="0.25">
      <c r="A1208" s="1" t="s">
        <v>1680</v>
      </c>
      <c r="B1208" s="1" t="s">
        <v>35</v>
      </c>
      <c r="C1208" s="1" t="s">
        <v>861</v>
      </c>
      <c r="D1208" s="1">
        <v>17</v>
      </c>
      <c r="E1208" s="1">
        <v>1</v>
      </c>
      <c r="F1208" s="1">
        <v>4</v>
      </c>
      <c r="G1208" s="1">
        <v>6</v>
      </c>
      <c r="H1208" s="1">
        <v>5</v>
      </c>
      <c r="I1208" s="1">
        <v>6</v>
      </c>
      <c r="J1208" s="1">
        <v>6</v>
      </c>
      <c r="K1208" s="1">
        <f t="shared" si="226"/>
        <v>23</v>
      </c>
      <c r="L1208" s="12">
        <f t="shared" si="234"/>
        <v>0.57499999999999996</v>
      </c>
      <c r="M1208" s="1">
        <v>6</v>
      </c>
      <c r="N1208" s="1">
        <v>6</v>
      </c>
      <c r="O1208" s="1">
        <v>6</v>
      </c>
      <c r="P1208" s="1">
        <v>6</v>
      </c>
      <c r="Q1208" s="1">
        <f t="shared" si="227"/>
        <v>24</v>
      </c>
      <c r="R1208" s="12">
        <f t="shared" si="235"/>
        <v>0.6</v>
      </c>
      <c r="S1208" s="1">
        <v>5</v>
      </c>
      <c r="T1208" s="1">
        <v>6</v>
      </c>
      <c r="U1208" s="1">
        <f t="shared" si="228"/>
        <v>11</v>
      </c>
      <c r="V1208" s="12">
        <f t="shared" si="236"/>
        <v>0.55000000000000004</v>
      </c>
      <c r="Z1208" s="1">
        <f t="shared" si="229"/>
        <v>0</v>
      </c>
      <c r="AB1208" s="2" t="s">
        <v>959</v>
      </c>
    </row>
    <row r="1209" spans="1:28" x14ac:dyDescent="0.25">
      <c r="A1209" s="1" t="s">
        <v>1680</v>
      </c>
      <c r="B1209" s="1" t="s">
        <v>35</v>
      </c>
      <c r="C1209" s="1" t="s">
        <v>861</v>
      </c>
      <c r="D1209" s="1">
        <v>17</v>
      </c>
      <c r="E1209" s="1">
        <v>1</v>
      </c>
      <c r="F1209" s="1">
        <v>4</v>
      </c>
      <c r="G1209" s="1">
        <v>6</v>
      </c>
      <c r="H1209" s="1">
        <v>6</v>
      </c>
      <c r="I1209" s="1">
        <v>5</v>
      </c>
      <c r="J1209" s="1">
        <v>6</v>
      </c>
      <c r="K1209" s="1">
        <f t="shared" si="226"/>
        <v>23</v>
      </c>
      <c r="L1209" s="12">
        <f t="shared" si="234"/>
        <v>0.57499999999999996</v>
      </c>
      <c r="M1209" s="1">
        <v>6</v>
      </c>
      <c r="N1209" s="1">
        <v>6</v>
      </c>
      <c r="O1209" s="1">
        <v>6</v>
      </c>
      <c r="P1209" s="1">
        <v>6</v>
      </c>
      <c r="Q1209" s="1">
        <f t="shared" si="227"/>
        <v>24</v>
      </c>
      <c r="R1209" s="12">
        <f t="shared" si="235"/>
        <v>0.6</v>
      </c>
      <c r="S1209" s="1">
        <v>5</v>
      </c>
      <c r="T1209" s="1">
        <v>6</v>
      </c>
      <c r="U1209" s="1">
        <f t="shared" si="228"/>
        <v>11</v>
      </c>
      <c r="V1209" s="12">
        <f t="shared" si="236"/>
        <v>0.55000000000000004</v>
      </c>
      <c r="Z1209" s="1">
        <f t="shared" si="229"/>
        <v>0</v>
      </c>
      <c r="AB1209" s="2" t="s">
        <v>960</v>
      </c>
    </row>
    <row r="1210" spans="1:28" x14ac:dyDescent="0.25">
      <c r="A1210" s="1" t="s">
        <v>1680</v>
      </c>
      <c r="B1210" s="1" t="s">
        <v>35</v>
      </c>
      <c r="C1210" s="1" t="s">
        <v>861</v>
      </c>
      <c r="D1210" s="1">
        <v>17</v>
      </c>
      <c r="E1210" s="1">
        <v>1</v>
      </c>
      <c r="F1210" s="1">
        <v>4</v>
      </c>
      <c r="G1210" s="1">
        <v>6</v>
      </c>
      <c r="H1210" s="1">
        <v>5</v>
      </c>
      <c r="I1210" s="1">
        <v>5</v>
      </c>
      <c r="J1210" s="1">
        <v>5</v>
      </c>
      <c r="K1210" s="1">
        <f t="shared" si="226"/>
        <v>21</v>
      </c>
      <c r="L1210" s="12">
        <f t="shared" si="234"/>
        <v>0.52500000000000002</v>
      </c>
      <c r="M1210" s="1">
        <v>6</v>
      </c>
      <c r="N1210" s="1">
        <v>6</v>
      </c>
      <c r="O1210" s="1">
        <v>6</v>
      </c>
      <c r="P1210" s="1">
        <v>5</v>
      </c>
      <c r="Q1210" s="1">
        <f t="shared" si="227"/>
        <v>23</v>
      </c>
      <c r="R1210" s="12">
        <f t="shared" si="235"/>
        <v>0.57499999999999996</v>
      </c>
      <c r="S1210" s="1">
        <v>5</v>
      </c>
      <c r="T1210" s="1">
        <v>6</v>
      </c>
      <c r="U1210" s="1">
        <f t="shared" si="228"/>
        <v>11</v>
      </c>
      <c r="V1210" s="12">
        <f t="shared" si="236"/>
        <v>0.55000000000000004</v>
      </c>
      <c r="Z1210" s="1">
        <f t="shared" si="229"/>
        <v>0</v>
      </c>
      <c r="AB1210" s="2" t="s">
        <v>961</v>
      </c>
    </row>
    <row r="1211" spans="1:28" x14ac:dyDescent="0.25">
      <c r="A1211" s="1" t="s">
        <v>1680</v>
      </c>
      <c r="B1211" s="1" t="s">
        <v>35</v>
      </c>
      <c r="C1211" s="1" t="s">
        <v>861</v>
      </c>
      <c r="D1211" s="1">
        <v>18</v>
      </c>
      <c r="E1211" s="1">
        <v>2</v>
      </c>
      <c r="F1211" s="1">
        <v>3</v>
      </c>
      <c r="G1211" s="1">
        <v>5</v>
      </c>
      <c r="H1211" s="1">
        <v>4</v>
      </c>
      <c r="I1211" s="1">
        <v>5</v>
      </c>
      <c r="J1211" s="1">
        <v>5</v>
      </c>
      <c r="K1211" s="1">
        <f t="shared" si="226"/>
        <v>19</v>
      </c>
      <c r="L1211" s="12">
        <f t="shared" si="234"/>
        <v>0.47499999999999998</v>
      </c>
      <c r="M1211" s="1">
        <v>4</v>
      </c>
      <c r="N1211" s="1">
        <v>5</v>
      </c>
      <c r="O1211" s="1">
        <v>4</v>
      </c>
      <c r="P1211" s="1">
        <v>5</v>
      </c>
      <c r="Q1211" s="1">
        <f t="shared" si="227"/>
        <v>18</v>
      </c>
      <c r="R1211" s="12">
        <f t="shared" si="235"/>
        <v>0.45</v>
      </c>
      <c r="S1211" s="1">
        <v>4</v>
      </c>
      <c r="T1211" s="1">
        <v>5</v>
      </c>
      <c r="U1211" s="1">
        <f t="shared" si="228"/>
        <v>9</v>
      </c>
      <c r="V1211" s="12">
        <f t="shared" si="236"/>
        <v>0.45</v>
      </c>
      <c r="Z1211" s="1">
        <f t="shared" si="229"/>
        <v>0</v>
      </c>
      <c r="AB1211" s="2" t="s">
        <v>1084</v>
      </c>
    </row>
    <row r="1212" spans="1:28" x14ac:dyDescent="0.25">
      <c r="A1212" s="1" t="s">
        <v>1680</v>
      </c>
      <c r="B1212" s="1" t="s">
        <v>35</v>
      </c>
      <c r="C1212" s="1" t="s">
        <v>861</v>
      </c>
      <c r="D1212" s="1">
        <v>18</v>
      </c>
      <c r="E1212" s="1">
        <v>2</v>
      </c>
      <c r="F1212" s="1">
        <v>3</v>
      </c>
      <c r="G1212" s="1">
        <v>6</v>
      </c>
      <c r="H1212" s="1">
        <v>4</v>
      </c>
      <c r="I1212" s="1">
        <v>5</v>
      </c>
      <c r="J1212" s="1">
        <v>5</v>
      </c>
      <c r="K1212" s="1">
        <f t="shared" si="226"/>
        <v>20</v>
      </c>
      <c r="L1212" s="12">
        <f t="shared" si="234"/>
        <v>0.5</v>
      </c>
      <c r="M1212" s="1">
        <v>5</v>
      </c>
      <c r="N1212" s="1">
        <v>5</v>
      </c>
      <c r="O1212" s="1">
        <v>5</v>
      </c>
      <c r="P1212" s="1">
        <v>5</v>
      </c>
      <c r="Q1212" s="1">
        <f t="shared" si="227"/>
        <v>20</v>
      </c>
      <c r="R1212" s="12">
        <f t="shared" si="235"/>
        <v>0.5</v>
      </c>
      <c r="S1212" s="1">
        <v>5</v>
      </c>
      <c r="T1212" s="1">
        <v>5</v>
      </c>
      <c r="U1212" s="1">
        <f t="shared" si="228"/>
        <v>10</v>
      </c>
      <c r="V1212" s="12">
        <f t="shared" si="236"/>
        <v>0.5</v>
      </c>
      <c r="Z1212" s="1">
        <f t="shared" si="229"/>
        <v>0</v>
      </c>
      <c r="AB1212" s="2" t="s">
        <v>1085</v>
      </c>
    </row>
    <row r="1213" spans="1:28" x14ac:dyDescent="0.25">
      <c r="A1213" s="1" t="s">
        <v>1680</v>
      </c>
      <c r="B1213" s="1" t="s">
        <v>35</v>
      </c>
      <c r="C1213" s="1" t="s">
        <v>861</v>
      </c>
      <c r="D1213" s="1">
        <v>18</v>
      </c>
      <c r="E1213" s="1">
        <v>2</v>
      </c>
      <c r="F1213" s="1">
        <v>3</v>
      </c>
      <c r="G1213" s="1">
        <v>5</v>
      </c>
      <c r="H1213" s="1">
        <v>5</v>
      </c>
      <c r="I1213" s="1">
        <v>6</v>
      </c>
      <c r="J1213" s="1">
        <v>5</v>
      </c>
      <c r="K1213" s="1">
        <f t="shared" si="226"/>
        <v>21</v>
      </c>
      <c r="L1213" s="12">
        <f t="shared" si="234"/>
        <v>0.52500000000000002</v>
      </c>
      <c r="M1213" s="1">
        <v>5</v>
      </c>
      <c r="N1213" s="1">
        <v>6</v>
      </c>
      <c r="O1213" s="1">
        <v>5</v>
      </c>
      <c r="P1213" s="1">
        <v>5</v>
      </c>
      <c r="Q1213" s="1">
        <f t="shared" si="227"/>
        <v>21</v>
      </c>
      <c r="R1213" s="12">
        <f t="shared" si="235"/>
        <v>0.52500000000000002</v>
      </c>
      <c r="S1213" s="1">
        <v>5</v>
      </c>
      <c r="T1213" s="1">
        <v>5</v>
      </c>
      <c r="U1213" s="1">
        <f t="shared" si="228"/>
        <v>10</v>
      </c>
      <c r="V1213" s="12">
        <f t="shared" si="236"/>
        <v>0.5</v>
      </c>
      <c r="Z1213" s="1">
        <f t="shared" si="229"/>
        <v>0</v>
      </c>
      <c r="AB1213" s="2" t="s">
        <v>1086</v>
      </c>
    </row>
    <row r="1214" spans="1:28" x14ac:dyDescent="0.25">
      <c r="A1214" s="1" t="s">
        <v>1680</v>
      </c>
      <c r="B1214" s="1" t="s">
        <v>35</v>
      </c>
      <c r="C1214" s="1" t="s">
        <v>861</v>
      </c>
      <c r="D1214" s="1">
        <v>18</v>
      </c>
      <c r="E1214" s="1">
        <v>2</v>
      </c>
      <c r="F1214" s="1">
        <v>3</v>
      </c>
      <c r="G1214" s="1">
        <v>4</v>
      </c>
      <c r="H1214" s="1">
        <v>5</v>
      </c>
      <c r="I1214" s="1">
        <v>5</v>
      </c>
      <c r="J1214" s="1">
        <v>5</v>
      </c>
      <c r="K1214" s="1">
        <f t="shared" si="226"/>
        <v>19</v>
      </c>
      <c r="L1214" s="12">
        <f t="shared" si="234"/>
        <v>0.47499999999999998</v>
      </c>
      <c r="M1214" s="1">
        <v>5</v>
      </c>
      <c r="N1214" s="1">
        <v>5</v>
      </c>
      <c r="O1214" s="1">
        <v>5</v>
      </c>
      <c r="P1214" s="1">
        <v>4</v>
      </c>
      <c r="Q1214" s="1">
        <f t="shared" si="227"/>
        <v>19</v>
      </c>
      <c r="R1214" s="12">
        <f t="shared" si="235"/>
        <v>0.47499999999999998</v>
      </c>
      <c r="S1214" s="1">
        <v>4</v>
      </c>
      <c r="T1214" s="1">
        <v>4</v>
      </c>
      <c r="U1214" s="1">
        <f t="shared" si="228"/>
        <v>8</v>
      </c>
      <c r="V1214" s="12">
        <f t="shared" si="236"/>
        <v>0.4</v>
      </c>
      <c r="Z1214" s="1">
        <f t="shared" si="229"/>
        <v>0</v>
      </c>
      <c r="AB1214" s="2" t="s">
        <v>1087</v>
      </c>
    </row>
    <row r="1215" spans="1:28" x14ac:dyDescent="0.25">
      <c r="A1215" s="1" t="s">
        <v>1680</v>
      </c>
      <c r="B1215" s="1" t="s">
        <v>35</v>
      </c>
      <c r="C1215" s="1" t="s">
        <v>861</v>
      </c>
      <c r="D1215" s="1">
        <v>18</v>
      </c>
      <c r="E1215" s="1">
        <v>2</v>
      </c>
      <c r="F1215" s="1">
        <v>3</v>
      </c>
      <c r="G1215" s="1">
        <v>5</v>
      </c>
      <c r="H1215" s="1">
        <v>6</v>
      </c>
      <c r="I1215" s="1">
        <v>5</v>
      </c>
      <c r="J1215" s="1">
        <v>6</v>
      </c>
      <c r="K1215" s="1">
        <f t="shared" si="226"/>
        <v>22</v>
      </c>
      <c r="L1215" s="12">
        <f t="shared" si="234"/>
        <v>0.55000000000000004</v>
      </c>
      <c r="M1215" s="1">
        <v>6</v>
      </c>
      <c r="N1215" s="1">
        <v>5</v>
      </c>
      <c r="O1215" s="1">
        <v>5</v>
      </c>
      <c r="P1215" s="1">
        <v>5</v>
      </c>
      <c r="Q1215" s="1">
        <f t="shared" si="227"/>
        <v>21</v>
      </c>
      <c r="R1215" s="12">
        <f t="shared" si="235"/>
        <v>0.52500000000000002</v>
      </c>
      <c r="S1215" s="1">
        <v>6</v>
      </c>
      <c r="T1215" s="1">
        <v>6</v>
      </c>
      <c r="U1215" s="1">
        <f t="shared" si="228"/>
        <v>12</v>
      </c>
      <c r="V1215" s="12">
        <f t="shared" si="236"/>
        <v>0.6</v>
      </c>
      <c r="Z1215" s="1">
        <f t="shared" si="229"/>
        <v>0</v>
      </c>
      <c r="AB1215" s="2" t="s">
        <v>1088</v>
      </c>
    </row>
    <row r="1216" spans="1:28" x14ac:dyDescent="0.25">
      <c r="A1216" s="1" t="s">
        <v>1680</v>
      </c>
      <c r="B1216" s="1" t="s">
        <v>35</v>
      </c>
      <c r="C1216" s="1" t="s">
        <v>861</v>
      </c>
      <c r="D1216" s="1">
        <v>18</v>
      </c>
      <c r="E1216" s="1">
        <v>2</v>
      </c>
      <c r="F1216" s="1">
        <v>3</v>
      </c>
      <c r="G1216" s="1">
        <v>5</v>
      </c>
      <c r="H1216" s="1">
        <v>5</v>
      </c>
      <c r="I1216" s="1">
        <v>4</v>
      </c>
      <c r="J1216" s="1">
        <v>5</v>
      </c>
      <c r="K1216" s="1">
        <f t="shared" si="226"/>
        <v>19</v>
      </c>
      <c r="L1216" s="12">
        <f t="shared" si="234"/>
        <v>0.47499999999999998</v>
      </c>
      <c r="M1216" s="1">
        <v>6</v>
      </c>
      <c r="N1216" s="1">
        <v>5</v>
      </c>
      <c r="O1216" s="1">
        <v>5</v>
      </c>
      <c r="P1216" s="1">
        <v>5</v>
      </c>
      <c r="Q1216" s="1">
        <f t="shared" si="227"/>
        <v>21</v>
      </c>
      <c r="R1216" s="12">
        <f t="shared" si="235"/>
        <v>0.52500000000000002</v>
      </c>
      <c r="S1216" s="1">
        <v>6</v>
      </c>
      <c r="T1216" s="1">
        <v>6</v>
      </c>
      <c r="U1216" s="1">
        <f t="shared" si="228"/>
        <v>12</v>
      </c>
      <c r="V1216" s="12">
        <f t="shared" si="236"/>
        <v>0.6</v>
      </c>
      <c r="Z1216" s="1">
        <f t="shared" si="229"/>
        <v>0</v>
      </c>
      <c r="AB1216" s="2" t="s">
        <v>1089</v>
      </c>
    </row>
    <row r="1217" spans="1:28" x14ac:dyDescent="0.25">
      <c r="A1217" s="1" t="s">
        <v>1680</v>
      </c>
      <c r="B1217" s="1" t="s">
        <v>35</v>
      </c>
      <c r="C1217" s="1" t="s">
        <v>861</v>
      </c>
      <c r="D1217" s="1">
        <v>18</v>
      </c>
      <c r="E1217" s="1">
        <v>2</v>
      </c>
      <c r="F1217" s="1">
        <v>3</v>
      </c>
      <c r="G1217" s="1">
        <v>7</v>
      </c>
      <c r="H1217" s="1">
        <v>5</v>
      </c>
      <c r="I1217" s="1">
        <v>6</v>
      </c>
      <c r="J1217" s="1">
        <v>6</v>
      </c>
      <c r="K1217" s="1">
        <f t="shared" si="226"/>
        <v>24</v>
      </c>
      <c r="L1217" s="12">
        <f t="shared" si="234"/>
        <v>0.6</v>
      </c>
      <c r="M1217" s="1">
        <v>6</v>
      </c>
      <c r="N1217" s="1">
        <v>5</v>
      </c>
      <c r="O1217" s="1">
        <v>6</v>
      </c>
      <c r="P1217" s="1">
        <v>5</v>
      </c>
      <c r="Q1217" s="1">
        <f t="shared" si="227"/>
        <v>22</v>
      </c>
      <c r="R1217" s="12">
        <f t="shared" si="235"/>
        <v>0.55000000000000004</v>
      </c>
      <c r="S1217" s="1">
        <v>6</v>
      </c>
      <c r="T1217" s="1">
        <v>6</v>
      </c>
      <c r="U1217" s="1">
        <f t="shared" si="228"/>
        <v>12</v>
      </c>
      <c r="V1217" s="12">
        <f t="shared" si="236"/>
        <v>0.6</v>
      </c>
      <c r="Z1217" s="1">
        <f t="shared" si="229"/>
        <v>0</v>
      </c>
      <c r="AB1217" s="2" t="s">
        <v>1090</v>
      </c>
    </row>
    <row r="1218" spans="1:28" x14ac:dyDescent="0.25">
      <c r="A1218" s="1" t="s">
        <v>1680</v>
      </c>
      <c r="B1218" s="1" t="s">
        <v>35</v>
      </c>
      <c r="C1218" s="1" t="s">
        <v>861</v>
      </c>
      <c r="D1218" s="1">
        <v>18</v>
      </c>
      <c r="E1218" s="1">
        <v>2</v>
      </c>
      <c r="F1218" s="1">
        <v>3</v>
      </c>
      <c r="G1218" s="1">
        <v>7</v>
      </c>
      <c r="H1218" s="1">
        <v>6</v>
      </c>
      <c r="I1218" s="1">
        <v>6</v>
      </c>
      <c r="J1218" s="1">
        <v>7</v>
      </c>
      <c r="K1218" s="1">
        <f t="shared" si="226"/>
        <v>26</v>
      </c>
      <c r="L1218" s="12">
        <f t="shared" si="234"/>
        <v>0.65</v>
      </c>
      <c r="M1218" s="1">
        <v>6</v>
      </c>
      <c r="N1218" s="1">
        <v>6</v>
      </c>
      <c r="O1218" s="1">
        <v>6</v>
      </c>
      <c r="P1218" s="1">
        <v>5</v>
      </c>
      <c r="Q1218" s="1">
        <f t="shared" si="227"/>
        <v>23</v>
      </c>
      <c r="R1218" s="12">
        <f t="shared" si="235"/>
        <v>0.57499999999999996</v>
      </c>
      <c r="S1218" s="1">
        <v>6</v>
      </c>
      <c r="T1218" s="1">
        <v>6</v>
      </c>
      <c r="U1218" s="1">
        <f t="shared" si="228"/>
        <v>12</v>
      </c>
      <c r="V1218" s="12">
        <f t="shared" si="236"/>
        <v>0.6</v>
      </c>
      <c r="Z1218" s="1">
        <f t="shared" si="229"/>
        <v>0</v>
      </c>
      <c r="AB1218" s="2" t="s">
        <v>1091</v>
      </c>
    </row>
    <row r="1219" spans="1:28" x14ac:dyDescent="0.25">
      <c r="A1219" s="1" t="s">
        <v>1680</v>
      </c>
      <c r="B1219" s="1" t="s">
        <v>35</v>
      </c>
      <c r="C1219" s="1" t="s">
        <v>861</v>
      </c>
      <c r="D1219" s="1">
        <v>4</v>
      </c>
      <c r="E1219" s="1">
        <v>3</v>
      </c>
      <c r="F1219" s="1">
        <v>4</v>
      </c>
      <c r="G1219" s="1">
        <v>4</v>
      </c>
      <c r="H1219" s="1">
        <v>3</v>
      </c>
      <c r="I1219" s="1">
        <v>4</v>
      </c>
      <c r="J1219" s="1">
        <v>3</v>
      </c>
      <c r="K1219" s="1">
        <f t="shared" ref="K1219:K1282" si="237">SUM(G1219:J1219)</f>
        <v>14</v>
      </c>
      <c r="L1219" s="12">
        <f t="shared" si="234"/>
        <v>0.35</v>
      </c>
      <c r="M1219" s="1">
        <v>5</v>
      </c>
      <c r="N1219" s="1">
        <v>4</v>
      </c>
      <c r="O1219" s="1">
        <v>3</v>
      </c>
      <c r="P1219" s="1">
        <v>3</v>
      </c>
      <c r="Q1219" s="1">
        <f t="shared" ref="Q1219:Q1282" si="238">SUM(M1219:P1219)</f>
        <v>15</v>
      </c>
      <c r="R1219" s="12">
        <f t="shared" si="235"/>
        <v>0.375</v>
      </c>
      <c r="S1219" s="1">
        <v>4</v>
      </c>
      <c r="T1219" s="1">
        <v>4</v>
      </c>
      <c r="U1219" s="1">
        <f t="shared" ref="U1219:U1282" si="239">SUM(S1219:T1219)</f>
        <v>8</v>
      </c>
      <c r="V1219" s="12">
        <f t="shared" si="236"/>
        <v>0.4</v>
      </c>
      <c r="Z1219" s="1">
        <f t="shared" ref="Z1219:Z1282" si="240">SUM(W1219:Y1219)</f>
        <v>0</v>
      </c>
      <c r="AB1219" s="2" t="s">
        <v>1287</v>
      </c>
    </row>
    <row r="1220" spans="1:28" x14ac:dyDescent="0.25">
      <c r="A1220" s="1" t="s">
        <v>1680</v>
      </c>
      <c r="B1220" s="1" t="s">
        <v>35</v>
      </c>
      <c r="C1220" s="1" t="s">
        <v>861</v>
      </c>
      <c r="D1220" s="1">
        <v>4</v>
      </c>
      <c r="E1220" s="1">
        <v>3</v>
      </c>
      <c r="F1220" s="1">
        <v>4</v>
      </c>
      <c r="G1220" s="1">
        <v>5</v>
      </c>
      <c r="H1220" s="1">
        <v>6</v>
      </c>
      <c r="I1220" s="1">
        <v>6</v>
      </c>
      <c r="J1220" s="1">
        <v>5</v>
      </c>
      <c r="K1220" s="1">
        <f t="shared" si="237"/>
        <v>22</v>
      </c>
      <c r="L1220" s="12">
        <f t="shared" si="234"/>
        <v>0.55000000000000004</v>
      </c>
      <c r="M1220" s="1">
        <v>5</v>
      </c>
      <c r="N1220" s="1">
        <v>5</v>
      </c>
      <c r="O1220" s="1">
        <v>6</v>
      </c>
      <c r="P1220" s="1">
        <v>5</v>
      </c>
      <c r="Q1220" s="1">
        <f t="shared" si="238"/>
        <v>21</v>
      </c>
      <c r="R1220" s="12">
        <f t="shared" si="235"/>
        <v>0.52500000000000002</v>
      </c>
      <c r="S1220" s="1">
        <v>5</v>
      </c>
      <c r="T1220" s="1">
        <v>5</v>
      </c>
      <c r="U1220" s="1">
        <f t="shared" si="239"/>
        <v>10</v>
      </c>
      <c r="V1220" s="12">
        <f t="shared" si="236"/>
        <v>0.5</v>
      </c>
      <c r="Z1220" s="1">
        <f t="shared" si="240"/>
        <v>0</v>
      </c>
      <c r="AB1220" s="2" t="s">
        <v>1288</v>
      </c>
    </row>
    <row r="1221" spans="1:28" x14ac:dyDescent="0.25">
      <c r="A1221" s="1" t="s">
        <v>1680</v>
      </c>
      <c r="B1221" s="1" t="s">
        <v>35</v>
      </c>
      <c r="C1221" s="1" t="s">
        <v>861</v>
      </c>
      <c r="D1221" s="1">
        <v>4</v>
      </c>
      <c r="E1221" s="1">
        <v>3</v>
      </c>
      <c r="F1221" s="1">
        <v>4</v>
      </c>
      <c r="G1221" s="1">
        <v>5</v>
      </c>
      <c r="H1221" s="1">
        <v>6</v>
      </c>
      <c r="I1221" s="1">
        <v>5</v>
      </c>
      <c r="J1221" s="1">
        <v>5</v>
      </c>
      <c r="K1221" s="1">
        <f t="shared" si="237"/>
        <v>21</v>
      </c>
      <c r="L1221" s="12">
        <f t="shared" si="234"/>
        <v>0.52500000000000002</v>
      </c>
      <c r="M1221" s="1">
        <v>6</v>
      </c>
      <c r="N1221" s="1">
        <v>5</v>
      </c>
      <c r="O1221" s="1">
        <v>6</v>
      </c>
      <c r="P1221" s="1">
        <v>5</v>
      </c>
      <c r="Q1221" s="1">
        <f t="shared" si="238"/>
        <v>22</v>
      </c>
      <c r="R1221" s="12">
        <f t="shared" si="235"/>
        <v>0.55000000000000004</v>
      </c>
      <c r="S1221" s="1">
        <v>5</v>
      </c>
      <c r="T1221" s="1">
        <v>5</v>
      </c>
      <c r="U1221" s="1">
        <f t="shared" si="239"/>
        <v>10</v>
      </c>
      <c r="V1221" s="12">
        <f t="shared" si="236"/>
        <v>0.5</v>
      </c>
      <c r="Z1221" s="1">
        <f t="shared" si="240"/>
        <v>0</v>
      </c>
      <c r="AB1221" s="2" t="s">
        <v>1289</v>
      </c>
    </row>
    <row r="1222" spans="1:28" x14ac:dyDescent="0.25">
      <c r="A1222" s="1" t="s">
        <v>1680</v>
      </c>
      <c r="B1222" s="1" t="s">
        <v>35</v>
      </c>
      <c r="C1222" s="1" t="s">
        <v>861</v>
      </c>
      <c r="D1222" s="1">
        <v>4</v>
      </c>
      <c r="E1222" s="1">
        <v>3</v>
      </c>
      <c r="F1222" s="1">
        <v>4</v>
      </c>
      <c r="G1222" s="1">
        <v>6</v>
      </c>
      <c r="H1222" s="1">
        <v>6</v>
      </c>
      <c r="I1222" s="1">
        <v>6</v>
      </c>
      <c r="J1222" s="1">
        <v>6</v>
      </c>
      <c r="K1222" s="1">
        <f t="shared" si="237"/>
        <v>24</v>
      </c>
      <c r="L1222" s="12">
        <f t="shared" si="234"/>
        <v>0.6</v>
      </c>
      <c r="M1222" s="1">
        <v>6</v>
      </c>
      <c r="N1222" s="1">
        <v>6</v>
      </c>
      <c r="O1222" s="1">
        <v>6</v>
      </c>
      <c r="P1222" s="1">
        <v>5</v>
      </c>
      <c r="Q1222" s="1">
        <f t="shared" si="238"/>
        <v>23</v>
      </c>
      <c r="R1222" s="12">
        <f t="shared" si="235"/>
        <v>0.57499999999999996</v>
      </c>
      <c r="S1222" s="1">
        <v>5</v>
      </c>
      <c r="T1222" s="1">
        <v>5</v>
      </c>
      <c r="U1222" s="1">
        <f t="shared" si="239"/>
        <v>10</v>
      </c>
      <c r="V1222" s="12">
        <f t="shared" si="236"/>
        <v>0.5</v>
      </c>
      <c r="Z1222" s="1">
        <f t="shared" si="240"/>
        <v>0</v>
      </c>
      <c r="AB1222" s="2" t="s">
        <v>1290</v>
      </c>
    </row>
    <row r="1223" spans="1:28" x14ac:dyDescent="0.25">
      <c r="A1223" s="1" t="s">
        <v>1680</v>
      </c>
      <c r="B1223" s="1" t="s">
        <v>35</v>
      </c>
      <c r="C1223" s="1" t="s">
        <v>861</v>
      </c>
      <c r="D1223" s="1">
        <v>4</v>
      </c>
      <c r="E1223" s="1">
        <v>3</v>
      </c>
      <c r="F1223" s="1">
        <v>4</v>
      </c>
      <c r="G1223" s="1">
        <v>6</v>
      </c>
      <c r="H1223" s="1">
        <v>6</v>
      </c>
      <c r="I1223" s="1">
        <v>5</v>
      </c>
      <c r="J1223" s="1">
        <v>6</v>
      </c>
      <c r="K1223" s="1">
        <f t="shared" si="237"/>
        <v>23</v>
      </c>
      <c r="L1223" s="12">
        <f t="shared" si="234"/>
        <v>0.57499999999999996</v>
      </c>
      <c r="M1223" s="1">
        <v>6</v>
      </c>
      <c r="N1223" s="1">
        <v>6</v>
      </c>
      <c r="O1223" s="1">
        <v>5</v>
      </c>
      <c r="P1223" s="1">
        <v>6</v>
      </c>
      <c r="Q1223" s="1">
        <f t="shared" si="238"/>
        <v>23</v>
      </c>
      <c r="R1223" s="12">
        <f t="shared" si="235"/>
        <v>0.57499999999999996</v>
      </c>
      <c r="S1223" s="1">
        <v>6</v>
      </c>
      <c r="T1223" s="1">
        <v>6</v>
      </c>
      <c r="U1223" s="1">
        <f t="shared" si="239"/>
        <v>12</v>
      </c>
      <c r="V1223" s="12">
        <f t="shared" si="236"/>
        <v>0.6</v>
      </c>
      <c r="Z1223" s="1">
        <f t="shared" si="240"/>
        <v>0</v>
      </c>
      <c r="AB1223" s="2" t="s">
        <v>1291</v>
      </c>
    </row>
    <row r="1224" spans="1:28" x14ac:dyDescent="0.25">
      <c r="A1224" s="1" t="s">
        <v>1680</v>
      </c>
      <c r="B1224" s="1" t="s">
        <v>35</v>
      </c>
      <c r="C1224" s="1" t="s">
        <v>861</v>
      </c>
      <c r="D1224" s="1">
        <v>4</v>
      </c>
      <c r="E1224" s="1">
        <v>3</v>
      </c>
      <c r="F1224" s="1">
        <v>4</v>
      </c>
      <c r="G1224" s="1">
        <v>6</v>
      </c>
      <c r="H1224" s="1">
        <v>6</v>
      </c>
      <c r="I1224" s="1">
        <v>6</v>
      </c>
      <c r="J1224" s="1">
        <v>6</v>
      </c>
      <c r="K1224" s="1">
        <f t="shared" si="237"/>
        <v>24</v>
      </c>
      <c r="L1224" s="12">
        <f t="shared" si="234"/>
        <v>0.6</v>
      </c>
      <c r="M1224" s="1">
        <v>6</v>
      </c>
      <c r="N1224" s="1">
        <v>6</v>
      </c>
      <c r="O1224" s="1">
        <v>6</v>
      </c>
      <c r="P1224" s="1">
        <v>6</v>
      </c>
      <c r="Q1224" s="1">
        <f t="shared" si="238"/>
        <v>24</v>
      </c>
      <c r="R1224" s="12">
        <f t="shared" si="235"/>
        <v>0.6</v>
      </c>
      <c r="S1224" s="1">
        <v>5</v>
      </c>
      <c r="T1224" s="1">
        <v>6</v>
      </c>
      <c r="U1224" s="1">
        <f t="shared" si="239"/>
        <v>11</v>
      </c>
      <c r="V1224" s="12">
        <f t="shared" si="236"/>
        <v>0.55000000000000004</v>
      </c>
      <c r="Z1224" s="1">
        <f t="shared" si="240"/>
        <v>0</v>
      </c>
      <c r="AB1224" s="2" t="s">
        <v>1292</v>
      </c>
    </row>
    <row r="1225" spans="1:28" x14ac:dyDescent="0.25">
      <c r="A1225" s="1" t="s">
        <v>1680</v>
      </c>
      <c r="B1225" s="1" t="s">
        <v>35</v>
      </c>
      <c r="C1225" s="1" t="s">
        <v>861</v>
      </c>
      <c r="D1225" s="1">
        <v>4</v>
      </c>
      <c r="E1225" s="1">
        <v>3</v>
      </c>
      <c r="F1225" s="1">
        <v>4</v>
      </c>
      <c r="G1225" s="1">
        <v>5</v>
      </c>
      <c r="H1225" s="1">
        <v>7</v>
      </c>
      <c r="I1225" s="1">
        <v>6</v>
      </c>
      <c r="J1225" s="1">
        <v>6</v>
      </c>
      <c r="K1225" s="1">
        <f t="shared" si="237"/>
        <v>24</v>
      </c>
      <c r="L1225" s="12">
        <f t="shared" si="234"/>
        <v>0.6</v>
      </c>
      <c r="M1225" s="1">
        <v>5</v>
      </c>
      <c r="N1225" s="1">
        <v>4</v>
      </c>
      <c r="O1225" s="1">
        <v>4</v>
      </c>
      <c r="P1225" s="1">
        <v>5</v>
      </c>
      <c r="Q1225" s="1">
        <f t="shared" si="238"/>
        <v>18</v>
      </c>
      <c r="R1225" s="12">
        <f t="shared" si="235"/>
        <v>0.45</v>
      </c>
      <c r="S1225" s="1">
        <v>5</v>
      </c>
      <c r="T1225" s="1">
        <v>5</v>
      </c>
      <c r="U1225" s="1">
        <f t="shared" si="239"/>
        <v>10</v>
      </c>
      <c r="V1225" s="12">
        <f t="shared" si="236"/>
        <v>0.5</v>
      </c>
      <c r="Z1225" s="1">
        <f t="shared" si="240"/>
        <v>0</v>
      </c>
      <c r="AB1225" s="2" t="s">
        <v>1293</v>
      </c>
    </row>
    <row r="1226" spans="1:28" x14ac:dyDescent="0.25">
      <c r="A1226" s="1" t="s">
        <v>1680</v>
      </c>
      <c r="B1226" s="1" t="s">
        <v>35</v>
      </c>
      <c r="C1226" s="1" t="s">
        <v>861</v>
      </c>
      <c r="D1226" s="1">
        <v>4</v>
      </c>
      <c r="E1226" s="1">
        <v>3</v>
      </c>
      <c r="F1226" s="1">
        <v>4</v>
      </c>
      <c r="G1226" s="1">
        <v>6</v>
      </c>
      <c r="H1226" s="1">
        <v>5</v>
      </c>
      <c r="I1226" s="1">
        <v>5</v>
      </c>
      <c r="J1226" s="1">
        <v>6</v>
      </c>
      <c r="K1226" s="1">
        <f t="shared" si="237"/>
        <v>22</v>
      </c>
      <c r="L1226" s="12">
        <f t="shared" si="234"/>
        <v>0.55000000000000004</v>
      </c>
      <c r="M1226" s="1">
        <v>5</v>
      </c>
      <c r="N1226" s="1">
        <v>6</v>
      </c>
      <c r="O1226" s="1">
        <v>4</v>
      </c>
      <c r="P1226" s="1">
        <v>5</v>
      </c>
      <c r="Q1226" s="1">
        <f t="shared" si="238"/>
        <v>20</v>
      </c>
      <c r="R1226" s="12">
        <f t="shared" si="235"/>
        <v>0.5</v>
      </c>
      <c r="S1226" s="1">
        <v>5</v>
      </c>
      <c r="T1226" s="1">
        <v>5</v>
      </c>
      <c r="U1226" s="1">
        <f t="shared" si="239"/>
        <v>10</v>
      </c>
      <c r="V1226" s="12">
        <f t="shared" si="236"/>
        <v>0.5</v>
      </c>
      <c r="Z1226" s="1">
        <f t="shared" si="240"/>
        <v>0</v>
      </c>
      <c r="AB1226" s="2" t="s">
        <v>1294</v>
      </c>
    </row>
    <row r="1227" spans="1:28" x14ac:dyDescent="0.25">
      <c r="A1227" s="1" t="s">
        <v>1681</v>
      </c>
      <c r="B1227" s="1" t="s">
        <v>35</v>
      </c>
      <c r="C1227" s="1" t="s">
        <v>36</v>
      </c>
      <c r="D1227" s="1">
        <v>19</v>
      </c>
      <c r="E1227" s="1">
        <v>1</v>
      </c>
      <c r="F1227" s="1">
        <v>3</v>
      </c>
      <c r="G1227" s="1">
        <v>6</v>
      </c>
      <c r="H1227" s="1">
        <v>6</v>
      </c>
      <c r="I1227" s="1">
        <v>5</v>
      </c>
      <c r="J1227" s="1">
        <v>4</v>
      </c>
      <c r="K1227" s="1">
        <f t="shared" si="237"/>
        <v>21</v>
      </c>
      <c r="L1227" s="12">
        <f t="shared" ref="L1227:L1234" si="241">K1227/35</f>
        <v>0.6</v>
      </c>
      <c r="M1227" s="1">
        <v>7</v>
      </c>
      <c r="N1227" s="1">
        <v>6</v>
      </c>
      <c r="O1227" s="1">
        <v>7</v>
      </c>
      <c r="P1227" s="1">
        <v>5</v>
      </c>
      <c r="Q1227" s="1">
        <f t="shared" si="238"/>
        <v>25</v>
      </c>
      <c r="R1227" s="12">
        <f t="shared" ref="R1227:R1234" si="242">Q1227/35</f>
        <v>0.7142857142857143</v>
      </c>
      <c r="S1227" s="1">
        <v>8</v>
      </c>
      <c r="T1227" s="1">
        <v>5</v>
      </c>
      <c r="U1227" s="1">
        <f t="shared" si="239"/>
        <v>13</v>
      </c>
      <c r="V1227" s="12">
        <f t="shared" ref="V1227:V1234" si="243">U1227/15</f>
        <v>0.8666666666666667</v>
      </c>
      <c r="W1227" s="1">
        <v>4</v>
      </c>
      <c r="X1227" s="1">
        <v>2</v>
      </c>
      <c r="Y1227" s="1">
        <v>2</v>
      </c>
      <c r="Z1227" s="1">
        <f t="shared" si="240"/>
        <v>8</v>
      </c>
      <c r="AA1227" s="12">
        <f t="shared" ref="AA1227:AA1234" si="244">Z1227/15</f>
        <v>0.53333333333333333</v>
      </c>
      <c r="AB1227" s="2" t="s">
        <v>112</v>
      </c>
    </row>
    <row r="1228" spans="1:28" x14ac:dyDescent="0.25">
      <c r="A1228" s="1" t="s">
        <v>1681</v>
      </c>
      <c r="B1228" s="1" t="s">
        <v>35</v>
      </c>
      <c r="C1228" s="1" t="s">
        <v>36</v>
      </c>
      <c r="D1228" s="1">
        <v>19</v>
      </c>
      <c r="E1228" s="1">
        <v>1</v>
      </c>
      <c r="F1228" s="1">
        <v>3</v>
      </c>
      <c r="G1228" s="1">
        <v>4</v>
      </c>
      <c r="H1228" s="1">
        <v>5</v>
      </c>
      <c r="I1228" s="1">
        <v>4</v>
      </c>
      <c r="J1228" s="1">
        <v>2</v>
      </c>
      <c r="K1228" s="1">
        <f t="shared" si="237"/>
        <v>15</v>
      </c>
      <c r="L1228" s="12">
        <f t="shared" si="241"/>
        <v>0.42857142857142855</v>
      </c>
      <c r="M1228" s="1">
        <v>5</v>
      </c>
      <c r="N1228" s="1">
        <v>4</v>
      </c>
      <c r="O1228" s="1">
        <v>4</v>
      </c>
      <c r="P1228" s="1">
        <v>4</v>
      </c>
      <c r="Q1228" s="1">
        <f t="shared" si="238"/>
        <v>17</v>
      </c>
      <c r="R1228" s="12">
        <f t="shared" si="242"/>
        <v>0.48571428571428571</v>
      </c>
      <c r="S1228" s="1">
        <v>4</v>
      </c>
      <c r="T1228" s="1">
        <v>3</v>
      </c>
      <c r="U1228" s="1">
        <f t="shared" si="239"/>
        <v>7</v>
      </c>
      <c r="V1228" s="12">
        <f t="shared" si="243"/>
        <v>0.46666666666666667</v>
      </c>
      <c r="W1228" s="1">
        <v>5</v>
      </c>
      <c r="X1228" s="1">
        <v>3</v>
      </c>
      <c r="Y1228" s="1">
        <v>2</v>
      </c>
      <c r="Z1228" s="1">
        <f t="shared" si="240"/>
        <v>10</v>
      </c>
      <c r="AA1228" s="12">
        <f t="shared" si="244"/>
        <v>0.66666666666666663</v>
      </c>
      <c r="AB1228" s="2" t="s">
        <v>113</v>
      </c>
    </row>
    <row r="1229" spans="1:28" x14ac:dyDescent="0.25">
      <c r="A1229" s="1" t="s">
        <v>1681</v>
      </c>
      <c r="B1229" s="1" t="s">
        <v>35</v>
      </c>
      <c r="C1229" s="1" t="s">
        <v>36</v>
      </c>
      <c r="D1229" s="1">
        <v>19</v>
      </c>
      <c r="E1229" s="1">
        <v>1</v>
      </c>
      <c r="F1229" s="1">
        <v>3</v>
      </c>
      <c r="G1229" s="1">
        <v>7</v>
      </c>
      <c r="H1229" s="1">
        <v>7</v>
      </c>
      <c r="I1229" s="1">
        <v>6</v>
      </c>
      <c r="J1229" s="1">
        <v>5</v>
      </c>
      <c r="K1229" s="1">
        <f t="shared" si="237"/>
        <v>25</v>
      </c>
      <c r="L1229" s="12">
        <f t="shared" si="241"/>
        <v>0.7142857142857143</v>
      </c>
      <c r="M1229" s="1">
        <v>4</v>
      </c>
      <c r="N1229" s="1">
        <v>3</v>
      </c>
      <c r="O1229" s="1">
        <v>5</v>
      </c>
      <c r="P1229" s="1">
        <v>5</v>
      </c>
      <c r="Q1229" s="1">
        <f t="shared" si="238"/>
        <v>17</v>
      </c>
      <c r="R1229" s="12">
        <f t="shared" si="242"/>
        <v>0.48571428571428571</v>
      </c>
      <c r="S1229" s="1">
        <v>5</v>
      </c>
      <c r="T1229" s="1">
        <v>4</v>
      </c>
      <c r="U1229" s="1">
        <f t="shared" si="239"/>
        <v>9</v>
      </c>
      <c r="V1229" s="12">
        <f t="shared" si="243"/>
        <v>0.6</v>
      </c>
      <c r="W1229" s="1">
        <v>3</v>
      </c>
      <c r="X1229" s="1">
        <v>3</v>
      </c>
      <c r="Y1229" s="1">
        <v>3</v>
      </c>
      <c r="Z1229" s="1">
        <f t="shared" si="240"/>
        <v>9</v>
      </c>
      <c r="AA1229" s="12">
        <f t="shared" si="244"/>
        <v>0.6</v>
      </c>
      <c r="AB1229" s="2" t="s">
        <v>114</v>
      </c>
    </row>
    <row r="1230" spans="1:28" x14ac:dyDescent="0.25">
      <c r="A1230" s="1" t="s">
        <v>1681</v>
      </c>
      <c r="B1230" s="1" t="s">
        <v>35</v>
      </c>
      <c r="C1230" s="1" t="s">
        <v>36</v>
      </c>
      <c r="D1230" s="1">
        <v>19</v>
      </c>
      <c r="E1230" s="1">
        <v>1</v>
      </c>
      <c r="F1230" s="1">
        <v>3</v>
      </c>
      <c r="G1230" s="1">
        <v>7</v>
      </c>
      <c r="H1230" s="1">
        <v>6</v>
      </c>
      <c r="I1230" s="1">
        <v>6</v>
      </c>
      <c r="J1230" s="1">
        <v>5</v>
      </c>
      <c r="K1230" s="1">
        <f t="shared" si="237"/>
        <v>24</v>
      </c>
      <c r="L1230" s="12">
        <f t="shared" si="241"/>
        <v>0.68571428571428572</v>
      </c>
      <c r="M1230" s="1">
        <v>6</v>
      </c>
      <c r="N1230" s="1">
        <v>4</v>
      </c>
      <c r="O1230" s="1">
        <v>5</v>
      </c>
      <c r="P1230" s="1">
        <v>5</v>
      </c>
      <c r="Q1230" s="1">
        <f t="shared" si="238"/>
        <v>20</v>
      </c>
      <c r="R1230" s="12">
        <f t="shared" si="242"/>
        <v>0.5714285714285714</v>
      </c>
      <c r="S1230" s="1">
        <v>6</v>
      </c>
      <c r="T1230" s="1">
        <v>3</v>
      </c>
      <c r="U1230" s="1">
        <f t="shared" si="239"/>
        <v>9</v>
      </c>
      <c r="V1230" s="12">
        <f t="shared" si="243"/>
        <v>0.6</v>
      </c>
      <c r="W1230" s="1">
        <v>3</v>
      </c>
      <c r="X1230" s="1">
        <v>2</v>
      </c>
      <c r="Y1230" s="1">
        <v>3</v>
      </c>
      <c r="Z1230" s="1">
        <f t="shared" si="240"/>
        <v>8</v>
      </c>
      <c r="AA1230" s="12">
        <f t="shared" si="244"/>
        <v>0.53333333333333333</v>
      </c>
      <c r="AB1230" s="2" t="s">
        <v>115</v>
      </c>
    </row>
    <row r="1231" spans="1:28" x14ac:dyDescent="0.25">
      <c r="A1231" s="1" t="s">
        <v>1681</v>
      </c>
      <c r="B1231" s="1" t="s">
        <v>35</v>
      </c>
      <c r="C1231" s="1" t="s">
        <v>36</v>
      </c>
      <c r="D1231" s="1">
        <v>19</v>
      </c>
      <c r="E1231" s="1">
        <v>1</v>
      </c>
      <c r="F1231" s="1">
        <v>3</v>
      </c>
      <c r="G1231" s="1">
        <v>8</v>
      </c>
      <c r="H1231" s="1">
        <v>4</v>
      </c>
      <c r="I1231" s="1">
        <v>7</v>
      </c>
      <c r="J1231" s="1">
        <v>5</v>
      </c>
      <c r="K1231" s="1">
        <f t="shared" si="237"/>
        <v>24</v>
      </c>
      <c r="L1231" s="12">
        <f t="shared" si="241"/>
        <v>0.68571428571428572</v>
      </c>
      <c r="M1231" s="1">
        <v>6</v>
      </c>
      <c r="N1231" s="1">
        <v>6</v>
      </c>
      <c r="O1231" s="1">
        <v>6</v>
      </c>
      <c r="P1231" s="1">
        <v>5</v>
      </c>
      <c r="Q1231" s="1">
        <f t="shared" si="238"/>
        <v>23</v>
      </c>
      <c r="R1231" s="12">
        <f t="shared" si="242"/>
        <v>0.65714285714285714</v>
      </c>
      <c r="S1231" s="1">
        <v>8</v>
      </c>
      <c r="T1231" s="1">
        <v>5</v>
      </c>
      <c r="U1231" s="1">
        <f t="shared" si="239"/>
        <v>13</v>
      </c>
      <c r="V1231" s="12">
        <f t="shared" si="243"/>
        <v>0.8666666666666667</v>
      </c>
      <c r="W1231" s="1">
        <v>5</v>
      </c>
      <c r="X1231" s="1">
        <v>3</v>
      </c>
      <c r="Y1231" s="1">
        <v>5</v>
      </c>
      <c r="Z1231" s="1">
        <f t="shared" si="240"/>
        <v>13</v>
      </c>
      <c r="AA1231" s="12">
        <f t="shared" si="244"/>
        <v>0.8666666666666667</v>
      </c>
      <c r="AB1231" s="2" t="s">
        <v>116</v>
      </c>
    </row>
    <row r="1232" spans="1:28" x14ac:dyDescent="0.25">
      <c r="A1232" s="1" t="s">
        <v>1681</v>
      </c>
      <c r="B1232" s="1" t="s">
        <v>35</v>
      </c>
      <c r="C1232" s="1" t="s">
        <v>36</v>
      </c>
      <c r="D1232" s="1">
        <v>19</v>
      </c>
      <c r="E1232" s="1">
        <v>1</v>
      </c>
      <c r="F1232" s="1">
        <v>3</v>
      </c>
      <c r="G1232" s="1">
        <v>8</v>
      </c>
      <c r="H1232" s="1">
        <v>8</v>
      </c>
      <c r="I1232" s="1">
        <v>7</v>
      </c>
      <c r="J1232" s="1">
        <v>5</v>
      </c>
      <c r="K1232" s="1">
        <f t="shared" si="237"/>
        <v>28</v>
      </c>
      <c r="L1232" s="12">
        <f t="shared" si="241"/>
        <v>0.8</v>
      </c>
      <c r="M1232" s="1">
        <v>5</v>
      </c>
      <c r="N1232" s="1">
        <v>4</v>
      </c>
      <c r="O1232" s="1">
        <v>4</v>
      </c>
      <c r="P1232" s="1">
        <v>4</v>
      </c>
      <c r="Q1232" s="1">
        <f t="shared" si="238"/>
        <v>17</v>
      </c>
      <c r="R1232" s="12">
        <f t="shared" si="242"/>
        <v>0.48571428571428571</v>
      </c>
      <c r="S1232" s="1">
        <v>6</v>
      </c>
      <c r="T1232" s="1">
        <v>4</v>
      </c>
      <c r="U1232" s="1">
        <f t="shared" si="239"/>
        <v>10</v>
      </c>
      <c r="V1232" s="12">
        <f t="shared" si="243"/>
        <v>0.66666666666666663</v>
      </c>
      <c r="W1232" s="1">
        <v>3</v>
      </c>
      <c r="X1232" s="1">
        <v>3</v>
      </c>
      <c r="Y1232" s="1">
        <v>3</v>
      </c>
      <c r="Z1232" s="1">
        <f t="shared" si="240"/>
        <v>9</v>
      </c>
      <c r="AA1232" s="12">
        <f t="shared" si="244"/>
        <v>0.6</v>
      </c>
      <c r="AB1232" s="2" t="s">
        <v>117</v>
      </c>
    </row>
    <row r="1233" spans="1:28" x14ac:dyDescent="0.25">
      <c r="A1233" s="1" t="s">
        <v>1681</v>
      </c>
      <c r="B1233" s="1" t="s">
        <v>35</v>
      </c>
      <c r="C1233" s="1" t="s">
        <v>36</v>
      </c>
      <c r="D1233" s="1">
        <v>19</v>
      </c>
      <c r="E1233" s="1">
        <v>1</v>
      </c>
      <c r="F1233" s="1">
        <v>3</v>
      </c>
      <c r="G1233" s="1">
        <v>4</v>
      </c>
      <c r="H1233" s="1">
        <v>3</v>
      </c>
      <c r="I1233" s="1">
        <v>3</v>
      </c>
      <c r="J1233" s="1">
        <v>3</v>
      </c>
      <c r="K1233" s="1">
        <f t="shared" si="237"/>
        <v>13</v>
      </c>
      <c r="L1233" s="12">
        <f t="shared" si="241"/>
        <v>0.37142857142857144</v>
      </c>
      <c r="M1233" s="1">
        <v>4</v>
      </c>
      <c r="N1233" s="1">
        <v>3</v>
      </c>
      <c r="O1233" s="1">
        <v>3</v>
      </c>
      <c r="P1233" s="1">
        <v>3</v>
      </c>
      <c r="Q1233" s="1">
        <f t="shared" si="238"/>
        <v>13</v>
      </c>
      <c r="R1233" s="12">
        <f t="shared" si="242"/>
        <v>0.37142857142857144</v>
      </c>
      <c r="S1233" s="1">
        <v>7</v>
      </c>
      <c r="T1233" s="1">
        <v>3</v>
      </c>
      <c r="U1233" s="1">
        <f t="shared" si="239"/>
        <v>10</v>
      </c>
      <c r="V1233" s="12">
        <f t="shared" si="243"/>
        <v>0.66666666666666663</v>
      </c>
      <c r="W1233" s="1">
        <v>2</v>
      </c>
      <c r="X1233" s="1">
        <v>1</v>
      </c>
      <c r="Y1233" s="1">
        <v>1</v>
      </c>
      <c r="Z1233" s="1">
        <f t="shared" si="240"/>
        <v>4</v>
      </c>
      <c r="AA1233" s="12">
        <f t="shared" si="244"/>
        <v>0.26666666666666666</v>
      </c>
      <c r="AB1233" s="2" t="s">
        <v>118</v>
      </c>
    </row>
    <row r="1234" spans="1:28" x14ac:dyDescent="0.25">
      <c r="A1234" s="1" t="s">
        <v>1681</v>
      </c>
      <c r="B1234" s="1" t="s">
        <v>35</v>
      </c>
      <c r="C1234" s="1" t="s">
        <v>36</v>
      </c>
      <c r="D1234" s="1">
        <v>19</v>
      </c>
      <c r="E1234" s="1">
        <v>1</v>
      </c>
      <c r="F1234" s="1">
        <v>3</v>
      </c>
      <c r="G1234" s="1">
        <v>7</v>
      </c>
      <c r="H1234" s="1">
        <v>7</v>
      </c>
      <c r="I1234" s="1">
        <v>7</v>
      </c>
      <c r="J1234" s="1">
        <v>5</v>
      </c>
      <c r="K1234" s="1">
        <f t="shared" si="237"/>
        <v>26</v>
      </c>
      <c r="L1234" s="12">
        <f t="shared" si="241"/>
        <v>0.74285714285714288</v>
      </c>
      <c r="M1234" s="1">
        <v>7</v>
      </c>
      <c r="N1234" s="1">
        <v>6</v>
      </c>
      <c r="O1234" s="1">
        <v>7</v>
      </c>
      <c r="P1234" s="1">
        <v>5</v>
      </c>
      <c r="Q1234" s="1">
        <f t="shared" si="238"/>
        <v>25</v>
      </c>
      <c r="R1234" s="12">
        <f t="shared" si="242"/>
        <v>0.7142857142857143</v>
      </c>
      <c r="S1234" s="1">
        <v>6</v>
      </c>
      <c r="T1234" s="1">
        <v>3</v>
      </c>
      <c r="U1234" s="1">
        <f t="shared" si="239"/>
        <v>9</v>
      </c>
      <c r="V1234" s="12">
        <f t="shared" si="243"/>
        <v>0.6</v>
      </c>
      <c r="W1234" s="1">
        <v>4</v>
      </c>
      <c r="X1234" s="1">
        <v>3</v>
      </c>
      <c r="Y1234" s="1">
        <v>3</v>
      </c>
      <c r="Z1234" s="1">
        <f t="shared" si="240"/>
        <v>10</v>
      </c>
      <c r="AA1234" s="12">
        <f t="shared" si="244"/>
        <v>0.66666666666666663</v>
      </c>
      <c r="AB1234" s="2" t="s">
        <v>119</v>
      </c>
    </row>
    <row r="1235" spans="1:28" x14ac:dyDescent="0.25">
      <c r="A1235" s="1" t="s">
        <v>1681</v>
      </c>
      <c r="B1235" s="1" t="s">
        <v>576</v>
      </c>
      <c r="C1235" s="1" t="s">
        <v>861</v>
      </c>
      <c r="D1235" s="1">
        <v>24</v>
      </c>
      <c r="E1235" s="1">
        <v>1</v>
      </c>
      <c r="F1235" s="1">
        <v>4</v>
      </c>
      <c r="G1235" s="1">
        <v>5</v>
      </c>
      <c r="H1235" s="1">
        <v>7</v>
      </c>
      <c r="I1235" s="1">
        <v>4</v>
      </c>
      <c r="J1235" s="1">
        <v>5</v>
      </c>
      <c r="K1235" s="1">
        <f t="shared" si="237"/>
        <v>21</v>
      </c>
      <c r="L1235" s="12">
        <f t="shared" ref="L1235:L1240" si="245">K1235/40</f>
        <v>0.52500000000000002</v>
      </c>
      <c r="M1235" s="1">
        <v>4</v>
      </c>
      <c r="N1235" s="1">
        <v>3</v>
      </c>
      <c r="O1235" s="1">
        <v>4</v>
      </c>
      <c r="P1235" s="1">
        <v>4</v>
      </c>
      <c r="Q1235" s="1">
        <f t="shared" si="238"/>
        <v>15</v>
      </c>
      <c r="R1235" s="12">
        <f t="shared" ref="R1235:R1240" si="246">Q1235/40</f>
        <v>0.375</v>
      </c>
      <c r="S1235" s="1">
        <v>3</v>
      </c>
      <c r="T1235" s="1">
        <v>3</v>
      </c>
      <c r="U1235" s="1">
        <f t="shared" si="239"/>
        <v>6</v>
      </c>
      <c r="V1235" s="12">
        <f t="shared" ref="V1235:V1240" si="247">U1235/20</f>
        <v>0.3</v>
      </c>
      <c r="Z1235" s="1">
        <f t="shared" si="240"/>
        <v>0</v>
      </c>
      <c r="AB1235" s="2" t="s">
        <v>1414</v>
      </c>
    </row>
    <row r="1236" spans="1:28" x14ac:dyDescent="0.25">
      <c r="A1236" s="1" t="s">
        <v>1681</v>
      </c>
      <c r="B1236" s="1" t="s">
        <v>576</v>
      </c>
      <c r="C1236" s="1" t="s">
        <v>861</v>
      </c>
      <c r="D1236" s="1">
        <v>24</v>
      </c>
      <c r="E1236" s="1">
        <v>1</v>
      </c>
      <c r="F1236" s="1">
        <v>4</v>
      </c>
      <c r="G1236" s="1">
        <v>5</v>
      </c>
      <c r="H1236" s="1">
        <v>7</v>
      </c>
      <c r="I1236" s="1">
        <v>5</v>
      </c>
      <c r="J1236" s="1">
        <v>6</v>
      </c>
      <c r="K1236" s="1">
        <f t="shared" si="237"/>
        <v>23</v>
      </c>
      <c r="L1236" s="12">
        <f t="shared" si="245"/>
        <v>0.57499999999999996</v>
      </c>
      <c r="M1236" s="1">
        <v>6</v>
      </c>
      <c r="N1236" s="1">
        <v>5</v>
      </c>
      <c r="O1236" s="1">
        <v>6</v>
      </c>
      <c r="P1236" s="1">
        <v>5</v>
      </c>
      <c r="Q1236" s="1">
        <f t="shared" si="238"/>
        <v>22</v>
      </c>
      <c r="R1236" s="12">
        <f t="shared" si="246"/>
        <v>0.55000000000000004</v>
      </c>
      <c r="S1236" s="1">
        <v>4</v>
      </c>
      <c r="T1236" s="1">
        <v>3</v>
      </c>
      <c r="U1236" s="1">
        <f t="shared" si="239"/>
        <v>7</v>
      </c>
      <c r="V1236" s="12">
        <f t="shared" si="247"/>
        <v>0.35</v>
      </c>
      <c r="Z1236" s="1">
        <f t="shared" si="240"/>
        <v>0</v>
      </c>
      <c r="AB1236" s="2" t="s">
        <v>1415</v>
      </c>
    </row>
    <row r="1237" spans="1:28" x14ac:dyDescent="0.25">
      <c r="A1237" s="1" t="s">
        <v>1681</v>
      </c>
      <c r="B1237" s="1" t="s">
        <v>576</v>
      </c>
      <c r="C1237" s="1" t="s">
        <v>861</v>
      </c>
      <c r="D1237" s="1">
        <v>24</v>
      </c>
      <c r="E1237" s="1">
        <v>1</v>
      </c>
      <c r="F1237" s="1">
        <v>4</v>
      </c>
      <c r="G1237" s="1">
        <v>7</v>
      </c>
      <c r="H1237" s="1">
        <v>5</v>
      </c>
      <c r="I1237" s="1">
        <v>8</v>
      </c>
      <c r="J1237" s="1">
        <v>7</v>
      </c>
      <c r="K1237" s="1">
        <f t="shared" si="237"/>
        <v>27</v>
      </c>
      <c r="L1237" s="12">
        <f t="shared" si="245"/>
        <v>0.67500000000000004</v>
      </c>
      <c r="M1237" s="1">
        <v>7</v>
      </c>
      <c r="N1237" s="1">
        <v>7</v>
      </c>
      <c r="O1237" s="1">
        <v>8</v>
      </c>
      <c r="P1237" s="1">
        <v>8</v>
      </c>
      <c r="Q1237" s="1">
        <f t="shared" si="238"/>
        <v>30</v>
      </c>
      <c r="R1237" s="12">
        <f t="shared" si="246"/>
        <v>0.75</v>
      </c>
      <c r="S1237" s="1">
        <v>2</v>
      </c>
      <c r="T1237" s="1">
        <v>3</v>
      </c>
      <c r="U1237" s="1">
        <f t="shared" si="239"/>
        <v>5</v>
      </c>
      <c r="V1237" s="12">
        <f t="shared" si="247"/>
        <v>0.25</v>
      </c>
      <c r="Z1237" s="1">
        <f t="shared" si="240"/>
        <v>0</v>
      </c>
      <c r="AB1237" s="2" t="s">
        <v>1416</v>
      </c>
    </row>
    <row r="1238" spans="1:28" x14ac:dyDescent="0.25">
      <c r="A1238" s="1" t="s">
        <v>1681</v>
      </c>
      <c r="B1238" s="1" t="s">
        <v>576</v>
      </c>
      <c r="C1238" s="1" t="s">
        <v>861</v>
      </c>
      <c r="D1238" s="1">
        <v>24</v>
      </c>
      <c r="E1238" s="1">
        <v>1</v>
      </c>
      <c r="F1238" s="1">
        <v>4</v>
      </c>
      <c r="G1238" s="1">
        <v>6</v>
      </c>
      <c r="H1238" s="1">
        <v>5</v>
      </c>
      <c r="I1238" s="1">
        <v>7</v>
      </c>
      <c r="J1238" s="1">
        <v>5</v>
      </c>
      <c r="K1238" s="1">
        <f t="shared" si="237"/>
        <v>23</v>
      </c>
      <c r="L1238" s="12">
        <f t="shared" si="245"/>
        <v>0.57499999999999996</v>
      </c>
      <c r="M1238" s="1">
        <v>6</v>
      </c>
      <c r="N1238" s="1">
        <v>6</v>
      </c>
      <c r="O1238" s="1">
        <v>5</v>
      </c>
      <c r="P1238" s="1">
        <v>8</v>
      </c>
      <c r="Q1238" s="1">
        <f t="shared" si="238"/>
        <v>25</v>
      </c>
      <c r="R1238" s="12">
        <f t="shared" si="246"/>
        <v>0.625</v>
      </c>
      <c r="S1238" s="1">
        <v>5</v>
      </c>
      <c r="T1238" s="1">
        <v>2</v>
      </c>
      <c r="U1238" s="1">
        <f t="shared" si="239"/>
        <v>7</v>
      </c>
      <c r="V1238" s="12">
        <f t="shared" si="247"/>
        <v>0.35</v>
      </c>
      <c r="Z1238" s="1">
        <f t="shared" si="240"/>
        <v>0</v>
      </c>
      <c r="AB1238" s="2" t="s">
        <v>1417</v>
      </c>
    </row>
    <row r="1239" spans="1:28" x14ac:dyDescent="0.25">
      <c r="A1239" s="1" t="s">
        <v>1681</v>
      </c>
      <c r="B1239" s="1" t="s">
        <v>576</v>
      </c>
      <c r="C1239" s="1" t="s">
        <v>861</v>
      </c>
      <c r="D1239" s="1">
        <v>24</v>
      </c>
      <c r="E1239" s="1">
        <v>1</v>
      </c>
      <c r="F1239" s="1">
        <v>4</v>
      </c>
      <c r="G1239" s="1">
        <v>6</v>
      </c>
      <c r="H1239" s="1">
        <v>6</v>
      </c>
      <c r="I1239" s="1">
        <v>7</v>
      </c>
      <c r="J1239" s="1">
        <v>4</v>
      </c>
      <c r="K1239" s="1">
        <f t="shared" si="237"/>
        <v>23</v>
      </c>
      <c r="L1239" s="12">
        <f t="shared" si="245"/>
        <v>0.57499999999999996</v>
      </c>
      <c r="M1239" s="1">
        <v>8</v>
      </c>
      <c r="N1239" s="1">
        <v>7</v>
      </c>
      <c r="O1239" s="1">
        <v>7</v>
      </c>
      <c r="P1239" s="1">
        <v>7</v>
      </c>
      <c r="Q1239" s="1">
        <f t="shared" si="238"/>
        <v>29</v>
      </c>
      <c r="R1239" s="12">
        <f t="shared" si="246"/>
        <v>0.72499999999999998</v>
      </c>
      <c r="S1239" s="1">
        <v>3</v>
      </c>
      <c r="T1239" s="1">
        <v>1</v>
      </c>
      <c r="U1239" s="1">
        <f t="shared" si="239"/>
        <v>4</v>
      </c>
      <c r="V1239" s="12">
        <f t="shared" si="247"/>
        <v>0.2</v>
      </c>
      <c r="Z1239" s="1">
        <f t="shared" si="240"/>
        <v>0</v>
      </c>
      <c r="AB1239" s="2" t="s">
        <v>1418</v>
      </c>
    </row>
    <row r="1240" spans="1:28" x14ac:dyDescent="0.25">
      <c r="A1240" s="1" t="s">
        <v>1681</v>
      </c>
      <c r="B1240" s="1" t="s">
        <v>576</v>
      </c>
      <c r="C1240" s="1" t="s">
        <v>861</v>
      </c>
      <c r="D1240" s="1">
        <v>24</v>
      </c>
      <c r="E1240" s="1">
        <v>1</v>
      </c>
      <c r="F1240" s="1">
        <v>4</v>
      </c>
      <c r="G1240" s="1">
        <v>4</v>
      </c>
      <c r="H1240" s="1">
        <v>5</v>
      </c>
      <c r="I1240" s="1">
        <v>6</v>
      </c>
      <c r="J1240" s="1">
        <v>6</v>
      </c>
      <c r="K1240" s="1">
        <f t="shared" si="237"/>
        <v>21</v>
      </c>
      <c r="L1240" s="12">
        <f t="shared" si="245"/>
        <v>0.52500000000000002</v>
      </c>
      <c r="M1240" s="1">
        <v>6</v>
      </c>
      <c r="N1240" s="1">
        <v>7</v>
      </c>
      <c r="O1240" s="1">
        <v>8</v>
      </c>
      <c r="P1240" s="1">
        <v>7</v>
      </c>
      <c r="Q1240" s="1">
        <f t="shared" si="238"/>
        <v>28</v>
      </c>
      <c r="R1240" s="12">
        <f t="shared" si="246"/>
        <v>0.7</v>
      </c>
      <c r="S1240" s="1">
        <v>4</v>
      </c>
      <c r="T1240" s="1">
        <v>1</v>
      </c>
      <c r="U1240" s="1">
        <f t="shared" si="239"/>
        <v>5</v>
      </c>
      <c r="V1240" s="12">
        <f t="shared" si="247"/>
        <v>0.25</v>
      </c>
      <c r="Z1240" s="1">
        <f t="shared" si="240"/>
        <v>0</v>
      </c>
      <c r="AB1240" s="2" t="s">
        <v>1419</v>
      </c>
    </row>
    <row r="1241" spans="1:28" x14ac:dyDescent="0.25">
      <c r="A1241" s="1" t="s">
        <v>1682</v>
      </c>
      <c r="B1241" s="1" t="s">
        <v>35</v>
      </c>
      <c r="C1241" s="1" t="s">
        <v>36</v>
      </c>
      <c r="D1241" s="1">
        <v>19</v>
      </c>
      <c r="E1241" s="1">
        <v>1</v>
      </c>
      <c r="F1241" s="1">
        <v>2</v>
      </c>
      <c r="G1241" s="1">
        <v>5</v>
      </c>
      <c r="H1241" s="1">
        <v>5</v>
      </c>
      <c r="I1241" s="1">
        <v>5</v>
      </c>
      <c r="J1241" s="1">
        <v>4</v>
      </c>
      <c r="K1241" s="1">
        <f t="shared" si="237"/>
        <v>19</v>
      </c>
      <c r="L1241" s="12">
        <f t="shared" ref="L1241:L1262" si="248">K1241/35</f>
        <v>0.54285714285714282</v>
      </c>
      <c r="M1241" s="1">
        <v>5</v>
      </c>
      <c r="N1241" s="1">
        <v>5</v>
      </c>
      <c r="O1241" s="1">
        <v>5</v>
      </c>
      <c r="P1241" s="1">
        <v>4</v>
      </c>
      <c r="Q1241" s="1">
        <f t="shared" si="238"/>
        <v>19</v>
      </c>
      <c r="R1241" s="12">
        <f t="shared" ref="R1241:R1262" si="249">Q1241/35</f>
        <v>0.54285714285714282</v>
      </c>
      <c r="S1241" s="1">
        <v>5</v>
      </c>
      <c r="T1241" s="1">
        <v>4</v>
      </c>
      <c r="U1241" s="1">
        <f t="shared" si="239"/>
        <v>9</v>
      </c>
      <c r="V1241" s="12">
        <f t="shared" ref="V1241:V1262" si="250">U1241/15</f>
        <v>0.6</v>
      </c>
      <c r="W1241" s="1">
        <v>4</v>
      </c>
      <c r="X1241" s="1">
        <v>3</v>
      </c>
      <c r="Y1241" s="1">
        <v>3</v>
      </c>
      <c r="Z1241" s="1">
        <f t="shared" si="240"/>
        <v>10</v>
      </c>
      <c r="AA1241" s="12">
        <f t="shared" ref="AA1241:AA1262" si="251">Z1241/15</f>
        <v>0.66666666666666663</v>
      </c>
      <c r="AB1241" s="2" t="s">
        <v>85</v>
      </c>
    </row>
    <row r="1242" spans="1:28" x14ac:dyDescent="0.25">
      <c r="A1242" s="1" t="s">
        <v>1682</v>
      </c>
      <c r="B1242" s="1" t="s">
        <v>35</v>
      </c>
      <c r="C1242" s="1" t="s">
        <v>36</v>
      </c>
      <c r="D1242" s="1">
        <v>19</v>
      </c>
      <c r="E1242" s="1">
        <v>1</v>
      </c>
      <c r="F1242" s="1">
        <v>2</v>
      </c>
      <c r="G1242" s="1">
        <v>4</v>
      </c>
      <c r="H1242" s="1">
        <v>4</v>
      </c>
      <c r="I1242" s="1">
        <v>3</v>
      </c>
      <c r="J1242" s="1">
        <v>3</v>
      </c>
      <c r="K1242" s="1">
        <f t="shared" si="237"/>
        <v>14</v>
      </c>
      <c r="L1242" s="12">
        <f t="shared" si="248"/>
        <v>0.4</v>
      </c>
      <c r="M1242" s="1">
        <v>4</v>
      </c>
      <c r="N1242" s="1">
        <v>3</v>
      </c>
      <c r="O1242" s="1">
        <v>3</v>
      </c>
      <c r="P1242" s="1">
        <v>3</v>
      </c>
      <c r="Q1242" s="1">
        <f t="shared" si="238"/>
        <v>13</v>
      </c>
      <c r="R1242" s="12">
        <f t="shared" si="249"/>
        <v>0.37142857142857144</v>
      </c>
      <c r="S1242" s="1">
        <v>3</v>
      </c>
      <c r="T1242" s="1">
        <v>3</v>
      </c>
      <c r="U1242" s="1">
        <f t="shared" si="239"/>
        <v>6</v>
      </c>
      <c r="V1242" s="12">
        <f t="shared" si="250"/>
        <v>0.4</v>
      </c>
      <c r="W1242" s="1">
        <v>3</v>
      </c>
      <c r="X1242" s="1">
        <v>3</v>
      </c>
      <c r="Y1242" s="1">
        <v>3</v>
      </c>
      <c r="Z1242" s="1">
        <f t="shared" si="240"/>
        <v>9</v>
      </c>
      <c r="AA1242" s="12">
        <f t="shared" si="251"/>
        <v>0.6</v>
      </c>
      <c r="AB1242" s="2" t="s">
        <v>86</v>
      </c>
    </row>
    <row r="1243" spans="1:28" x14ac:dyDescent="0.25">
      <c r="A1243" s="1" t="s">
        <v>1682</v>
      </c>
      <c r="B1243" s="1" t="s">
        <v>35</v>
      </c>
      <c r="C1243" s="1" t="s">
        <v>36</v>
      </c>
      <c r="D1243" s="1">
        <v>19</v>
      </c>
      <c r="E1243" s="1">
        <v>1</v>
      </c>
      <c r="F1243" s="1">
        <v>2</v>
      </c>
      <c r="G1243" s="1">
        <v>5</v>
      </c>
      <c r="H1243" s="1">
        <v>5</v>
      </c>
      <c r="I1243" s="1">
        <v>5</v>
      </c>
      <c r="J1243" s="1">
        <v>5</v>
      </c>
      <c r="K1243" s="1">
        <f t="shared" si="237"/>
        <v>20</v>
      </c>
      <c r="L1243" s="12">
        <f t="shared" si="248"/>
        <v>0.5714285714285714</v>
      </c>
      <c r="M1243" s="1">
        <v>6</v>
      </c>
      <c r="N1243" s="1">
        <v>5</v>
      </c>
      <c r="O1243" s="1">
        <v>6</v>
      </c>
      <c r="P1243" s="1">
        <v>4</v>
      </c>
      <c r="Q1243" s="1">
        <f t="shared" si="238"/>
        <v>21</v>
      </c>
      <c r="R1243" s="12">
        <f t="shared" si="249"/>
        <v>0.6</v>
      </c>
      <c r="S1243" s="1">
        <v>6</v>
      </c>
      <c r="T1243" s="1">
        <v>5</v>
      </c>
      <c r="U1243" s="1">
        <f t="shared" si="239"/>
        <v>11</v>
      </c>
      <c r="V1243" s="12">
        <f t="shared" si="250"/>
        <v>0.73333333333333328</v>
      </c>
      <c r="W1243" s="1">
        <v>5</v>
      </c>
      <c r="X1243" s="1">
        <v>5</v>
      </c>
      <c r="Y1243" s="1">
        <v>5</v>
      </c>
      <c r="Z1243" s="1">
        <f t="shared" si="240"/>
        <v>15</v>
      </c>
      <c r="AA1243" s="12">
        <f t="shared" si="251"/>
        <v>1</v>
      </c>
      <c r="AB1243" s="2" t="s">
        <v>87</v>
      </c>
    </row>
    <row r="1244" spans="1:28" x14ac:dyDescent="0.25">
      <c r="A1244" s="1" t="s">
        <v>1682</v>
      </c>
      <c r="B1244" s="1" t="s">
        <v>35</v>
      </c>
      <c r="C1244" s="1" t="s">
        <v>36</v>
      </c>
      <c r="D1244" s="1">
        <v>19</v>
      </c>
      <c r="E1244" s="1">
        <v>1</v>
      </c>
      <c r="F1244" s="1">
        <v>2</v>
      </c>
      <c r="G1244" s="1">
        <v>4</v>
      </c>
      <c r="H1244" s="1">
        <v>4</v>
      </c>
      <c r="I1244" s="1">
        <v>4</v>
      </c>
      <c r="J1244" s="1">
        <v>4</v>
      </c>
      <c r="K1244" s="1">
        <f t="shared" si="237"/>
        <v>16</v>
      </c>
      <c r="L1244" s="12">
        <f t="shared" si="248"/>
        <v>0.45714285714285713</v>
      </c>
      <c r="M1244" s="1">
        <v>5</v>
      </c>
      <c r="N1244" s="1">
        <v>5</v>
      </c>
      <c r="O1244" s="1">
        <v>5</v>
      </c>
      <c r="P1244" s="1">
        <v>4</v>
      </c>
      <c r="Q1244" s="1">
        <f t="shared" si="238"/>
        <v>19</v>
      </c>
      <c r="R1244" s="12">
        <f t="shared" si="249"/>
        <v>0.54285714285714282</v>
      </c>
      <c r="S1244" s="1">
        <v>5</v>
      </c>
      <c r="T1244" s="1">
        <v>3</v>
      </c>
      <c r="U1244" s="1">
        <f t="shared" si="239"/>
        <v>8</v>
      </c>
      <c r="V1244" s="12">
        <f t="shared" si="250"/>
        <v>0.53333333333333333</v>
      </c>
      <c r="W1244" s="1">
        <v>4</v>
      </c>
      <c r="X1244" s="1">
        <v>3</v>
      </c>
      <c r="Y1244" s="1">
        <v>3</v>
      </c>
      <c r="Z1244" s="1">
        <f t="shared" si="240"/>
        <v>10</v>
      </c>
      <c r="AA1244" s="12">
        <f t="shared" si="251"/>
        <v>0.66666666666666663</v>
      </c>
      <c r="AB1244" s="2" t="s">
        <v>88</v>
      </c>
    </row>
    <row r="1245" spans="1:28" x14ac:dyDescent="0.25">
      <c r="A1245" s="1" t="s">
        <v>1682</v>
      </c>
      <c r="B1245" s="1" t="s">
        <v>35</v>
      </c>
      <c r="C1245" s="1" t="s">
        <v>36</v>
      </c>
      <c r="D1245" s="1">
        <v>19</v>
      </c>
      <c r="E1245" s="1">
        <v>1</v>
      </c>
      <c r="F1245" s="1">
        <v>2</v>
      </c>
      <c r="G1245" s="1">
        <v>4</v>
      </c>
      <c r="H1245" s="1">
        <v>4</v>
      </c>
      <c r="I1245" s="1">
        <v>4</v>
      </c>
      <c r="J1245" s="1">
        <v>4</v>
      </c>
      <c r="K1245" s="1">
        <f t="shared" si="237"/>
        <v>16</v>
      </c>
      <c r="L1245" s="12">
        <f t="shared" si="248"/>
        <v>0.45714285714285713</v>
      </c>
      <c r="M1245" s="1">
        <v>4</v>
      </c>
      <c r="N1245" s="1">
        <v>4</v>
      </c>
      <c r="O1245" s="1">
        <v>4</v>
      </c>
      <c r="P1245" s="1">
        <v>3</v>
      </c>
      <c r="Q1245" s="1">
        <f t="shared" si="238"/>
        <v>15</v>
      </c>
      <c r="R1245" s="12">
        <f t="shared" si="249"/>
        <v>0.42857142857142855</v>
      </c>
      <c r="S1245" s="1">
        <v>3</v>
      </c>
      <c r="T1245" s="1">
        <v>3</v>
      </c>
      <c r="U1245" s="1">
        <f t="shared" si="239"/>
        <v>6</v>
      </c>
      <c r="V1245" s="12">
        <f t="shared" si="250"/>
        <v>0.4</v>
      </c>
      <c r="W1245" s="1">
        <v>4</v>
      </c>
      <c r="X1245" s="1">
        <v>3</v>
      </c>
      <c r="Y1245" s="1">
        <v>4</v>
      </c>
      <c r="Z1245" s="1">
        <f t="shared" si="240"/>
        <v>11</v>
      </c>
      <c r="AA1245" s="12">
        <f t="shared" si="251"/>
        <v>0.73333333333333328</v>
      </c>
      <c r="AB1245" s="2" t="s">
        <v>89</v>
      </c>
    </row>
    <row r="1246" spans="1:28" x14ac:dyDescent="0.25">
      <c r="A1246" s="1" t="s">
        <v>1682</v>
      </c>
      <c r="B1246" s="1" t="s">
        <v>35</v>
      </c>
      <c r="C1246" s="1" t="s">
        <v>36</v>
      </c>
      <c r="D1246" s="1">
        <v>19</v>
      </c>
      <c r="E1246" s="1">
        <v>1</v>
      </c>
      <c r="F1246" s="1">
        <v>2</v>
      </c>
      <c r="G1246" s="1">
        <v>3</v>
      </c>
      <c r="H1246" s="1">
        <v>3</v>
      </c>
      <c r="I1246" s="1">
        <v>3</v>
      </c>
      <c r="J1246" s="1">
        <v>3</v>
      </c>
      <c r="K1246" s="1">
        <f t="shared" si="237"/>
        <v>12</v>
      </c>
      <c r="L1246" s="12">
        <f t="shared" si="248"/>
        <v>0.34285714285714286</v>
      </c>
      <c r="M1246" s="1">
        <v>4</v>
      </c>
      <c r="N1246" s="1">
        <v>3</v>
      </c>
      <c r="O1246" s="1">
        <v>3</v>
      </c>
      <c r="P1246" s="1">
        <v>3</v>
      </c>
      <c r="Q1246" s="1">
        <f t="shared" si="238"/>
        <v>13</v>
      </c>
      <c r="R1246" s="12">
        <f t="shared" si="249"/>
        <v>0.37142857142857144</v>
      </c>
      <c r="S1246" s="1">
        <v>3</v>
      </c>
      <c r="T1246" s="1">
        <v>3</v>
      </c>
      <c r="U1246" s="1">
        <f t="shared" si="239"/>
        <v>6</v>
      </c>
      <c r="V1246" s="12">
        <f t="shared" si="250"/>
        <v>0.4</v>
      </c>
      <c r="W1246" s="1">
        <v>3</v>
      </c>
      <c r="X1246" s="1">
        <v>3</v>
      </c>
      <c r="Y1246" s="1">
        <v>3</v>
      </c>
      <c r="Z1246" s="1">
        <f t="shared" si="240"/>
        <v>9</v>
      </c>
      <c r="AA1246" s="12">
        <f t="shared" si="251"/>
        <v>0.6</v>
      </c>
      <c r="AB1246" s="2" t="s">
        <v>90</v>
      </c>
    </row>
    <row r="1247" spans="1:28" x14ac:dyDescent="0.25">
      <c r="A1247" s="1" t="s">
        <v>1682</v>
      </c>
      <c r="B1247" s="1" t="s">
        <v>35</v>
      </c>
      <c r="C1247" s="1" t="s">
        <v>36</v>
      </c>
      <c r="D1247" s="1">
        <v>19</v>
      </c>
      <c r="E1247" s="1">
        <v>1</v>
      </c>
      <c r="F1247" s="1">
        <v>2</v>
      </c>
      <c r="G1247" s="1">
        <v>4</v>
      </c>
      <c r="H1247" s="1">
        <v>3</v>
      </c>
      <c r="I1247" s="1">
        <v>3</v>
      </c>
      <c r="J1247" s="1">
        <v>3</v>
      </c>
      <c r="K1247" s="1">
        <f t="shared" si="237"/>
        <v>13</v>
      </c>
      <c r="L1247" s="12">
        <f t="shared" si="248"/>
        <v>0.37142857142857144</v>
      </c>
      <c r="M1247" s="1">
        <v>3</v>
      </c>
      <c r="N1247" s="1">
        <v>3</v>
      </c>
      <c r="O1247" s="1">
        <v>3</v>
      </c>
      <c r="P1247" s="1">
        <v>3</v>
      </c>
      <c r="Q1247" s="1">
        <f t="shared" si="238"/>
        <v>12</v>
      </c>
      <c r="R1247" s="12">
        <f t="shared" si="249"/>
        <v>0.34285714285714286</v>
      </c>
      <c r="S1247" s="1">
        <v>3</v>
      </c>
      <c r="T1247" s="1">
        <v>3</v>
      </c>
      <c r="U1247" s="1">
        <f t="shared" si="239"/>
        <v>6</v>
      </c>
      <c r="V1247" s="12">
        <f t="shared" si="250"/>
        <v>0.4</v>
      </c>
      <c r="W1247" s="1">
        <v>2</v>
      </c>
      <c r="X1247" s="1">
        <v>2</v>
      </c>
      <c r="Y1247" s="1">
        <v>3</v>
      </c>
      <c r="Z1247" s="1">
        <f t="shared" si="240"/>
        <v>7</v>
      </c>
      <c r="AA1247" s="12">
        <f t="shared" si="251"/>
        <v>0.46666666666666667</v>
      </c>
      <c r="AB1247" s="2" t="s">
        <v>91</v>
      </c>
    </row>
    <row r="1248" spans="1:28" x14ac:dyDescent="0.25">
      <c r="A1248" s="1" t="s">
        <v>1682</v>
      </c>
      <c r="B1248" s="1" t="s">
        <v>35</v>
      </c>
      <c r="C1248" s="1" t="s">
        <v>36</v>
      </c>
      <c r="D1248" s="1">
        <v>19</v>
      </c>
      <c r="E1248" s="1">
        <v>1</v>
      </c>
      <c r="F1248" s="1">
        <v>2</v>
      </c>
      <c r="G1248" s="1">
        <v>5</v>
      </c>
      <c r="H1248" s="1">
        <v>5</v>
      </c>
      <c r="I1248" s="1">
        <v>5</v>
      </c>
      <c r="J1248" s="1">
        <v>4</v>
      </c>
      <c r="K1248" s="1">
        <f t="shared" si="237"/>
        <v>19</v>
      </c>
      <c r="L1248" s="12">
        <f t="shared" si="248"/>
        <v>0.54285714285714282</v>
      </c>
      <c r="M1248" s="1">
        <v>5</v>
      </c>
      <c r="N1248" s="1">
        <v>4</v>
      </c>
      <c r="O1248" s="1">
        <v>4</v>
      </c>
      <c r="P1248" s="1">
        <v>4</v>
      </c>
      <c r="Q1248" s="1">
        <f t="shared" si="238"/>
        <v>17</v>
      </c>
      <c r="R1248" s="12">
        <f t="shared" si="249"/>
        <v>0.48571428571428571</v>
      </c>
      <c r="S1248" s="1">
        <v>4</v>
      </c>
      <c r="T1248" s="1">
        <v>4</v>
      </c>
      <c r="U1248" s="1">
        <f t="shared" si="239"/>
        <v>8</v>
      </c>
      <c r="V1248" s="12">
        <f t="shared" si="250"/>
        <v>0.53333333333333333</v>
      </c>
      <c r="W1248" s="1">
        <v>3</v>
      </c>
      <c r="X1248" s="1">
        <v>3</v>
      </c>
      <c r="Y1248" s="1">
        <v>3</v>
      </c>
      <c r="Z1248" s="1">
        <f t="shared" si="240"/>
        <v>9</v>
      </c>
      <c r="AA1248" s="12">
        <f t="shared" si="251"/>
        <v>0.6</v>
      </c>
      <c r="AB1248" s="2" t="s">
        <v>92</v>
      </c>
    </row>
    <row r="1249" spans="1:28" x14ac:dyDescent="0.25">
      <c r="A1249" s="1" t="s">
        <v>1682</v>
      </c>
      <c r="B1249" s="1" t="s">
        <v>35</v>
      </c>
      <c r="C1249" s="1" t="s">
        <v>36</v>
      </c>
      <c r="D1249" s="1">
        <v>5</v>
      </c>
      <c r="E1249" s="1">
        <v>3</v>
      </c>
      <c r="F1249" s="1">
        <v>4</v>
      </c>
      <c r="G1249" s="1">
        <v>3</v>
      </c>
      <c r="H1249" s="1">
        <v>6</v>
      </c>
      <c r="I1249" s="1">
        <v>6</v>
      </c>
      <c r="J1249" s="1">
        <v>4</v>
      </c>
      <c r="K1249" s="1">
        <f t="shared" si="237"/>
        <v>19</v>
      </c>
      <c r="L1249" s="12">
        <f t="shared" si="248"/>
        <v>0.54285714285714282</v>
      </c>
      <c r="M1249" s="1">
        <v>4</v>
      </c>
      <c r="N1249" s="1">
        <v>4</v>
      </c>
      <c r="O1249" s="1">
        <v>5</v>
      </c>
      <c r="P1249" s="1">
        <v>3</v>
      </c>
      <c r="Q1249" s="1">
        <f t="shared" si="238"/>
        <v>16</v>
      </c>
      <c r="R1249" s="12">
        <f t="shared" si="249"/>
        <v>0.45714285714285713</v>
      </c>
      <c r="S1249" s="1">
        <v>5</v>
      </c>
      <c r="T1249" s="1">
        <v>4</v>
      </c>
      <c r="U1249" s="1">
        <f t="shared" si="239"/>
        <v>9</v>
      </c>
      <c r="V1249" s="12">
        <f t="shared" si="250"/>
        <v>0.6</v>
      </c>
      <c r="W1249" s="1">
        <v>4</v>
      </c>
      <c r="X1249" s="1">
        <v>4</v>
      </c>
      <c r="Y1249" s="1">
        <v>4</v>
      </c>
      <c r="Z1249" s="1">
        <f t="shared" si="240"/>
        <v>12</v>
      </c>
      <c r="AA1249" s="12">
        <f t="shared" si="251"/>
        <v>0.8</v>
      </c>
      <c r="AB1249" s="2" t="s">
        <v>518</v>
      </c>
    </row>
    <row r="1250" spans="1:28" x14ac:dyDescent="0.25">
      <c r="A1250" s="1" t="s">
        <v>1682</v>
      </c>
      <c r="B1250" s="1" t="s">
        <v>35</v>
      </c>
      <c r="C1250" s="1" t="s">
        <v>36</v>
      </c>
      <c r="D1250" s="1">
        <v>5</v>
      </c>
      <c r="E1250" s="1">
        <v>3</v>
      </c>
      <c r="F1250" s="1">
        <v>4</v>
      </c>
      <c r="G1250" s="1">
        <v>6</v>
      </c>
      <c r="H1250" s="1">
        <v>6</v>
      </c>
      <c r="I1250" s="1">
        <v>6</v>
      </c>
      <c r="J1250" s="1">
        <v>4</v>
      </c>
      <c r="K1250" s="1">
        <f t="shared" si="237"/>
        <v>22</v>
      </c>
      <c r="L1250" s="12">
        <f t="shared" si="248"/>
        <v>0.62857142857142856</v>
      </c>
      <c r="M1250" s="1">
        <v>5</v>
      </c>
      <c r="N1250" s="1">
        <v>4</v>
      </c>
      <c r="O1250" s="1">
        <v>6</v>
      </c>
      <c r="P1250" s="1">
        <v>4</v>
      </c>
      <c r="Q1250" s="1">
        <f t="shared" si="238"/>
        <v>19</v>
      </c>
      <c r="R1250" s="12">
        <f t="shared" si="249"/>
        <v>0.54285714285714282</v>
      </c>
      <c r="S1250" s="1">
        <v>6</v>
      </c>
      <c r="T1250" s="1">
        <v>4</v>
      </c>
      <c r="U1250" s="1">
        <f t="shared" si="239"/>
        <v>10</v>
      </c>
      <c r="V1250" s="12">
        <f t="shared" si="250"/>
        <v>0.66666666666666663</v>
      </c>
      <c r="W1250" s="1">
        <v>3</v>
      </c>
      <c r="X1250" s="1">
        <v>3</v>
      </c>
      <c r="Y1250" s="1">
        <v>3</v>
      </c>
      <c r="Z1250" s="1">
        <f t="shared" si="240"/>
        <v>9</v>
      </c>
      <c r="AA1250" s="12">
        <f t="shared" si="251"/>
        <v>0.6</v>
      </c>
      <c r="AB1250" s="2" t="s">
        <v>519</v>
      </c>
    </row>
    <row r="1251" spans="1:28" x14ac:dyDescent="0.25">
      <c r="A1251" s="1" t="s">
        <v>1682</v>
      </c>
      <c r="B1251" s="1" t="s">
        <v>35</v>
      </c>
      <c r="C1251" s="1" t="s">
        <v>36</v>
      </c>
      <c r="D1251" s="1">
        <v>5</v>
      </c>
      <c r="E1251" s="1">
        <v>3</v>
      </c>
      <c r="F1251" s="1">
        <v>4</v>
      </c>
      <c r="G1251" s="1">
        <v>6</v>
      </c>
      <c r="H1251" s="1">
        <v>6</v>
      </c>
      <c r="I1251" s="1">
        <v>7</v>
      </c>
      <c r="J1251" s="1">
        <v>4</v>
      </c>
      <c r="K1251" s="1">
        <f t="shared" si="237"/>
        <v>23</v>
      </c>
      <c r="L1251" s="12">
        <f t="shared" si="248"/>
        <v>0.65714285714285714</v>
      </c>
      <c r="M1251" s="1">
        <v>4</v>
      </c>
      <c r="N1251" s="1">
        <v>5</v>
      </c>
      <c r="O1251" s="1">
        <v>6</v>
      </c>
      <c r="P1251" s="1">
        <v>4</v>
      </c>
      <c r="Q1251" s="1">
        <f t="shared" si="238"/>
        <v>19</v>
      </c>
      <c r="R1251" s="12">
        <f t="shared" si="249"/>
        <v>0.54285714285714282</v>
      </c>
      <c r="S1251" s="1">
        <v>6</v>
      </c>
      <c r="T1251" s="1">
        <v>4</v>
      </c>
      <c r="U1251" s="1">
        <f t="shared" si="239"/>
        <v>10</v>
      </c>
      <c r="V1251" s="12">
        <f t="shared" si="250"/>
        <v>0.66666666666666663</v>
      </c>
      <c r="W1251" s="1">
        <v>4</v>
      </c>
      <c r="X1251" s="1">
        <v>4</v>
      </c>
      <c r="Y1251" s="1">
        <v>4</v>
      </c>
      <c r="Z1251" s="1">
        <f t="shared" si="240"/>
        <v>12</v>
      </c>
      <c r="AA1251" s="12">
        <f t="shared" si="251"/>
        <v>0.8</v>
      </c>
      <c r="AB1251" s="2" t="s">
        <v>520</v>
      </c>
    </row>
    <row r="1252" spans="1:28" x14ac:dyDescent="0.25">
      <c r="A1252" s="1" t="s">
        <v>1682</v>
      </c>
      <c r="B1252" s="1" t="s">
        <v>35</v>
      </c>
      <c r="C1252" s="1" t="s">
        <v>36</v>
      </c>
      <c r="D1252" s="1">
        <v>5</v>
      </c>
      <c r="E1252" s="1">
        <v>3</v>
      </c>
      <c r="F1252" s="1">
        <v>4</v>
      </c>
      <c r="G1252" s="1">
        <v>7</v>
      </c>
      <c r="H1252" s="1">
        <v>6</v>
      </c>
      <c r="I1252" s="1">
        <v>7</v>
      </c>
      <c r="J1252" s="1">
        <v>5</v>
      </c>
      <c r="K1252" s="1">
        <f t="shared" si="237"/>
        <v>25</v>
      </c>
      <c r="L1252" s="12">
        <f t="shared" si="248"/>
        <v>0.7142857142857143</v>
      </c>
      <c r="M1252" s="1">
        <v>7</v>
      </c>
      <c r="N1252" s="1">
        <v>5</v>
      </c>
      <c r="O1252" s="1">
        <v>7</v>
      </c>
      <c r="P1252" s="1">
        <v>4</v>
      </c>
      <c r="Q1252" s="1">
        <f t="shared" si="238"/>
        <v>23</v>
      </c>
      <c r="R1252" s="12">
        <f t="shared" si="249"/>
        <v>0.65714285714285714</v>
      </c>
      <c r="S1252" s="1">
        <v>7</v>
      </c>
      <c r="T1252" s="1">
        <v>4</v>
      </c>
      <c r="U1252" s="1">
        <f t="shared" si="239"/>
        <v>11</v>
      </c>
      <c r="V1252" s="12">
        <f t="shared" si="250"/>
        <v>0.73333333333333328</v>
      </c>
      <c r="W1252" s="1">
        <v>5</v>
      </c>
      <c r="X1252" s="1">
        <v>5</v>
      </c>
      <c r="Y1252" s="1">
        <v>5</v>
      </c>
      <c r="Z1252" s="1">
        <f t="shared" si="240"/>
        <v>15</v>
      </c>
      <c r="AA1252" s="12">
        <f t="shared" si="251"/>
        <v>1</v>
      </c>
      <c r="AB1252" s="2" t="s">
        <v>521</v>
      </c>
    </row>
    <row r="1253" spans="1:28" x14ac:dyDescent="0.25">
      <c r="A1253" s="1" t="s">
        <v>1682</v>
      </c>
      <c r="B1253" s="1" t="s">
        <v>35</v>
      </c>
      <c r="C1253" s="1" t="s">
        <v>36</v>
      </c>
      <c r="D1253" s="1">
        <v>5</v>
      </c>
      <c r="E1253" s="1">
        <v>3</v>
      </c>
      <c r="F1253" s="1">
        <v>4</v>
      </c>
      <c r="G1253" s="1">
        <v>6</v>
      </c>
      <c r="H1253" s="1">
        <v>7</v>
      </c>
      <c r="I1253" s="1">
        <v>7</v>
      </c>
      <c r="J1253" s="1">
        <v>5</v>
      </c>
      <c r="K1253" s="1">
        <f t="shared" si="237"/>
        <v>25</v>
      </c>
      <c r="L1253" s="12">
        <f t="shared" si="248"/>
        <v>0.7142857142857143</v>
      </c>
      <c r="M1253" s="1">
        <v>7</v>
      </c>
      <c r="N1253" s="1">
        <v>5</v>
      </c>
      <c r="O1253" s="1">
        <v>6</v>
      </c>
      <c r="P1253" s="1">
        <v>5</v>
      </c>
      <c r="Q1253" s="1">
        <f t="shared" si="238"/>
        <v>23</v>
      </c>
      <c r="R1253" s="12">
        <f t="shared" si="249"/>
        <v>0.65714285714285714</v>
      </c>
      <c r="S1253" s="1">
        <v>7</v>
      </c>
      <c r="T1253" s="1">
        <v>5</v>
      </c>
      <c r="U1253" s="1">
        <f t="shared" si="239"/>
        <v>12</v>
      </c>
      <c r="V1253" s="12">
        <f t="shared" si="250"/>
        <v>0.8</v>
      </c>
      <c r="W1253" s="1">
        <v>4</v>
      </c>
      <c r="X1253" s="1">
        <v>5</v>
      </c>
      <c r="Y1253" s="1">
        <v>4</v>
      </c>
      <c r="Z1253" s="1">
        <f t="shared" si="240"/>
        <v>13</v>
      </c>
      <c r="AA1253" s="12">
        <f t="shared" si="251"/>
        <v>0.8666666666666667</v>
      </c>
      <c r="AB1253" s="2" t="s">
        <v>522</v>
      </c>
    </row>
    <row r="1254" spans="1:28" x14ac:dyDescent="0.25">
      <c r="A1254" s="1" t="s">
        <v>1682</v>
      </c>
      <c r="B1254" s="1" t="s">
        <v>35</v>
      </c>
      <c r="C1254" s="1" t="s">
        <v>36</v>
      </c>
      <c r="D1254" s="1">
        <v>5</v>
      </c>
      <c r="E1254" s="1">
        <v>3</v>
      </c>
      <c r="F1254" s="1">
        <v>4</v>
      </c>
      <c r="G1254" s="1">
        <v>7</v>
      </c>
      <c r="H1254" s="1">
        <v>6</v>
      </c>
      <c r="I1254" s="1">
        <v>7</v>
      </c>
      <c r="J1254" s="1">
        <v>5</v>
      </c>
      <c r="K1254" s="1">
        <f t="shared" si="237"/>
        <v>25</v>
      </c>
      <c r="L1254" s="12">
        <f t="shared" si="248"/>
        <v>0.7142857142857143</v>
      </c>
      <c r="M1254" s="1">
        <v>6</v>
      </c>
      <c r="N1254" s="1">
        <v>6</v>
      </c>
      <c r="O1254" s="1">
        <v>5</v>
      </c>
      <c r="P1254" s="1">
        <v>4</v>
      </c>
      <c r="Q1254" s="1">
        <f t="shared" si="238"/>
        <v>21</v>
      </c>
      <c r="R1254" s="12">
        <f t="shared" si="249"/>
        <v>0.6</v>
      </c>
      <c r="S1254" s="1">
        <v>6</v>
      </c>
      <c r="T1254" s="1">
        <v>4</v>
      </c>
      <c r="U1254" s="1">
        <f t="shared" si="239"/>
        <v>10</v>
      </c>
      <c r="V1254" s="12">
        <f t="shared" si="250"/>
        <v>0.66666666666666663</v>
      </c>
      <c r="W1254" s="1">
        <v>4</v>
      </c>
      <c r="X1254" s="1">
        <v>4</v>
      </c>
      <c r="Y1254" s="1">
        <v>4</v>
      </c>
      <c r="Z1254" s="1">
        <f t="shared" si="240"/>
        <v>12</v>
      </c>
      <c r="AA1254" s="12">
        <f t="shared" si="251"/>
        <v>0.8</v>
      </c>
      <c r="AB1254" s="2" t="s">
        <v>523</v>
      </c>
    </row>
    <row r="1255" spans="1:28" x14ac:dyDescent="0.25">
      <c r="A1255" s="1" t="s">
        <v>1682</v>
      </c>
      <c r="B1255" s="1" t="s">
        <v>35</v>
      </c>
      <c r="C1255" s="1" t="s">
        <v>36</v>
      </c>
      <c r="D1255" s="1">
        <v>5</v>
      </c>
      <c r="E1255" s="1">
        <v>3</v>
      </c>
      <c r="F1255" s="1">
        <v>4</v>
      </c>
      <c r="G1255" s="1">
        <v>6</v>
      </c>
      <c r="H1255" s="1">
        <v>7</v>
      </c>
      <c r="I1255" s="1">
        <v>6</v>
      </c>
      <c r="J1255" s="1">
        <v>4</v>
      </c>
      <c r="K1255" s="1">
        <f t="shared" si="237"/>
        <v>23</v>
      </c>
      <c r="L1255" s="12">
        <f t="shared" si="248"/>
        <v>0.65714285714285714</v>
      </c>
      <c r="M1255" s="1">
        <v>6</v>
      </c>
      <c r="N1255" s="1">
        <v>6</v>
      </c>
      <c r="O1255" s="1">
        <v>6</v>
      </c>
      <c r="P1255" s="1">
        <v>4</v>
      </c>
      <c r="Q1255" s="1">
        <f t="shared" si="238"/>
        <v>22</v>
      </c>
      <c r="R1255" s="12">
        <f t="shared" si="249"/>
        <v>0.62857142857142856</v>
      </c>
      <c r="S1255" s="1">
        <v>4</v>
      </c>
      <c r="T1255" s="1">
        <v>4</v>
      </c>
      <c r="U1255" s="1">
        <f t="shared" si="239"/>
        <v>8</v>
      </c>
      <c r="V1255" s="12">
        <f t="shared" si="250"/>
        <v>0.53333333333333333</v>
      </c>
      <c r="W1255" s="1">
        <v>4</v>
      </c>
      <c r="X1255" s="1">
        <v>3</v>
      </c>
      <c r="Y1255" s="1">
        <v>3</v>
      </c>
      <c r="Z1255" s="1">
        <f t="shared" si="240"/>
        <v>10</v>
      </c>
      <c r="AA1255" s="12">
        <f t="shared" si="251"/>
        <v>0.66666666666666663</v>
      </c>
      <c r="AB1255" s="2" t="s">
        <v>524</v>
      </c>
    </row>
    <row r="1256" spans="1:28" x14ac:dyDescent="0.25">
      <c r="A1256" s="1" t="s">
        <v>1682</v>
      </c>
      <c r="B1256" s="1" t="s">
        <v>35</v>
      </c>
      <c r="C1256" s="1" t="s">
        <v>36</v>
      </c>
      <c r="D1256" s="1">
        <v>5</v>
      </c>
      <c r="E1256" s="1">
        <v>3</v>
      </c>
      <c r="F1256" s="1">
        <v>4</v>
      </c>
      <c r="G1256" s="1">
        <v>6</v>
      </c>
      <c r="H1256" s="1">
        <v>6</v>
      </c>
      <c r="I1256" s="1">
        <v>6</v>
      </c>
      <c r="J1256" s="1">
        <v>3</v>
      </c>
      <c r="K1256" s="1">
        <f t="shared" si="237"/>
        <v>21</v>
      </c>
      <c r="L1256" s="12">
        <f t="shared" si="248"/>
        <v>0.6</v>
      </c>
      <c r="M1256" s="1">
        <v>6</v>
      </c>
      <c r="N1256" s="1">
        <v>7</v>
      </c>
      <c r="O1256" s="1">
        <v>6</v>
      </c>
      <c r="P1256" s="1">
        <v>4</v>
      </c>
      <c r="Q1256" s="1">
        <f t="shared" si="238"/>
        <v>23</v>
      </c>
      <c r="R1256" s="12">
        <f t="shared" si="249"/>
        <v>0.65714285714285714</v>
      </c>
      <c r="S1256" s="1">
        <v>6</v>
      </c>
      <c r="T1256" s="1">
        <v>4</v>
      </c>
      <c r="U1256" s="1">
        <f t="shared" si="239"/>
        <v>10</v>
      </c>
      <c r="V1256" s="12">
        <f t="shared" si="250"/>
        <v>0.66666666666666663</v>
      </c>
      <c r="W1256" s="1">
        <v>4</v>
      </c>
      <c r="X1256" s="1">
        <v>5</v>
      </c>
      <c r="Y1256" s="1">
        <v>5</v>
      </c>
      <c r="Z1256" s="1">
        <f t="shared" si="240"/>
        <v>14</v>
      </c>
      <c r="AA1256" s="12">
        <f t="shared" si="251"/>
        <v>0.93333333333333335</v>
      </c>
      <c r="AB1256" s="2" t="s">
        <v>525</v>
      </c>
    </row>
    <row r="1257" spans="1:28" x14ac:dyDescent="0.25">
      <c r="A1257" s="1" t="s">
        <v>1682</v>
      </c>
      <c r="B1257" s="1" t="s">
        <v>576</v>
      </c>
      <c r="C1257" s="1" t="s">
        <v>36</v>
      </c>
      <c r="D1257" s="1">
        <v>26</v>
      </c>
      <c r="E1257" s="1">
        <v>1</v>
      </c>
      <c r="F1257" s="1">
        <v>4</v>
      </c>
      <c r="G1257" s="1">
        <v>4</v>
      </c>
      <c r="H1257" s="1">
        <v>4</v>
      </c>
      <c r="I1257" s="1">
        <v>4</v>
      </c>
      <c r="J1257" s="1">
        <v>3</v>
      </c>
      <c r="K1257" s="1">
        <f t="shared" si="237"/>
        <v>15</v>
      </c>
      <c r="L1257" s="12">
        <f t="shared" si="248"/>
        <v>0.42857142857142855</v>
      </c>
      <c r="M1257" s="1">
        <v>4</v>
      </c>
      <c r="N1257" s="1">
        <v>4</v>
      </c>
      <c r="O1257" s="1">
        <v>4</v>
      </c>
      <c r="P1257" s="1">
        <v>3</v>
      </c>
      <c r="Q1257" s="1">
        <f t="shared" si="238"/>
        <v>15</v>
      </c>
      <c r="R1257" s="12">
        <f t="shared" si="249"/>
        <v>0.42857142857142855</v>
      </c>
      <c r="S1257" s="1">
        <v>4</v>
      </c>
      <c r="T1257" s="1">
        <v>3</v>
      </c>
      <c r="U1257" s="1">
        <f t="shared" si="239"/>
        <v>7</v>
      </c>
      <c r="V1257" s="12">
        <f t="shared" si="250"/>
        <v>0.46666666666666667</v>
      </c>
      <c r="W1257" s="1">
        <v>3</v>
      </c>
      <c r="X1257" s="1">
        <v>3</v>
      </c>
      <c r="Y1257" s="1">
        <v>3</v>
      </c>
      <c r="Z1257" s="1">
        <f t="shared" si="240"/>
        <v>9</v>
      </c>
      <c r="AA1257" s="12">
        <f t="shared" si="251"/>
        <v>0.6</v>
      </c>
      <c r="AB1257" s="2" t="s">
        <v>641</v>
      </c>
    </row>
    <row r="1258" spans="1:28" x14ac:dyDescent="0.25">
      <c r="A1258" s="1" t="s">
        <v>1682</v>
      </c>
      <c r="B1258" s="1" t="s">
        <v>576</v>
      </c>
      <c r="C1258" s="1" t="s">
        <v>36</v>
      </c>
      <c r="D1258" s="1">
        <v>26</v>
      </c>
      <c r="E1258" s="1">
        <v>1</v>
      </c>
      <c r="F1258" s="1">
        <v>4</v>
      </c>
      <c r="G1258" s="1">
        <v>5</v>
      </c>
      <c r="H1258" s="1">
        <v>4</v>
      </c>
      <c r="I1258" s="1">
        <v>5</v>
      </c>
      <c r="J1258" s="1">
        <v>4</v>
      </c>
      <c r="K1258" s="1">
        <f t="shared" si="237"/>
        <v>18</v>
      </c>
      <c r="L1258" s="12">
        <f t="shared" si="248"/>
        <v>0.51428571428571423</v>
      </c>
      <c r="M1258" s="1">
        <v>5</v>
      </c>
      <c r="N1258" s="1">
        <v>5</v>
      </c>
      <c r="O1258" s="1">
        <v>5</v>
      </c>
      <c r="P1258" s="1">
        <v>4</v>
      </c>
      <c r="Q1258" s="1">
        <f t="shared" si="238"/>
        <v>19</v>
      </c>
      <c r="R1258" s="12">
        <f t="shared" si="249"/>
        <v>0.54285714285714282</v>
      </c>
      <c r="S1258" s="1">
        <v>5</v>
      </c>
      <c r="T1258" s="1">
        <v>4</v>
      </c>
      <c r="U1258" s="1">
        <f t="shared" si="239"/>
        <v>9</v>
      </c>
      <c r="V1258" s="12">
        <f t="shared" si="250"/>
        <v>0.6</v>
      </c>
      <c r="W1258" s="1">
        <v>4</v>
      </c>
      <c r="X1258" s="1">
        <v>4</v>
      </c>
      <c r="Y1258" s="1">
        <v>4</v>
      </c>
      <c r="Z1258" s="1">
        <f t="shared" si="240"/>
        <v>12</v>
      </c>
      <c r="AA1258" s="12">
        <f t="shared" si="251"/>
        <v>0.8</v>
      </c>
      <c r="AB1258" s="2" t="s">
        <v>642</v>
      </c>
    </row>
    <row r="1259" spans="1:28" x14ac:dyDescent="0.25">
      <c r="A1259" s="1" t="s">
        <v>1682</v>
      </c>
      <c r="B1259" s="1" t="s">
        <v>576</v>
      </c>
      <c r="C1259" s="1" t="s">
        <v>36</v>
      </c>
      <c r="D1259" s="1">
        <v>26</v>
      </c>
      <c r="E1259" s="1">
        <v>1</v>
      </c>
      <c r="F1259" s="1">
        <v>4</v>
      </c>
      <c r="G1259" s="1">
        <v>5</v>
      </c>
      <c r="H1259" s="1">
        <v>5</v>
      </c>
      <c r="I1259" s="1">
        <v>5</v>
      </c>
      <c r="J1259" s="1">
        <v>4</v>
      </c>
      <c r="K1259" s="1">
        <f t="shared" si="237"/>
        <v>19</v>
      </c>
      <c r="L1259" s="12">
        <f t="shared" si="248"/>
        <v>0.54285714285714282</v>
      </c>
      <c r="M1259" s="1">
        <v>5</v>
      </c>
      <c r="N1259" s="1">
        <v>5</v>
      </c>
      <c r="O1259" s="1">
        <v>5</v>
      </c>
      <c r="P1259" s="1">
        <v>4</v>
      </c>
      <c r="Q1259" s="1">
        <f t="shared" si="238"/>
        <v>19</v>
      </c>
      <c r="R1259" s="12">
        <f t="shared" si="249"/>
        <v>0.54285714285714282</v>
      </c>
      <c r="S1259" s="1">
        <v>5</v>
      </c>
      <c r="T1259" s="1">
        <v>4</v>
      </c>
      <c r="U1259" s="1">
        <f t="shared" si="239"/>
        <v>9</v>
      </c>
      <c r="V1259" s="12">
        <f t="shared" si="250"/>
        <v>0.6</v>
      </c>
      <c r="W1259" s="1">
        <v>4</v>
      </c>
      <c r="X1259" s="1">
        <v>4</v>
      </c>
      <c r="Y1259" s="1">
        <v>5</v>
      </c>
      <c r="Z1259" s="1">
        <f t="shared" si="240"/>
        <v>13</v>
      </c>
      <c r="AA1259" s="12">
        <f t="shared" si="251"/>
        <v>0.8666666666666667</v>
      </c>
      <c r="AB1259" s="2" t="s">
        <v>643</v>
      </c>
    </row>
    <row r="1260" spans="1:28" x14ac:dyDescent="0.25">
      <c r="A1260" s="1" t="s">
        <v>1682</v>
      </c>
      <c r="B1260" s="1" t="s">
        <v>576</v>
      </c>
      <c r="C1260" s="1" t="s">
        <v>36</v>
      </c>
      <c r="D1260" s="1">
        <v>26</v>
      </c>
      <c r="E1260" s="1">
        <v>1</v>
      </c>
      <c r="F1260" s="1">
        <v>4</v>
      </c>
      <c r="G1260" s="1">
        <v>4</v>
      </c>
      <c r="H1260" s="1">
        <v>4</v>
      </c>
      <c r="I1260" s="1">
        <v>5</v>
      </c>
      <c r="J1260" s="1">
        <v>4</v>
      </c>
      <c r="K1260" s="1">
        <f t="shared" si="237"/>
        <v>17</v>
      </c>
      <c r="L1260" s="12">
        <f t="shared" si="248"/>
        <v>0.48571428571428571</v>
      </c>
      <c r="M1260" s="1">
        <v>5</v>
      </c>
      <c r="N1260" s="1">
        <v>5</v>
      </c>
      <c r="O1260" s="1">
        <v>4</v>
      </c>
      <c r="P1260" s="1">
        <v>4</v>
      </c>
      <c r="Q1260" s="1">
        <f t="shared" si="238"/>
        <v>18</v>
      </c>
      <c r="R1260" s="12">
        <f t="shared" si="249"/>
        <v>0.51428571428571423</v>
      </c>
      <c r="S1260" s="1">
        <v>5</v>
      </c>
      <c r="T1260" s="1">
        <v>4</v>
      </c>
      <c r="U1260" s="1">
        <f t="shared" si="239"/>
        <v>9</v>
      </c>
      <c r="V1260" s="12">
        <f t="shared" si="250"/>
        <v>0.6</v>
      </c>
      <c r="W1260" s="1">
        <v>4</v>
      </c>
      <c r="X1260" s="1">
        <v>4</v>
      </c>
      <c r="Y1260" s="1">
        <v>4</v>
      </c>
      <c r="Z1260" s="1">
        <f t="shared" si="240"/>
        <v>12</v>
      </c>
      <c r="AA1260" s="12">
        <f t="shared" si="251"/>
        <v>0.8</v>
      </c>
      <c r="AB1260" s="2" t="s">
        <v>644</v>
      </c>
    </row>
    <row r="1261" spans="1:28" x14ac:dyDescent="0.25">
      <c r="A1261" s="1" t="s">
        <v>1682</v>
      </c>
      <c r="B1261" s="1" t="s">
        <v>576</v>
      </c>
      <c r="C1261" s="1" t="s">
        <v>36</v>
      </c>
      <c r="D1261" s="1">
        <v>26</v>
      </c>
      <c r="E1261" s="1">
        <v>1</v>
      </c>
      <c r="F1261" s="1">
        <v>4</v>
      </c>
      <c r="G1261" s="1">
        <v>4</v>
      </c>
      <c r="H1261" s="1">
        <v>4</v>
      </c>
      <c r="I1261" s="1">
        <v>4</v>
      </c>
      <c r="J1261" s="1">
        <v>4</v>
      </c>
      <c r="K1261" s="1">
        <f t="shared" si="237"/>
        <v>16</v>
      </c>
      <c r="L1261" s="12">
        <f t="shared" si="248"/>
        <v>0.45714285714285713</v>
      </c>
      <c r="M1261" s="1">
        <v>4</v>
      </c>
      <c r="N1261" s="1">
        <v>4</v>
      </c>
      <c r="O1261" s="1">
        <v>4</v>
      </c>
      <c r="P1261" s="1">
        <v>3</v>
      </c>
      <c r="Q1261" s="1">
        <f t="shared" si="238"/>
        <v>15</v>
      </c>
      <c r="R1261" s="12">
        <f t="shared" si="249"/>
        <v>0.42857142857142855</v>
      </c>
      <c r="S1261" s="1">
        <v>4</v>
      </c>
      <c r="T1261" s="1">
        <v>4</v>
      </c>
      <c r="U1261" s="1">
        <f t="shared" si="239"/>
        <v>8</v>
      </c>
      <c r="V1261" s="12">
        <f t="shared" si="250"/>
        <v>0.53333333333333333</v>
      </c>
      <c r="W1261" s="1">
        <v>3</v>
      </c>
      <c r="X1261" s="1">
        <v>3</v>
      </c>
      <c r="Y1261" s="1">
        <v>3</v>
      </c>
      <c r="Z1261" s="1">
        <f t="shared" si="240"/>
        <v>9</v>
      </c>
      <c r="AA1261" s="12">
        <f t="shared" si="251"/>
        <v>0.6</v>
      </c>
      <c r="AB1261" s="2" t="s">
        <v>645</v>
      </c>
    </row>
    <row r="1262" spans="1:28" x14ac:dyDescent="0.25">
      <c r="A1262" s="1" t="s">
        <v>1682</v>
      </c>
      <c r="B1262" s="1" t="s">
        <v>576</v>
      </c>
      <c r="C1262" s="1" t="s">
        <v>36</v>
      </c>
      <c r="D1262" s="1">
        <v>26</v>
      </c>
      <c r="E1262" s="1">
        <v>1</v>
      </c>
      <c r="F1262" s="1">
        <v>4</v>
      </c>
      <c r="G1262" s="1">
        <v>5</v>
      </c>
      <c r="H1262" s="1">
        <v>5</v>
      </c>
      <c r="I1262" s="1">
        <v>5</v>
      </c>
      <c r="J1262" s="1">
        <v>4</v>
      </c>
      <c r="K1262" s="1">
        <f t="shared" si="237"/>
        <v>19</v>
      </c>
      <c r="L1262" s="12">
        <f t="shared" si="248"/>
        <v>0.54285714285714282</v>
      </c>
      <c r="M1262" s="1">
        <v>5</v>
      </c>
      <c r="N1262" s="1">
        <v>5</v>
      </c>
      <c r="O1262" s="1">
        <v>5</v>
      </c>
      <c r="P1262" s="1">
        <v>3</v>
      </c>
      <c r="Q1262" s="1">
        <f t="shared" si="238"/>
        <v>18</v>
      </c>
      <c r="R1262" s="12">
        <f t="shared" si="249"/>
        <v>0.51428571428571423</v>
      </c>
      <c r="S1262" s="1">
        <v>3</v>
      </c>
      <c r="T1262" s="1">
        <v>4</v>
      </c>
      <c r="U1262" s="1">
        <f t="shared" si="239"/>
        <v>7</v>
      </c>
      <c r="V1262" s="12">
        <f t="shared" si="250"/>
        <v>0.46666666666666667</v>
      </c>
      <c r="W1262" s="1">
        <v>4</v>
      </c>
      <c r="X1262" s="1">
        <v>4</v>
      </c>
      <c r="Y1262" s="1">
        <v>4</v>
      </c>
      <c r="Z1262" s="1">
        <f t="shared" si="240"/>
        <v>12</v>
      </c>
      <c r="AA1262" s="12">
        <f t="shared" si="251"/>
        <v>0.8</v>
      </c>
      <c r="AB1262" s="2" t="s">
        <v>646</v>
      </c>
    </row>
    <row r="1263" spans="1:28" x14ac:dyDescent="0.25">
      <c r="A1263" s="1" t="s">
        <v>1682</v>
      </c>
      <c r="B1263" s="1" t="s">
        <v>35</v>
      </c>
      <c r="C1263" s="1" t="s">
        <v>861</v>
      </c>
      <c r="D1263" s="1">
        <v>18</v>
      </c>
      <c r="E1263" s="1">
        <v>2</v>
      </c>
      <c r="F1263" s="1">
        <v>7</v>
      </c>
      <c r="G1263" s="1">
        <v>6</v>
      </c>
      <c r="H1263" s="1">
        <v>6</v>
      </c>
      <c r="I1263" s="1">
        <v>5</v>
      </c>
      <c r="J1263" s="1">
        <v>5</v>
      </c>
      <c r="K1263" s="1">
        <f t="shared" si="237"/>
        <v>22</v>
      </c>
      <c r="L1263" s="12">
        <f t="shared" ref="L1263:L1283" si="252">K1263/40</f>
        <v>0.55000000000000004</v>
      </c>
      <c r="M1263" s="1">
        <v>4</v>
      </c>
      <c r="N1263" s="1">
        <v>4</v>
      </c>
      <c r="O1263" s="1">
        <v>4</v>
      </c>
      <c r="P1263" s="1">
        <v>5</v>
      </c>
      <c r="Q1263" s="1">
        <f t="shared" si="238"/>
        <v>17</v>
      </c>
      <c r="R1263" s="12">
        <f t="shared" ref="R1263:R1283" si="253">Q1263/40</f>
        <v>0.42499999999999999</v>
      </c>
      <c r="S1263" s="1">
        <v>4</v>
      </c>
      <c r="T1263" s="1">
        <v>4</v>
      </c>
      <c r="U1263" s="1">
        <f t="shared" si="239"/>
        <v>8</v>
      </c>
      <c r="V1263" s="12">
        <f t="shared" ref="V1263:V1283" si="254">U1263/20</f>
        <v>0.4</v>
      </c>
      <c r="Z1263" s="1">
        <f t="shared" si="240"/>
        <v>0</v>
      </c>
      <c r="AB1263" s="2" t="s">
        <v>1180</v>
      </c>
    </row>
    <row r="1264" spans="1:28" x14ac:dyDescent="0.25">
      <c r="A1264" s="1" t="s">
        <v>1682</v>
      </c>
      <c r="B1264" s="1" t="s">
        <v>35</v>
      </c>
      <c r="C1264" s="1" t="s">
        <v>861</v>
      </c>
      <c r="D1264" s="1">
        <v>18</v>
      </c>
      <c r="E1264" s="1">
        <v>2</v>
      </c>
      <c r="F1264" s="1">
        <v>7</v>
      </c>
      <c r="G1264" s="1">
        <v>5</v>
      </c>
      <c r="H1264" s="1">
        <v>2</v>
      </c>
      <c r="I1264" s="1">
        <v>4</v>
      </c>
      <c r="J1264" s="1">
        <v>4</v>
      </c>
      <c r="K1264" s="1">
        <f t="shared" si="237"/>
        <v>15</v>
      </c>
      <c r="L1264" s="12">
        <f t="shared" si="252"/>
        <v>0.375</v>
      </c>
      <c r="M1264" s="1">
        <v>5</v>
      </c>
      <c r="N1264" s="1">
        <v>5</v>
      </c>
      <c r="O1264" s="1">
        <v>4</v>
      </c>
      <c r="P1264" s="1">
        <v>4</v>
      </c>
      <c r="Q1264" s="1">
        <f t="shared" si="238"/>
        <v>18</v>
      </c>
      <c r="R1264" s="12">
        <f t="shared" si="253"/>
        <v>0.45</v>
      </c>
      <c r="S1264" s="1">
        <v>4</v>
      </c>
      <c r="T1264" s="1">
        <v>4</v>
      </c>
      <c r="U1264" s="1">
        <f t="shared" si="239"/>
        <v>8</v>
      </c>
      <c r="V1264" s="12">
        <f t="shared" si="254"/>
        <v>0.4</v>
      </c>
      <c r="Z1264" s="1">
        <f t="shared" si="240"/>
        <v>0</v>
      </c>
      <c r="AB1264" s="2" t="s">
        <v>1181</v>
      </c>
    </row>
    <row r="1265" spans="1:28" x14ac:dyDescent="0.25">
      <c r="A1265" s="1" t="s">
        <v>1682</v>
      </c>
      <c r="B1265" s="1" t="s">
        <v>35</v>
      </c>
      <c r="C1265" s="1" t="s">
        <v>861</v>
      </c>
      <c r="D1265" s="1">
        <v>18</v>
      </c>
      <c r="E1265" s="1">
        <v>2</v>
      </c>
      <c r="F1265" s="1">
        <v>7</v>
      </c>
      <c r="G1265" s="1">
        <v>5</v>
      </c>
      <c r="H1265" s="1">
        <v>4</v>
      </c>
      <c r="I1265" s="1">
        <v>5</v>
      </c>
      <c r="J1265" s="1">
        <v>4</v>
      </c>
      <c r="K1265" s="1">
        <f t="shared" si="237"/>
        <v>18</v>
      </c>
      <c r="L1265" s="12">
        <f t="shared" si="252"/>
        <v>0.45</v>
      </c>
      <c r="M1265" s="1">
        <v>5</v>
      </c>
      <c r="N1265" s="1">
        <v>5</v>
      </c>
      <c r="O1265" s="1">
        <v>5</v>
      </c>
      <c r="P1265" s="1">
        <v>6</v>
      </c>
      <c r="Q1265" s="1">
        <f t="shared" si="238"/>
        <v>21</v>
      </c>
      <c r="R1265" s="12">
        <f t="shared" si="253"/>
        <v>0.52500000000000002</v>
      </c>
      <c r="S1265" s="1">
        <v>6</v>
      </c>
      <c r="T1265" s="1">
        <v>5</v>
      </c>
      <c r="U1265" s="1">
        <f t="shared" si="239"/>
        <v>11</v>
      </c>
      <c r="V1265" s="12">
        <f t="shared" si="254"/>
        <v>0.55000000000000004</v>
      </c>
      <c r="Z1265" s="1">
        <f t="shared" si="240"/>
        <v>0</v>
      </c>
      <c r="AB1265" s="2" t="s">
        <v>1182</v>
      </c>
    </row>
    <row r="1266" spans="1:28" x14ac:dyDescent="0.25">
      <c r="A1266" s="1" t="s">
        <v>1682</v>
      </c>
      <c r="B1266" s="1" t="s">
        <v>35</v>
      </c>
      <c r="C1266" s="1" t="s">
        <v>861</v>
      </c>
      <c r="D1266" s="1">
        <v>18</v>
      </c>
      <c r="E1266" s="1">
        <v>2</v>
      </c>
      <c r="F1266" s="1">
        <v>7</v>
      </c>
      <c r="G1266" s="1">
        <v>4</v>
      </c>
      <c r="H1266" s="1">
        <v>5</v>
      </c>
      <c r="I1266" s="1">
        <v>4</v>
      </c>
      <c r="J1266" s="1">
        <v>4</v>
      </c>
      <c r="K1266" s="1">
        <f t="shared" si="237"/>
        <v>17</v>
      </c>
      <c r="L1266" s="12">
        <f t="shared" si="252"/>
        <v>0.42499999999999999</v>
      </c>
      <c r="M1266" s="1">
        <v>4</v>
      </c>
      <c r="N1266" s="1">
        <v>4</v>
      </c>
      <c r="O1266" s="1">
        <v>3</v>
      </c>
      <c r="P1266" s="1">
        <v>3</v>
      </c>
      <c r="Q1266" s="1">
        <f t="shared" si="238"/>
        <v>14</v>
      </c>
      <c r="R1266" s="12">
        <f t="shared" si="253"/>
        <v>0.35</v>
      </c>
      <c r="S1266" s="1">
        <v>3</v>
      </c>
      <c r="T1266" s="1">
        <v>3</v>
      </c>
      <c r="U1266" s="1">
        <f t="shared" si="239"/>
        <v>6</v>
      </c>
      <c r="V1266" s="12">
        <f t="shared" si="254"/>
        <v>0.3</v>
      </c>
      <c r="Z1266" s="1">
        <f t="shared" si="240"/>
        <v>0</v>
      </c>
      <c r="AB1266" s="2" t="s">
        <v>1183</v>
      </c>
    </row>
    <row r="1267" spans="1:28" x14ac:dyDescent="0.25">
      <c r="A1267" s="1" t="s">
        <v>1682</v>
      </c>
      <c r="B1267" s="1" t="s">
        <v>35</v>
      </c>
      <c r="C1267" s="1" t="s">
        <v>861</v>
      </c>
      <c r="D1267" s="1">
        <v>18</v>
      </c>
      <c r="E1267" s="1">
        <v>2</v>
      </c>
      <c r="F1267" s="1">
        <v>7</v>
      </c>
      <c r="G1267" s="1">
        <v>4</v>
      </c>
      <c r="H1267" s="1">
        <v>4</v>
      </c>
      <c r="I1267" s="1">
        <v>4</v>
      </c>
      <c r="J1267" s="1">
        <v>4</v>
      </c>
      <c r="K1267" s="1">
        <f t="shared" si="237"/>
        <v>16</v>
      </c>
      <c r="L1267" s="12">
        <f t="shared" si="252"/>
        <v>0.4</v>
      </c>
      <c r="M1267" s="1">
        <v>4</v>
      </c>
      <c r="N1267" s="1">
        <v>4</v>
      </c>
      <c r="O1267" s="1">
        <v>3</v>
      </c>
      <c r="P1267" s="1">
        <v>4</v>
      </c>
      <c r="Q1267" s="1">
        <f t="shared" si="238"/>
        <v>15</v>
      </c>
      <c r="R1267" s="12">
        <f t="shared" si="253"/>
        <v>0.375</v>
      </c>
      <c r="S1267" s="1">
        <v>4</v>
      </c>
      <c r="T1267" s="1">
        <v>4</v>
      </c>
      <c r="U1267" s="1">
        <f t="shared" si="239"/>
        <v>8</v>
      </c>
      <c r="V1267" s="12">
        <f t="shared" si="254"/>
        <v>0.4</v>
      </c>
      <c r="Z1267" s="1">
        <f t="shared" si="240"/>
        <v>0</v>
      </c>
      <c r="AB1267" s="2" t="s">
        <v>1184</v>
      </c>
    </row>
    <row r="1268" spans="1:28" x14ac:dyDescent="0.25">
      <c r="A1268" s="1" t="s">
        <v>1682</v>
      </c>
      <c r="B1268" s="1" t="s">
        <v>35</v>
      </c>
      <c r="C1268" s="1" t="s">
        <v>861</v>
      </c>
      <c r="D1268" s="1">
        <v>18</v>
      </c>
      <c r="E1268" s="1">
        <v>2</v>
      </c>
      <c r="F1268" s="1">
        <v>7</v>
      </c>
      <c r="G1268" s="1">
        <v>5</v>
      </c>
      <c r="H1268" s="1">
        <v>4</v>
      </c>
      <c r="I1268" s="1">
        <v>5</v>
      </c>
      <c r="J1268" s="1">
        <v>5</v>
      </c>
      <c r="K1268" s="1">
        <f t="shared" si="237"/>
        <v>19</v>
      </c>
      <c r="L1268" s="12">
        <f t="shared" si="252"/>
        <v>0.47499999999999998</v>
      </c>
      <c r="M1268" s="1">
        <v>5</v>
      </c>
      <c r="N1268" s="1">
        <v>5</v>
      </c>
      <c r="O1268" s="1">
        <v>4</v>
      </c>
      <c r="P1268" s="1">
        <v>4</v>
      </c>
      <c r="Q1268" s="1">
        <f t="shared" si="238"/>
        <v>18</v>
      </c>
      <c r="R1268" s="12">
        <f t="shared" si="253"/>
        <v>0.45</v>
      </c>
      <c r="S1268" s="1">
        <v>5</v>
      </c>
      <c r="T1268" s="1">
        <v>4</v>
      </c>
      <c r="U1268" s="1">
        <f t="shared" si="239"/>
        <v>9</v>
      </c>
      <c r="V1268" s="12">
        <f t="shared" si="254"/>
        <v>0.45</v>
      </c>
      <c r="Z1268" s="1">
        <f t="shared" si="240"/>
        <v>0</v>
      </c>
      <c r="AB1268" s="2" t="s">
        <v>1185</v>
      </c>
    </row>
    <row r="1269" spans="1:28" x14ac:dyDescent="0.25">
      <c r="A1269" s="1" t="s">
        <v>1682</v>
      </c>
      <c r="B1269" s="1" t="s">
        <v>35</v>
      </c>
      <c r="C1269" s="1" t="s">
        <v>861</v>
      </c>
      <c r="D1269" s="1">
        <v>18</v>
      </c>
      <c r="E1269" s="1">
        <v>2</v>
      </c>
      <c r="F1269" s="1">
        <v>7</v>
      </c>
      <c r="G1269" s="1">
        <v>4</v>
      </c>
      <c r="H1269" s="1">
        <v>3</v>
      </c>
      <c r="I1269" s="1">
        <v>4</v>
      </c>
      <c r="J1269" s="1">
        <v>4</v>
      </c>
      <c r="K1269" s="1">
        <f t="shared" si="237"/>
        <v>15</v>
      </c>
      <c r="L1269" s="12">
        <f t="shared" si="252"/>
        <v>0.375</v>
      </c>
      <c r="M1269" s="1">
        <v>4</v>
      </c>
      <c r="N1269" s="1">
        <v>4</v>
      </c>
      <c r="O1269" s="1">
        <v>5</v>
      </c>
      <c r="P1269" s="1">
        <v>5</v>
      </c>
      <c r="Q1269" s="1">
        <f t="shared" si="238"/>
        <v>18</v>
      </c>
      <c r="R1269" s="12">
        <f t="shared" si="253"/>
        <v>0.45</v>
      </c>
      <c r="S1269" s="1">
        <v>4</v>
      </c>
      <c r="T1269" s="1">
        <v>3</v>
      </c>
      <c r="U1269" s="1">
        <f t="shared" si="239"/>
        <v>7</v>
      </c>
      <c r="V1269" s="12">
        <f t="shared" si="254"/>
        <v>0.35</v>
      </c>
      <c r="Z1269" s="1">
        <f t="shared" si="240"/>
        <v>0</v>
      </c>
      <c r="AB1269" s="2" t="s">
        <v>1186</v>
      </c>
    </row>
    <row r="1270" spans="1:28" x14ac:dyDescent="0.25">
      <c r="A1270" s="1" t="s">
        <v>1682</v>
      </c>
      <c r="B1270" s="1" t="s">
        <v>35</v>
      </c>
      <c r="C1270" s="1" t="s">
        <v>861</v>
      </c>
      <c r="D1270" s="1">
        <v>18</v>
      </c>
      <c r="E1270" s="1">
        <v>2</v>
      </c>
      <c r="F1270" s="1">
        <v>7</v>
      </c>
      <c r="G1270" s="1">
        <v>4</v>
      </c>
      <c r="H1270" s="1">
        <v>3</v>
      </c>
      <c r="I1270" s="1">
        <v>3</v>
      </c>
      <c r="J1270" s="1">
        <v>4</v>
      </c>
      <c r="K1270" s="1">
        <f t="shared" si="237"/>
        <v>14</v>
      </c>
      <c r="L1270" s="12">
        <f t="shared" si="252"/>
        <v>0.35</v>
      </c>
      <c r="M1270" s="1">
        <v>5</v>
      </c>
      <c r="N1270" s="1">
        <v>4</v>
      </c>
      <c r="O1270" s="1">
        <v>4</v>
      </c>
      <c r="P1270" s="1">
        <v>4</v>
      </c>
      <c r="Q1270" s="1">
        <f t="shared" si="238"/>
        <v>17</v>
      </c>
      <c r="R1270" s="12">
        <f t="shared" si="253"/>
        <v>0.42499999999999999</v>
      </c>
      <c r="S1270" s="1">
        <v>3</v>
      </c>
      <c r="T1270" s="1">
        <v>0</v>
      </c>
      <c r="U1270" s="1">
        <f t="shared" si="239"/>
        <v>3</v>
      </c>
      <c r="V1270" s="12">
        <f t="shared" si="254"/>
        <v>0.15</v>
      </c>
      <c r="Z1270" s="1">
        <f t="shared" si="240"/>
        <v>0</v>
      </c>
      <c r="AB1270" s="2" t="s">
        <v>1187</v>
      </c>
    </row>
    <row r="1271" spans="1:28" x14ac:dyDescent="0.25">
      <c r="A1271" s="1" t="s">
        <v>1682</v>
      </c>
      <c r="B1271" s="1" t="s">
        <v>576</v>
      </c>
      <c r="C1271" s="1" t="s">
        <v>861</v>
      </c>
      <c r="D1271" s="1">
        <v>25</v>
      </c>
      <c r="E1271" s="1">
        <v>2</v>
      </c>
      <c r="F1271" s="1">
        <v>5</v>
      </c>
      <c r="G1271" s="1">
        <v>4</v>
      </c>
      <c r="H1271" s="1">
        <v>4</v>
      </c>
      <c r="I1271" s="1">
        <v>4</v>
      </c>
      <c r="J1271" s="1">
        <v>4</v>
      </c>
      <c r="K1271" s="1">
        <f t="shared" si="237"/>
        <v>16</v>
      </c>
      <c r="L1271" s="12">
        <f t="shared" si="252"/>
        <v>0.4</v>
      </c>
      <c r="M1271" s="1">
        <v>4</v>
      </c>
      <c r="N1271" s="1">
        <v>4</v>
      </c>
      <c r="O1271" s="1">
        <v>3</v>
      </c>
      <c r="P1271" s="1">
        <v>3</v>
      </c>
      <c r="Q1271" s="1">
        <f t="shared" si="238"/>
        <v>14</v>
      </c>
      <c r="R1271" s="12">
        <f t="shared" si="253"/>
        <v>0.35</v>
      </c>
      <c r="S1271" s="1">
        <v>4</v>
      </c>
      <c r="T1271" s="1">
        <v>4</v>
      </c>
      <c r="U1271" s="1">
        <f t="shared" si="239"/>
        <v>8</v>
      </c>
      <c r="V1271" s="12">
        <f t="shared" si="254"/>
        <v>0.4</v>
      </c>
      <c r="Z1271" s="1">
        <f t="shared" si="240"/>
        <v>0</v>
      </c>
      <c r="AB1271" s="2" t="s">
        <v>1535</v>
      </c>
    </row>
    <row r="1272" spans="1:28" x14ac:dyDescent="0.25">
      <c r="A1272" s="1" t="s">
        <v>1682</v>
      </c>
      <c r="B1272" s="1" t="s">
        <v>576</v>
      </c>
      <c r="C1272" s="1" t="s">
        <v>861</v>
      </c>
      <c r="D1272" s="1">
        <v>25</v>
      </c>
      <c r="E1272" s="1">
        <v>2</v>
      </c>
      <c r="F1272" s="1">
        <v>5</v>
      </c>
      <c r="G1272" s="1">
        <v>4</v>
      </c>
      <c r="H1272" s="1">
        <v>4</v>
      </c>
      <c r="I1272" s="1">
        <v>4</v>
      </c>
      <c r="J1272" s="1">
        <v>4</v>
      </c>
      <c r="K1272" s="1">
        <f t="shared" si="237"/>
        <v>16</v>
      </c>
      <c r="L1272" s="12">
        <f t="shared" si="252"/>
        <v>0.4</v>
      </c>
      <c r="M1272" s="1">
        <v>5</v>
      </c>
      <c r="N1272" s="1">
        <v>5</v>
      </c>
      <c r="O1272" s="1">
        <v>4</v>
      </c>
      <c r="P1272" s="1">
        <v>4</v>
      </c>
      <c r="Q1272" s="1">
        <f t="shared" si="238"/>
        <v>18</v>
      </c>
      <c r="R1272" s="12">
        <f t="shared" si="253"/>
        <v>0.45</v>
      </c>
      <c r="S1272" s="1">
        <v>5</v>
      </c>
      <c r="T1272" s="1">
        <v>5</v>
      </c>
      <c r="U1272" s="1">
        <f t="shared" si="239"/>
        <v>10</v>
      </c>
      <c r="V1272" s="12">
        <f t="shared" si="254"/>
        <v>0.5</v>
      </c>
      <c r="Z1272" s="1">
        <f t="shared" si="240"/>
        <v>0</v>
      </c>
      <c r="AB1272" s="2" t="s">
        <v>1536</v>
      </c>
    </row>
    <row r="1273" spans="1:28" x14ac:dyDescent="0.25">
      <c r="A1273" s="1" t="s">
        <v>1682</v>
      </c>
      <c r="B1273" s="1" t="s">
        <v>576</v>
      </c>
      <c r="C1273" s="1" t="s">
        <v>861</v>
      </c>
      <c r="D1273" s="1">
        <v>25</v>
      </c>
      <c r="E1273" s="1">
        <v>2</v>
      </c>
      <c r="F1273" s="1">
        <v>5</v>
      </c>
      <c r="G1273" s="1">
        <v>4</v>
      </c>
      <c r="H1273" s="1">
        <v>4</v>
      </c>
      <c r="I1273" s="1">
        <v>3</v>
      </c>
      <c r="J1273" s="1">
        <v>4</v>
      </c>
      <c r="K1273" s="1">
        <f t="shared" si="237"/>
        <v>15</v>
      </c>
      <c r="L1273" s="12">
        <f t="shared" si="252"/>
        <v>0.375</v>
      </c>
      <c r="M1273" s="1">
        <v>4</v>
      </c>
      <c r="N1273" s="1">
        <v>4</v>
      </c>
      <c r="O1273" s="1">
        <v>3</v>
      </c>
      <c r="P1273" s="1">
        <v>3</v>
      </c>
      <c r="Q1273" s="1">
        <f t="shared" si="238"/>
        <v>14</v>
      </c>
      <c r="R1273" s="12">
        <f t="shared" si="253"/>
        <v>0.35</v>
      </c>
      <c r="S1273" s="1">
        <v>3</v>
      </c>
      <c r="T1273" s="1">
        <v>3</v>
      </c>
      <c r="U1273" s="1">
        <f t="shared" si="239"/>
        <v>6</v>
      </c>
      <c r="V1273" s="12">
        <f t="shared" si="254"/>
        <v>0.3</v>
      </c>
      <c r="Z1273" s="1">
        <f t="shared" si="240"/>
        <v>0</v>
      </c>
      <c r="AB1273" s="2" t="s">
        <v>1537</v>
      </c>
    </row>
    <row r="1274" spans="1:28" x14ac:dyDescent="0.25">
      <c r="A1274" s="1" t="s">
        <v>1682</v>
      </c>
      <c r="B1274" s="1" t="s">
        <v>576</v>
      </c>
      <c r="C1274" s="1" t="s">
        <v>861</v>
      </c>
      <c r="D1274" s="1">
        <v>25</v>
      </c>
      <c r="E1274" s="1">
        <v>2</v>
      </c>
      <c r="F1274" s="1">
        <v>5</v>
      </c>
      <c r="G1274" s="1">
        <v>4</v>
      </c>
      <c r="H1274" s="1">
        <v>3</v>
      </c>
      <c r="I1274" s="1">
        <v>3</v>
      </c>
      <c r="J1274" s="1">
        <v>3</v>
      </c>
      <c r="K1274" s="1">
        <f t="shared" si="237"/>
        <v>13</v>
      </c>
      <c r="L1274" s="12">
        <f t="shared" si="252"/>
        <v>0.32500000000000001</v>
      </c>
      <c r="M1274" s="1">
        <v>4</v>
      </c>
      <c r="N1274" s="1">
        <v>4</v>
      </c>
      <c r="O1274" s="1">
        <v>4</v>
      </c>
      <c r="P1274" s="1">
        <v>4</v>
      </c>
      <c r="Q1274" s="1">
        <f t="shared" si="238"/>
        <v>16</v>
      </c>
      <c r="R1274" s="12">
        <f t="shared" si="253"/>
        <v>0.4</v>
      </c>
      <c r="S1274" s="1">
        <v>4</v>
      </c>
      <c r="T1274" s="1">
        <v>4</v>
      </c>
      <c r="U1274" s="1">
        <f t="shared" si="239"/>
        <v>8</v>
      </c>
      <c r="V1274" s="12">
        <f t="shared" si="254"/>
        <v>0.4</v>
      </c>
      <c r="Z1274" s="1">
        <f t="shared" si="240"/>
        <v>0</v>
      </c>
      <c r="AB1274" s="2" t="s">
        <v>1538</v>
      </c>
    </row>
    <row r="1275" spans="1:28" x14ac:dyDescent="0.25">
      <c r="A1275" s="1" t="s">
        <v>1682</v>
      </c>
      <c r="B1275" s="1" t="s">
        <v>576</v>
      </c>
      <c r="C1275" s="1" t="s">
        <v>861</v>
      </c>
      <c r="D1275" s="1">
        <v>25</v>
      </c>
      <c r="E1275" s="1">
        <v>2</v>
      </c>
      <c r="F1275" s="1">
        <v>5</v>
      </c>
      <c r="G1275" s="1">
        <v>5</v>
      </c>
      <c r="H1275" s="1">
        <v>5</v>
      </c>
      <c r="I1275" s="1">
        <v>5</v>
      </c>
      <c r="J1275" s="1">
        <v>5</v>
      </c>
      <c r="K1275" s="1">
        <f t="shared" si="237"/>
        <v>20</v>
      </c>
      <c r="L1275" s="12">
        <f t="shared" si="252"/>
        <v>0.5</v>
      </c>
      <c r="M1275" s="1">
        <v>5</v>
      </c>
      <c r="N1275" s="1">
        <v>4</v>
      </c>
      <c r="O1275" s="1">
        <v>5</v>
      </c>
      <c r="P1275" s="1">
        <v>4</v>
      </c>
      <c r="Q1275" s="1">
        <f t="shared" si="238"/>
        <v>18</v>
      </c>
      <c r="R1275" s="12">
        <f t="shared" si="253"/>
        <v>0.45</v>
      </c>
      <c r="S1275" s="1">
        <v>4</v>
      </c>
      <c r="T1275" s="1">
        <v>5</v>
      </c>
      <c r="U1275" s="1">
        <f t="shared" si="239"/>
        <v>9</v>
      </c>
      <c r="V1275" s="12">
        <f t="shared" si="254"/>
        <v>0.45</v>
      </c>
      <c r="Z1275" s="1">
        <f t="shared" si="240"/>
        <v>0</v>
      </c>
      <c r="AB1275" s="2" t="s">
        <v>1539</v>
      </c>
    </row>
    <row r="1276" spans="1:28" x14ac:dyDescent="0.25">
      <c r="A1276" s="1" t="s">
        <v>1682</v>
      </c>
      <c r="B1276" s="1" t="s">
        <v>576</v>
      </c>
      <c r="C1276" s="1" t="s">
        <v>861</v>
      </c>
      <c r="D1276" s="1">
        <v>25</v>
      </c>
      <c r="E1276" s="1">
        <v>2</v>
      </c>
      <c r="F1276" s="1">
        <v>5</v>
      </c>
      <c r="G1276" s="1">
        <v>4</v>
      </c>
      <c r="H1276" s="1">
        <v>4</v>
      </c>
      <c r="I1276" s="1">
        <v>4</v>
      </c>
      <c r="J1276" s="1">
        <v>4</v>
      </c>
      <c r="K1276" s="1">
        <f t="shared" si="237"/>
        <v>16</v>
      </c>
      <c r="L1276" s="12">
        <f t="shared" si="252"/>
        <v>0.4</v>
      </c>
      <c r="M1276" s="1">
        <v>3</v>
      </c>
      <c r="N1276" s="1">
        <v>3</v>
      </c>
      <c r="O1276" s="1">
        <v>4</v>
      </c>
      <c r="P1276" s="1">
        <v>3</v>
      </c>
      <c r="Q1276" s="1">
        <f t="shared" si="238"/>
        <v>13</v>
      </c>
      <c r="R1276" s="12">
        <f t="shared" si="253"/>
        <v>0.32500000000000001</v>
      </c>
      <c r="S1276" s="1">
        <v>3</v>
      </c>
      <c r="T1276" s="1">
        <v>3</v>
      </c>
      <c r="U1276" s="1">
        <f t="shared" si="239"/>
        <v>6</v>
      </c>
      <c r="V1276" s="12">
        <f t="shared" si="254"/>
        <v>0.3</v>
      </c>
      <c r="Z1276" s="1">
        <f t="shared" si="240"/>
        <v>0</v>
      </c>
      <c r="AB1276" s="2" t="s">
        <v>1540</v>
      </c>
    </row>
    <row r="1277" spans="1:28" x14ac:dyDescent="0.25">
      <c r="A1277" s="1" t="s">
        <v>1682</v>
      </c>
      <c r="B1277" s="1" t="s">
        <v>576</v>
      </c>
      <c r="C1277" s="1" t="s">
        <v>861</v>
      </c>
      <c r="D1277" s="1">
        <v>11</v>
      </c>
      <c r="E1277" s="1">
        <v>3</v>
      </c>
      <c r="F1277" s="1">
        <v>5</v>
      </c>
      <c r="G1277" s="1">
        <v>8</v>
      </c>
      <c r="H1277" s="1">
        <v>7</v>
      </c>
      <c r="I1277" s="1">
        <v>7</v>
      </c>
      <c r="J1277" s="1">
        <v>6</v>
      </c>
      <c r="K1277" s="1">
        <f t="shared" si="237"/>
        <v>28</v>
      </c>
      <c r="L1277" s="12">
        <f t="shared" si="252"/>
        <v>0.7</v>
      </c>
      <c r="M1277" s="1">
        <v>7</v>
      </c>
      <c r="N1277" s="1">
        <v>7</v>
      </c>
      <c r="O1277" s="1">
        <v>7</v>
      </c>
      <c r="P1277" s="1">
        <v>7</v>
      </c>
      <c r="Q1277" s="1">
        <f t="shared" si="238"/>
        <v>28</v>
      </c>
      <c r="R1277" s="12">
        <f t="shared" si="253"/>
        <v>0.7</v>
      </c>
      <c r="S1277" s="1">
        <v>6</v>
      </c>
      <c r="T1277" s="1">
        <v>6</v>
      </c>
      <c r="U1277" s="1">
        <f t="shared" si="239"/>
        <v>12</v>
      </c>
      <c r="V1277" s="12">
        <f t="shared" si="254"/>
        <v>0.6</v>
      </c>
      <c r="Z1277" s="1">
        <f t="shared" si="240"/>
        <v>0</v>
      </c>
      <c r="AB1277" s="2" t="s">
        <v>1638</v>
      </c>
    </row>
    <row r="1278" spans="1:28" x14ac:dyDescent="0.25">
      <c r="A1278" s="1" t="s">
        <v>1682</v>
      </c>
      <c r="B1278" s="1" t="s">
        <v>576</v>
      </c>
      <c r="C1278" s="1" t="s">
        <v>861</v>
      </c>
      <c r="D1278" s="1">
        <v>11</v>
      </c>
      <c r="E1278" s="1">
        <v>3</v>
      </c>
      <c r="F1278" s="1">
        <v>5</v>
      </c>
      <c r="G1278" s="1">
        <v>8</v>
      </c>
      <c r="H1278" s="1">
        <v>7</v>
      </c>
      <c r="I1278" s="1">
        <v>7</v>
      </c>
      <c r="J1278" s="1">
        <v>6</v>
      </c>
      <c r="K1278" s="1">
        <f t="shared" si="237"/>
        <v>28</v>
      </c>
      <c r="L1278" s="12">
        <f t="shared" si="252"/>
        <v>0.7</v>
      </c>
      <c r="M1278" s="1">
        <v>6</v>
      </c>
      <c r="N1278" s="1">
        <v>6</v>
      </c>
      <c r="O1278" s="1">
        <v>6</v>
      </c>
      <c r="P1278" s="1">
        <v>6</v>
      </c>
      <c r="Q1278" s="1">
        <f t="shared" si="238"/>
        <v>24</v>
      </c>
      <c r="R1278" s="12">
        <f t="shared" si="253"/>
        <v>0.6</v>
      </c>
      <c r="S1278" s="1">
        <v>6</v>
      </c>
      <c r="T1278" s="1">
        <v>6</v>
      </c>
      <c r="U1278" s="1">
        <f t="shared" si="239"/>
        <v>12</v>
      </c>
      <c r="V1278" s="12">
        <f t="shared" si="254"/>
        <v>0.6</v>
      </c>
      <c r="Z1278" s="1">
        <f t="shared" si="240"/>
        <v>0</v>
      </c>
      <c r="AB1278" s="2" t="s">
        <v>1639</v>
      </c>
    </row>
    <row r="1279" spans="1:28" x14ac:dyDescent="0.25">
      <c r="A1279" s="1" t="s">
        <v>1682</v>
      </c>
      <c r="B1279" s="1" t="s">
        <v>576</v>
      </c>
      <c r="C1279" s="1" t="s">
        <v>861</v>
      </c>
      <c r="D1279" s="1">
        <v>11</v>
      </c>
      <c r="E1279" s="1">
        <v>3</v>
      </c>
      <c r="F1279" s="1">
        <v>5</v>
      </c>
      <c r="G1279" s="1">
        <v>8</v>
      </c>
      <c r="H1279" s="1">
        <v>8</v>
      </c>
      <c r="I1279" s="1">
        <v>8</v>
      </c>
      <c r="J1279" s="1">
        <v>7</v>
      </c>
      <c r="K1279" s="1">
        <f t="shared" si="237"/>
        <v>31</v>
      </c>
      <c r="L1279" s="12">
        <f t="shared" si="252"/>
        <v>0.77500000000000002</v>
      </c>
      <c r="M1279" s="1">
        <v>7</v>
      </c>
      <c r="N1279" s="1">
        <v>8</v>
      </c>
      <c r="O1279" s="1">
        <v>8</v>
      </c>
      <c r="P1279" s="1">
        <v>7</v>
      </c>
      <c r="Q1279" s="1">
        <f t="shared" si="238"/>
        <v>30</v>
      </c>
      <c r="R1279" s="12">
        <f t="shared" si="253"/>
        <v>0.75</v>
      </c>
      <c r="S1279" s="1">
        <v>7</v>
      </c>
      <c r="T1279" s="1">
        <v>6</v>
      </c>
      <c r="U1279" s="1">
        <f t="shared" si="239"/>
        <v>13</v>
      </c>
      <c r="V1279" s="12">
        <f t="shared" si="254"/>
        <v>0.65</v>
      </c>
      <c r="Z1279" s="1">
        <f t="shared" si="240"/>
        <v>0</v>
      </c>
      <c r="AB1279" s="2" t="s">
        <v>1640</v>
      </c>
    </row>
    <row r="1280" spans="1:28" x14ac:dyDescent="0.25">
      <c r="A1280" s="1" t="s">
        <v>1682</v>
      </c>
      <c r="B1280" s="1" t="s">
        <v>576</v>
      </c>
      <c r="C1280" s="1" t="s">
        <v>861</v>
      </c>
      <c r="D1280" s="1">
        <v>11</v>
      </c>
      <c r="E1280" s="1">
        <v>3</v>
      </c>
      <c r="F1280" s="1">
        <v>5</v>
      </c>
      <c r="G1280" s="1">
        <v>8</v>
      </c>
      <c r="H1280" s="1">
        <v>7</v>
      </c>
      <c r="I1280" s="1">
        <v>7</v>
      </c>
      <c r="J1280" s="1">
        <v>7</v>
      </c>
      <c r="K1280" s="1">
        <f t="shared" si="237"/>
        <v>29</v>
      </c>
      <c r="L1280" s="12">
        <f t="shared" si="252"/>
        <v>0.72499999999999998</v>
      </c>
      <c r="M1280" s="1">
        <v>8</v>
      </c>
      <c r="N1280" s="1">
        <v>8</v>
      </c>
      <c r="O1280" s="1">
        <v>8</v>
      </c>
      <c r="P1280" s="1">
        <v>7</v>
      </c>
      <c r="Q1280" s="1">
        <f t="shared" si="238"/>
        <v>31</v>
      </c>
      <c r="R1280" s="12">
        <f t="shared" si="253"/>
        <v>0.77500000000000002</v>
      </c>
      <c r="S1280" s="1">
        <v>8</v>
      </c>
      <c r="T1280" s="1">
        <v>7</v>
      </c>
      <c r="U1280" s="1">
        <f t="shared" si="239"/>
        <v>15</v>
      </c>
      <c r="V1280" s="12">
        <f t="shared" si="254"/>
        <v>0.75</v>
      </c>
      <c r="Z1280" s="1">
        <f t="shared" si="240"/>
        <v>0</v>
      </c>
      <c r="AB1280" s="2" t="s">
        <v>1641</v>
      </c>
    </row>
    <row r="1281" spans="1:28" x14ac:dyDescent="0.25">
      <c r="A1281" s="1" t="s">
        <v>1682</v>
      </c>
      <c r="B1281" s="1" t="s">
        <v>576</v>
      </c>
      <c r="C1281" s="1" t="s">
        <v>861</v>
      </c>
      <c r="D1281" s="1">
        <v>11</v>
      </c>
      <c r="E1281" s="1">
        <v>3</v>
      </c>
      <c r="F1281" s="1">
        <v>5</v>
      </c>
      <c r="G1281" s="1">
        <v>7</v>
      </c>
      <c r="H1281" s="1">
        <v>7</v>
      </c>
      <c r="I1281" s="1">
        <v>7</v>
      </c>
      <c r="J1281" s="1">
        <v>6</v>
      </c>
      <c r="K1281" s="1">
        <f t="shared" si="237"/>
        <v>27</v>
      </c>
      <c r="L1281" s="12">
        <f t="shared" si="252"/>
        <v>0.67500000000000004</v>
      </c>
      <c r="M1281" s="1">
        <v>7</v>
      </c>
      <c r="N1281" s="1">
        <v>8</v>
      </c>
      <c r="O1281" s="1">
        <v>7</v>
      </c>
      <c r="P1281" s="1">
        <v>6</v>
      </c>
      <c r="Q1281" s="1">
        <f t="shared" si="238"/>
        <v>28</v>
      </c>
      <c r="R1281" s="12">
        <f t="shared" si="253"/>
        <v>0.7</v>
      </c>
      <c r="S1281" s="1">
        <v>7</v>
      </c>
      <c r="T1281" s="1">
        <v>7</v>
      </c>
      <c r="U1281" s="1">
        <f t="shared" si="239"/>
        <v>14</v>
      </c>
      <c r="V1281" s="12">
        <f t="shared" si="254"/>
        <v>0.7</v>
      </c>
      <c r="Z1281" s="1">
        <f t="shared" si="240"/>
        <v>0</v>
      </c>
      <c r="AB1281" s="2" t="s">
        <v>1642</v>
      </c>
    </row>
    <row r="1282" spans="1:28" x14ac:dyDescent="0.25">
      <c r="A1282" s="1" t="s">
        <v>1682</v>
      </c>
      <c r="B1282" s="1" t="s">
        <v>576</v>
      </c>
      <c r="C1282" s="1" t="s">
        <v>861</v>
      </c>
      <c r="D1282" s="1">
        <v>11</v>
      </c>
      <c r="E1282" s="1">
        <v>3</v>
      </c>
      <c r="F1282" s="1">
        <v>5</v>
      </c>
      <c r="G1282" s="1">
        <v>9</v>
      </c>
      <c r="H1282" s="1">
        <v>9</v>
      </c>
      <c r="I1282" s="1">
        <v>8</v>
      </c>
      <c r="J1282" s="1">
        <v>8</v>
      </c>
      <c r="K1282" s="1">
        <f t="shared" si="237"/>
        <v>34</v>
      </c>
      <c r="L1282" s="12">
        <f t="shared" si="252"/>
        <v>0.85</v>
      </c>
      <c r="M1282" s="1">
        <v>8</v>
      </c>
      <c r="N1282" s="1">
        <v>9</v>
      </c>
      <c r="O1282" s="1">
        <v>9</v>
      </c>
      <c r="P1282" s="1">
        <v>8</v>
      </c>
      <c r="Q1282" s="1">
        <f t="shared" si="238"/>
        <v>34</v>
      </c>
      <c r="R1282" s="12">
        <f t="shared" si="253"/>
        <v>0.85</v>
      </c>
      <c r="S1282" s="1">
        <v>9</v>
      </c>
      <c r="T1282" s="1">
        <v>8</v>
      </c>
      <c r="U1282" s="1">
        <f t="shared" si="239"/>
        <v>17</v>
      </c>
      <c r="V1282" s="12">
        <f t="shared" si="254"/>
        <v>0.85</v>
      </c>
      <c r="Z1282" s="1">
        <f t="shared" si="240"/>
        <v>0</v>
      </c>
      <c r="AB1282" s="2" t="s">
        <v>1643</v>
      </c>
    </row>
    <row r="1283" spans="1:28" x14ac:dyDescent="0.25">
      <c r="A1283" s="1" t="s">
        <v>1682</v>
      </c>
      <c r="B1283" s="1" t="s">
        <v>576</v>
      </c>
      <c r="C1283" s="1" t="s">
        <v>861</v>
      </c>
      <c r="D1283" s="1">
        <v>11</v>
      </c>
      <c r="E1283" s="1">
        <v>3</v>
      </c>
      <c r="F1283" s="1">
        <v>5</v>
      </c>
      <c r="G1283" s="1">
        <v>8</v>
      </c>
      <c r="H1283" s="1">
        <v>8</v>
      </c>
      <c r="I1283" s="1">
        <v>7</v>
      </c>
      <c r="J1283" s="1">
        <v>7</v>
      </c>
      <c r="K1283" s="1">
        <f t="shared" ref="K1283:K1346" si="255">SUM(G1283:J1283)</f>
        <v>30</v>
      </c>
      <c r="L1283" s="12">
        <f t="shared" si="252"/>
        <v>0.75</v>
      </c>
      <c r="M1283" s="1">
        <v>7</v>
      </c>
      <c r="N1283" s="1">
        <v>8</v>
      </c>
      <c r="O1283" s="1">
        <v>8</v>
      </c>
      <c r="P1283" s="1">
        <v>8</v>
      </c>
      <c r="Q1283" s="1">
        <f t="shared" ref="Q1283:Q1346" si="256">SUM(M1283:P1283)</f>
        <v>31</v>
      </c>
      <c r="R1283" s="12">
        <f t="shared" si="253"/>
        <v>0.77500000000000002</v>
      </c>
      <c r="S1283" s="1">
        <v>8</v>
      </c>
      <c r="T1283" s="1">
        <v>7</v>
      </c>
      <c r="U1283" s="1">
        <f t="shared" ref="U1283:U1346" si="257">SUM(S1283:T1283)</f>
        <v>15</v>
      </c>
      <c r="V1283" s="12">
        <f t="shared" si="254"/>
        <v>0.75</v>
      </c>
      <c r="Z1283" s="1">
        <f t="shared" ref="Z1283:Z1346" si="258">SUM(W1283:Y1283)</f>
        <v>0</v>
      </c>
      <c r="AB1283" s="2" t="s">
        <v>1644</v>
      </c>
    </row>
    <row r="1284" spans="1:28" x14ac:dyDescent="0.25">
      <c r="A1284" s="1" t="s">
        <v>1683</v>
      </c>
      <c r="B1284" s="1" t="s">
        <v>35</v>
      </c>
      <c r="C1284" s="1" t="s">
        <v>36</v>
      </c>
      <c r="D1284" s="1">
        <v>19</v>
      </c>
      <c r="E1284" s="1">
        <v>1</v>
      </c>
      <c r="F1284" s="1">
        <v>7</v>
      </c>
      <c r="G1284" s="1">
        <v>6</v>
      </c>
      <c r="H1284" s="1">
        <v>6</v>
      </c>
      <c r="I1284" s="1">
        <v>6</v>
      </c>
      <c r="J1284" s="1">
        <v>3</v>
      </c>
      <c r="K1284" s="1">
        <f t="shared" si="255"/>
        <v>21</v>
      </c>
      <c r="L1284" s="12">
        <f t="shared" ref="L1284:L1320" si="259">K1284/35</f>
        <v>0.6</v>
      </c>
      <c r="M1284" s="1">
        <v>5</v>
      </c>
      <c r="N1284" s="1">
        <v>7</v>
      </c>
      <c r="O1284" s="1">
        <v>6</v>
      </c>
      <c r="P1284" s="1">
        <v>4</v>
      </c>
      <c r="Q1284" s="1">
        <f t="shared" si="256"/>
        <v>22</v>
      </c>
      <c r="R1284" s="12">
        <f t="shared" ref="R1284:R1320" si="260">Q1284/35</f>
        <v>0.62857142857142856</v>
      </c>
      <c r="S1284" s="1">
        <v>7</v>
      </c>
      <c r="T1284" s="1">
        <v>3</v>
      </c>
      <c r="U1284" s="1">
        <f t="shared" si="257"/>
        <v>10</v>
      </c>
      <c r="V1284" s="12">
        <f t="shared" ref="V1284:V1320" si="261">U1284/15</f>
        <v>0.66666666666666663</v>
      </c>
      <c r="W1284" s="1">
        <v>5</v>
      </c>
      <c r="X1284" s="1">
        <v>4</v>
      </c>
      <c r="Y1284" s="1">
        <v>4</v>
      </c>
      <c r="Z1284" s="1">
        <f t="shared" si="258"/>
        <v>13</v>
      </c>
      <c r="AA1284" s="12">
        <f t="shared" ref="AA1284:AA1320" si="262">Z1284/15</f>
        <v>0.8666666666666667</v>
      </c>
      <c r="AB1284" s="2" t="s">
        <v>211</v>
      </c>
    </row>
    <row r="1285" spans="1:28" x14ac:dyDescent="0.25">
      <c r="A1285" s="1" t="s">
        <v>1683</v>
      </c>
      <c r="B1285" s="1" t="s">
        <v>35</v>
      </c>
      <c r="C1285" s="1" t="s">
        <v>36</v>
      </c>
      <c r="D1285" s="1">
        <v>19</v>
      </c>
      <c r="E1285" s="1">
        <v>1</v>
      </c>
      <c r="F1285" s="1">
        <v>7</v>
      </c>
      <c r="G1285" s="1">
        <v>7</v>
      </c>
      <c r="H1285" s="1">
        <v>7</v>
      </c>
      <c r="I1285" s="1">
        <v>6</v>
      </c>
      <c r="J1285" s="1">
        <v>4</v>
      </c>
      <c r="K1285" s="1">
        <f t="shared" si="255"/>
        <v>24</v>
      </c>
      <c r="L1285" s="12">
        <f t="shared" si="259"/>
        <v>0.68571428571428572</v>
      </c>
      <c r="M1285" s="1">
        <v>7</v>
      </c>
      <c r="N1285" s="1">
        <v>7</v>
      </c>
      <c r="O1285" s="1">
        <v>6</v>
      </c>
      <c r="P1285" s="1">
        <v>4</v>
      </c>
      <c r="Q1285" s="1">
        <f t="shared" si="256"/>
        <v>24</v>
      </c>
      <c r="R1285" s="12">
        <f t="shared" si="260"/>
        <v>0.68571428571428572</v>
      </c>
      <c r="S1285" s="1">
        <v>8</v>
      </c>
      <c r="T1285" s="1">
        <v>4</v>
      </c>
      <c r="U1285" s="1">
        <f t="shared" si="257"/>
        <v>12</v>
      </c>
      <c r="V1285" s="12">
        <f t="shared" si="261"/>
        <v>0.8</v>
      </c>
      <c r="W1285" s="1">
        <v>5</v>
      </c>
      <c r="X1285" s="1">
        <v>4</v>
      </c>
      <c r="Y1285" s="1">
        <v>4</v>
      </c>
      <c r="Z1285" s="1">
        <f t="shared" si="258"/>
        <v>13</v>
      </c>
      <c r="AA1285" s="12">
        <f t="shared" si="262"/>
        <v>0.8666666666666667</v>
      </c>
      <c r="AB1285" s="2" t="s">
        <v>212</v>
      </c>
    </row>
    <row r="1286" spans="1:28" x14ac:dyDescent="0.25">
      <c r="A1286" s="1" t="s">
        <v>1683</v>
      </c>
      <c r="B1286" s="1" t="s">
        <v>35</v>
      </c>
      <c r="C1286" s="1" t="s">
        <v>36</v>
      </c>
      <c r="D1286" s="1">
        <v>19</v>
      </c>
      <c r="E1286" s="1">
        <v>1</v>
      </c>
      <c r="F1286" s="1">
        <v>7</v>
      </c>
      <c r="G1286" s="1">
        <v>3</v>
      </c>
      <c r="H1286" s="1">
        <v>2</v>
      </c>
      <c r="I1286" s="1">
        <v>2</v>
      </c>
      <c r="J1286" s="1">
        <v>1</v>
      </c>
      <c r="K1286" s="1">
        <f t="shared" si="255"/>
        <v>8</v>
      </c>
      <c r="L1286" s="12">
        <f t="shared" si="259"/>
        <v>0.22857142857142856</v>
      </c>
      <c r="M1286" s="1">
        <v>3</v>
      </c>
      <c r="N1286" s="1">
        <v>4</v>
      </c>
      <c r="O1286" s="1">
        <v>2</v>
      </c>
      <c r="P1286" s="1">
        <v>1</v>
      </c>
      <c r="Q1286" s="1">
        <f t="shared" si="256"/>
        <v>10</v>
      </c>
      <c r="R1286" s="12">
        <f t="shared" si="260"/>
        <v>0.2857142857142857</v>
      </c>
      <c r="S1286" s="1">
        <v>4</v>
      </c>
      <c r="T1286" s="1">
        <v>4</v>
      </c>
      <c r="U1286" s="1">
        <f t="shared" si="257"/>
        <v>8</v>
      </c>
      <c r="V1286" s="12">
        <f t="shared" si="261"/>
        <v>0.53333333333333333</v>
      </c>
      <c r="W1286" s="1">
        <v>4</v>
      </c>
      <c r="X1286" s="1">
        <v>2</v>
      </c>
      <c r="Y1286" s="1">
        <v>2</v>
      </c>
      <c r="Z1286" s="1">
        <f t="shared" si="258"/>
        <v>8</v>
      </c>
      <c r="AA1286" s="12">
        <f t="shared" si="262"/>
        <v>0.53333333333333333</v>
      </c>
      <c r="AB1286" s="2" t="s">
        <v>213</v>
      </c>
    </row>
    <row r="1287" spans="1:28" x14ac:dyDescent="0.25">
      <c r="A1287" s="1" t="s">
        <v>1683</v>
      </c>
      <c r="B1287" s="1" t="s">
        <v>35</v>
      </c>
      <c r="C1287" s="1" t="s">
        <v>36</v>
      </c>
      <c r="D1287" s="1">
        <v>19</v>
      </c>
      <c r="E1287" s="1">
        <v>1</v>
      </c>
      <c r="F1287" s="1">
        <v>7</v>
      </c>
      <c r="G1287" s="1">
        <v>8</v>
      </c>
      <c r="H1287" s="1">
        <v>8</v>
      </c>
      <c r="I1287" s="1">
        <v>8</v>
      </c>
      <c r="J1287" s="1">
        <v>4</v>
      </c>
      <c r="K1287" s="1">
        <f t="shared" si="255"/>
        <v>28</v>
      </c>
      <c r="L1287" s="12">
        <f t="shared" si="259"/>
        <v>0.8</v>
      </c>
      <c r="M1287" s="1">
        <v>7</v>
      </c>
      <c r="N1287" s="1">
        <v>7</v>
      </c>
      <c r="O1287" s="1">
        <v>8</v>
      </c>
      <c r="P1287" s="1">
        <v>4</v>
      </c>
      <c r="Q1287" s="1">
        <f t="shared" si="256"/>
        <v>26</v>
      </c>
      <c r="R1287" s="12">
        <f t="shared" si="260"/>
        <v>0.74285714285714288</v>
      </c>
      <c r="S1287" s="1">
        <v>8</v>
      </c>
      <c r="T1287" s="1">
        <v>4</v>
      </c>
      <c r="U1287" s="1">
        <f t="shared" si="257"/>
        <v>12</v>
      </c>
      <c r="V1287" s="12">
        <f t="shared" si="261"/>
        <v>0.8</v>
      </c>
      <c r="W1287" s="1">
        <v>4</v>
      </c>
      <c r="X1287" s="1">
        <v>4</v>
      </c>
      <c r="Y1287" s="1">
        <v>4</v>
      </c>
      <c r="Z1287" s="1">
        <f t="shared" si="258"/>
        <v>12</v>
      </c>
      <c r="AA1287" s="12">
        <f t="shared" si="262"/>
        <v>0.8</v>
      </c>
      <c r="AB1287" s="2" t="s">
        <v>214</v>
      </c>
    </row>
    <row r="1288" spans="1:28" x14ac:dyDescent="0.25">
      <c r="A1288" s="1" t="s">
        <v>1683</v>
      </c>
      <c r="B1288" s="1" t="s">
        <v>35</v>
      </c>
      <c r="C1288" s="1" t="s">
        <v>36</v>
      </c>
      <c r="D1288" s="1">
        <v>19</v>
      </c>
      <c r="E1288" s="1">
        <v>1</v>
      </c>
      <c r="F1288" s="1">
        <v>7</v>
      </c>
      <c r="G1288" s="1">
        <v>6</v>
      </c>
      <c r="H1288" s="1">
        <v>5</v>
      </c>
      <c r="I1288" s="1">
        <v>6</v>
      </c>
      <c r="J1288" s="1">
        <v>4</v>
      </c>
      <c r="K1288" s="1">
        <f t="shared" si="255"/>
        <v>21</v>
      </c>
      <c r="L1288" s="12">
        <f t="shared" si="259"/>
        <v>0.6</v>
      </c>
      <c r="M1288" s="1">
        <v>6</v>
      </c>
      <c r="N1288" s="1">
        <v>6</v>
      </c>
      <c r="O1288" s="1">
        <v>5</v>
      </c>
      <c r="P1288" s="1">
        <v>3</v>
      </c>
      <c r="Q1288" s="1">
        <f t="shared" si="256"/>
        <v>20</v>
      </c>
      <c r="R1288" s="12">
        <f t="shared" si="260"/>
        <v>0.5714285714285714</v>
      </c>
      <c r="S1288" s="1">
        <v>8</v>
      </c>
      <c r="T1288" s="1">
        <v>4</v>
      </c>
      <c r="U1288" s="1">
        <f t="shared" si="257"/>
        <v>12</v>
      </c>
      <c r="V1288" s="12">
        <f t="shared" si="261"/>
        <v>0.8</v>
      </c>
      <c r="W1288" s="1">
        <v>5</v>
      </c>
      <c r="X1288" s="1">
        <v>4</v>
      </c>
      <c r="Y1288" s="1">
        <v>2</v>
      </c>
      <c r="Z1288" s="1">
        <f t="shared" si="258"/>
        <v>11</v>
      </c>
      <c r="AA1288" s="12">
        <f t="shared" si="262"/>
        <v>0.73333333333333328</v>
      </c>
      <c r="AB1288" s="2" t="s">
        <v>215</v>
      </c>
    </row>
    <row r="1289" spans="1:28" x14ac:dyDescent="0.25">
      <c r="A1289" s="1" t="s">
        <v>1683</v>
      </c>
      <c r="B1289" s="1" t="s">
        <v>35</v>
      </c>
      <c r="C1289" s="1" t="s">
        <v>36</v>
      </c>
      <c r="D1289" s="1">
        <v>19</v>
      </c>
      <c r="E1289" s="1">
        <v>1</v>
      </c>
      <c r="F1289" s="1">
        <v>7</v>
      </c>
      <c r="G1289" s="1">
        <v>8</v>
      </c>
      <c r="H1289" s="1">
        <v>7</v>
      </c>
      <c r="I1289" s="1">
        <v>8</v>
      </c>
      <c r="J1289" s="1">
        <v>4</v>
      </c>
      <c r="K1289" s="1">
        <f t="shared" si="255"/>
        <v>27</v>
      </c>
      <c r="L1289" s="12">
        <f t="shared" si="259"/>
        <v>0.77142857142857146</v>
      </c>
      <c r="M1289" s="1">
        <v>7</v>
      </c>
      <c r="N1289" s="1">
        <v>8</v>
      </c>
      <c r="O1289" s="1">
        <v>8</v>
      </c>
      <c r="P1289" s="1">
        <v>5</v>
      </c>
      <c r="Q1289" s="1">
        <f t="shared" si="256"/>
        <v>28</v>
      </c>
      <c r="R1289" s="12">
        <f t="shared" si="260"/>
        <v>0.8</v>
      </c>
      <c r="S1289" s="1">
        <v>7</v>
      </c>
      <c r="T1289" s="1">
        <v>5</v>
      </c>
      <c r="U1289" s="1">
        <f t="shared" si="257"/>
        <v>12</v>
      </c>
      <c r="V1289" s="12">
        <f t="shared" si="261"/>
        <v>0.8</v>
      </c>
      <c r="W1289" s="1">
        <v>4</v>
      </c>
      <c r="X1289" s="1">
        <v>4</v>
      </c>
      <c r="Y1289" s="1">
        <v>4</v>
      </c>
      <c r="Z1289" s="1">
        <f t="shared" si="258"/>
        <v>12</v>
      </c>
      <c r="AA1289" s="12">
        <f t="shared" si="262"/>
        <v>0.8</v>
      </c>
      <c r="AB1289" s="2" t="s">
        <v>216</v>
      </c>
    </row>
    <row r="1290" spans="1:28" x14ac:dyDescent="0.25">
      <c r="A1290" s="1" t="s">
        <v>1683</v>
      </c>
      <c r="B1290" s="1" t="s">
        <v>35</v>
      </c>
      <c r="C1290" s="1" t="s">
        <v>36</v>
      </c>
      <c r="D1290" s="1">
        <v>19</v>
      </c>
      <c r="E1290" s="1">
        <v>1</v>
      </c>
      <c r="F1290" s="1">
        <v>7</v>
      </c>
      <c r="G1290" s="1">
        <v>4</v>
      </c>
      <c r="H1290" s="1">
        <v>3</v>
      </c>
      <c r="I1290" s="1">
        <v>3</v>
      </c>
      <c r="J1290" s="1">
        <v>2</v>
      </c>
      <c r="K1290" s="1">
        <f t="shared" si="255"/>
        <v>12</v>
      </c>
      <c r="L1290" s="12">
        <f t="shared" si="259"/>
        <v>0.34285714285714286</v>
      </c>
      <c r="M1290" s="1">
        <v>3</v>
      </c>
      <c r="N1290" s="1">
        <v>4</v>
      </c>
      <c r="O1290" s="1">
        <v>3</v>
      </c>
      <c r="P1290" s="1">
        <v>2</v>
      </c>
      <c r="Q1290" s="1">
        <f t="shared" si="256"/>
        <v>12</v>
      </c>
      <c r="R1290" s="12">
        <f t="shared" si="260"/>
        <v>0.34285714285714286</v>
      </c>
      <c r="S1290" s="1">
        <v>5</v>
      </c>
      <c r="T1290" s="1">
        <v>2</v>
      </c>
      <c r="U1290" s="1">
        <f t="shared" si="257"/>
        <v>7</v>
      </c>
      <c r="V1290" s="12">
        <f t="shared" si="261"/>
        <v>0.46666666666666667</v>
      </c>
      <c r="W1290" s="1">
        <v>3</v>
      </c>
      <c r="X1290" s="1">
        <v>2</v>
      </c>
      <c r="Y1290" s="1">
        <v>3</v>
      </c>
      <c r="Z1290" s="1">
        <f t="shared" si="258"/>
        <v>8</v>
      </c>
      <c r="AA1290" s="12">
        <f t="shared" si="262"/>
        <v>0.53333333333333333</v>
      </c>
      <c r="AB1290" s="2" t="s">
        <v>217</v>
      </c>
    </row>
    <row r="1291" spans="1:28" x14ac:dyDescent="0.25">
      <c r="A1291" s="1" t="s">
        <v>1683</v>
      </c>
      <c r="B1291" s="1" t="s">
        <v>35</v>
      </c>
      <c r="C1291" s="1" t="s">
        <v>36</v>
      </c>
      <c r="D1291" s="1">
        <v>19</v>
      </c>
      <c r="E1291" s="1">
        <v>1</v>
      </c>
      <c r="F1291" s="1">
        <v>7</v>
      </c>
      <c r="G1291" s="1">
        <v>7</v>
      </c>
      <c r="H1291" s="1">
        <v>7</v>
      </c>
      <c r="I1291" s="1">
        <v>7</v>
      </c>
      <c r="J1291" s="1">
        <v>5</v>
      </c>
      <c r="K1291" s="1">
        <f t="shared" si="255"/>
        <v>26</v>
      </c>
      <c r="L1291" s="12">
        <f t="shared" si="259"/>
        <v>0.74285714285714288</v>
      </c>
      <c r="M1291" s="1">
        <v>7</v>
      </c>
      <c r="N1291" s="1">
        <v>7</v>
      </c>
      <c r="O1291" s="1">
        <v>7</v>
      </c>
      <c r="P1291" s="1">
        <v>4</v>
      </c>
      <c r="Q1291" s="1">
        <f t="shared" si="256"/>
        <v>25</v>
      </c>
      <c r="R1291" s="12">
        <f t="shared" si="260"/>
        <v>0.7142857142857143</v>
      </c>
      <c r="S1291" s="1">
        <v>5</v>
      </c>
      <c r="T1291" s="1">
        <v>4</v>
      </c>
      <c r="U1291" s="1">
        <f t="shared" si="257"/>
        <v>9</v>
      </c>
      <c r="V1291" s="12">
        <f t="shared" si="261"/>
        <v>0.6</v>
      </c>
      <c r="W1291" s="1">
        <v>4</v>
      </c>
      <c r="X1291" s="1">
        <v>4</v>
      </c>
      <c r="Y1291" s="1">
        <v>5</v>
      </c>
      <c r="Z1291" s="1">
        <f t="shared" si="258"/>
        <v>13</v>
      </c>
      <c r="AA1291" s="12">
        <f t="shared" si="262"/>
        <v>0.8666666666666667</v>
      </c>
      <c r="AB1291" s="2" t="s">
        <v>218</v>
      </c>
    </row>
    <row r="1292" spans="1:28" x14ac:dyDescent="0.25">
      <c r="A1292" s="1" t="s">
        <v>1683</v>
      </c>
      <c r="B1292" s="1" t="s">
        <v>35</v>
      </c>
      <c r="C1292" s="1" t="s">
        <v>36</v>
      </c>
      <c r="D1292" s="1">
        <v>20</v>
      </c>
      <c r="E1292" s="1">
        <v>2</v>
      </c>
      <c r="F1292" s="1">
        <v>7</v>
      </c>
      <c r="G1292" s="1">
        <v>7</v>
      </c>
      <c r="H1292" s="1">
        <v>6</v>
      </c>
      <c r="I1292" s="1">
        <v>5</v>
      </c>
      <c r="J1292" s="1">
        <v>3</v>
      </c>
      <c r="K1292" s="1">
        <f t="shared" si="255"/>
        <v>21</v>
      </c>
      <c r="L1292" s="12">
        <f t="shared" si="259"/>
        <v>0.6</v>
      </c>
      <c r="M1292" s="1">
        <v>7</v>
      </c>
      <c r="N1292" s="1">
        <v>6</v>
      </c>
      <c r="O1292" s="1">
        <v>6</v>
      </c>
      <c r="P1292" s="1">
        <v>3</v>
      </c>
      <c r="Q1292" s="1">
        <f t="shared" si="256"/>
        <v>22</v>
      </c>
      <c r="R1292" s="12">
        <f t="shared" si="260"/>
        <v>0.62857142857142856</v>
      </c>
      <c r="S1292" s="1">
        <v>6</v>
      </c>
      <c r="T1292" s="1">
        <v>3</v>
      </c>
      <c r="U1292" s="1">
        <f t="shared" si="257"/>
        <v>9</v>
      </c>
      <c r="V1292" s="12">
        <f t="shared" si="261"/>
        <v>0.6</v>
      </c>
      <c r="W1292" s="1">
        <v>3</v>
      </c>
      <c r="X1292" s="1">
        <v>4</v>
      </c>
      <c r="Y1292" s="1">
        <v>2</v>
      </c>
      <c r="Z1292" s="1">
        <f t="shared" si="258"/>
        <v>9</v>
      </c>
      <c r="AA1292" s="12">
        <f t="shared" si="262"/>
        <v>0.6</v>
      </c>
      <c r="AB1292" s="2" t="s">
        <v>414</v>
      </c>
    </row>
    <row r="1293" spans="1:28" x14ac:dyDescent="0.25">
      <c r="A1293" s="1" t="s">
        <v>1683</v>
      </c>
      <c r="B1293" s="1" t="s">
        <v>35</v>
      </c>
      <c r="C1293" s="1" t="s">
        <v>36</v>
      </c>
      <c r="D1293" s="1">
        <v>20</v>
      </c>
      <c r="E1293" s="1">
        <v>2</v>
      </c>
      <c r="F1293" s="1">
        <v>7</v>
      </c>
      <c r="G1293" s="1">
        <v>7</v>
      </c>
      <c r="H1293" s="1">
        <v>5</v>
      </c>
      <c r="I1293" s="1">
        <v>4</v>
      </c>
      <c r="J1293" s="1">
        <v>4</v>
      </c>
      <c r="K1293" s="1">
        <f t="shared" si="255"/>
        <v>20</v>
      </c>
      <c r="L1293" s="12">
        <f t="shared" si="259"/>
        <v>0.5714285714285714</v>
      </c>
      <c r="M1293" s="1">
        <v>6</v>
      </c>
      <c r="N1293" s="1">
        <v>5</v>
      </c>
      <c r="O1293" s="1">
        <v>5</v>
      </c>
      <c r="P1293" s="1">
        <v>3</v>
      </c>
      <c r="Q1293" s="1">
        <f t="shared" si="256"/>
        <v>19</v>
      </c>
      <c r="R1293" s="12">
        <f t="shared" si="260"/>
        <v>0.54285714285714282</v>
      </c>
      <c r="S1293" s="1">
        <v>7</v>
      </c>
      <c r="T1293" s="1">
        <v>4</v>
      </c>
      <c r="U1293" s="1">
        <f t="shared" si="257"/>
        <v>11</v>
      </c>
      <c r="V1293" s="12">
        <f t="shared" si="261"/>
        <v>0.73333333333333328</v>
      </c>
      <c r="W1293" s="1">
        <v>4</v>
      </c>
      <c r="X1293" s="1">
        <v>4</v>
      </c>
      <c r="Y1293" s="1">
        <v>4</v>
      </c>
      <c r="Z1293" s="1">
        <f t="shared" si="258"/>
        <v>12</v>
      </c>
      <c r="AA1293" s="12">
        <f t="shared" si="262"/>
        <v>0.8</v>
      </c>
      <c r="AB1293" s="2" t="s">
        <v>415</v>
      </c>
    </row>
    <row r="1294" spans="1:28" x14ac:dyDescent="0.25">
      <c r="A1294" s="1" t="s">
        <v>1683</v>
      </c>
      <c r="B1294" s="1" t="s">
        <v>35</v>
      </c>
      <c r="C1294" s="1" t="s">
        <v>36</v>
      </c>
      <c r="D1294" s="1">
        <v>20</v>
      </c>
      <c r="E1294" s="1">
        <v>2</v>
      </c>
      <c r="F1294" s="1">
        <v>7</v>
      </c>
      <c r="G1294" s="1">
        <v>7</v>
      </c>
      <c r="H1294" s="1">
        <v>7</v>
      </c>
      <c r="I1294" s="1">
        <v>7</v>
      </c>
      <c r="J1294" s="1">
        <v>4</v>
      </c>
      <c r="K1294" s="1">
        <f t="shared" si="255"/>
        <v>25</v>
      </c>
      <c r="L1294" s="12">
        <f t="shared" si="259"/>
        <v>0.7142857142857143</v>
      </c>
      <c r="M1294" s="1">
        <v>7</v>
      </c>
      <c r="N1294" s="1">
        <v>7</v>
      </c>
      <c r="O1294" s="1">
        <v>6</v>
      </c>
      <c r="P1294" s="1">
        <v>4</v>
      </c>
      <c r="Q1294" s="1">
        <f t="shared" si="256"/>
        <v>24</v>
      </c>
      <c r="R1294" s="12">
        <f t="shared" si="260"/>
        <v>0.68571428571428572</v>
      </c>
      <c r="S1294" s="1">
        <v>8</v>
      </c>
      <c r="T1294" s="1">
        <v>5</v>
      </c>
      <c r="U1294" s="1">
        <f t="shared" si="257"/>
        <v>13</v>
      </c>
      <c r="V1294" s="12">
        <f t="shared" si="261"/>
        <v>0.8666666666666667</v>
      </c>
      <c r="W1294" s="1">
        <v>4</v>
      </c>
      <c r="X1294" s="1">
        <v>5</v>
      </c>
      <c r="Y1294" s="1">
        <v>5</v>
      </c>
      <c r="Z1294" s="1">
        <f t="shared" si="258"/>
        <v>14</v>
      </c>
      <c r="AA1294" s="12">
        <f t="shared" si="262"/>
        <v>0.93333333333333335</v>
      </c>
      <c r="AB1294" s="2" t="s">
        <v>416</v>
      </c>
    </row>
    <row r="1295" spans="1:28" x14ac:dyDescent="0.25">
      <c r="A1295" s="1" t="s">
        <v>1683</v>
      </c>
      <c r="B1295" s="1" t="s">
        <v>35</v>
      </c>
      <c r="C1295" s="1" t="s">
        <v>36</v>
      </c>
      <c r="D1295" s="1">
        <v>20</v>
      </c>
      <c r="E1295" s="1">
        <v>2</v>
      </c>
      <c r="F1295" s="1">
        <v>7</v>
      </c>
      <c r="G1295" s="1">
        <v>7</v>
      </c>
      <c r="H1295" s="1">
        <v>7</v>
      </c>
      <c r="I1295" s="1">
        <v>6</v>
      </c>
      <c r="J1295" s="1">
        <v>4</v>
      </c>
      <c r="K1295" s="1">
        <f t="shared" si="255"/>
        <v>24</v>
      </c>
      <c r="L1295" s="12">
        <f t="shared" si="259"/>
        <v>0.68571428571428572</v>
      </c>
      <c r="M1295" s="1">
        <v>7</v>
      </c>
      <c r="N1295" s="1">
        <v>7</v>
      </c>
      <c r="O1295" s="1">
        <v>7</v>
      </c>
      <c r="P1295" s="1">
        <v>3</v>
      </c>
      <c r="Q1295" s="1">
        <f t="shared" si="256"/>
        <v>24</v>
      </c>
      <c r="R1295" s="12">
        <f t="shared" si="260"/>
        <v>0.68571428571428572</v>
      </c>
      <c r="S1295" s="1">
        <v>7</v>
      </c>
      <c r="T1295" s="1">
        <v>4</v>
      </c>
      <c r="U1295" s="1">
        <f t="shared" si="257"/>
        <v>11</v>
      </c>
      <c r="V1295" s="12">
        <f t="shared" si="261"/>
        <v>0.73333333333333328</v>
      </c>
      <c r="W1295" s="1">
        <v>4</v>
      </c>
      <c r="X1295" s="1">
        <v>3</v>
      </c>
      <c r="Y1295" s="1">
        <v>4</v>
      </c>
      <c r="Z1295" s="1">
        <f t="shared" si="258"/>
        <v>11</v>
      </c>
      <c r="AA1295" s="12">
        <f t="shared" si="262"/>
        <v>0.73333333333333328</v>
      </c>
      <c r="AB1295" s="2" t="s">
        <v>417</v>
      </c>
    </row>
    <row r="1296" spans="1:28" x14ac:dyDescent="0.25">
      <c r="A1296" s="1" t="s">
        <v>1683</v>
      </c>
      <c r="B1296" s="1" t="s">
        <v>35</v>
      </c>
      <c r="C1296" s="1" t="s">
        <v>36</v>
      </c>
      <c r="D1296" s="1">
        <v>20</v>
      </c>
      <c r="E1296" s="1">
        <v>2</v>
      </c>
      <c r="F1296" s="1">
        <v>7</v>
      </c>
      <c r="G1296" s="1">
        <v>6</v>
      </c>
      <c r="H1296" s="1">
        <v>7</v>
      </c>
      <c r="I1296" s="1">
        <v>6</v>
      </c>
      <c r="J1296" s="1">
        <v>3</v>
      </c>
      <c r="K1296" s="1">
        <f t="shared" si="255"/>
        <v>22</v>
      </c>
      <c r="L1296" s="12">
        <f t="shared" si="259"/>
        <v>0.62857142857142856</v>
      </c>
      <c r="M1296" s="1">
        <v>6</v>
      </c>
      <c r="N1296" s="1">
        <v>7</v>
      </c>
      <c r="O1296" s="1">
        <v>6</v>
      </c>
      <c r="P1296" s="1">
        <v>4</v>
      </c>
      <c r="Q1296" s="1">
        <f t="shared" si="256"/>
        <v>23</v>
      </c>
      <c r="R1296" s="12">
        <f t="shared" si="260"/>
        <v>0.65714285714285714</v>
      </c>
      <c r="S1296" s="1">
        <v>6</v>
      </c>
      <c r="T1296" s="1">
        <v>3</v>
      </c>
      <c r="U1296" s="1">
        <f t="shared" si="257"/>
        <v>9</v>
      </c>
      <c r="V1296" s="12">
        <f t="shared" si="261"/>
        <v>0.6</v>
      </c>
      <c r="W1296" s="1">
        <v>3</v>
      </c>
      <c r="X1296" s="1">
        <v>4</v>
      </c>
      <c r="Y1296" s="1">
        <v>3</v>
      </c>
      <c r="Z1296" s="1">
        <f t="shared" si="258"/>
        <v>10</v>
      </c>
      <c r="AA1296" s="12">
        <f t="shared" si="262"/>
        <v>0.66666666666666663</v>
      </c>
      <c r="AB1296" s="2" t="s">
        <v>418</v>
      </c>
    </row>
    <row r="1297" spans="1:28" x14ac:dyDescent="0.25">
      <c r="A1297" s="1" t="s">
        <v>1683</v>
      </c>
      <c r="B1297" s="1" t="s">
        <v>35</v>
      </c>
      <c r="C1297" s="1" t="s">
        <v>36</v>
      </c>
      <c r="D1297" s="1">
        <v>20</v>
      </c>
      <c r="E1297" s="1">
        <v>2</v>
      </c>
      <c r="F1297" s="1">
        <v>7</v>
      </c>
      <c r="G1297" s="1">
        <v>7</v>
      </c>
      <c r="H1297" s="1">
        <v>6</v>
      </c>
      <c r="I1297" s="1">
        <v>6</v>
      </c>
      <c r="J1297" s="1">
        <v>3</v>
      </c>
      <c r="K1297" s="1">
        <f t="shared" si="255"/>
        <v>22</v>
      </c>
      <c r="L1297" s="12">
        <f t="shared" si="259"/>
        <v>0.62857142857142856</v>
      </c>
      <c r="M1297" s="1">
        <v>8</v>
      </c>
      <c r="N1297" s="1">
        <v>7</v>
      </c>
      <c r="O1297" s="1">
        <v>5</v>
      </c>
      <c r="P1297" s="1">
        <v>4</v>
      </c>
      <c r="Q1297" s="1">
        <f t="shared" si="256"/>
        <v>24</v>
      </c>
      <c r="R1297" s="12">
        <f t="shared" si="260"/>
        <v>0.68571428571428572</v>
      </c>
      <c r="S1297" s="1">
        <v>4</v>
      </c>
      <c r="T1297" s="1">
        <v>3</v>
      </c>
      <c r="U1297" s="1">
        <f t="shared" si="257"/>
        <v>7</v>
      </c>
      <c r="V1297" s="12">
        <f t="shared" si="261"/>
        <v>0.46666666666666667</v>
      </c>
      <c r="W1297" s="1">
        <v>3</v>
      </c>
      <c r="X1297" s="1">
        <v>4</v>
      </c>
      <c r="Y1297" s="1">
        <v>4</v>
      </c>
      <c r="Z1297" s="1">
        <f t="shared" si="258"/>
        <v>11</v>
      </c>
      <c r="AA1297" s="12">
        <f t="shared" si="262"/>
        <v>0.73333333333333328</v>
      </c>
      <c r="AB1297" s="2" t="s">
        <v>419</v>
      </c>
    </row>
    <row r="1298" spans="1:28" x14ac:dyDescent="0.25">
      <c r="A1298" s="1" t="s">
        <v>1683</v>
      </c>
      <c r="B1298" s="1" t="s">
        <v>35</v>
      </c>
      <c r="C1298" s="1" t="s">
        <v>36</v>
      </c>
      <c r="D1298" s="1">
        <v>20</v>
      </c>
      <c r="E1298" s="1">
        <v>2</v>
      </c>
      <c r="F1298" s="1">
        <v>7</v>
      </c>
      <c r="G1298" s="1">
        <v>8</v>
      </c>
      <c r="H1298" s="1">
        <v>7</v>
      </c>
      <c r="I1298" s="1">
        <v>7</v>
      </c>
      <c r="J1298" s="1">
        <v>5</v>
      </c>
      <c r="K1298" s="1">
        <f t="shared" si="255"/>
        <v>27</v>
      </c>
      <c r="L1298" s="12">
        <f t="shared" si="259"/>
        <v>0.77142857142857146</v>
      </c>
      <c r="M1298" s="1">
        <v>7</v>
      </c>
      <c r="N1298" s="1">
        <v>6</v>
      </c>
      <c r="O1298" s="1">
        <v>6</v>
      </c>
      <c r="P1298" s="1">
        <v>3</v>
      </c>
      <c r="Q1298" s="1">
        <f t="shared" si="256"/>
        <v>22</v>
      </c>
      <c r="R1298" s="12">
        <f t="shared" si="260"/>
        <v>0.62857142857142856</v>
      </c>
      <c r="S1298" s="1">
        <v>6</v>
      </c>
      <c r="T1298" s="1">
        <v>4</v>
      </c>
      <c r="U1298" s="1">
        <f t="shared" si="257"/>
        <v>10</v>
      </c>
      <c r="V1298" s="12">
        <f t="shared" si="261"/>
        <v>0.66666666666666663</v>
      </c>
      <c r="W1298" s="1">
        <v>4</v>
      </c>
      <c r="X1298" s="1">
        <v>3</v>
      </c>
      <c r="Y1298" s="1">
        <v>3</v>
      </c>
      <c r="Z1298" s="1">
        <f t="shared" si="258"/>
        <v>10</v>
      </c>
      <c r="AA1298" s="12">
        <f t="shared" si="262"/>
        <v>0.66666666666666663</v>
      </c>
      <c r="AB1298" s="2" t="s">
        <v>420</v>
      </c>
    </row>
    <row r="1299" spans="1:28" x14ac:dyDescent="0.25">
      <c r="A1299" s="1" t="s">
        <v>1683</v>
      </c>
      <c r="B1299" s="1" t="s">
        <v>35</v>
      </c>
      <c r="C1299" s="1" t="s">
        <v>36</v>
      </c>
      <c r="D1299" s="1">
        <v>20</v>
      </c>
      <c r="E1299" s="1">
        <v>2</v>
      </c>
      <c r="F1299" s="1">
        <v>7</v>
      </c>
      <c r="G1299" s="1">
        <v>7</v>
      </c>
      <c r="H1299" s="1">
        <v>5</v>
      </c>
      <c r="I1299" s="1">
        <v>5</v>
      </c>
      <c r="J1299" s="1">
        <v>3</v>
      </c>
      <c r="K1299" s="1">
        <f t="shared" si="255"/>
        <v>20</v>
      </c>
      <c r="L1299" s="12">
        <f t="shared" si="259"/>
        <v>0.5714285714285714</v>
      </c>
      <c r="M1299" s="1">
        <v>8</v>
      </c>
      <c r="N1299" s="1">
        <v>8</v>
      </c>
      <c r="O1299" s="1">
        <v>7</v>
      </c>
      <c r="P1299" s="1">
        <v>4</v>
      </c>
      <c r="Q1299" s="1">
        <f t="shared" si="256"/>
        <v>27</v>
      </c>
      <c r="R1299" s="12">
        <f t="shared" si="260"/>
        <v>0.77142857142857146</v>
      </c>
      <c r="S1299" s="1">
        <v>6</v>
      </c>
      <c r="T1299" s="1">
        <v>3</v>
      </c>
      <c r="U1299" s="1">
        <f t="shared" si="257"/>
        <v>9</v>
      </c>
      <c r="V1299" s="12">
        <f t="shared" si="261"/>
        <v>0.6</v>
      </c>
      <c r="W1299" s="1">
        <v>5</v>
      </c>
      <c r="X1299" s="1">
        <v>3</v>
      </c>
      <c r="Y1299" s="1">
        <v>3</v>
      </c>
      <c r="Z1299" s="1">
        <f t="shared" si="258"/>
        <v>11</v>
      </c>
      <c r="AA1299" s="12">
        <f t="shared" si="262"/>
        <v>0.73333333333333328</v>
      </c>
      <c r="AB1299" s="2" t="s">
        <v>421</v>
      </c>
    </row>
    <row r="1300" spans="1:28" x14ac:dyDescent="0.25">
      <c r="A1300" s="1" t="s">
        <v>1683</v>
      </c>
      <c r="B1300" s="1" t="s">
        <v>35</v>
      </c>
      <c r="C1300" s="1" t="s">
        <v>36</v>
      </c>
      <c r="D1300" s="1">
        <v>5</v>
      </c>
      <c r="E1300" s="1">
        <v>3</v>
      </c>
      <c r="F1300" s="1">
        <v>3</v>
      </c>
      <c r="G1300" s="1">
        <v>5</v>
      </c>
      <c r="H1300" s="1">
        <v>4</v>
      </c>
      <c r="I1300" s="1">
        <v>4</v>
      </c>
      <c r="J1300" s="1">
        <v>2</v>
      </c>
      <c r="K1300" s="1">
        <f t="shared" si="255"/>
        <v>15</v>
      </c>
      <c r="L1300" s="12">
        <f t="shared" si="259"/>
        <v>0.42857142857142855</v>
      </c>
      <c r="M1300" s="1">
        <v>7</v>
      </c>
      <c r="N1300" s="1">
        <v>6</v>
      </c>
      <c r="O1300" s="1">
        <v>5</v>
      </c>
      <c r="P1300" s="1">
        <v>4</v>
      </c>
      <c r="Q1300" s="1">
        <f t="shared" si="256"/>
        <v>22</v>
      </c>
      <c r="R1300" s="12">
        <f t="shared" si="260"/>
        <v>0.62857142857142856</v>
      </c>
      <c r="S1300" s="1">
        <v>6</v>
      </c>
      <c r="T1300" s="1">
        <v>3</v>
      </c>
      <c r="U1300" s="1">
        <f t="shared" si="257"/>
        <v>9</v>
      </c>
      <c r="V1300" s="12">
        <f t="shared" si="261"/>
        <v>0.6</v>
      </c>
      <c r="W1300" s="1">
        <v>3</v>
      </c>
      <c r="X1300" s="1">
        <v>3</v>
      </c>
      <c r="Y1300" s="1">
        <v>4</v>
      </c>
      <c r="Z1300" s="1">
        <f t="shared" si="258"/>
        <v>10</v>
      </c>
      <c r="AA1300" s="12">
        <f t="shared" si="262"/>
        <v>0.66666666666666663</v>
      </c>
      <c r="AB1300" s="2" t="s">
        <v>485</v>
      </c>
    </row>
    <row r="1301" spans="1:28" x14ac:dyDescent="0.25">
      <c r="A1301" s="1" t="s">
        <v>1683</v>
      </c>
      <c r="B1301" s="1" t="s">
        <v>35</v>
      </c>
      <c r="C1301" s="1" t="s">
        <v>36</v>
      </c>
      <c r="D1301" s="1">
        <v>5</v>
      </c>
      <c r="E1301" s="1">
        <v>3</v>
      </c>
      <c r="F1301" s="1">
        <v>3</v>
      </c>
      <c r="G1301" s="1">
        <v>6</v>
      </c>
      <c r="H1301" s="1">
        <v>5</v>
      </c>
      <c r="I1301" s="1">
        <v>6</v>
      </c>
      <c r="J1301" s="1">
        <v>3</v>
      </c>
      <c r="K1301" s="1">
        <f t="shared" si="255"/>
        <v>20</v>
      </c>
      <c r="L1301" s="12">
        <f t="shared" si="259"/>
        <v>0.5714285714285714</v>
      </c>
      <c r="M1301" s="1">
        <v>4</v>
      </c>
      <c r="N1301" s="1">
        <v>7</v>
      </c>
      <c r="O1301" s="1">
        <v>6</v>
      </c>
      <c r="P1301" s="1">
        <v>4</v>
      </c>
      <c r="Q1301" s="1">
        <f t="shared" si="256"/>
        <v>21</v>
      </c>
      <c r="R1301" s="12">
        <f t="shared" si="260"/>
        <v>0.6</v>
      </c>
      <c r="S1301" s="1">
        <v>7</v>
      </c>
      <c r="T1301" s="1">
        <v>4</v>
      </c>
      <c r="U1301" s="1">
        <f t="shared" si="257"/>
        <v>11</v>
      </c>
      <c r="V1301" s="12">
        <f t="shared" si="261"/>
        <v>0.73333333333333328</v>
      </c>
      <c r="W1301" s="1">
        <v>4</v>
      </c>
      <c r="X1301" s="1">
        <v>4</v>
      </c>
      <c r="Y1301" s="1">
        <v>4</v>
      </c>
      <c r="Z1301" s="1">
        <f t="shared" si="258"/>
        <v>12</v>
      </c>
      <c r="AA1301" s="12">
        <f t="shared" si="262"/>
        <v>0.8</v>
      </c>
      <c r="AB1301" s="2" t="s">
        <v>486</v>
      </c>
    </row>
    <row r="1302" spans="1:28" x14ac:dyDescent="0.25">
      <c r="A1302" s="1" t="s">
        <v>1683</v>
      </c>
      <c r="B1302" s="1" t="s">
        <v>35</v>
      </c>
      <c r="C1302" s="1" t="s">
        <v>36</v>
      </c>
      <c r="D1302" s="1">
        <v>5</v>
      </c>
      <c r="E1302" s="1">
        <v>3</v>
      </c>
      <c r="F1302" s="1">
        <v>3</v>
      </c>
      <c r="G1302" s="1">
        <v>7</v>
      </c>
      <c r="H1302" s="1">
        <v>7</v>
      </c>
      <c r="I1302" s="1">
        <v>7</v>
      </c>
      <c r="J1302" s="1">
        <v>4</v>
      </c>
      <c r="K1302" s="1">
        <f t="shared" si="255"/>
        <v>25</v>
      </c>
      <c r="L1302" s="12">
        <f t="shared" si="259"/>
        <v>0.7142857142857143</v>
      </c>
      <c r="M1302" s="1">
        <v>7</v>
      </c>
      <c r="N1302" s="1">
        <v>6</v>
      </c>
      <c r="O1302" s="1">
        <v>6</v>
      </c>
      <c r="P1302" s="1">
        <v>3</v>
      </c>
      <c r="Q1302" s="1">
        <f t="shared" si="256"/>
        <v>22</v>
      </c>
      <c r="R1302" s="12">
        <f t="shared" si="260"/>
        <v>0.62857142857142856</v>
      </c>
      <c r="S1302" s="1">
        <v>7</v>
      </c>
      <c r="T1302" s="1">
        <v>3</v>
      </c>
      <c r="U1302" s="1">
        <f t="shared" si="257"/>
        <v>10</v>
      </c>
      <c r="V1302" s="12">
        <f t="shared" si="261"/>
        <v>0.66666666666666663</v>
      </c>
      <c r="W1302" s="1">
        <v>3</v>
      </c>
      <c r="X1302" s="1">
        <v>3</v>
      </c>
      <c r="Y1302" s="1">
        <v>3</v>
      </c>
      <c r="Z1302" s="1">
        <f t="shared" si="258"/>
        <v>9</v>
      </c>
      <c r="AA1302" s="12">
        <f t="shared" si="262"/>
        <v>0.6</v>
      </c>
      <c r="AB1302" s="2" t="s">
        <v>487</v>
      </c>
    </row>
    <row r="1303" spans="1:28" x14ac:dyDescent="0.25">
      <c r="A1303" s="1" t="s">
        <v>1683</v>
      </c>
      <c r="B1303" s="1" t="s">
        <v>35</v>
      </c>
      <c r="C1303" s="1" t="s">
        <v>36</v>
      </c>
      <c r="D1303" s="1">
        <v>5</v>
      </c>
      <c r="E1303" s="1">
        <v>3</v>
      </c>
      <c r="F1303" s="1">
        <v>3</v>
      </c>
      <c r="G1303" s="1">
        <v>7</v>
      </c>
      <c r="H1303" s="1">
        <v>5</v>
      </c>
      <c r="I1303" s="1">
        <v>5</v>
      </c>
      <c r="J1303" s="1">
        <v>4</v>
      </c>
      <c r="K1303" s="1">
        <f t="shared" si="255"/>
        <v>21</v>
      </c>
      <c r="L1303" s="12">
        <f t="shared" si="259"/>
        <v>0.6</v>
      </c>
      <c r="M1303" s="1">
        <v>6</v>
      </c>
      <c r="N1303" s="1">
        <v>6</v>
      </c>
      <c r="O1303" s="1">
        <v>6</v>
      </c>
      <c r="P1303" s="1">
        <v>3</v>
      </c>
      <c r="Q1303" s="1">
        <f t="shared" si="256"/>
        <v>21</v>
      </c>
      <c r="R1303" s="12">
        <f t="shared" si="260"/>
        <v>0.6</v>
      </c>
      <c r="S1303" s="1">
        <v>6</v>
      </c>
      <c r="T1303" s="1">
        <v>4</v>
      </c>
      <c r="U1303" s="1">
        <f t="shared" si="257"/>
        <v>10</v>
      </c>
      <c r="V1303" s="12">
        <f t="shared" si="261"/>
        <v>0.66666666666666663</v>
      </c>
      <c r="W1303" s="1">
        <v>4</v>
      </c>
      <c r="X1303" s="1">
        <v>3</v>
      </c>
      <c r="Y1303" s="1">
        <v>3</v>
      </c>
      <c r="Z1303" s="1">
        <f t="shared" si="258"/>
        <v>10</v>
      </c>
      <c r="AA1303" s="12">
        <f t="shared" si="262"/>
        <v>0.66666666666666663</v>
      </c>
      <c r="AB1303" s="2" t="s">
        <v>488</v>
      </c>
    </row>
    <row r="1304" spans="1:28" x14ac:dyDescent="0.25">
      <c r="A1304" s="1" t="s">
        <v>1683</v>
      </c>
      <c r="B1304" s="1" t="s">
        <v>35</v>
      </c>
      <c r="C1304" s="1" t="s">
        <v>36</v>
      </c>
      <c r="D1304" s="1">
        <v>5</v>
      </c>
      <c r="E1304" s="1">
        <v>3</v>
      </c>
      <c r="F1304" s="1">
        <v>3</v>
      </c>
      <c r="G1304" s="1">
        <v>7</v>
      </c>
      <c r="H1304" s="1">
        <v>7</v>
      </c>
      <c r="I1304" s="1">
        <v>6</v>
      </c>
      <c r="J1304" s="1">
        <v>3</v>
      </c>
      <c r="K1304" s="1">
        <f t="shared" si="255"/>
        <v>23</v>
      </c>
      <c r="L1304" s="12">
        <f t="shared" si="259"/>
        <v>0.65714285714285714</v>
      </c>
      <c r="M1304" s="1">
        <v>6</v>
      </c>
      <c r="N1304" s="1">
        <v>7</v>
      </c>
      <c r="O1304" s="1">
        <v>6</v>
      </c>
      <c r="P1304" s="1">
        <v>3</v>
      </c>
      <c r="Q1304" s="1">
        <f t="shared" si="256"/>
        <v>22</v>
      </c>
      <c r="R1304" s="12">
        <f t="shared" si="260"/>
        <v>0.62857142857142856</v>
      </c>
      <c r="S1304" s="1">
        <v>8</v>
      </c>
      <c r="T1304" s="1">
        <v>4</v>
      </c>
      <c r="U1304" s="1">
        <f t="shared" si="257"/>
        <v>12</v>
      </c>
      <c r="V1304" s="12">
        <f t="shared" si="261"/>
        <v>0.8</v>
      </c>
      <c r="W1304" s="1">
        <v>4</v>
      </c>
      <c r="X1304" s="1">
        <v>4</v>
      </c>
      <c r="Y1304" s="1">
        <v>3</v>
      </c>
      <c r="Z1304" s="1">
        <f t="shared" si="258"/>
        <v>11</v>
      </c>
      <c r="AA1304" s="12">
        <f t="shared" si="262"/>
        <v>0.73333333333333328</v>
      </c>
      <c r="AB1304" s="2" t="s">
        <v>489</v>
      </c>
    </row>
    <row r="1305" spans="1:28" x14ac:dyDescent="0.25">
      <c r="A1305" s="1" t="s">
        <v>1683</v>
      </c>
      <c r="B1305" s="1" t="s">
        <v>35</v>
      </c>
      <c r="C1305" s="1" t="s">
        <v>36</v>
      </c>
      <c r="D1305" s="1">
        <v>5</v>
      </c>
      <c r="E1305" s="1">
        <v>3</v>
      </c>
      <c r="F1305" s="1">
        <v>3</v>
      </c>
      <c r="G1305" s="1">
        <v>6</v>
      </c>
      <c r="H1305" s="1">
        <v>5</v>
      </c>
      <c r="I1305" s="1">
        <v>5</v>
      </c>
      <c r="J1305" s="1">
        <v>3</v>
      </c>
      <c r="K1305" s="1">
        <f t="shared" si="255"/>
        <v>19</v>
      </c>
      <c r="L1305" s="12">
        <f t="shared" si="259"/>
        <v>0.54285714285714282</v>
      </c>
      <c r="M1305" s="1">
        <v>5</v>
      </c>
      <c r="N1305" s="1">
        <v>5</v>
      </c>
      <c r="O1305" s="1">
        <v>4</v>
      </c>
      <c r="P1305" s="1">
        <v>3</v>
      </c>
      <c r="Q1305" s="1">
        <f t="shared" si="256"/>
        <v>17</v>
      </c>
      <c r="R1305" s="12">
        <f t="shared" si="260"/>
        <v>0.48571428571428571</v>
      </c>
      <c r="S1305" s="1">
        <v>6</v>
      </c>
      <c r="T1305" s="1">
        <v>3</v>
      </c>
      <c r="U1305" s="1">
        <f t="shared" si="257"/>
        <v>9</v>
      </c>
      <c r="V1305" s="12">
        <f t="shared" si="261"/>
        <v>0.6</v>
      </c>
      <c r="W1305" s="1">
        <v>4</v>
      </c>
      <c r="X1305" s="1">
        <v>3</v>
      </c>
      <c r="Y1305" s="1">
        <v>3</v>
      </c>
      <c r="Z1305" s="1">
        <f t="shared" si="258"/>
        <v>10</v>
      </c>
      <c r="AA1305" s="12">
        <f t="shared" si="262"/>
        <v>0.66666666666666663</v>
      </c>
      <c r="AB1305" s="2" t="s">
        <v>490</v>
      </c>
    </row>
    <row r="1306" spans="1:28" x14ac:dyDescent="0.25">
      <c r="A1306" s="1" t="s">
        <v>1683</v>
      </c>
      <c r="B1306" s="1" t="s">
        <v>35</v>
      </c>
      <c r="C1306" s="1" t="s">
        <v>36</v>
      </c>
      <c r="D1306" s="1">
        <v>5</v>
      </c>
      <c r="E1306" s="1">
        <v>3</v>
      </c>
      <c r="F1306" s="1">
        <v>3</v>
      </c>
      <c r="G1306" s="1">
        <v>6</v>
      </c>
      <c r="H1306" s="1">
        <v>6</v>
      </c>
      <c r="I1306" s="1">
        <v>5</v>
      </c>
      <c r="J1306" s="1">
        <v>3</v>
      </c>
      <c r="K1306" s="1">
        <f t="shared" si="255"/>
        <v>20</v>
      </c>
      <c r="L1306" s="12">
        <f t="shared" si="259"/>
        <v>0.5714285714285714</v>
      </c>
      <c r="M1306" s="1">
        <v>7</v>
      </c>
      <c r="N1306" s="1">
        <v>7</v>
      </c>
      <c r="O1306" s="1">
        <v>5</v>
      </c>
      <c r="P1306" s="1">
        <v>3</v>
      </c>
      <c r="Q1306" s="1">
        <f t="shared" si="256"/>
        <v>22</v>
      </c>
      <c r="R1306" s="12">
        <f t="shared" si="260"/>
        <v>0.62857142857142856</v>
      </c>
      <c r="S1306" s="1">
        <v>5</v>
      </c>
      <c r="T1306" s="1">
        <v>3</v>
      </c>
      <c r="U1306" s="1">
        <f t="shared" si="257"/>
        <v>8</v>
      </c>
      <c r="V1306" s="12">
        <f t="shared" si="261"/>
        <v>0.53333333333333333</v>
      </c>
      <c r="W1306" s="1">
        <v>4</v>
      </c>
      <c r="X1306" s="1">
        <v>2</v>
      </c>
      <c r="Y1306" s="1">
        <v>3</v>
      </c>
      <c r="Z1306" s="1">
        <f t="shared" si="258"/>
        <v>9</v>
      </c>
      <c r="AA1306" s="12">
        <f t="shared" si="262"/>
        <v>0.6</v>
      </c>
      <c r="AB1306" s="2" t="s">
        <v>491</v>
      </c>
    </row>
    <row r="1307" spans="1:28" x14ac:dyDescent="0.25">
      <c r="A1307" s="1" t="s">
        <v>1683</v>
      </c>
      <c r="B1307" s="1" t="s">
        <v>35</v>
      </c>
      <c r="C1307" s="1" t="s">
        <v>36</v>
      </c>
      <c r="D1307" s="1">
        <v>5</v>
      </c>
      <c r="E1307" s="1">
        <v>3</v>
      </c>
      <c r="F1307" s="1">
        <v>3</v>
      </c>
      <c r="G1307" s="1">
        <v>7</v>
      </c>
      <c r="H1307" s="1">
        <v>6</v>
      </c>
      <c r="I1307" s="1">
        <v>7</v>
      </c>
      <c r="J1307" s="1">
        <v>4</v>
      </c>
      <c r="K1307" s="1">
        <f t="shared" si="255"/>
        <v>24</v>
      </c>
      <c r="L1307" s="12">
        <f t="shared" si="259"/>
        <v>0.68571428571428572</v>
      </c>
      <c r="M1307" s="1">
        <v>8</v>
      </c>
      <c r="N1307" s="1">
        <v>7</v>
      </c>
      <c r="O1307" s="1">
        <v>6</v>
      </c>
      <c r="P1307" s="1">
        <v>4</v>
      </c>
      <c r="Q1307" s="1">
        <f t="shared" si="256"/>
        <v>25</v>
      </c>
      <c r="R1307" s="12">
        <f t="shared" si="260"/>
        <v>0.7142857142857143</v>
      </c>
      <c r="S1307" s="1">
        <v>7</v>
      </c>
      <c r="T1307" s="1">
        <v>5</v>
      </c>
      <c r="U1307" s="1">
        <f t="shared" si="257"/>
        <v>12</v>
      </c>
      <c r="V1307" s="12">
        <f t="shared" si="261"/>
        <v>0.8</v>
      </c>
      <c r="W1307" s="1">
        <v>4</v>
      </c>
      <c r="X1307" s="1">
        <v>4</v>
      </c>
      <c r="Y1307" s="1">
        <v>4</v>
      </c>
      <c r="Z1307" s="1">
        <f t="shared" si="258"/>
        <v>12</v>
      </c>
      <c r="AA1307" s="12">
        <f t="shared" si="262"/>
        <v>0.8</v>
      </c>
      <c r="AB1307" s="2" t="s">
        <v>492</v>
      </c>
    </row>
    <row r="1308" spans="1:28" x14ac:dyDescent="0.25">
      <c r="A1308" s="1" t="s">
        <v>1683</v>
      </c>
      <c r="B1308" s="1" t="s">
        <v>576</v>
      </c>
      <c r="C1308" s="1" t="s">
        <v>36</v>
      </c>
      <c r="D1308" s="1">
        <v>26</v>
      </c>
      <c r="E1308" s="1">
        <v>1</v>
      </c>
      <c r="F1308" s="1">
        <v>4</v>
      </c>
      <c r="G1308" s="1">
        <v>6</v>
      </c>
      <c r="H1308" s="1">
        <v>7</v>
      </c>
      <c r="I1308" s="1">
        <v>7</v>
      </c>
      <c r="J1308" s="1">
        <v>4</v>
      </c>
      <c r="K1308" s="1">
        <f t="shared" si="255"/>
        <v>24</v>
      </c>
      <c r="L1308" s="12">
        <f t="shared" si="259"/>
        <v>0.68571428571428572</v>
      </c>
      <c r="M1308" s="1">
        <v>6</v>
      </c>
      <c r="N1308" s="1">
        <v>5</v>
      </c>
      <c r="O1308" s="1">
        <v>6</v>
      </c>
      <c r="P1308" s="1">
        <v>4</v>
      </c>
      <c r="Q1308" s="1">
        <f t="shared" si="256"/>
        <v>21</v>
      </c>
      <c r="R1308" s="12">
        <f t="shared" si="260"/>
        <v>0.6</v>
      </c>
      <c r="S1308" s="1">
        <v>4</v>
      </c>
      <c r="T1308" s="1">
        <v>4</v>
      </c>
      <c r="U1308" s="1">
        <f t="shared" si="257"/>
        <v>8</v>
      </c>
      <c r="V1308" s="12">
        <f t="shared" si="261"/>
        <v>0.53333333333333333</v>
      </c>
      <c r="W1308" s="1">
        <v>4</v>
      </c>
      <c r="X1308" s="1">
        <v>4</v>
      </c>
      <c r="Y1308" s="1">
        <v>3</v>
      </c>
      <c r="Z1308" s="1">
        <f t="shared" si="258"/>
        <v>11</v>
      </c>
      <c r="AA1308" s="12">
        <f t="shared" si="262"/>
        <v>0.73333333333333328</v>
      </c>
      <c r="AB1308" s="2" t="s">
        <v>635</v>
      </c>
    </row>
    <row r="1309" spans="1:28" x14ac:dyDescent="0.25">
      <c r="A1309" s="1" t="s">
        <v>1683</v>
      </c>
      <c r="B1309" s="1" t="s">
        <v>576</v>
      </c>
      <c r="C1309" s="1" t="s">
        <v>36</v>
      </c>
      <c r="D1309" s="1">
        <v>26</v>
      </c>
      <c r="E1309" s="1">
        <v>1</v>
      </c>
      <c r="F1309" s="1">
        <v>4</v>
      </c>
      <c r="G1309" s="1">
        <v>8</v>
      </c>
      <c r="H1309" s="1">
        <v>5</v>
      </c>
      <c r="I1309" s="1">
        <v>5</v>
      </c>
      <c r="J1309" s="1">
        <v>4</v>
      </c>
      <c r="K1309" s="1">
        <f t="shared" si="255"/>
        <v>22</v>
      </c>
      <c r="L1309" s="12">
        <f t="shared" si="259"/>
        <v>0.62857142857142856</v>
      </c>
      <c r="M1309" s="1">
        <v>8</v>
      </c>
      <c r="N1309" s="1">
        <v>7</v>
      </c>
      <c r="O1309" s="1">
        <v>7</v>
      </c>
      <c r="P1309" s="1">
        <v>4</v>
      </c>
      <c r="Q1309" s="1">
        <f t="shared" si="256"/>
        <v>26</v>
      </c>
      <c r="R1309" s="12">
        <f t="shared" si="260"/>
        <v>0.74285714285714288</v>
      </c>
      <c r="S1309" s="1">
        <v>7</v>
      </c>
      <c r="T1309" s="1">
        <v>4</v>
      </c>
      <c r="U1309" s="1">
        <f t="shared" si="257"/>
        <v>11</v>
      </c>
      <c r="V1309" s="12">
        <f t="shared" si="261"/>
        <v>0.73333333333333328</v>
      </c>
      <c r="W1309" s="1">
        <v>4</v>
      </c>
      <c r="X1309" s="1">
        <v>3</v>
      </c>
      <c r="Y1309" s="1">
        <v>3</v>
      </c>
      <c r="Z1309" s="1">
        <f t="shared" si="258"/>
        <v>10</v>
      </c>
      <c r="AA1309" s="12">
        <f t="shared" si="262"/>
        <v>0.66666666666666663</v>
      </c>
      <c r="AB1309" s="2" t="s">
        <v>636</v>
      </c>
    </row>
    <row r="1310" spans="1:28" x14ac:dyDescent="0.25">
      <c r="A1310" s="1" t="s">
        <v>1683</v>
      </c>
      <c r="B1310" s="1" t="s">
        <v>576</v>
      </c>
      <c r="C1310" s="1" t="s">
        <v>36</v>
      </c>
      <c r="D1310" s="1">
        <v>26</v>
      </c>
      <c r="E1310" s="1">
        <v>1</v>
      </c>
      <c r="F1310" s="1">
        <v>4</v>
      </c>
      <c r="G1310" s="1">
        <v>6</v>
      </c>
      <c r="H1310" s="1">
        <v>6</v>
      </c>
      <c r="I1310" s="1">
        <v>6</v>
      </c>
      <c r="J1310" s="1">
        <v>4</v>
      </c>
      <c r="K1310" s="1">
        <f t="shared" si="255"/>
        <v>22</v>
      </c>
      <c r="L1310" s="12">
        <f t="shared" si="259"/>
        <v>0.62857142857142856</v>
      </c>
      <c r="M1310" s="1">
        <v>6</v>
      </c>
      <c r="N1310" s="1">
        <v>7</v>
      </c>
      <c r="O1310" s="1">
        <v>6</v>
      </c>
      <c r="P1310" s="1">
        <v>4</v>
      </c>
      <c r="Q1310" s="1">
        <f t="shared" si="256"/>
        <v>23</v>
      </c>
      <c r="R1310" s="12">
        <f t="shared" si="260"/>
        <v>0.65714285714285714</v>
      </c>
      <c r="S1310" s="1">
        <v>6</v>
      </c>
      <c r="T1310" s="1">
        <v>4</v>
      </c>
      <c r="U1310" s="1">
        <f t="shared" si="257"/>
        <v>10</v>
      </c>
      <c r="V1310" s="12">
        <f t="shared" si="261"/>
        <v>0.66666666666666663</v>
      </c>
      <c r="W1310" s="1">
        <v>4</v>
      </c>
      <c r="X1310" s="1">
        <v>4</v>
      </c>
      <c r="Y1310" s="1">
        <v>4</v>
      </c>
      <c r="Z1310" s="1">
        <f t="shared" si="258"/>
        <v>12</v>
      </c>
      <c r="AA1310" s="12">
        <f t="shared" si="262"/>
        <v>0.8</v>
      </c>
      <c r="AB1310" s="2" t="s">
        <v>637</v>
      </c>
    </row>
    <row r="1311" spans="1:28" x14ac:dyDescent="0.25">
      <c r="A1311" s="1" t="s">
        <v>1683</v>
      </c>
      <c r="B1311" s="1" t="s">
        <v>576</v>
      </c>
      <c r="C1311" s="1" t="s">
        <v>36</v>
      </c>
      <c r="D1311" s="1">
        <v>26</v>
      </c>
      <c r="E1311" s="1">
        <v>1</v>
      </c>
      <c r="F1311" s="1">
        <v>4</v>
      </c>
      <c r="G1311" s="1">
        <v>4</v>
      </c>
      <c r="H1311" s="1">
        <v>5</v>
      </c>
      <c r="I1311" s="1">
        <v>5</v>
      </c>
      <c r="J1311" s="1">
        <v>4</v>
      </c>
      <c r="K1311" s="1">
        <f t="shared" si="255"/>
        <v>18</v>
      </c>
      <c r="L1311" s="12">
        <f t="shared" si="259"/>
        <v>0.51428571428571423</v>
      </c>
      <c r="M1311" s="1">
        <v>7</v>
      </c>
      <c r="N1311" s="1">
        <v>5</v>
      </c>
      <c r="O1311" s="1">
        <v>6</v>
      </c>
      <c r="P1311" s="1">
        <v>4</v>
      </c>
      <c r="Q1311" s="1">
        <f t="shared" si="256"/>
        <v>22</v>
      </c>
      <c r="R1311" s="12">
        <f t="shared" si="260"/>
        <v>0.62857142857142856</v>
      </c>
      <c r="S1311" s="1">
        <v>7</v>
      </c>
      <c r="T1311" s="1">
        <v>3</v>
      </c>
      <c r="U1311" s="1">
        <f t="shared" si="257"/>
        <v>10</v>
      </c>
      <c r="V1311" s="12">
        <f t="shared" si="261"/>
        <v>0.66666666666666663</v>
      </c>
      <c r="W1311" s="1">
        <v>3</v>
      </c>
      <c r="X1311" s="1">
        <v>4</v>
      </c>
      <c r="Y1311" s="1">
        <v>3</v>
      </c>
      <c r="Z1311" s="1">
        <f t="shared" si="258"/>
        <v>10</v>
      </c>
      <c r="AA1311" s="12">
        <f t="shared" si="262"/>
        <v>0.66666666666666663</v>
      </c>
      <c r="AB1311" s="2" t="s">
        <v>638</v>
      </c>
    </row>
    <row r="1312" spans="1:28" x14ac:dyDescent="0.25">
      <c r="A1312" s="1" t="s">
        <v>1683</v>
      </c>
      <c r="B1312" s="1" t="s">
        <v>576</v>
      </c>
      <c r="C1312" s="1" t="s">
        <v>36</v>
      </c>
      <c r="D1312" s="1">
        <v>26</v>
      </c>
      <c r="E1312" s="1">
        <v>1</v>
      </c>
      <c r="F1312" s="1">
        <v>4</v>
      </c>
      <c r="G1312" s="1">
        <v>6</v>
      </c>
      <c r="H1312" s="1">
        <v>6</v>
      </c>
      <c r="I1312" s="1">
        <v>6</v>
      </c>
      <c r="J1312" s="1">
        <v>4</v>
      </c>
      <c r="K1312" s="1">
        <f t="shared" si="255"/>
        <v>22</v>
      </c>
      <c r="L1312" s="12">
        <f t="shared" si="259"/>
        <v>0.62857142857142856</v>
      </c>
      <c r="M1312" s="1">
        <v>6</v>
      </c>
      <c r="N1312" s="1">
        <v>6</v>
      </c>
      <c r="O1312" s="1">
        <v>5</v>
      </c>
      <c r="P1312" s="1">
        <v>3</v>
      </c>
      <c r="Q1312" s="1">
        <f t="shared" si="256"/>
        <v>20</v>
      </c>
      <c r="R1312" s="12">
        <f t="shared" si="260"/>
        <v>0.5714285714285714</v>
      </c>
      <c r="S1312" s="1">
        <v>5</v>
      </c>
      <c r="T1312" s="1">
        <v>4</v>
      </c>
      <c r="U1312" s="1">
        <f t="shared" si="257"/>
        <v>9</v>
      </c>
      <c r="V1312" s="12">
        <f t="shared" si="261"/>
        <v>0.6</v>
      </c>
      <c r="W1312" s="1">
        <v>3</v>
      </c>
      <c r="X1312" s="1">
        <v>3</v>
      </c>
      <c r="Y1312" s="1">
        <v>4</v>
      </c>
      <c r="Z1312" s="1">
        <f t="shared" si="258"/>
        <v>10</v>
      </c>
      <c r="AA1312" s="12">
        <f t="shared" si="262"/>
        <v>0.66666666666666663</v>
      </c>
      <c r="AB1312" s="2" t="s">
        <v>639</v>
      </c>
    </row>
    <row r="1313" spans="1:28" x14ac:dyDescent="0.25">
      <c r="A1313" s="1" t="s">
        <v>1683</v>
      </c>
      <c r="B1313" s="1" t="s">
        <v>576</v>
      </c>
      <c r="C1313" s="1" t="s">
        <v>36</v>
      </c>
      <c r="D1313" s="1">
        <v>26</v>
      </c>
      <c r="E1313" s="1">
        <v>1</v>
      </c>
      <c r="F1313" s="1">
        <v>4</v>
      </c>
      <c r="G1313" s="1">
        <v>5</v>
      </c>
      <c r="H1313" s="1">
        <v>4</v>
      </c>
      <c r="I1313" s="1">
        <v>5</v>
      </c>
      <c r="J1313" s="1">
        <v>3</v>
      </c>
      <c r="K1313" s="1">
        <f t="shared" si="255"/>
        <v>17</v>
      </c>
      <c r="L1313" s="12">
        <f t="shared" si="259"/>
        <v>0.48571428571428571</v>
      </c>
      <c r="M1313" s="1">
        <v>4</v>
      </c>
      <c r="N1313" s="1">
        <v>5</v>
      </c>
      <c r="O1313" s="1">
        <v>6</v>
      </c>
      <c r="P1313" s="1">
        <v>4</v>
      </c>
      <c r="Q1313" s="1">
        <f t="shared" si="256"/>
        <v>19</v>
      </c>
      <c r="R1313" s="12">
        <f t="shared" si="260"/>
        <v>0.54285714285714282</v>
      </c>
      <c r="S1313" s="1">
        <v>6</v>
      </c>
      <c r="T1313" s="1">
        <v>4</v>
      </c>
      <c r="U1313" s="1">
        <f t="shared" si="257"/>
        <v>10</v>
      </c>
      <c r="V1313" s="12">
        <f t="shared" si="261"/>
        <v>0.66666666666666663</v>
      </c>
      <c r="W1313" s="1">
        <v>3</v>
      </c>
      <c r="X1313" s="1">
        <v>4</v>
      </c>
      <c r="Y1313" s="1">
        <v>3</v>
      </c>
      <c r="Z1313" s="1">
        <f t="shared" si="258"/>
        <v>10</v>
      </c>
      <c r="AA1313" s="12">
        <f t="shared" si="262"/>
        <v>0.66666666666666663</v>
      </c>
      <c r="AB1313" s="2" t="s">
        <v>640</v>
      </c>
    </row>
    <row r="1314" spans="1:28" x14ac:dyDescent="0.25">
      <c r="A1314" s="1" t="s">
        <v>1683</v>
      </c>
      <c r="B1314" s="1" t="s">
        <v>576</v>
      </c>
      <c r="C1314" s="1" t="s">
        <v>36</v>
      </c>
      <c r="D1314" s="1">
        <v>12</v>
      </c>
      <c r="E1314" s="1">
        <v>3</v>
      </c>
      <c r="F1314" s="1">
        <v>1</v>
      </c>
      <c r="G1314" s="1">
        <v>8</v>
      </c>
      <c r="H1314" s="1">
        <v>8</v>
      </c>
      <c r="I1314" s="1">
        <v>8</v>
      </c>
      <c r="J1314" s="1">
        <v>4</v>
      </c>
      <c r="K1314" s="1">
        <f t="shared" si="255"/>
        <v>28</v>
      </c>
      <c r="L1314" s="12">
        <f t="shared" si="259"/>
        <v>0.8</v>
      </c>
      <c r="M1314" s="1">
        <v>9</v>
      </c>
      <c r="N1314" s="1">
        <v>9</v>
      </c>
      <c r="O1314" s="1">
        <v>7</v>
      </c>
      <c r="P1314" s="1">
        <v>4</v>
      </c>
      <c r="Q1314" s="1">
        <f t="shared" si="256"/>
        <v>29</v>
      </c>
      <c r="R1314" s="12">
        <f t="shared" si="260"/>
        <v>0.82857142857142863</v>
      </c>
      <c r="S1314" s="1">
        <v>8</v>
      </c>
      <c r="T1314" s="1">
        <v>4</v>
      </c>
      <c r="U1314" s="1">
        <f t="shared" si="257"/>
        <v>12</v>
      </c>
      <c r="V1314" s="12">
        <f t="shared" si="261"/>
        <v>0.8</v>
      </c>
      <c r="W1314" s="1">
        <v>4</v>
      </c>
      <c r="X1314" s="1">
        <v>5</v>
      </c>
      <c r="Y1314" s="1">
        <v>5</v>
      </c>
      <c r="Z1314" s="1">
        <f t="shared" si="258"/>
        <v>14</v>
      </c>
      <c r="AA1314" s="12">
        <f t="shared" si="262"/>
        <v>0.93333333333333335</v>
      </c>
      <c r="AB1314" s="2" t="s">
        <v>752</v>
      </c>
    </row>
    <row r="1315" spans="1:28" x14ac:dyDescent="0.25">
      <c r="A1315" s="1" t="s">
        <v>1683</v>
      </c>
      <c r="B1315" s="1" t="s">
        <v>576</v>
      </c>
      <c r="C1315" s="1" t="s">
        <v>36</v>
      </c>
      <c r="D1315" s="1">
        <v>12</v>
      </c>
      <c r="E1315" s="1">
        <v>3</v>
      </c>
      <c r="F1315" s="1">
        <v>1</v>
      </c>
      <c r="G1315" s="1">
        <v>6</v>
      </c>
      <c r="H1315" s="1">
        <v>7</v>
      </c>
      <c r="I1315" s="1">
        <v>7</v>
      </c>
      <c r="J1315" s="1">
        <v>3</v>
      </c>
      <c r="K1315" s="1">
        <f t="shared" si="255"/>
        <v>23</v>
      </c>
      <c r="L1315" s="12">
        <f t="shared" si="259"/>
        <v>0.65714285714285714</v>
      </c>
      <c r="M1315" s="1">
        <v>7</v>
      </c>
      <c r="N1315" s="1">
        <v>6</v>
      </c>
      <c r="O1315" s="1">
        <v>6</v>
      </c>
      <c r="P1315" s="1">
        <v>3</v>
      </c>
      <c r="Q1315" s="1">
        <f t="shared" si="256"/>
        <v>22</v>
      </c>
      <c r="R1315" s="12">
        <f t="shared" si="260"/>
        <v>0.62857142857142856</v>
      </c>
      <c r="S1315" s="1">
        <v>7</v>
      </c>
      <c r="T1315" s="1">
        <v>4</v>
      </c>
      <c r="U1315" s="1">
        <f t="shared" si="257"/>
        <v>11</v>
      </c>
      <c r="V1315" s="12">
        <f t="shared" si="261"/>
        <v>0.73333333333333328</v>
      </c>
      <c r="W1315" s="1">
        <v>3</v>
      </c>
      <c r="X1315" s="1">
        <v>3</v>
      </c>
      <c r="Y1315" s="1">
        <v>4</v>
      </c>
      <c r="Z1315" s="1">
        <f t="shared" si="258"/>
        <v>10</v>
      </c>
      <c r="AA1315" s="12">
        <f t="shared" si="262"/>
        <v>0.66666666666666663</v>
      </c>
      <c r="AB1315" s="2" t="s">
        <v>753</v>
      </c>
    </row>
    <row r="1316" spans="1:28" x14ac:dyDescent="0.25">
      <c r="A1316" s="1" t="s">
        <v>1683</v>
      </c>
      <c r="B1316" s="1" t="s">
        <v>576</v>
      </c>
      <c r="C1316" s="1" t="s">
        <v>36</v>
      </c>
      <c r="D1316" s="1">
        <v>12</v>
      </c>
      <c r="E1316" s="1">
        <v>3</v>
      </c>
      <c r="F1316" s="1">
        <v>1</v>
      </c>
      <c r="G1316" s="1">
        <v>6</v>
      </c>
      <c r="H1316" s="1">
        <v>7</v>
      </c>
      <c r="I1316" s="1">
        <v>6</v>
      </c>
      <c r="J1316" s="1">
        <v>4</v>
      </c>
      <c r="K1316" s="1">
        <f t="shared" si="255"/>
        <v>23</v>
      </c>
      <c r="L1316" s="12">
        <f t="shared" si="259"/>
        <v>0.65714285714285714</v>
      </c>
      <c r="M1316" s="1">
        <v>6</v>
      </c>
      <c r="N1316" s="1">
        <v>6</v>
      </c>
      <c r="O1316" s="1">
        <v>5</v>
      </c>
      <c r="P1316" s="1">
        <v>3</v>
      </c>
      <c r="Q1316" s="1">
        <f t="shared" si="256"/>
        <v>20</v>
      </c>
      <c r="R1316" s="12">
        <f t="shared" si="260"/>
        <v>0.5714285714285714</v>
      </c>
      <c r="S1316" s="1">
        <v>6</v>
      </c>
      <c r="T1316" s="1">
        <v>3</v>
      </c>
      <c r="U1316" s="1">
        <f t="shared" si="257"/>
        <v>9</v>
      </c>
      <c r="V1316" s="12">
        <f t="shared" si="261"/>
        <v>0.6</v>
      </c>
      <c r="W1316" s="1">
        <v>3</v>
      </c>
      <c r="X1316" s="1">
        <v>2</v>
      </c>
      <c r="Y1316" s="1">
        <v>2</v>
      </c>
      <c r="Z1316" s="1">
        <f t="shared" si="258"/>
        <v>7</v>
      </c>
      <c r="AA1316" s="12">
        <f t="shared" si="262"/>
        <v>0.46666666666666667</v>
      </c>
      <c r="AB1316" s="2" t="s">
        <v>754</v>
      </c>
    </row>
    <row r="1317" spans="1:28" x14ac:dyDescent="0.25">
      <c r="A1317" s="1" t="s">
        <v>1683</v>
      </c>
      <c r="B1317" s="1" t="s">
        <v>576</v>
      </c>
      <c r="C1317" s="1" t="s">
        <v>36</v>
      </c>
      <c r="D1317" s="1">
        <v>12</v>
      </c>
      <c r="E1317" s="1">
        <v>3</v>
      </c>
      <c r="F1317" s="1">
        <v>1</v>
      </c>
      <c r="G1317" s="1">
        <v>7</v>
      </c>
      <c r="H1317" s="1">
        <v>7</v>
      </c>
      <c r="I1317" s="1">
        <v>6</v>
      </c>
      <c r="J1317" s="1">
        <v>4</v>
      </c>
      <c r="K1317" s="1">
        <f t="shared" si="255"/>
        <v>24</v>
      </c>
      <c r="L1317" s="12">
        <f t="shared" si="259"/>
        <v>0.68571428571428572</v>
      </c>
      <c r="M1317" s="1">
        <v>6</v>
      </c>
      <c r="N1317" s="1">
        <v>6</v>
      </c>
      <c r="O1317" s="1">
        <v>6</v>
      </c>
      <c r="P1317" s="1">
        <v>4</v>
      </c>
      <c r="Q1317" s="1">
        <f t="shared" si="256"/>
        <v>22</v>
      </c>
      <c r="R1317" s="12">
        <f t="shared" si="260"/>
        <v>0.62857142857142856</v>
      </c>
      <c r="S1317" s="1">
        <v>6</v>
      </c>
      <c r="T1317" s="1">
        <v>3</v>
      </c>
      <c r="U1317" s="1">
        <f t="shared" si="257"/>
        <v>9</v>
      </c>
      <c r="V1317" s="12">
        <f t="shared" si="261"/>
        <v>0.6</v>
      </c>
      <c r="W1317" s="1">
        <v>5</v>
      </c>
      <c r="X1317" s="1">
        <v>4</v>
      </c>
      <c r="Y1317" s="1">
        <v>5</v>
      </c>
      <c r="Z1317" s="1">
        <f t="shared" si="258"/>
        <v>14</v>
      </c>
      <c r="AA1317" s="12">
        <f t="shared" si="262"/>
        <v>0.93333333333333335</v>
      </c>
      <c r="AB1317" s="2" t="s">
        <v>755</v>
      </c>
    </row>
    <row r="1318" spans="1:28" x14ac:dyDescent="0.25">
      <c r="A1318" s="1" t="s">
        <v>1683</v>
      </c>
      <c r="B1318" s="1" t="s">
        <v>576</v>
      </c>
      <c r="C1318" s="1" t="s">
        <v>36</v>
      </c>
      <c r="D1318" s="1">
        <v>12</v>
      </c>
      <c r="E1318" s="1">
        <v>3</v>
      </c>
      <c r="F1318" s="1">
        <v>1</v>
      </c>
      <c r="G1318" s="1">
        <v>7</v>
      </c>
      <c r="H1318" s="1">
        <v>7</v>
      </c>
      <c r="I1318" s="1">
        <v>7</v>
      </c>
      <c r="J1318" s="1">
        <v>4</v>
      </c>
      <c r="K1318" s="1">
        <f t="shared" si="255"/>
        <v>25</v>
      </c>
      <c r="L1318" s="12">
        <f t="shared" si="259"/>
        <v>0.7142857142857143</v>
      </c>
      <c r="M1318" s="1">
        <v>8</v>
      </c>
      <c r="N1318" s="1">
        <v>7</v>
      </c>
      <c r="O1318" s="1">
        <v>6</v>
      </c>
      <c r="P1318" s="1">
        <v>4</v>
      </c>
      <c r="Q1318" s="1">
        <f t="shared" si="256"/>
        <v>25</v>
      </c>
      <c r="R1318" s="12">
        <f t="shared" si="260"/>
        <v>0.7142857142857143</v>
      </c>
      <c r="S1318" s="1">
        <v>7</v>
      </c>
      <c r="T1318" s="1">
        <v>4</v>
      </c>
      <c r="U1318" s="1">
        <f t="shared" si="257"/>
        <v>11</v>
      </c>
      <c r="V1318" s="12">
        <f t="shared" si="261"/>
        <v>0.73333333333333328</v>
      </c>
      <c r="W1318" s="1">
        <v>4</v>
      </c>
      <c r="X1318" s="1">
        <v>4</v>
      </c>
      <c r="Y1318" s="1">
        <v>4</v>
      </c>
      <c r="Z1318" s="1">
        <f t="shared" si="258"/>
        <v>12</v>
      </c>
      <c r="AA1318" s="12">
        <f t="shared" si="262"/>
        <v>0.8</v>
      </c>
      <c r="AB1318" s="2" t="s">
        <v>756</v>
      </c>
    </row>
    <row r="1319" spans="1:28" x14ac:dyDescent="0.25">
      <c r="A1319" s="1" t="s">
        <v>1683</v>
      </c>
      <c r="B1319" s="1" t="s">
        <v>576</v>
      </c>
      <c r="C1319" s="1" t="s">
        <v>36</v>
      </c>
      <c r="D1319" s="1">
        <v>12</v>
      </c>
      <c r="E1319" s="1">
        <v>3</v>
      </c>
      <c r="F1319" s="1">
        <v>1</v>
      </c>
      <c r="G1319" s="1">
        <v>7</v>
      </c>
      <c r="H1319" s="1">
        <v>7</v>
      </c>
      <c r="I1319" s="1">
        <v>7</v>
      </c>
      <c r="J1319" s="1">
        <v>4</v>
      </c>
      <c r="K1319" s="1">
        <f t="shared" si="255"/>
        <v>25</v>
      </c>
      <c r="L1319" s="12">
        <f t="shared" si="259"/>
        <v>0.7142857142857143</v>
      </c>
      <c r="M1319" s="1">
        <v>6</v>
      </c>
      <c r="N1319" s="1">
        <v>8</v>
      </c>
      <c r="O1319" s="1">
        <v>8</v>
      </c>
      <c r="P1319" s="1">
        <v>4</v>
      </c>
      <c r="Q1319" s="1">
        <f t="shared" si="256"/>
        <v>26</v>
      </c>
      <c r="R1319" s="12">
        <f t="shared" si="260"/>
        <v>0.74285714285714288</v>
      </c>
      <c r="S1319" s="1">
        <v>7</v>
      </c>
      <c r="T1319" s="1">
        <v>4</v>
      </c>
      <c r="U1319" s="1">
        <f t="shared" si="257"/>
        <v>11</v>
      </c>
      <c r="V1319" s="12">
        <f t="shared" si="261"/>
        <v>0.73333333333333328</v>
      </c>
      <c r="W1319" s="1">
        <v>4</v>
      </c>
      <c r="X1319" s="1">
        <v>4</v>
      </c>
      <c r="Y1319" s="1">
        <v>4</v>
      </c>
      <c r="Z1319" s="1">
        <f t="shared" si="258"/>
        <v>12</v>
      </c>
      <c r="AA1319" s="12">
        <f t="shared" si="262"/>
        <v>0.8</v>
      </c>
      <c r="AB1319" s="2" t="s">
        <v>757</v>
      </c>
    </row>
    <row r="1320" spans="1:28" x14ac:dyDescent="0.25">
      <c r="A1320" s="1" t="s">
        <v>1683</v>
      </c>
      <c r="B1320" s="1" t="s">
        <v>576</v>
      </c>
      <c r="C1320" s="1" t="s">
        <v>36</v>
      </c>
      <c r="D1320" s="1">
        <v>12</v>
      </c>
      <c r="E1320" s="1">
        <v>3</v>
      </c>
      <c r="F1320" s="1">
        <v>1</v>
      </c>
      <c r="G1320" s="1">
        <v>7</v>
      </c>
      <c r="H1320" s="1">
        <v>7</v>
      </c>
      <c r="I1320" s="1">
        <v>7</v>
      </c>
      <c r="J1320" s="1">
        <v>4</v>
      </c>
      <c r="K1320" s="1">
        <f t="shared" si="255"/>
        <v>25</v>
      </c>
      <c r="L1320" s="12">
        <f t="shared" si="259"/>
        <v>0.7142857142857143</v>
      </c>
      <c r="M1320" s="1">
        <v>7</v>
      </c>
      <c r="N1320" s="1">
        <v>7</v>
      </c>
      <c r="O1320" s="1">
        <v>7</v>
      </c>
      <c r="P1320" s="1">
        <v>4</v>
      </c>
      <c r="Q1320" s="1">
        <f t="shared" si="256"/>
        <v>25</v>
      </c>
      <c r="R1320" s="12">
        <f t="shared" si="260"/>
        <v>0.7142857142857143</v>
      </c>
      <c r="S1320" s="1">
        <v>7</v>
      </c>
      <c r="T1320" s="1">
        <v>4</v>
      </c>
      <c r="U1320" s="1">
        <f t="shared" si="257"/>
        <v>11</v>
      </c>
      <c r="V1320" s="12">
        <f t="shared" si="261"/>
        <v>0.73333333333333328</v>
      </c>
      <c r="W1320" s="1">
        <v>4</v>
      </c>
      <c r="X1320" s="1">
        <v>4</v>
      </c>
      <c r="Y1320" s="1">
        <v>4</v>
      </c>
      <c r="Z1320" s="1">
        <f t="shared" si="258"/>
        <v>12</v>
      </c>
      <c r="AA1320" s="12">
        <f t="shared" si="262"/>
        <v>0.8</v>
      </c>
      <c r="AB1320" s="2" t="s">
        <v>758</v>
      </c>
    </row>
    <row r="1321" spans="1:28" x14ac:dyDescent="0.25">
      <c r="A1321" s="1" t="s">
        <v>1683</v>
      </c>
      <c r="B1321" s="1" t="s">
        <v>35</v>
      </c>
      <c r="C1321" s="1" t="s">
        <v>861</v>
      </c>
      <c r="D1321" s="1">
        <v>17</v>
      </c>
      <c r="E1321" s="1">
        <v>1</v>
      </c>
      <c r="F1321" s="1">
        <v>1</v>
      </c>
      <c r="G1321" s="1">
        <v>7</v>
      </c>
      <c r="H1321" s="1">
        <v>7</v>
      </c>
      <c r="I1321" s="1">
        <v>7</v>
      </c>
      <c r="J1321" s="1">
        <v>7</v>
      </c>
      <c r="K1321" s="1">
        <f t="shared" si="255"/>
        <v>28</v>
      </c>
      <c r="L1321" s="12">
        <f t="shared" ref="L1321:L1352" si="263">K1321/40</f>
        <v>0.7</v>
      </c>
      <c r="M1321" s="1">
        <v>7</v>
      </c>
      <c r="N1321" s="1">
        <v>6</v>
      </c>
      <c r="O1321" s="1">
        <v>7</v>
      </c>
      <c r="P1321" s="1">
        <v>7</v>
      </c>
      <c r="Q1321" s="1">
        <f t="shared" si="256"/>
        <v>27</v>
      </c>
      <c r="R1321" s="12">
        <f t="shared" ref="R1321:R1352" si="264">Q1321/40</f>
        <v>0.67500000000000004</v>
      </c>
      <c r="S1321" s="1">
        <v>6</v>
      </c>
      <c r="T1321" s="1">
        <v>7</v>
      </c>
      <c r="U1321" s="1">
        <f t="shared" si="257"/>
        <v>13</v>
      </c>
      <c r="V1321" s="12">
        <f t="shared" ref="V1321:V1352" si="265">U1321/20</f>
        <v>0.65</v>
      </c>
      <c r="Z1321" s="1">
        <f t="shared" si="258"/>
        <v>0</v>
      </c>
      <c r="AB1321" s="2" t="s">
        <v>871</v>
      </c>
    </row>
    <row r="1322" spans="1:28" x14ac:dyDescent="0.25">
      <c r="A1322" s="1" t="s">
        <v>1683</v>
      </c>
      <c r="B1322" s="1" t="s">
        <v>35</v>
      </c>
      <c r="C1322" s="1" t="s">
        <v>861</v>
      </c>
      <c r="D1322" s="1">
        <v>17</v>
      </c>
      <c r="E1322" s="1">
        <v>1</v>
      </c>
      <c r="F1322" s="1">
        <v>1</v>
      </c>
      <c r="G1322" s="1">
        <v>7</v>
      </c>
      <c r="H1322" s="1">
        <v>4</v>
      </c>
      <c r="I1322" s="1">
        <v>5</v>
      </c>
      <c r="J1322" s="1">
        <v>5</v>
      </c>
      <c r="K1322" s="1">
        <f t="shared" si="255"/>
        <v>21</v>
      </c>
      <c r="L1322" s="12">
        <f t="shared" si="263"/>
        <v>0.52500000000000002</v>
      </c>
      <c r="M1322" s="1">
        <v>6</v>
      </c>
      <c r="N1322" s="1">
        <v>5</v>
      </c>
      <c r="O1322" s="1">
        <v>6</v>
      </c>
      <c r="P1322" s="1">
        <v>6</v>
      </c>
      <c r="Q1322" s="1">
        <f t="shared" si="256"/>
        <v>23</v>
      </c>
      <c r="R1322" s="12">
        <f t="shared" si="264"/>
        <v>0.57499999999999996</v>
      </c>
      <c r="S1322" s="1">
        <v>6</v>
      </c>
      <c r="T1322" s="1">
        <v>6</v>
      </c>
      <c r="U1322" s="1">
        <f t="shared" si="257"/>
        <v>12</v>
      </c>
      <c r="V1322" s="12">
        <f t="shared" si="265"/>
        <v>0.6</v>
      </c>
      <c r="Z1322" s="1">
        <f t="shared" si="258"/>
        <v>0</v>
      </c>
      <c r="AB1322" s="2" t="s">
        <v>872</v>
      </c>
    </row>
    <row r="1323" spans="1:28" x14ac:dyDescent="0.25">
      <c r="A1323" s="1" t="s">
        <v>1683</v>
      </c>
      <c r="B1323" s="1" t="s">
        <v>35</v>
      </c>
      <c r="C1323" s="1" t="s">
        <v>861</v>
      </c>
      <c r="D1323" s="1">
        <v>17</v>
      </c>
      <c r="E1323" s="1">
        <v>1</v>
      </c>
      <c r="F1323" s="1">
        <v>1</v>
      </c>
      <c r="G1323" s="1">
        <v>6</v>
      </c>
      <c r="H1323" s="1">
        <v>7</v>
      </c>
      <c r="I1323" s="1">
        <v>7</v>
      </c>
      <c r="J1323" s="1">
        <v>6</v>
      </c>
      <c r="K1323" s="1">
        <f t="shared" si="255"/>
        <v>26</v>
      </c>
      <c r="L1323" s="12">
        <f t="shared" si="263"/>
        <v>0.65</v>
      </c>
      <c r="M1323" s="1">
        <v>6</v>
      </c>
      <c r="N1323" s="1">
        <v>7</v>
      </c>
      <c r="O1323" s="1">
        <v>6</v>
      </c>
      <c r="P1323" s="1">
        <v>7</v>
      </c>
      <c r="Q1323" s="1">
        <f t="shared" si="256"/>
        <v>26</v>
      </c>
      <c r="R1323" s="12">
        <f t="shared" si="264"/>
        <v>0.65</v>
      </c>
      <c r="S1323" s="1">
        <v>7</v>
      </c>
      <c r="T1323" s="1">
        <v>6</v>
      </c>
      <c r="U1323" s="1">
        <f t="shared" si="257"/>
        <v>13</v>
      </c>
      <c r="V1323" s="12">
        <f t="shared" si="265"/>
        <v>0.65</v>
      </c>
      <c r="Z1323" s="1">
        <f t="shared" si="258"/>
        <v>0</v>
      </c>
      <c r="AB1323" s="2" t="s">
        <v>873</v>
      </c>
    </row>
    <row r="1324" spans="1:28" x14ac:dyDescent="0.25">
      <c r="A1324" s="1" t="s">
        <v>1683</v>
      </c>
      <c r="B1324" s="1" t="s">
        <v>35</v>
      </c>
      <c r="C1324" s="1" t="s">
        <v>861</v>
      </c>
      <c r="D1324" s="1">
        <v>17</v>
      </c>
      <c r="E1324" s="1">
        <v>1</v>
      </c>
      <c r="F1324" s="1">
        <v>1</v>
      </c>
      <c r="G1324" s="1">
        <v>7</v>
      </c>
      <c r="H1324" s="1">
        <v>8</v>
      </c>
      <c r="I1324" s="1">
        <v>6</v>
      </c>
      <c r="J1324" s="1">
        <v>5</v>
      </c>
      <c r="K1324" s="1">
        <f t="shared" si="255"/>
        <v>26</v>
      </c>
      <c r="L1324" s="12">
        <f t="shared" si="263"/>
        <v>0.65</v>
      </c>
      <c r="M1324" s="1">
        <v>7</v>
      </c>
      <c r="N1324" s="1">
        <v>8</v>
      </c>
      <c r="O1324" s="1">
        <v>7</v>
      </c>
      <c r="P1324" s="1">
        <v>8</v>
      </c>
      <c r="Q1324" s="1">
        <f t="shared" si="256"/>
        <v>30</v>
      </c>
      <c r="R1324" s="12">
        <f t="shared" si="264"/>
        <v>0.75</v>
      </c>
      <c r="S1324" s="1">
        <v>8</v>
      </c>
      <c r="T1324" s="1">
        <v>5</v>
      </c>
      <c r="U1324" s="1">
        <f t="shared" si="257"/>
        <v>13</v>
      </c>
      <c r="V1324" s="12">
        <f t="shared" si="265"/>
        <v>0.65</v>
      </c>
      <c r="Z1324" s="1">
        <f t="shared" si="258"/>
        <v>0</v>
      </c>
      <c r="AB1324" s="2" t="s">
        <v>874</v>
      </c>
    </row>
    <row r="1325" spans="1:28" x14ac:dyDescent="0.25">
      <c r="A1325" s="1" t="s">
        <v>1683</v>
      </c>
      <c r="B1325" s="1" t="s">
        <v>35</v>
      </c>
      <c r="C1325" s="1" t="s">
        <v>861</v>
      </c>
      <c r="D1325" s="1">
        <v>17</v>
      </c>
      <c r="E1325" s="1">
        <v>1</v>
      </c>
      <c r="F1325" s="1">
        <v>1</v>
      </c>
      <c r="G1325" s="1">
        <v>7</v>
      </c>
      <c r="H1325" s="1">
        <v>6</v>
      </c>
      <c r="I1325" s="1">
        <v>6</v>
      </c>
      <c r="J1325" s="1">
        <v>7</v>
      </c>
      <c r="K1325" s="1">
        <f t="shared" si="255"/>
        <v>26</v>
      </c>
      <c r="L1325" s="12">
        <f t="shared" si="263"/>
        <v>0.65</v>
      </c>
      <c r="M1325" s="1">
        <v>7</v>
      </c>
      <c r="N1325" s="1">
        <v>7</v>
      </c>
      <c r="O1325" s="1">
        <v>6</v>
      </c>
      <c r="P1325" s="1">
        <v>6</v>
      </c>
      <c r="Q1325" s="1">
        <f t="shared" si="256"/>
        <v>26</v>
      </c>
      <c r="R1325" s="12">
        <f t="shared" si="264"/>
        <v>0.65</v>
      </c>
      <c r="S1325" s="1">
        <v>7</v>
      </c>
      <c r="T1325" s="1">
        <v>7</v>
      </c>
      <c r="U1325" s="1">
        <f t="shared" si="257"/>
        <v>14</v>
      </c>
      <c r="V1325" s="12">
        <f t="shared" si="265"/>
        <v>0.7</v>
      </c>
      <c r="Z1325" s="1">
        <f t="shared" si="258"/>
        <v>0</v>
      </c>
      <c r="AB1325" s="2" t="s">
        <v>875</v>
      </c>
    </row>
    <row r="1326" spans="1:28" x14ac:dyDescent="0.25">
      <c r="A1326" s="1" t="s">
        <v>1683</v>
      </c>
      <c r="B1326" s="1" t="s">
        <v>35</v>
      </c>
      <c r="C1326" s="1" t="s">
        <v>861</v>
      </c>
      <c r="D1326" s="1">
        <v>17</v>
      </c>
      <c r="E1326" s="1">
        <v>1</v>
      </c>
      <c r="F1326" s="1">
        <v>1</v>
      </c>
      <c r="G1326" s="1">
        <v>5</v>
      </c>
      <c r="H1326" s="1">
        <v>6</v>
      </c>
      <c r="I1326" s="1">
        <v>5</v>
      </c>
      <c r="J1326" s="1">
        <v>4</v>
      </c>
      <c r="K1326" s="1">
        <f t="shared" si="255"/>
        <v>20</v>
      </c>
      <c r="L1326" s="12">
        <f t="shared" si="263"/>
        <v>0.5</v>
      </c>
      <c r="M1326" s="1">
        <v>5</v>
      </c>
      <c r="N1326" s="1">
        <v>6</v>
      </c>
      <c r="O1326" s="1">
        <v>5</v>
      </c>
      <c r="P1326" s="1">
        <v>4</v>
      </c>
      <c r="Q1326" s="1">
        <f t="shared" si="256"/>
        <v>20</v>
      </c>
      <c r="R1326" s="12">
        <f t="shared" si="264"/>
        <v>0.5</v>
      </c>
      <c r="S1326" s="1">
        <v>5</v>
      </c>
      <c r="T1326" s="1">
        <v>4</v>
      </c>
      <c r="U1326" s="1">
        <f t="shared" si="257"/>
        <v>9</v>
      </c>
      <c r="V1326" s="12">
        <f t="shared" si="265"/>
        <v>0.45</v>
      </c>
      <c r="Z1326" s="1">
        <f t="shared" si="258"/>
        <v>0</v>
      </c>
      <c r="AB1326" s="2" t="s">
        <v>876</v>
      </c>
    </row>
    <row r="1327" spans="1:28" x14ac:dyDescent="0.25">
      <c r="A1327" s="1" t="s">
        <v>1683</v>
      </c>
      <c r="B1327" s="1" t="s">
        <v>35</v>
      </c>
      <c r="C1327" s="1" t="s">
        <v>861</v>
      </c>
      <c r="D1327" s="1">
        <v>17</v>
      </c>
      <c r="E1327" s="1">
        <v>1</v>
      </c>
      <c r="F1327" s="1">
        <v>1</v>
      </c>
      <c r="G1327" s="1">
        <v>7</v>
      </c>
      <c r="H1327" s="1">
        <v>5</v>
      </c>
      <c r="I1327" s="1">
        <v>5</v>
      </c>
      <c r="J1327" s="1">
        <v>6</v>
      </c>
      <c r="K1327" s="1">
        <f t="shared" si="255"/>
        <v>23</v>
      </c>
      <c r="L1327" s="12">
        <f t="shared" si="263"/>
        <v>0.57499999999999996</v>
      </c>
      <c r="M1327" s="1">
        <v>6</v>
      </c>
      <c r="N1327" s="1">
        <v>6</v>
      </c>
      <c r="O1327" s="1">
        <v>5</v>
      </c>
      <c r="P1327" s="1">
        <v>5</v>
      </c>
      <c r="Q1327" s="1">
        <f t="shared" si="256"/>
        <v>22</v>
      </c>
      <c r="R1327" s="12">
        <f t="shared" si="264"/>
        <v>0.55000000000000004</v>
      </c>
      <c r="S1327" s="1">
        <v>6</v>
      </c>
      <c r="T1327" s="1">
        <v>5</v>
      </c>
      <c r="U1327" s="1">
        <f t="shared" si="257"/>
        <v>11</v>
      </c>
      <c r="V1327" s="12">
        <f t="shared" si="265"/>
        <v>0.55000000000000004</v>
      </c>
      <c r="Z1327" s="1">
        <f t="shared" si="258"/>
        <v>0</v>
      </c>
      <c r="AB1327" s="2" t="s">
        <v>877</v>
      </c>
    </row>
    <row r="1328" spans="1:28" x14ac:dyDescent="0.25">
      <c r="A1328" s="1" t="s">
        <v>1683</v>
      </c>
      <c r="B1328" s="1" t="s">
        <v>35</v>
      </c>
      <c r="C1328" s="1" t="s">
        <v>861</v>
      </c>
      <c r="D1328" s="1">
        <v>17</v>
      </c>
      <c r="E1328" s="1">
        <v>1</v>
      </c>
      <c r="F1328" s="1">
        <v>1</v>
      </c>
      <c r="G1328" s="1">
        <v>5</v>
      </c>
      <c r="H1328" s="1">
        <v>6</v>
      </c>
      <c r="I1328" s="1">
        <v>5</v>
      </c>
      <c r="J1328" s="1">
        <v>5</v>
      </c>
      <c r="K1328" s="1">
        <f t="shared" si="255"/>
        <v>21</v>
      </c>
      <c r="L1328" s="12">
        <f t="shared" si="263"/>
        <v>0.52500000000000002</v>
      </c>
      <c r="M1328" s="1">
        <v>6</v>
      </c>
      <c r="N1328" s="1">
        <v>6</v>
      </c>
      <c r="O1328" s="1">
        <v>5</v>
      </c>
      <c r="P1328" s="1">
        <v>5</v>
      </c>
      <c r="Q1328" s="1">
        <f t="shared" si="256"/>
        <v>22</v>
      </c>
      <c r="R1328" s="12">
        <f t="shared" si="264"/>
        <v>0.55000000000000004</v>
      </c>
      <c r="S1328" s="1">
        <v>6</v>
      </c>
      <c r="T1328" s="1">
        <v>6</v>
      </c>
      <c r="U1328" s="1">
        <f t="shared" si="257"/>
        <v>12</v>
      </c>
      <c r="V1328" s="12">
        <f t="shared" si="265"/>
        <v>0.6</v>
      </c>
      <c r="Z1328" s="1">
        <f t="shared" si="258"/>
        <v>0</v>
      </c>
      <c r="AB1328" s="2" t="s">
        <v>878</v>
      </c>
    </row>
    <row r="1329" spans="1:28" x14ac:dyDescent="0.25">
      <c r="A1329" s="1" t="s">
        <v>1683</v>
      </c>
      <c r="B1329" s="1" t="s">
        <v>35</v>
      </c>
      <c r="C1329" s="1" t="s">
        <v>861</v>
      </c>
      <c r="D1329" s="1">
        <v>17</v>
      </c>
      <c r="E1329" s="1">
        <v>1</v>
      </c>
      <c r="F1329" s="1">
        <v>1</v>
      </c>
      <c r="G1329" s="1">
        <v>6</v>
      </c>
      <c r="H1329" s="1">
        <v>5</v>
      </c>
      <c r="I1329" s="1">
        <v>6</v>
      </c>
      <c r="J1329" s="1">
        <v>7</v>
      </c>
      <c r="K1329" s="1">
        <f t="shared" si="255"/>
        <v>24</v>
      </c>
      <c r="L1329" s="12">
        <f t="shared" si="263"/>
        <v>0.6</v>
      </c>
      <c r="M1329" s="1">
        <v>7</v>
      </c>
      <c r="N1329" s="1">
        <v>7</v>
      </c>
      <c r="O1329" s="1">
        <v>6</v>
      </c>
      <c r="P1329" s="1">
        <v>7</v>
      </c>
      <c r="Q1329" s="1">
        <f t="shared" si="256"/>
        <v>27</v>
      </c>
      <c r="R1329" s="12">
        <f t="shared" si="264"/>
        <v>0.67500000000000004</v>
      </c>
      <c r="S1329" s="1">
        <v>7</v>
      </c>
      <c r="T1329" s="1">
        <v>7</v>
      </c>
      <c r="U1329" s="1">
        <f t="shared" si="257"/>
        <v>14</v>
      </c>
      <c r="V1329" s="12">
        <f t="shared" si="265"/>
        <v>0.7</v>
      </c>
      <c r="Z1329" s="1">
        <f t="shared" si="258"/>
        <v>0</v>
      </c>
      <c r="AB1329" s="2" t="s">
        <v>879</v>
      </c>
    </row>
    <row r="1330" spans="1:28" x14ac:dyDescent="0.25">
      <c r="A1330" s="1" t="s">
        <v>1683</v>
      </c>
      <c r="B1330" s="1" t="s">
        <v>35</v>
      </c>
      <c r="C1330" s="1" t="s">
        <v>861</v>
      </c>
      <c r="D1330" s="1">
        <v>18</v>
      </c>
      <c r="E1330" s="1">
        <v>2</v>
      </c>
      <c r="F1330" s="1">
        <v>2</v>
      </c>
      <c r="G1330" s="1">
        <v>3</v>
      </c>
      <c r="H1330" s="1">
        <v>2</v>
      </c>
      <c r="I1330" s="1">
        <v>2</v>
      </c>
      <c r="J1330" s="1">
        <v>2</v>
      </c>
      <c r="K1330" s="1">
        <f t="shared" si="255"/>
        <v>9</v>
      </c>
      <c r="L1330" s="12">
        <f t="shared" si="263"/>
        <v>0.22500000000000001</v>
      </c>
      <c r="M1330" s="1">
        <v>2</v>
      </c>
      <c r="N1330" s="1">
        <v>2</v>
      </c>
      <c r="O1330" s="1">
        <v>1</v>
      </c>
      <c r="P1330" s="1">
        <v>2</v>
      </c>
      <c r="Q1330" s="1">
        <f t="shared" si="256"/>
        <v>7</v>
      </c>
      <c r="R1330" s="12">
        <f t="shared" si="264"/>
        <v>0.17499999999999999</v>
      </c>
      <c r="S1330" s="1">
        <v>2</v>
      </c>
      <c r="T1330" s="1">
        <v>2</v>
      </c>
      <c r="U1330" s="1">
        <f t="shared" si="257"/>
        <v>4</v>
      </c>
      <c r="V1330" s="12">
        <f t="shared" si="265"/>
        <v>0.2</v>
      </c>
      <c r="Z1330" s="1">
        <f t="shared" si="258"/>
        <v>0</v>
      </c>
      <c r="AB1330" s="2" t="s">
        <v>1068</v>
      </c>
    </row>
    <row r="1331" spans="1:28" x14ac:dyDescent="0.25">
      <c r="A1331" s="1" t="s">
        <v>1683</v>
      </c>
      <c r="B1331" s="1" t="s">
        <v>35</v>
      </c>
      <c r="C1331" s="1" t="s">
        <v>861</v>
      </c>
      <c r="D1331" s="1">
        <v>18</v>
      </c>
      <c r="E1331" s="1">
        <v>2</v>
      </c>
      <c r="F1331" s="1">
        <v>2</v>
      </c>
      <c r="G1331" s="1">
        <v>4</v>
      </c>
      <c r="H1331" s="1">
        <v>3</v>
      </c>
      <c r="I1331" s="1">
        <v>3</v>
      </c>
      <c r="J1331" s="1">
        <v>3</v>
      </c>
      <c r="K1331" s="1">
        <f t="shared" si="255"/>
        <v>13</v>
      </c>
      <c r="L1331" s="12">
        <f t="shared" si="263"/>
        <v>0.32500000000000001</v>
      </c>
      <c r="M1331" s="1">
        <v>2</v>
      </c>
      <c r="N1331" s="1">
        <v>3</v>
      </c>
      <c r="O1331" s="1">
        <v>3</v>
      </c>
      <c r="P1331" s="1">
        <v>3</v>
      </c>
      <c r="Q1331" s="1">
        <f t="shared" si="256"/>
        <v>11</v>
      </c>
      <c r="R1331" s="12">
        <f t="shared" si="264"/>
        <v>0.27500000000000002</v>
      </c>
      <c r="S1331" s="1">
        <v>4</v>
      </c>
      <c r="T1331" s="1">
        <v>3</v>
      </c>
      <c r="U1331" s="1">
        <f t="shared" si="257"/>
        <v>7</v>
      </c>
      <c r="V1331" s="12">
        <f t="shared" si="265"/>
        <v>0.35</v>
      </c>
      <c r="Z1331" s="1">
        <f t="shared" si="258"/>
        <v>0</v>
      </c>
      <c r="AB1331" s="2" t="s">
        <v>1069</v>
      </c>
    </row>
    <row r="1332" spans="1:28" x14ac:dyDescent="0.25">
      <c r="A1332" s="1" t="s">
        <v>1683</v>
      </c>
      <c r="B1332" s="1" t="s">
        <v>35</v>
      </c>
      <c r="C1332" s="1" t="s">
        <v>861</v>
      </c>
      <c r="D1332" s="1">
        <v>18</v>
      </c>
      <c r="E1332" s="1">
        <v>2</v>
      </c>
      <c r="F1332" s="1">
        <v>2</v>
      </c>
      <c r="G1332" s="1">
        <v>4</v>
      </c>
      <c r="H1332" s="1">
        <v>3</v>
      </c>
      <c r="I1332" s="1">
        <v>3</v>
      </c>
      <c r="J1332" s="1">
        <v>3</v>
      </c>
      <c r="K1332" s="1">
        <f t="shared" si="255"/>
        <v>13</v>
      </c>
      <c r="L1332" s="12">
        <f t="shared" si="263"/>
        <v>0.32500000000000001</v>
      </c>
      <c r="M1332" s="1">
        <v>3</v>
      </c>
      <c r="N1332" s="1">
        <v>3</v>
      </c>
      <c r="O1332" s="1">
        <v>3</v>
      </c>
      <c r="P1332" s="1">
        <v>3</v>
      </c>
      <c r="Q1332" s="1">
        <f t="shared" si="256"/>
        <v>12</v>
      </c>
      <c r="R1332" s="12">
        <f t="shared" si="264"/>
        <v>0.3</v>
      </c>
      <c r="S1332" s="1">
        <v>4</v>
      </c>
      <c r="T1332" s="1">
        <v>5</v>
      </c>
      <c r="U1332" s="1">
        <f t="shared" si="257"/>
        <v>9</v>
      </c>
      <c r="V1332" s="12">
        <f t="shared" si="265"/>
        <v>0.45</v>
      </c>
      <c r="Z1332" s="1">
        <f t="shared" si="258"/>
        <v>0</v>
      </c>
      <c r="AB1332" s="2" t="s">
        <v>1070</v>
      </c>
    </row>
    <row r="1333" spans="1:28" x14ac:dyDescent="0.25">
      <c r="A1333" s="1" t="s">
        <v>1683</v>
      </c>
      <c r="B1333" s="1" t="s">
        <v>35</v>
      </c>
      <c r="C1333" s="1" t="s">
        <v>861</v>
      </c>
      <c r="D1333" s="1">
        <v>18</v>
      </c>
      <c r="E1333" s="1">
        <v>2</v>
      </c>
      <c r="F1333" s="1">
        <v>2</v>
      </c>
      <c r="G1333" s="1">
        <v>4</v>
      </c>
      <c r="H1333" s="1">
        <v>5</v>
      </c>
      <c r="I1333" s="1">
        <v>4</v>
      </c>
      <c r="J1333" s="1">
        <v>4</v>
      </c>
      <c r="K1333" s="1">
        <f t="shared" si="255"/>
        <v>17</v>
      </c>
      <c r="L1333" s="12">
        <f t="shared" si="263"/>
        <v>0.42499999999999999</v>
      </c>
      <c r="M1333" s="1">
        <v>6</v>
      </c>
      <c r="N1333" s="1">
        <v>5</v>
      </c>
      <c r="O1333" s="1">
        <v>5</v>
      </c>
      <c r="P1333" s="1">
        <v>5</v>
      </c>
      <c r="Q1333" s="1">
        <f t="shared" si="256"/>
        <v>21</v>
      </c>
      <c r="R1333" s="12">
        <f t="shared" si="264"/>
        <v>0.52500000000000002</v>
      </c>
      <c r="S1333" s="1">
        <v>4</v>
      </c>
      <c r="T1333" s="1">
        <v>4</v>
      </c>
      <c r="U1333" s="1">
        <f t="shared" si="257"/>
        <v>8</v>
      </c>
      <c r="V1333" s="12">
        <f t="shared" si="265"/>
        <v>0.4</v>
      </c>
      <c r="Z1333" s="1">
        <f t="shared" si="258"/>
        <v>0</v>
      </c>
      <c r="AB1333" s="2" t="s">
        <v>1071</v>
      </c>
    </row>
    <row r="1334" spans="1:28" x14ac:dyDescent="0.25">
      <c r="A1334" s="1" t="s">
        <v>1683</v>
      </c>
      <c r="B1334" s="1" t="s">
        <v>35</v>
      </c>
      <c r="C1334" s="1" t="s">
        <v>861</v>
      </c>
      <c r="D1334" s="1">
        <v>18</v>
      </c>
      <c r="E1334" s="1">
        <v>2</v>
      </c>
      <c r="F1334" s="1">
        <v>2</v>
      </c>
      <c r="G1334" s="1">
        <v>5</v>
      </c>
      <c r="H1334" s="1">
        <v>4</v>
      </c>
      <c r="I1334" s="1">
        <v>5</v>
      </c>
      <c r="J1334" s="1">
        <v>4</v>
      </c>
      <c r="K1334" s="1">
        <f t="shared" si="255"/>
        <v>18</v>
      </c>
      <c r="L1334" s="12">
        <f t="shared" si="263"/>
        <v>0.45</v>
      </c>
      <c r="M1334" s="1">
        <v>5</v>
      </c>
      <c r="N1334" s="1">
        <v>4</v>
      </c>
      <c r="O1334" s="1">
        <v>5</v>
      </c>
      <c r="P1334" s="1">
        <v>5</v>
      </c>
      <c r="Q1334" s="1">
        <f t="shared" si="256"/>
        <v>19</v>
      </c>
      <c r="R1334" s="12">
        <f t="shared" si="264"/>
        <v>0.47499999999999998</v>
      </c>
      <c r="S1334" s="1">
        <v>5</v>
      </c>
      <c r="T1334" s="1">
        <v>5</v>
      </c>
      <c r="U1334" s="1">
        <f t="shared" si="257"/>
        <v>10</v>
      </c>
      <c r="V1334" s="12">
        <f t="shared" si="265"/>
        <v>0.5</v>
      </c>
      <c r="Z1334" s="1">
        <f t="shared" si="258"/>
        <v>0</v>
      </c>
      <c r="AB1334" s="2" t="s">
        <v>1072</v>
      </c>
    </row>
    <row r="1335" spans="1:28" x14ac:dyDescent="0.25">
      <c r="A1335" s="1" t="s">
        <v>1683</v>
      </c>
      <c r="B1335" s="1" t="s">
        <v>35</v>
      </c>
      <c r="C1335" s="1" t="s">
        <v>861</v>
      </c>
      <c r="D1335" s="1">
        <v>18</v>
      </c>
      <c r="E1335" s="1">
        <v>2</v>
      </c>
      <c r="F1335" s="1">
        <v>2</v>
      </c>
      <c r="G1335" s="1">
        <v>5</v>
      </c>
      <c r="H1335" s="1">
        <v>5</v>
      </c>
      <c r="I1335" s="1">
        <v>6</v>
      </c>
      <c r="J1335" s="1">
        <v>5</v>
      </c>
      <c r="K1335" s="1">
        <f t="shared" si="255"/>
        <v>21</v>
      </c>
      <c r="L1335" s="12">
        <f t="shared" si="263"/>
        <v>0.52500000000000002</v>
      </c>
      <c r="M1335" s="1">
        <v>6</v>
      </c>
      <c r="N1335" s="1">
        <v>3</v>
      </c>
      <c r="O1335" s="1">
        <v>2</v>
      </c>
      <c r="P1335" s="1">
        <v>5</v>
      </c>
      <c r="Q1335" s="1">
        <f t="shared" si="256"/>
        <v>16</v>
      </c>
      <c r="R1335" s="12">
        <f t="shared" si="264"/>
        <v>0.4</v>
      </c>
      <c r="S1335" s="1">
        <v>7</v>
      </c>
      <c r="T1335" s="1">
        <v>6</v>
      </c>
      <c r="U1335" s="1">
        <f t="shared" si="257"/>
        <v>13</v>
      </c>
      <c r="V1335" s="12">
        <f t="shared" si="265"/>
        <v>0.65</v>
      </c>
      <c r="Z1335" s="1">
        <f t="shared" si="258"/>
        <v>0</v>
      </c>
      <c r="AB1335" s="2" t="s">
        <v>1073</v>
      </c>
    </row>
    <row r="1336" spans="1:28" x14ac:dyDescent="0.25">
      <c r="A1336" s="1" t="s">
        <v>1683</v>
      </c>
      <c r="B1336" s="1" t="s">
        <v>35</v>
      </c>
      <c r="C1336" s="1" t="s">
        <v>861</v>
      </c>
      <c r="D1336" s="1">
        <v>18</v>
      </c>
      <c r="E1336" s="1">
        <v>2</v>
      </c>
      <c r="F1336" s="1">
        <v>2</v>
      </c>
      <c r="G1336" s="1">
        <v>3</v>
      </c>
      <c r="H1336" s="1">
        <v>3</v>
      </c>
      <c r="I1336" s="1">
        <v>2</v>
      </c>
      <c r="J1336" s="1">
        <v>3</v>
      </c>
      <c r="K1336" s="1">
        <f t="shared" si="255"/>
        <v>11</v>
      </c>
      <c r="L1336" s="12">
        <f t="shared" si="263"/>
        <v>0.27500000000000002</v>
      </c>
      <c r="M1336" s="1">
        <v>2</v>
      </c>
      <c r="N1336" s="1">
        <v>2</v>
      </c>
      <c r="O1336" s="1">
        <v>1</v>
      </c>
      <c r="P1336" s="1">
        <v>2</v>
      </c>
      <c r="Q1336" s="1">
        <f t="shared" si="256"/>
        <v>7</v>
      </c>
      <c r="R1336" s="12">
        <f t="shared" si="264"/>
        <v>0.17499999999999999</v>
      </c>
      <c r="S1336" s="1">
        <v>2</v>
      </c>
      <c r="T1336" s="1">
        <v>2</v>
      </c>
      <c r="U1336" s="1">
        <f t="shared" si="257"/>
        <v>4</v>
      </c>
      <c r="V1336" s="12">
        <f t="shared" si="265"/>
        <v>0.2</v>
      </c>
      <c r="Z1336" s="1">
        <f t="shared" si="258"/>
        <v>0</v>
      </c>
      <c r="AB1336" s="2" t="s">
        <v>1074</v>
      </c>
    </row>
    <row r="1337" spans="1:28" x14ac:dyDescent="0.25">
      <c r="A1337" s="1" t="s">
        <v>1683</v>
      </c>
      <c r="B1337" s="1" t="s">
        <v>35</v>
      </c>
      <c r="C1337" s="1" t="s">
        <v>861</v>
      </c>
      <c r="D1337" s="1">
        <v>18</v>
      </c>
      <c r="E1337" s="1">
        <v>2</v>
      </c>
      <c r="F1337" s="1">
        <v>2</v>
      </c>
      <c r="G1337" s="1">
        <v>5</v>
      </c>
      <c r="H1337" s="1">
        <v>5</v>
      </c>
      <c r="I1337" s="1">
        <v>4</v>
      </c>
      <c r="J1337" s="1">
        <v>6</v>
      </c>
      <c r="K1337" s="1">
        <f t="shared" si="255"/>
        <v>20</v>
      </c>
      <c r="L1337" s="12">
        <f t="shared" si="263"/>
        <v>0.5</v>
      </c>
      <c r="M1337" s="1">
        <v>6</v>
      </c>
      <c r="N1337" s="1">
        <v>5</v>
      </c>
      <c r="O1337" s="1">
        <v>6</v>
      </c>
      <c r="P1337" s="1">
        <v>6</v>
      </c>
      <c r="Q1337" s="1">
        <f t="shared" si="256"/>
        <v>23</v>
      </c>
      <c r="R1337" s="12">
        <f t="shared" si="264"/>
        <v>0.57499999999999996</v>
      </c>
      <c r="S1337" s="1">
        <v>7</v>
      </c>
      <c r="T1337" s="1">
        <v>7</v>
      </c>
      <c r="U1337" s="1">
        <f t="shared" si="257"/>
        <v>14</v>
      </c>
      <c r="V1337" s="12">
        <f t="shared" si="265"/>
        <v>0.7</v>
      </c>
      <c r="Z1337" s="1">
        <f t="shared" si="258"/>
        <v>0</v>
      </c>
      <c r="AB1337" s="2" t="s">
        <v>1075</v>
      </c>
    </row>
    <row r="1338" spans="1:28" x14ac:dyDescent="0.25">
      <c r="A1338" s="1" t="s">
        <v>1683</v>
      </c>
      <c r="B1338" s="1" t="s">
        <v>35</v>
      </c>
      <c r="C1338" s="1" t="s">
        <v>861</v>
      </c>
      <c r="D1338" s="1">
        <v>4</v>
      </c>
      <c r="E1338" s="1">
        <v>3</v>
      </c>
      <c r="F1338" s="1">
        <v>4</v>
      </c>
      <c r="G1338" s="1">
        <v>6</v>
      </c>
      <c r="H1338" s="1">
        <v>6</v>
      </c>
      <c r="I1338" s="1">
        <v>5</v>
      </c>
      <c r="J1338" s="1">
        <v>5</v>
      </c>
      <c r="K1338" s="1">
        <f t="shared" si="255"/>
        <v>22</v>
      </c>
      <c r="L1338" s="12">
        <f t="shared" si="263"/>
        <v>0.55000000000000004</v>
      </c>
      <c r="M1338" s="1">
        <v>8</v>
      </c>
      <c r="N1338" s="1">
        <v>6</v>
      </c>
      <c r="O1338" s="1">
        <v>6</v>
      </c>
      <c r="P1338" s="1">
        <v>6</v>
      </c>
      <c r="Q1338" s="1">
        <f t="shared" si="256"/>
        <v>26</v>
      </c>
      <c r="R1338" s="12">
        <f t="shared" si="264"/>
        <v>0.65</v>
      </c>
      <c r="S1338" s="1">
        <v>7</v>
      </c>
      <c r="T1338" s="1">
        <v>7</v>
      </c>
      <c r="U1338" s="1">
        <f t="shared" si="257"/>
        <v>14</v>
      </c>
      <c r="V1338" s="12">
        <f t="shared" si="265"/>
        <v>0.7</v>
      </c>
      <c r="Z1338" s="1">
        <f t="shared" si="258"/>
        <v>0</v>
      </c>
      <c r="AB1338" s="2" t="s">
        <v>1295</v>
      </c>
    </row>
    <row r="1339" spans="1:28" x14ac:dyDescent="0.25">
      <c r="A1339" s="1" t="s">
        <v>1683</v>
      </c>
      <c r="B1339" s="1" t="s">
        <v>35</v>
      </c>
      <c r="C1339" s="1" t="s">
        <v>861</v>
      </c>
      <c r="D1339" s="1">
        <v>4</v>
      </c>
      <c r="E1339" s="1">
        <v>3</v>
      </c>
      <c r="F1339" s="1">
        <v>4</v>
      </c>
      <c r="G1339" s="1">
        <v>7</v>
      </c>
      <c r="H1339" s="1">
        <v>7</v>
      </c>
      <c r="I1339" s="1">
        <v>7</v>
      </c>
      <c r="J1339" s="1">
        <v>7</v>
      </c>
      <c r="K1339" s="1">
        <f t="shared" si="255"/>
        <v>28</v>
      </c>
      <c r="L1339" s="12">
        <f t="shared" si="263"/>
        <v>0.7</v>
      </c>
      <c r="M1339" s="1">
        <v>7</v>
      </c>
      <c r="N1339" s="1">
        <v>6</v>
      </c>
      <c r="O1339" s="1">
        <v>7</v>
      </c>
      <c r="P1339" s="1">
        <v>6</v>
      </c>
      <c r="Q1339" s="1">
        <f t="shared" si="256"/>
        <v>26</v>
      </c>
      <c r="R1339" s="12">
        <f t="shared" si="264"/>
        <v>0.65</v>
      </c>
      <c r="S1339" s="1">
        <v>7</v>
      </c>
      <c r="T1339" s="1">
        <v>7</v>
      </c>
      <c r="U1339" s="1">
        <f t="shared" si="257"/>
        <v>14</v>
      </c>
      <c r="V1339" s="12">
        <f t="shared" si="265"/>
        <v>0.7</v>
      </c>
      <c r="Z1339" s="1">
        <f t="shared" si="258"/>
        <v>0</v>
      </c>
      <c r="AB1339" s="2" t="s">
        <v>1296</v>
      </c>
    </row>
    <row r="1340" spans="1:28" x14ac:dyDescent="0.25">
      <c r="A1340" s="1" t="s">
        <v>1683</v>
      </c>
      <c r="B1340" s="1" t="s">
        <v>35</v>
      </c>
      <c r="C1340" s="1" t="s">
        <v>861</v>
      </c>
      <c r="D1340" s="1">
        <v>4</v>
      </c>
      <c r="E1340" s="1">
        <v>3</v>
      </c>
      <c r="F1340" s="1">
        <v>4</v>
      </c>
      <c r="G1340" s="1">
        <v>5</v>
      </c>
      <c r="H1340" s="1">
        <v>6</v>
      </c>
      <c r="I1340" s="1">
        <v>6</v>
      </c>
      <c r="J1340" s="1">
        <v>6</v>
      </c>
      <c r="K1340" s="1">
        <f t="shared" si="255"/>
        <v>23</v>
      </c>
      <c r="L1340" s="12">
        <f t="shared" si="263"/>
        <v>0.57499999999999996</v>
      </c>
      <c r="M1340" s="1">
        <v>6</v>
      </c>
      <c r="N1340" s="1">
        <v>6</v>
      </c>
      <c r="O1340" s="1">
        <v>4</v>
      </c>
      <c r="P1340" s="1">
        <v>5</v>
      </c>
      <c r="Q1340" s="1">
        <f t="shared" si="256"/>
        <v>21</v>
      </c>
      <c r="R1340" s="12">
        <f t="shared" si="264"/>
        <v>0.52500000000000002</v>
      </c>
      <c r="S1340" s="1">
        <v>6</v>
      </c>
      <c r="T1340" s="1">
        <v>6</v>
      </c>
      <c r="U1340" s="1">
        <f t="shared" si="257"/>
        <v>12</v>
      </c>
      <c r="V1340" s="12">
        <f t="shared" si="265"/>
        <v>0.6</v>
      </c>
      <c r="Z1340" s="1">
        <f t="shared" si="258"/>
        <v>0</v>
      </c>
      <c r="AB1340" s="2" t="s">
        <v>1297</v>
      </c>
    </row>
    <row r="1341" spans="1:28" x14ac:dyDescent="0.25">
      <c r="A1341" s="1" t="s">
        <v>1683</v>
      </c>
      <c r="B1341" s="1" t="s">
        <v>35</v>
      </c>
      <c r="C1341" s="1" t="s">
        <v>861</v>
      </c>
      <c r="D1341" s="1">
        <v>4</v>
      </c>
      <c r="E1341" s="1">
        <v>3</v>
      </c>
      <c r="F1341" s="1">
        <v>4</v>
      </c>
      <c r="G1341" s="1">
        <v>7</v>
      </c>
      <c r="H1341" s="1">
        <v>6</v>
      </c>
      <c r="I1341" s="1">
        <v>7</v>
      </c>
      <c r="J1341" s="1">
        <v>7</v>
      </c>
      <c r="K1341" s="1">
        <f t="shared" si="255"/>
        <v>27</v>
      </c>
      <c r="L1341" s="12">
        <f t="shared" si="263"/>
        <v>0.67500000000000004</v>
      </c>
      <c r="M1341" s="1">
        <v>5</v>
      </c>
      <c r="N1341" s="1">
        <v>5</v>
      </c>
      <c r="O1341" s="1">
        <v>5</v>
      </c>
      <c r="P1341" s="1">
        <v>6</v>
      </c>
      <c r="Q1341" s="1">
        <f t="shared" si="256"/>
        <v>21</v>
      </c>
      <c r="R1341" s="12">
        <f t="shared" si="264"/>
        <v>0.52500000000000002</v>
      </c>
      <c r="S1341" s="1">
        <v>7</v>
      </c>
      <c r="T1341" s="1">
        <v>8</v>
      </c>
      <c r="U1341" s="1">
        <f t="shared" si="257"/>
        <v>15</v>
      </c>
      <c r="V1341" s="12">
        <f t="shared" si="265"/>
        <v>0.75</v>
      </c>
      <c r="Z1341" s="1">
        <f t="shared" si="258"/>
        <v>0</v>
      </c>
      <c r="AB1341" s="2" t="s">
        <v>1298</v>
      </c>
    </row>
    <row r="1342" spans="1:28" x14ac:dyDescent="0.25">
      <c r="A1342" s="1" t="s">
        <v>1683</v>
      </c>
      <c r="B1342" s="1" t="s">
        <v>35</v>
      </c>
      <c r="C1342" s="1" t="s">
        <v>861</v>
      </c>
      <c r="D1342" s="1">
        <v>4</v>
      </c>
      <c r="E1342" s="1">
        <v>3</v>
      </c>
      <c r="F1342" s="1">
        <v>4</v>
      </c>
      <c r="G1342" s="1">
        <v>7</v>
      </c>
      <c r="H1342" s="1">
        <v>8</v>
      </c>
      <c r="I1342" s="1">
        <v>8</v>
      </c>
      <c r="J1342" s="1">
        <v>7</v>
      </c>
      <c r="K1342" s="1">
        <f t="shared" si="255"/>
        <v>30</v>
      </c>
      <c r="L1342" s="12">
        <f t="shared" si="263"/>
        <v>0.75</v>
      </c>
      <c r="M1342" s="1">
        <v>6</v>
      </c>
      <c r="N1342" s="1">
        <v>8</v>
      </c>
      <c r="O1342" s="1">
        <v>7</v>
      </c>
      <c r="P1342" s="1">
        <v>7</v>
      </c>
      <c r="Q1342" s="1">
        <f t="shared" si="256"/>
        <v>28</v>
      </c>
      <c r="R1342" s="12">
        <f t="shared" si="264"/>
        <v>0.7</v>
      </c>
      <c r="S1342" s="1">
        <v>8</v>
      </c>
      <c r="T1342" s="1">
        <v>8</v>
      </c>
      <c r="U1342" s="1">
        <f t="shared" si="257"/>
        <v>16</v>
      </c>
      <c r="V1342" s="12">
        <f t="shared" si="265"/>
        <v>0.8</v>
      </c>
      <c r="Z1342" s="1">
        <f t="shared" si="258"/>
        <v>0</v>
      </c>
      <c r="AB1342" s="2" t="s">
        <v>1299</v>
      </c>
    </row>
    <row r="1343" spans="1:28" x14ac:dyDescent="0.25">
      <c r="A1343" s="1" t="s">
        <v>1683</v>
      </c>
      <c r="B1343" s="1" t="s">
        <v>35</v>
      </c>
      <c r="C1343" s="1" t="s">
        <v>861</v>
      </c>
      <c r="D1343" s="1">
        <v>4</v>
      </c>
      <c r="E1343" s="1">
        <v>3</v>
      </c>
      <c r="F1343" s="1">
        <v>4</v>
      </c>
      <c r="G1343" s="1">
        <v>7</v>
      </c>
      <c r="H1343" s="1">
        <v>7</v>
      </c>
      <c r="I1343" s="1">
        <v>6</v>
      </c>
      <c r="J1343" s="1">
        <v>7</v>
      </c>
      <c r="K1343" s="1">
        <f t="shared" si="255"/>
        <v>27</v>
      </c>
      <c r="L1343" s="12">
        <f t="shared" si="263"/>
        <v>0.67500000000000004</v>
      </c>
      <c r="M1343" s="1">
        <v>7</v>
      </c>
      <c r="N1343" s="1">
        <v>6</v>
      </c>
      <c r="O1343" s="1">
        <v>7</v>
      </c>
      <c r="P1343" s="1">
        <v>6</v>
      </c>
      <c r="Q1343" s="1">
        <f t="shared" si="256"/>
        <v>26</v>
      </c>
      <c r="R1343" s="12">
        <f t="shared" si="264"/>
        <v>0.65</v>
      </c>
      <c r="S1343" s="1">
        <v>7</v>
      </c>
      <c r="T1343" s="1">
        <v>6</v>
      </c>
      <c r="U1343" s="1">
        <f t="shared" si="257"/>
        <v>13</v>
      </c>
      <c r="V1343" s="12">
        <f t="shared" si="265"/>
        <v>0.65</v>
      </c>
      <c r="Z1343" s="1">
        <f t="shared" si="258"/>
        <v>0</v>
      </c>
      <c r="AB1343" s="2" t="s">
        <v>1300</v>
      </c>
    </row>
    <row r="1344" spans="1:28" x14ac:dyDescent="0.25">
      <c r="A1344" s="1" t="s">
        <v>1683</v>
      </c>
      <c r="B1344" s="1" t="s">
        <v>35</v>
      </c>
      <c r="C1344" s="1" t="s">
        <v>861</v>
      </c>
      <c r="D1344" s="1">
        <v>4</v>
      </c>
      <c r="E1344" s="1">
        <v>3</v>
      </c>
      <c r="F1344" s="1">
        <v>4</v>
      </c>
      <c r="G1344" s="1">
        <v>6</v>
      </c>
      <c r="H1344" s="1">
        <v>5</v>
      </c>
      <c r="I1344" s="1">
        <v>5</v>
      </c>
      <c r="J1344" s="1">
        <v>6</v>
      </c>
      <c r="K1344" s="1">
        <f t="shared" si="255"/>
        <v>22</v>
      </c>
      <c r="L1344" s="12">
        <f t="shared" si="263"/>
        <v>0.55000000000000004</v>
      </c>
      <c r="M1344" s="1">
        <v>5</v>
      </c>
      <c r="N1344" s="1">
        <v>6</v>
      </c>
      <c r="O1344" s="1">
        <v>5</v>
      </c>
      <c r="P1344" s="1">
        <v>5</v>
      </c>
      <c r="Q1344" s="1">
        <f t="shared" si="256"/>
        <v>21</v>
      </c>
      <c r="R1344" s="12">
        <f t="shared" si="264"/>
        <v>0.52500000000000002</v>
      </c>
      <c r="S1344" s="1">
        <v>7</v>
      </c>
      <c r="T1344" s="1">
        <v>5</v>
      </c>
      <c r="U1344" s="1">
        <f t="shared" si="257"/>
        <v>12</v>
      </c>
      <c r="V1344" s="12">
        <f t="shared" si="265"/>
        <v>0.6</v>
      </c>
      <c r="Z1344" s="1">
        <f t="shared" si="258"/>
        <v>0</v>
      </c>
      <c r="AB1344" s="2" t="s">
        <v>1301</v>
      </c>
    </row>
    <row r="1345" spans="1:28" x14ac:dyDescent="0.25">
      <c r="A1345" s="1" t="s">
        <v>1683</v>
      </c>
      <c r="B1345" s="1" t="s">
        <v>35</v>
      </c>
      <c r="C1345" s="1" t="s">
        <v>861</v>
      </c>
      <c r="D1345" s="1">
        <v>4</v>
      </c>
      <c r="E1345" s="1">
        <v>3</v>
      </c>
      <c r="F1345" s="1">
        <v>4</v>
      </c>
      <c r="G1345" s="1">
        <v>6</v>
      </c>
      <c r="H1345" s="1">
        <v>6</v>
      </c>
      <c r="I1345" s="1">
        <v>7</v>
      </c>
      <c r="J1345" s="1">
        <v>6</v>
      </c>
      <c r="K1345" s="1">
        <f t="shared" si="255"/>
        <v>25</v>
      </c>
      <c r="L1345" s="12">
        <f t="shared" si="263"/>
        <v>0.625</v>
      </c>
      <c r="M1345" s="1">
        <v>5</v>
      </c>
      <c r="N1345" s="1">
        <v>5</v>
      </c>
      <c r="O1345" s="1">
        <v>6</v>
      </c>
      <c r="P1345" s="1">
        <v>6</v>
      </c>
      <c r="Q1345" s="1">
        <f t="shared" si="256"/>
        <v>22</v>
      </c>
      <c r="R1345" s="12">
        <f t="shared" si="264"/>
        <v>0.55000000000000004</v>
      </c>
      <c r="S1345" s="1">
        <v>5</v>
      </c>
      <c r="T1345" s="1">
        <v>5</v>
      </c>
      <c r="U1345" s="1">
        <f t="shared" si="257"/>
        <v>10</v>
      </c>
      <c r="V1345" s="12">
        <f t="shared" si="265"/>
        <v>0.5</v>
      </c>
      <c r="Z1345" s="1">
        <f t="shared" si="258"/>
        <v>0</v>
      </c>
      <c r="AB1345" s="2" t="s">
        <v>1302</v>
      </c>
    </row>
    <row r="1346" spans="1:28" x14ac:dyDescent="0.25">
      <c r="A1346" s="1" t="s">
        <v>1683</v>
      </c>
      <c r="B1346" s="1" t="s">
        <v>576</v>
      </c>
      <c r="C1346" s="1" t="s">
        <v>861</v>
      </c>
      <c r="D1346" s="1">
        <v>11</v>
      </c>
      <c r="E1346" s="1">
        <v>3</v>
      </c>
      <c r="F1346" s="1">
        <v>4</v>
      </c>
      <c r="G1346" s="1">
        <v>7</v>
      </c>
      <c r="H1346" s="1">
        <v>6</v>
      </c>
      <c r="I1346" s="1">
        <v>6</v>
      </c>
      <c r="J1346" s="1">
        <v>6</v>
      </c>
      <c r="K1346" s="1">
        <f t="shared" si="255"/>
        <v>25</v>
      </c>
      <c r="L1346" s="12">
        <f t="shared" si="263"/>
        <v>0.625</v>
      </c>
      <c r="M1346" s="1">
        <v>7</v>
      </c>
      <c r="N1346" s="1">
        <v>6</v>
      </c>
      <c r="O1346" s="1">
        <v>6</v>
      </c>
      <c r="P1346" s="1">
        <v>6</v>
      </c>
      <c r="Q1346" s="1">
        <f t="shared" si="256"/>
        <v>25</v>
      </c>
      <c r="R1346" s="12">
        <f t="shared" si="264"/>
        <v>0.625</v>
      </c>
      <c r="S1346" s="1">
        <v>5</v>
      </c>
      <c r="T1346" s="1">
        <v>5</v>
      </c>
      <c r="U1346" s="1">
        <f t="shared" si="257"/>
        <v>10</v>
      </c>
      <c r="V1346" s="12">
        <f t="shared" si="265"/>
        <v>0.5</v>
      </c>
      <c r="Z1346" s="1">
        <f t="shared" si="258"/>
        <v>0</v>
      </c>
      <c r="AB1346" s="2" t="s">
        <v>1610</v>
      </c>
    </row>
    <row r="1347" spans="1:28" x14ac:dyDescent="0.25">
      <c r="A1347" s="1" t="s">
        <v>1683</v>
      </c>
      <c r="B1347" s="1" t="s">
        <v>576</v>
      </c>
      <c r="C1347" s="1" t="s">
        <v>861</v>
      </c>
      <c r="D1347" s="1">
        <v>11</v>
      </c>
      <c r="E1347" s="1">
        <v>3</v>
      </c>
      <c r="F1347" s="1">
        <v>4</v>
      </c>
      <c r="G1347" s="1">
        <v>7</v>
      </c>
      <c r="H1347" s="1">
        <v>7</v>
      </c>
      <c r="I1347" s="1">
        <v>5</v>
      </c>
      <c r="J1347" s="1">
        <v>7</v>
      </c>
      <c r="K1347" s="1">
        <f t="shared" ref="K1347:K1410" si="266">SUM(G1347:J1347)</f>
        <v>26</v>
      </c>
      <c r="L1347" s="12">
        <f t="shared" si="263"/>
        <v>0.65</v>
      </c>
      <c r="M1347" s="1">
        <v>6</v>
      </c>
      <c r="N1347" s="1">
        <v>6</v>
      </c>
      <c r="O1347" s="1">
        <v>6</v>
      </c>
      <c r="P1347" s="1">
        <v>5</v>
      </c>
      <c r="Q1347" s="1">
        <f t="shared" ref="Q1347:Q1410" si="267">SUM(M1347:P1347)</f>
        <v>23</v>
      </c>
      <c r="R1347" s="12">
        <f t="shared" si="264"/>
        <v>0.57499999999999996</v>
      </c>
      <c r="S1347" s="1">
        <v>5</v>
      </c>
      <c r="T1347" s="1">
        <v>5</v>
      </c>
      <c r="U1347" s="1">
        <f t="shared" ref="U1347:U1410" si="268">SUM(S1347:T1347)</f>
        <v>10</v>
      </c>
      <c r="V1347" s="12">
        <f t="shared" si="265"/>
        <v>0.5</v>
      </c>
      <c r="Z1347" s="1">
        <f t="shared" ref="Z1347:Z1410" si="269">SUM(W1347:Y1347)</f>
        <v>0</v>
      </c>
      <c r="AB1347" s="2" t="s">
        <v>1611</v>
      </c>
    </row>
    <row r="1348" spans="1:28" x14ac:dyDescent="0.25">
      <c r="A1348" s="1" t="s">
        <v>1683</v>
      </c>
      <c r="B1348" s="1" t="s">
        <v>576</v>
      </c>
      <c r="C1348" s="1" t="s">
        <v>861</v>
      </c>
      <c r="D1348" s="1">
        <v>11</v>
      </c>
      <c r="E1348" s="1">
        <v>3</v>
      </c>
      <c r="F1348" s="1">
        <v>4</v>
      </c>
      <c r="G1348" s="1">
        <v>6</v>
      </c>
      <c r="H1348" s="1">
        <v>6</v>
      </c>
      <c r="I1348" s="1">
        <v>5</v>
      </c>
      <c r="J1348" s="1">
        <v>6</v>
      </c>
      <c r="K1348" s="1">
        <f t="shared" si="266"/>
        <v>23</v>
      </c>
      <c r="L1348" s="12">
        <f t="shared" si="263"/>
        <v>0.57499999999999996</v>
      </c>
      <c r="M1348" s="1">
        <v>5</v>
      </c>
      <c r="N1348" s="1">
        <v>5</v>
      </c>
      <c r="O1348" s="1">
        <v>5</v>
      </c>
      <c r="P1348" s="1">
        <v>6</v>
      </c>
      <c r="Q1348" s="1">
        <f t="shared" si="267"/>
        <v>21</v>
      </c>
      <c r="R1348" s="12">
        <f t="shared" si="264"/>
        <v>0.52500000000000002</v>
      </c>
      <c r="S1348" s="1">
        <v>5</v>
      </c>
      <c r="T1348" s="1">
        <v>6</v>
      </c>
      <c r="U1348" s="1">
        <f t="shared" si="268"/>
        <v>11</v>
      </c>
      <c r="V1348" s="12">
        <f t="shared" si="265"/>
        <v>0.55000000000000004</v>
      </c>
      <c r="Z1348" s="1">
        <f t="shared" si="269"/>
        <v>0</v>
      </c>
      <c r="AB1348" s="2" t="s">
        <v>1612</v>
      </c>
    </row>
    <row r="1349" spans="1:28" x14ac:dyDescent="0.25">
      <c r="A1349" s="1" t="s">
        <v>1683</v>
      </c>
      <c r="B1349" s="1" t="s">
        <v>576</v>
      </c>
      <c r="C1349" s="1" t="s">
        <v>861</v>
      </c>
      <c r="D1349" s="1">
        <v>11</v>
      </c>
      <c r="E1349" s="1">
        <v>3</v>
      </c>
      <c r="F1349" s="1">
        <v>4</v>
      </c>
      <c r="G1349" s="1">
        <v>8</v>
      </c>
      <c r="H1349" s="1">
        <v>8</v>
      </c>
      <c r="I1349" s="1">
        <v>7</v>
      </c>
      <c r="J1349" s="1">
        <v>8</v>
      </c>
      <c r="K1349" s="1">
        <f t="shared" si="266"/>
        <v>31</v>
      </c>
      <c r="L1349" s="12">
        <f t="shared" si="263"/>
        <v>0.77500000000000002</v>
      </c>
      <c r="M1349" s="1">
        <v>7</v>
      </c>
      <c r="N1349" s="1">
        <v>7</v>
      </c>
      <c r="O1349" s="1">
        <v>7</v>
      </c>
      <c r="P1349" s="1">
        <v>8</v>
      </c>
      <c r="Q1349" s="1">
        <f t="shared" si="267"/>
        <v>29</v>
      </c>
      <c r="R1349" s="12">
        <f t="shared" si="264"/>
        <v>0.72499999999999998</v>
      </c>
      <c r="S1349" s="1">
        <v>7</v>
      </c>
      <c r="T1349" s="1">
        <v>8</v>
      </c>
      <c r="U1349" s="1">
        <f t="shared" si="268"/>
        <v>15</v>
      </c>
      <c r="V1349" s="12">
        <f t="shared" si="265"/>
        <v>0.75</v>
      </c>
      <c r="Z1349" s="1">
        <f t="shared" si="269"/>
        <v>0</v>
      </c>
      <c r="AB1349" s="2" t="s">
        <v>1613</v>
      </c>
    </row>
    <row r="1350" spans="1:28" x14ac:dyDescent="0.25">
      <c r="A1350" s="1" t="s">
        <v>1683</v>
      </c>
      <c r="B1350" s="1" t="s">
        <v>576</v>
      </c>
      <c r="C1350" s="1" t="s">
        <v>861</v>
      </c>
      <c r="D1350" s="1">
        <v>11</v>
      </c>
      <c r="E1350" s="1">
        <v>3</v>
      </c>
      <c r="F1350" s="1">
        <v>4</v>
      </c>
      <c r="G1350" s="1">
        <v>7</v>
      </c>
      <c r="H1350" s="1">
        <v>5</v>
      </c>
      <c r="I1350" s="1">
        <v>6</v>
      </c>
      <c r="J1350" s="1">
        <v>7</v>
      </c>
      <c r="K1350" s="1">
        <f t="shared" si="266"/>
        <v>25</v>
      </c>
      <c r="L1350" s="12">
        <f t="shared" si="263"/>
        <v>0.625</v>
      </c>
      <c r="M1350" s="1">
        <v>6</v>
      </c>
      <c r="N1350" s="1">
        <v>6</v>
      </c>
      <c r="O1350" s="1">
        <v>5</v>
      </c>
      <c r="P1350" s="1">
        <v>6</v>
      </c>
      <c r="Q1350" s="1">
        <f t="shared" si="267"/>
        <v>23</v>
      </c>
      <c r="R1350" s="12">
        <f t="shared" si="264"/>
        <v>0.57499999999999996</v>
      </c>
      <c r="S1350" s="1">
        <v>6</v>
      </c>
      <c r="T1350" s="1">
        <v>5</v>
      </c>
      <c r="U1350" s="1">
        <f t="shared" si="268"/>
        <v>11</v>
      </c>
      <c r="V1350" s="12">
        <f t="shared" si="265"/>
        <v>0.55000000000000004</v>
      </c>
      <c r="Z1350" s="1">
        <f t="shared" si="269"/>
        <v>0</v>
      </c>
      <c r="AB1350" s="2" t="s">
        <v>1614</v>
      </c>
    </row>
    <row r="1351" spans="1:28" x14ac:dyDescent="0.25">
      <c r="A1351" s="1" t="s">
        <v>1683</v>
      </c>
      <c r="B1351" s="1" t="s">
        <v>576</v>
      </c>
      <c r="C1351" s="1" t="s">
        <v>861</v>
      </c>
      <c r="D1351" s="1">
        <v>11</v>
      </c>
      <c r="E1351" s="1">
        <v>3</v>
      </c>
      <c r="F1351" s="1">
        <v>4</v>
      </c>
      <c r="G1351" s="1">
        <v>6</v>
      </c>
      <c r="H1351" s="1">
        <v>7</v>
      </c>
      <c r="I1351" s="1">
        <v>7</v>
      </c>
      <c r="J1351" s="1">
        <v>6</v>
      </c>
      <c r="K1351" s="1">
        <f t="shared" si="266"/>
        <v>26</v>
      </c>
      <c r="L1351" s="12">
        <f t="shared" si="263"/>
        <v>0.65</v>
      </c>
      <c r="M1351" s="1">
        <v>5</v>
      </c>
      <c r="N1351" s="1">
        <v>6</v>
      </c>
      <c r="O1351" s="1">
        <v>6</v>
      </c>
      <c r="P1351" s="1">
        <v>6</v>
      </c>
      <c r="Q1351" s="1">
        <f t="shared" si="267"/>
        <v>23</v>
      </c>
      <c r="R1351" s="12">
        <f t="shared" si="264"/>
        <v>0.57499999999999996</v>
      </c>
      <c r="S1351" s="1">
        <v>7</v>
      </c>
      <c r="T1351" s="1">
        <v>7</v>
      </c>
      <c r="U1351" s="1">
        <f t="shared" si="268"/>
        <v>14</v>
      </c>
      <c r="V1351" s="12">
        <f t="shared" si="265"/>
        <v>0.7</v>
      </c>
      <c r="Z1351" s="1">
        <f t="shared" si="269"/>
        <v>0</v>
      </c>
      <c r="AB1351" s="2" t="s">
        <v>1615</v>
      </c>
    </row>
    <row r="1352" spans="1:28" x14ac:dyDescent="0.25">
      <c r="A1352" s="1" t="s">
        <v>1683</v>
      </c>
      <c r="B1352" s="1" t="s">
        <v>576</v>
      </c>
      <c r="C1352" s="1" t="s">
        <v>861</v>
      </c>
      <c r="D1352" s="1">
        <v>11</v>
      </c>
      <c r="E1352" s="1">
        <v>3</v>
      </c>
      <c r="F1352" s="1">
        <v>4</v>
      </c>
      <c r="G1352" s="1">
        <v>7</v>
      </c>
      <c r="H1352" s="1">
        <v>6</v>
      </c>
      <c r="I1352" s="1">
        <v>6</v>
      </c>
      <c r="J1352" s="1">
        <v>6</v>
      </c>
      <c r="K1352" s="1">
        <f t="shared" si="266"/>
        <v>25</v>
      </c>
      <c r="L1352" s="12">
        <f t="shared" si="263"/>
        <v>0.625</v>
      </c>
      <c r="M1352" s="1">
        <v>7</v>
      </c>
      <c r="N1352" s="1">
        <v>7</v>
      </c>
      <c r="O1352" s="1">
        <v>6</v>
      </c>
      <c r="P1352" s="1">
        <v>6</v>
      </c>
      <c r="Q1352" s="1">
        <f t="shared" si="267"/>
        <v>26</v>
      </c>
      <c r="R1352" s="12">
        <f t="shared" si="264"/>
        <v>0.65</v>
      </c>
      <c r="S1352" s="1">
        <v>6</v>
      </c>
      <c r="T1352" s="1">
        <v>7</v>
      </c>
      <c r="U1352" s="1">
        <f t="shared" si="268"/>
        <v>13</v>
      </c>
      <c r="V1352" s="12">
        <f t="shared" si="265"/>
        <v>0.65</v>
      </c>
      <c r="Z1352" s="1">
        <f t="shared" si="269"/>
        <v>0</v>
      </c>
      <c r="AB1352" s="2" t="s">
        <v>1616</v>
      </c>
    </row>
    <row r="1353" spans="1:28" x14ac:dyDescent="0.25">
      <c r="A1353" s="1" t="s">
        <v>1684</v>
      </c>
      <c r="B1353" s="1" t="s">
        <v>35</v>
      </c>
      <c r="C1353" s="1" t="s">
        <v>36</v>
      </c>
      <c r="D1353" s="1">
        <v>19</v>
      </c>
      <c r="E1353" s="1">
        <v>1</v>
      </c>
      <c r="F1353" s="1">
        <v>6</v>
      </c>
      <c r="G1353" s="1">
        <v>5</v>
      </c>
      <c r="H1353" s="1">
        <v>4</v>
      </c>
      <c r="I1353" s="1">
        <v>6</v>
      </c>
      <c r="J1353" s="1">
        <v>5</v>
      </c>
      <c r="K1353" s="1">
        <f t="shared" si="266"/>
        <v>20</v>
      </c>
      <c r="L1353" s="12">
        <f t="shared" ref="L1353:L1360" si="270">K1353/35</f>
        <v>0.5714285714285714</v>
      </c>
      <c r="M1353" s="1">
        <v>7</v>
      </c>
      <c r="N1353" s="1">
        <v>6</v>
      </c>
      <c r="O1353" s="1">
        <v>6</v>
      </c>
      <c r="P1353" s="1">
        <v>4</v>
      </c>
      <c r="Q1353" s="1">
        <f t="shared" si="267"/>
        <v>23</v>
      </c>
      <c r="R1353" s="12">
        <f t="shared" ref="R1353:R1360" si="271">Q1353/35</f>
        <v>0.65714285714285714</v>
      </c>
      <c r="S1353" s="1">
        <v>5</v>
      </c>
      <c r="T1353" s="1">
        <v>4</v>
      </c>
      <c r="U1353" s="1">
        <f t="shared" si="268"/>
        <v>9</v>
      </c>
      <c r="V1353" s="12">
        <f t="shared" ref="V1353:V1360" si="272">U1353/15</f>
        <v>0.6</v>
      </c>
      <c r="W1353" s="1">
        <v>3</v>
      </c>
      <c r="X1353" s="1">
        <v>3</v>
      </c>
      <c r="Y1353" s="1">
        <v>4</v>
      </c>
      <c r="Z1353" s="1">
        <f t="shared" si="269"/>
        <v>10</v>
      </c>
      <c r="AA1353" s="12">
        <f t="shared" ref="AA1353:AA1360" si="273">Z1353/15</f>
        <v>0.66666666666666663</v>
      </c>
      <c r="AB1353" s="2" t="s">
        <v>193</v>
      </c>
    </row>
    <row r="1354" spans="1:28" x14ac:dyDescent="0.25">
      <c r="A1354" s="1" t="s">
        <v>1684</v>
      </c>
      <c r="B1354" s="1" t="s">
        <v>35</v>
      </c>
      <c r="C1354" s="1" t="s">
        <v>36</v>
      </c>
      <c r="D1354" s="1">
        <v>19</v>
      </c>
      <c r="E1354" s="1">
        <v>1</v>
      </c>
      <c r="F1354" s="1">
        <v>6</v>
      </c>
      <c r="G1354" s="1">
        <v>5</v>
      </c>
      <c r="H1354" s="1">
        <v>5</v>
      </c>
      <c r="I1354" s="1">
        <v>5</v>
      </c>
      <c r="J1354" s="1">
        <v>4</v>
      </c>
      <c r="K1354" s="1">
        <f t="shared" si="266"/>
        <v>19</v>
      </c>
      <c r="L1354" s="12">
        <f t="shared" si="270"/>
        <v>0.54285714285714282</v>
      </c>
      <c r="M1354" s="1">
        <v>3</v>
      </c>
      <c r="N1354" s="1">
        <v>4</v>
      </c>
      <c r="O1354" s="1">
        <v>5</v>
      </c>
      <c r="P1354" s="1">
        <v>4</v>
      </c>
      <c r="Q1354" s="1">
        <f t="shared" si="267"/>
        <v>16</v>
      </c>
      <c r="R1354" s="12">
        <f t="shared" si="271"/>
        <v>0.45714285714285713</v>
      </c>
      <c r="S1354" s="1">
        <v>5</v>
      </c>
      <c r="T1354" s="1">
        <v>4</v>
      </c>
      <c r="U1354" s="1">
        <f t="shared" si="268"/>
        <v>9</v>
      </c>
      <c r="V1354" s="12">
        <f t="shared" si="272"/>
        <v>0.6</v>
      </c>
      <c r="W1354" s="1">
        <v>5</v>
      </c>
      <c r="X1354" s="1">
        <v>4</v>
      </c>
      <c r="Y1354" s="1">
        <v>5</v>
      </c>
      <c r="Z1354" s="1">
        <f t="shared" si="269"/>
        <v>14</v>
      </c>
      <c r="AA1354" s="12">
        <f t="shared" si="273"/>
        <v>0.93333333333333335</v>
      </c>
      <c r="AB1354" s="2" t="s">
        <v>194</v>
      </c>
    </row>
    <row r="1355" spans="1:28" x14ac:dyDescent="0.25">
      <c r="A1355" s="1" t="s">
        <v>1684</v>
      </c>
      <c r="B1355" s="1" t="s">
        <v>35</v>
      </c>
      <c r="C1355" s="1" t="s">
        <v>36</v>
      </c>
      <c r="D1355" s="1">
        <v>19</v>
      </c>
      <c r="E1355" s="1">
        <v>1</v>
      </c>
      <c r="F1355" s="1">
        <v>6</v>
      </c>
      <c r="G1355" s="1">
        <v>3</v>
      </c>
      <c r="H1355" s="1">
        <v>3</v>
      </c>
      <c r="I1355" s="1">
        <v>4</v>
      </c>
      <c r="J1355" s="1">
        <v>3</v>
      </c>
      <c r="K1355" s="1">
        <f t="shared" si="266"/>
        <v>13</v>
      </c>
      <c r="L1355" s="12">
        <f t="shared" si="270"/>
        <v>0.37142857142857144</v>
      </c>
      <c r="M1355" s="1">
        <v>3</v>
      </c>
      <c r="N1355" s="1">
        <v>3</v>
      </c>
      <c r="O1355" s="1">
        <v>4</v>
      </c>
      <c r="P1355" s="1">
        <v>4</v>
      </c>
      <c r="Q1355" s="1">
        <f t="shared" si="267"/>
        <v>14</v>
      </c>
      <c r="R1355" s="12">
        <f t="shared" si="271"/>
        <v>0.4</v>
      </c>
      <c r="S1355" s="1">
        <v>3</v>
      </c>
      <c r="T1355" s="1">
        <v>4</v>
      </c>
      <c r="U1355" s="1">
        <f t="shared" si="268"/>
        <v>7</v>
      </c>
      <c r="V1355" s="12">
        <f t="shared" si="272"/>
        <v>0.46666666666666667</v>
      </c>
      <c r="W1355" s="1">
        <v>5</v>
      </c>
      <c r="X1355" s="1">
        <v>4</v>
      </c>
      <c r="Y1355" s="1">
        <v>4</v>
      </c>
      <c r="Z1355" s="1">
        <f t="shared" si="269"/>
        <v>13</v>
      </c>
      <c r="AA1355" s="12">
        <f t="shared" si="273"/>
        <v>0.8666666666666667</v>
      </c>
      <c r="AB1355" s="2" t="s">
        <v>195</v>
      </c>
    </row>
    <row r="1356" spans="1:28" x14ac:dyDescent="0.25">
      <c r="A1356" s="1" t="s">
        <v>1684</v>
      </c>
      <c r="B1356" s="1" t="s">
        <v>35</v>
      </c>
      <c r="C1356" s="1" t="s">
        <v>36</v>
      </c>
      <c r="D1356" s="1">
        <v>19</v>
      </c>
      <c r="E1356" s="1">
        <v>1</v>
      </c>
      <c r="F1356" s="1">
        <v>6</v>
      </c>
      <c r="G1356" s="1">
        <v>4</v>
      </c>
      <c r="H1356" s="1">
        <v>4</v>
      </c>
      <c r="I1356" s="1">
        <v>6</v>
      </c>
      <c r="J1356" s="1">
        <v>4</v>
      </c>
      <c r="K1356" s="1">
        <f t="shared" si="266"/>
        <v>18</v>
      </c>
      <c r="L1356" s="12">
        <f t="shared" si="270"/>
        <v>0.51428571428571423</v>
      </c>
      <c r="M1356" s="1">
        <v>6</v>
      </c>
      <c r="N1356" s="1">
        <v>7</v>
      </c>
      <c r="O1356" s="1">
        <v>6</v>
      </c>
      <c r="P1356" s="1">
        <v>5</v>
      </c>
      <c r="Q1356" s="1">
        <f t="shared" si="267"/>
        <v>24</v>
      </c>
      <c r="R1356" s="12">
        <f t="shared" si="271"/>
        <v>0.68571428571428572</v>
      </c>
      <c r="S1356" s="1">
        <v>6</v>
      </c>
      <c r="T1356" s="1">
        <v>3</v>
      </c>
      <c r="U1356" s="1">
        <f t="shared" si="268"/>
        <v>9</v>
      </c>
      <c r="V1356" s="12">
        <f t="shared" si="272"/>
        <v>0.6</v>
      </c>
      <c r="W1356" s="1">
        <v>4</v>
      </c>
      <c r="X1356" s="1">
        <v>4</v>
      </c>
      <c r="Y1356" s="1">
        <v>4</v>
      </c>
      <c r="Z1356" s="1">
        <f t="shared" si="269"/>
        <v>12</v>
      </c>
      <c r="AA1356" s="12">
        <f t="shared" si="273"/>
        <v>0.8</v>
      </c>
      <c r="AB1356" s="2" t="s">
        <v>196</v>
      </c>
    </row>
    <row r="1357" spans="1:28" x14ac:dyDescent="0.25">
      <c r="A1357" s="1" t="s">
        <v>1684</v>
      </c>
      <c r="B1357" s="1" t="s">
        <v>35</v>
      </c>
      <c r="C1357" s="1" t="s">
        <v>36</v>
      </c>
      <c r="D1357" s="1">
        <v>19</v>
      </c>
      <c r="E1357" s="1">
        <v>1</v>
      </c>
      <c r="F1357" s="1">
        <v>6</v>
      </c>
      <c r="G1357" s="1">
        <v>6</v>
      </c>
      <c r="H1357" s="1">
        <v>6</v>
      </c>
      <c r="I1357" s="1">
        <v>5</v>
      </c>
      <c r="J1357" s="1">
        <v>5</v>
      </c>
      <c r="K1357" s="1">
        <f t="shared" si="266"/>
        <v>22</v>
      </c>
      <c r="L1357" s="12">
        <f t="shared" si="270"/>
        <v>0.62857142857142856</v>
      </c>
      <c r="M1357" s="1">
        <v>5</v>
      </c>
      <c r="N1357" s="1">
        <v>3</v>
      </c>
      <c r="O1357" s="1">
        <v>7</v>
      </c>
      <c r="P1357" s="1">
        <v>5</v>
      </c>
      <c r="Q1357" s="1">
        <f t="shared" si="267"/>
        <v>20</v>
      </c>
      <c r="R1357" s="12">
        <f t="shared" si="271"/>
        <v>0.5714285714285714</v>
      </c>
      <c r="S1357" s="1">
        <v>5</v>
      </c>
      <c r="T1357" s="1">
        <v>5</v>
      </c>
      <c r="U1357" s="1">
        <f t="shared" si="268"/>
        <v>10</v>
      </c>
      <c r="V1357" s="12">
        <f t="shared" si="272"/>
        <v>0.66666666666666663</v>
      </c>
      <c r="W1357" s="1">
        <v>5</v>
      </c>
      <c r="X1357" s="1">
        <v>5</v>
      </c>
      <c r="Y1357" s="1">
        <v>5</v>
      </c>
      <c r="Z1357" s="1">
        <f t="shared" si="269"/>
        <v>15</v>
      </c>
      <c r="AA1357" s="12">
        <f t="shared" si="273"/>
        <v>1</v>
      </c>
      <c r="AB1357" s="2" t="s">
        <v>197</v>
      </c>
    </row>
    <row r="1358" spans="1:28" x14ac:dyDescent="0.25">
      <c r="A1358" s="1" t="s">
        <v>1684</v>
      </c>
      <c r="B1358" s="1" t="s">
        <v>35</v>
      </c>
      <c r="C1358" s="1" t="s">
        <v>36</v>
      </c>
      <c r="D1358" s="1">
        <v>19</v>
      </c>
      <c r="E1358" s="1">
        <v>1</v>
      </c>
      <c r="F1358" s="1">
        <v>6</v>
      </c>
      <c r="G1358" s="1">
        <v>4</v>
      </c>
      <c r="H1358" s="1">
        <v>5</v>
      </c>
      <c r="I1358" s="1">
        <v>4</v>
      </c>
      <c r="J1358" s="1">
        <v>4</v>
      </c>
      <c r="K1358" s="1">
        <f t="shared" si="266"/>
        <v>17</v>
      </c>
      <c r="L1358" s="12">
        <f t="shared" si="270"/>
        <v>0.48571428571428571</v>
      </c>
      <c r="M1358" s="1">
        <v>6</v>
      </c>
      <c r="N1358" s="1">
        <v>5</v>
      </c>
      <c r="O1358" s="1">
        <v>7</v>
      </c>
      <c r="P1358" s="1">
        <v>4</v>
      </c>
      <c r="Q1358" s="1">
        <f t="shared" si="267"/>
        <v>22</v>
      </c>
      <c r="R1358" s="12">
        <f t="shared" si="271"/>
        <v>0.62857142857142856</v>
      </c>
      <c r="S1358" s="1">
        <v>4</v>
      </c>
      <c r="T1358" s="1">
        <v>4</v>
      </c>
      <c r="U1358" s="1">
        <f t="shared" si="268"/>
        <v>8</v>
      </c>
      <c r="V1358" s="12">
        <f t="shared" si="272"/>
        <v>0.53333333333333333</v>
      </c>
      <c r="W1358" s="1">
        <v>4</v>
      </c>
      <c r="X1358" s="1">
        <v>5</v>
      </c>
      <c r="Y1358" s="1">
        <v>5</v>
      </c>
      <c r="Z1358" s="1">
        <f t="shared" si="269"/>
        <v>14</v>
      </c>
      <c r="AA1358" s="12">
        <f t="shared" si="273"/>
        <v>0.93333333333333335</v>
      </c>
      <c r="AB1358" s="2" t="s">
        <v>198</v>
      </c>
    </row>
    <row r="1359" spans="1:28" x14ac:dyDescent="0.25">
      <c r="A1359" s="1" t="s">
        <v>1684</v>
      </c>
      <c r="B1359" s="1" t="s">
        <v>35</v>
      </c>
      <c r="C1359" s="1" t="s">
        <v>36</v>
      </c>
      <c r="D1359" s="1">
        <v>19</v>
      </c>
      <c r="E1359" s="1">
        <v>1</v>
      </c>
      <c r="F1359" s="1">
        <v>6</v>
      </c>
      <c r="G1359" s="1">
        <v>3</v>
      </c>
      <c r="H1359" s="1">
        <v>5</v>
      </c>
      <c r="I1359" s="1">
        <v>3</v>
      </c>
      <c r="J1359" s="1">
        <v>3</v>
      </c>
      <c r="K1359" s="1">
        <f t="shared" si="266"/>
        <v>14</v>
      </c>
      <c r="L1359" s="12">
        <f t="shared" si="270"/>
        <v>0.4</v>
      </c>
      <c r="M1359" s="1">
        <v>4</v>
      </c>
      <c r="N1359" s="1">
        <v>4</v>
      </c>
      <c r="O1359" s="1">
        <v>4</v>
      </c>
      <c r="P1359" s="1">
        <v>4</v>
      </c>
      <c r="Q1359" s="1">
        <f t="shared" si="267"/>
        <v>16</v>
      </c>
      <c r="R1359" s="12">
        <f t="shared" si="271"/>
        <v>0.45714285714285713</v>
      </c>
      <c r="S1359" s="1">
        <v>3</v>
      </c>
      <c r="T1359" s="1">
        <v>4</v>
      </c>
      <c r="U1359" s="1">
        <f t="shared" si="268"/>
        <v>7</v>
      </c>
      <c r="V1359" s="12">
        <f t="shared" si="272"/>
        <v>0.46666666666666667</v>
      </c>
      <c r="W1359" s="1">
        <v>4</v>
      </c>
      <c r="X1359" s="1">
        <v>3</v>
      </c>
      <c r="Y1359" s="1">
        <v>4</v>
      </c>
      <c r="Z1359" s="1">
        <f t="shared" si="269"/>
        <v>11</v>
      </c>
      <c r="AA1359" s="12">
        <f t="shared" si="273"/>
        <v>0.73333333333333328</v>
      </c>
      <c r="AB1359" s="2" t="s">
        <v>199</v>
      </c>
    </row>
    <row r="1360" spans="1:28" x14ac:dyDescent="0.25">
      <c r="A1360" s="1" t="s">
        <v>1684</v>
      </c>
      <c r="B1360" s="1" t="s">
        <v>35</v>
      </c>
      <c r="C1360" s="1" t="s">
        <v>36</v>
      </c>
      <c r="D1360" s="1">
        <v>19</v>
      </c>
      <c r="E1360" s="1">
        <v>1</v>
      </c>
      <c r="F1360" s="1">
        <v>6</v>
      </c>
      <c r="G1360" s="1">
        <v>5</v>
      </c>
      <c r="H1360" s="1">
        <v>6</v>
      </c>
      <c r="I1360" s="1">
        <v>6</v>
      </c>
      <c r="J1360" s="1">
        <v>5</v>
      </c>
      <c r="K1360" s="1">
        <f t="shared" si="266"/>
        <v>22</v>
      </c>
      <c r="L1360" s="12">
        <f t="shared" si="270"/>
        <v>0.62857142857142856</v>
      </c>
      <c r="M1360" s="1">
        <v>6</v>
      </c>
      <c r="N1360" s="1">
        <v>5</v>
      </c>
      <c r="O1360" s="1">
        <v>5</v>
      </c>
      <c r="P1360" s="1">
        <v>4</v>
      </c>
      <c r="Q1360" s="1">
        <f t="shared" si="267"/>
        <v>20</v>
      </c>
      <c r="R1360" s="12">
        <f t="shared" si="271"/>
        <v>0.5714285714285714</v>
      </c>
      <c r="S1360" s="1">
        <v>6</v>
      </c>
      <c r="T1360" s="1">
        <v>4</v>
      </c>
      <c r="U1360" s="1">
        <f t="shared" si="268"/>
        <v>10</v>
      </c>
      <c r="V1360" s="12">
        <f t="shared" si="272"/>
        <v>0.66666666666666663</v>
      </c>
      <c r="W1360" s="1">
        <v>4</v>
      </c>
      <c r="X1360" s="1">
        <v>4</v>
      </c>
      <c r="Y1360" s="1">
        <v>5</v>
      </c>
      <c r="Z1360" s="1">
        <f t="shared" si="269"/>
        <v>13</v>
      </c>
      <c r="AA1360" s="12">
        <f t="shared" si="273"/>
        <v>0.8666666666666667</v>
      </c>
      <c r="AB1360" s="2" t="s">
        <v>200</v>
      </c>
    </row>
    <row r="1361" spans="1:28" x14ac:dyDescent="0.25">
      <c r="A1361" s="1" t="s">
        <v>1684</v>
      </c>
      <c r="B1361" s="1" t="s">
        <v>35</v>
      </c>
      <c r="C1361" s="1" t="s">
        <v>861</v>
      </c>
      <c r="D1361" s="1">
        <v>17</v>
      </c>
      <c r="E1361" s="1">
        <v>1</v>
      </c>
      <c r="F1361" s="1">
        <v>2</v>
      </c>
      <c r="G1361" s="1">
        <v>4</v>
      </c>
      <c r="H1361" s="1">
        <v>3</v>
      </c>
      <c r="I1361" s="1">
        <v>5</v>
      </c>
      <c r="J1361" s="1">
        <v>2</v>
      </c>
      <c r="K1361" s="1">
        <f t="shared" si="266"/>
        <v>14</v>
      </c>
      <c r="L1361" s="12">
        <f t="shared" ref="L1361:L1374" si="274">K1361/40</f>
        <v>0.35</v>
      </c>
      <c r="M1361" s="1">
        <v>4</v>
      </c>
      <c r="N1361" s="1">
        <v>5</v>
      </c>
      <c r="O1361" s="1">
        <v>5</v>
      </c>
      <c r="P1361" s="1">
        <v>5</v>
      </c>
      <c r="Q1361" s="1">
        <f t="shared" si="267"/>
        <v>19</v>
      </c>
      <c r="R1361" s="12">
        <f t="shared" ref="R1361:R1374" si="275">Q1361/40</f>
        <v>0.47499999999999998</v>
      </c>
      <c r="S1361" s="1">
        <v>3</v>
      </c>
      <c r="T1361" s="1">
        <v>5</v>
      </c>
      <c r="U1361" s="1">
        <f t="shared" si="268"/>
        <v>8</v>
      </c>
      <c r="V1361" s="12">
        <f t="shared" ref="V1361:V1374" si="276">U1361/20</f>
        <v>0.4</v>
      </c>
      <c r="Z1361" s="1">
        <f t="shared" si="269"/>
        <v>0</v>
      </c>
      <c r="AB1361" s="2" t="s">
        <v>905</v>
      </c>
    </row>
    <row r="1362" spans="1:28" x14ac:dyDescent="0.25">
      <c r="A1362" s="1" t="s">
        <v>1684</v>
      </c>
      <c r="B1362" s="1" t="s">
        <v>35</v>
      </c>
      <c r="C1362" s="1" t="s">
        <v>861</v>
      </c>
      <c r="D1362" s="1">
        <v>17</v>
      </c>
      <c r="E1362" s="1">
        <v>1</v>
      </c>
      <c r="F1362" s="1">
        <v>2</v>
      </c>
      <c r="G1362" s="1">
        <v>3</v>
      </c>
      <c r="H1362" s="1">
        <v>2</v>
      </c>
      <c r="I1362" s="1">
        <v>3</v>
      </c>
      <c r="J1362" s="1">
        <v>2</v>
      </c>
      <c r="K1362" s="1">
        <f t="shared" si="266"/>
        <v>10</v>
      </c>
      <c r="L1362" s="12">
        <f t="shared" si="274"/>
        <v>0.25</v>
      </c>
      <c r="M1362" s="1">
        <v>3</v>
      </c>
      <c r="N1362" s="1">
        <v>2</v>
      </c>
      <c r="O1362" s="1">
        <v>3</v>
      </c>
      <c r="P1362" s="1">
        <v>3</v>
      </c>
      <c r="Q1362" s="1">
        <f t="shared" si="267"/>
        <v>11</v>
      </c>
      <c r="R1362" s="12">
        <f t="shared" si="275"/>
        <v>0.27500000000000002</v>
      </c>
      <c r="S1362" s="1">
        <v>2</v>
      </c>
      <c r="T1362" s="1">
        <v>6</v>
      </c>
      <c r="U1362" s="1">
        <f t="shared" si="268"/>
        <v>8</v>
      </c>
      <c r="V1362" s="12">
        <f t="shared" si="276"/>
        <v>0.4</v>
      </c>
      <c r="Z1362" s="1">
        <f t="shared" si="269"/>
        <v>0</v>
      </c>
      <c r="AB1362" s="2" t="s">
        <v>906</v>
      </c>
    </row>
    <row r="1363" spans="1:28" x14ac:dyDescent="0.25">
      <c r="A1363" s="1" t="s">
        <v>1684</v>
      </c>
      <c r="B1363" s="1" t="s">
        <v>35</v>
      </c>
      <c r="C1363" s="1" t="s">
        <v>861</v>
      </c>
      <c r="D1363" s="1">
        <v>17</v>
      </c>
      <c r="E1363" s="1">
        <v>1</v>
      </c>
      <c r="F1363" s="1">
        <v>2</v>
      </c>
      <c r="G1363" s="1">
        <v>2</v>
      </c>
      <c r="H1363" s="1">
        <v>3</v>
      </c>
      <c r="I1363" s="1">
        <v>1</v>
      </c>
      <c r="J1363" s="1">
        <v>2</v>
      </c>
      <c r="K1363" s="1">
        <f t="shared" si="266"/>
        <v>8</v>
      </c>
      <c r="L1363" s="12">
        <f t="shared" si="274"/>
        <v>0.2</v>
      </c>
      <c r="M1363" s="1">
        <v>2</v>
      </c>
      <c r="N1363" s="1">
        <v>3</v>
      </c>
      <c r="O1363" s="1">
        <v>2</v>
      </c>
      <c r="P1363" s="1">
        <v>2</v>
      </c>
      <c r="Q1363" s="1">
        <f t="shared" si="267"/>
        <v>9</v>
      </c>
      <c r="R1363" s="12">
        <f t="shared" si="275"/>
        <v>0.22500000000000001</v>
      </c>
      <c r="S1363" s="1">
        <v>2</v>
      </c>
      <c r="T1363" s="1">
        <v>5</v>
      </c>
      <c r="U1363" s="1">
        <f t="shared" si="268"/>
        <v>7</v>
      </c>
      <c r="V1363" s="12">
        <f t="shared" si="276"/>
        <v>0.35</v>
      </c>
      <c r="Z1363" s="1">
        <f t="shared" si="269"/>
        <v>0</v>
      </c>
      <c r="AB1363" s="2" t="s">
        <v>907</v>
      </c>
    </row>
    <row r="1364" spans="1:28" x14ac:dyDescent="0.25">
      <c r="A1364" s="1" t="s">
        <v>1684</v>
      </c>
      <c r="B1364" s="1" t="s">
        <v>35</v>
      </c>
      <c r="C1364" s="1" t="s">
        <v>861</v>
      </c>
      <c r="D1364" s="1">
        <v>17</v>
      </c>
      <c r="E1364" s="1">
        <v>1</v>
      </c>
      <c r="F1364" s="1">
        <v>2</v>
      </c>
      <c r="G1364" s="1">
        <v>3</v>
      </c>
      <c r="H1364" s="1">
        <v>3</v>
      </c>
      <c r="I1364" s="1">
        <v>3</v>
      </c>
      <c r="J1364" s="1">
        <v>3</v>
      </c>
      <c r="K1364" s="1">
        <f t="shared" si="266"/>
        <v>12</v>
      </c>
      <c r="L1364" s="12">
        <f t="shared" si="274"/>
        <v>0.3</v>
      </c>
      <c r="M1364" s="1">
        <v>5</v>
      </c>
      <c r="N1364" s="1">
        <v>5</v>
      </c>
      <c r="O1364" s="1">
        <v>4</v>
      </c>
      <c r="P1364" s="1">
        <v>7</v>
      </c>
      <c r="Q1364" s="1">
        <f t="shared" si="267"/>
        <v>21</v>
      </c>
      <c r="R1364" s="12">
        <f t="shared" si="275"/>
        <v>0.52500000000000002</v>
      </c>
      <c r="S1364" s="1">
        <v>7</v>
      </c>
      <c r="T1364" s="1">
        <v>6</v>
      </c>
      <c r="U1364" s="1">
        <f t="shared" si="268"/>
        <v>13</v>
      </c>
      <c r="V1364" s="12">
        <f t="shared" si="276"/>
        <v>0.65</v>
      </c>
      <c r="Z1364" s="1">
        <f t="shared" si="269"/>
        <v>0</v>
      </c>
      <c r="AB1364" s="2" t="s">
        <v>908</v>
      </c>
    </row>
    <row r="1365" spans="1:28" x14ac:dyDescent="0.25">
      <c r="A1365" s="1" t="s">
        <v>1684</v>
      </c>
      <c r="B1365" s="1" t="s">
        <v>35</v>
      </c>
      <c r="C1365" s="1" t="s">
        <v>861</v>
      </c>
      <c r="D1365" s="1">
        <v>17</v>
      </c>
      <c r="E1365" s="1">
        <v>1</v>
      </c>
      <c r="F1365" s="1">
        <v>2</v>
      </c>
      <c r="G1365" s="1">
        <v>1</v>
      </c>
      <c r="H1365" s="1">
        <v>1</v>
      </c>
      <c r="I1365" s="1">
        <v>2</v>
      </c>
      <c r="J1365" s="1">
        <v>2</v>
      </c>
      <c r="K1365" s="1">
        <f t="shared" si="266"/>
        <v>6</v>
      </c>
      <c r="L1365" s="12">
        <f t="shared" si="274"/>
        <v>0.15</v>
      </c>
      <c r="M1365" s="1">
        <v>4</v>
      </c>
      <c r="N1365" s="1">
        <v>2</v>
      </c>
      <c r="O1365" s="1">
        <v>2</v>
      </c>
      <c r="P1365" s="1">
        <v>3</v>
      </c>
      <c r="Q1365" s="1">
        <f t="shared" si="267"/>
        <v>11</v>
      </c>
      <c r="R1365" s="12">
        <f t="shared" si="275"/>
        <v>0.27500000000000002</v>
      </c>
      <c r="S1365" s="1">
        <v>3</v>
      </c>
      <c r="T1365" s="1">
        <v>6</v>
      </c>
      <c r="U1365" s="1">
        <f t="shared" si="268"/>
        <v>9</v>
      </c>
      <c r="V1365" s="12">
        <f t="shared" si="276"/>
        <v>0.45</v>
      </c>
      <c r="Z1365" s="1">
        <f t="shared" si="269"/>
        <v>0</v>
      </c>
      <c r="AB1365" s="2" t="s">
        <v>909</v>
      </c>
    </row>
    <row r="1366" spans="1:28" x14ac:dyDescent="0.25">
      <c r="A1366" s="1" t="s">
        <v>1684</v>
      </c>
      <c r="B1366" s="1" t="s">
        <v>35</v>
      </c>
      <c r="C1366" s="1" t="s">
        <v>861</v>
      </c>
      <c r="D1366" s="1">
        <v>17</v>
      </c>
      <c r="E1366" s="1">
        <v>1</v>
      </c>
      <c r="F1366" s="1">
        <v>2</v>
      </c>
      <c r="G1366" s="1">
        <v>5</v>
      </c>
      <c r="H1366" s="1">
        <v>5</v>
      </c>
      <c r="I1366" s="1">
        <v>5</v>
      </c>
      <c r="J1366" s="1">
        <v>6</v>
      </c>
      <c r="K1366" s="1">
        <f t="shared" si="266"/>
        <v>21</v>
      </c>
      <c r="L1366" s="12">
        <f t="shared" si="274"/>
        <v>0.52500000000000002</v>
      </c>
      <c r="M1366" s="1">
        <v>6</v>
      </c>
      <c r="N1366" s="1">
        <v>7</v>
      </c>
      <c r="O1366" s="1">
        <v>6</v>
      </c>
      <c r="P1366" s="1">
        <v>5</v>
      </c>
      <c r="Q1366" s="1">
        <f t="shared" si="267"/>
        <v>24</v>
      </c>
      <c r="R1366" s="12">
        <f t="shared" si="275"/>
        <v>0.6</v>
      </c>
      <c r="S1366" s="1">
        <v>5</v>
      </c>
      <c r="T1366" s="1">
        <v>5</v>
      </c>
      <c r="U1366" s="1">
        <f t="shared" si="268"/>
        <v>10</v>
      </c>
      <c r="V1366" s="12">
        <f t="shared" si="276"/>
        <v>0.5</v>
      </c>
      <c r="Z1366" s="1">
        <f t="shared" si="269"/>
        <v>0</v>
      </c>
      <c r="AB1366" s="2" t="s">
        <v>910</v>
      </c>
    </row>
    <row r="1367" spans="1:28" x14ac:dyDescent="0.25">
      <c r="A1367" s="1" t="s">
        <v>1684</v>
      </c>
      <c r="B1367" s="1" t="s">
        <v>35</v>
      </c>
      <c r="C1367" s="1" t="s">
        <v>861</v>
      </c>
      <c r="D1367" s="1">
        <v>17</v>
      </c>
      <c r="E1367" s="1">
        <v>1</v>
      </c>
      <c r="F1367" s="1">
        <v>2</v>
      </c>
      <c r="G1367" s="1">
        <v>1</v>
      </c>
      <c r="H1367" s="1">
        <v>2</v>
      </c>
      <c r="I1367" s="1">
        <v>2</v>
      </c>
      <c r="J1367" s="1">
        <v>1</v>
      </c>
      <c r="K1367" s="1">
        <f t="shared" si="266"/>
        <v>6</v>
      </c>
      <c r="L1367" s="12">
        <f t="shared" si="274"/>
        <v>0.15</v>
      </c>
      <c r="M1367" s="1">
        <v>5</v>
      </c>
      <c r="N1367" s="1">
        <v>5</v>
      </c>
      <c r="O1367" s="1">
        <v>3</v>
      </c>
      <c r="P1367" s="1">
        <v>3</v>
      </c>
      <c r="Q1367" s="1">
        <f t="shared" si="267"/>
        <v>16</v>
      </c>
      <c r="R1367" s="12">
        <f t="shared" si="275"/>
        <v>0.4</v>
      </c>
      <c r="S1367" s="1">
        <v>3</v>
      </c>
      <c r="T1367" s="1">
        <v>3</v>
      </c>
      <c r="U1367" s="1">
        <f t="shared" si="268"/>
        <v>6</v>
      </c>
      <c r="V1367" s="12">
        <f t="shared" si="276"/>
        <v>0.3</v>
      </c>
      <c r="Z1367" s="1">
        <f t="shared" si="269"/>
        <v>0</v>
      </c>
      <c r="AB1367" s="2" t="s">
        <v>911</v>
      </c>
    </row>
    <row r="1368" spans="1:28" x14ac:dyDescent="0.25">
      <c r="A1368" s="1" t="s">
        <v>1684</v>
      </c>
      <c r="B1368" s="1" t="s">
        <v>35</v>
      </c>
      <c r="C1368" s="1" t="s">
        <v>861</v>
      </c>
      <c r="D1368" s="1">
        <v>17</v>
      </c>
      <c r="E1368" s="1">
        <v>1</v>
      </c>
      <c r="F1368" s="1">
        <v>2</v>
      </c>
      <c r="G1368" s="1">
        <v>1</v>
      </c>
      <c r="H1368" s="1">
        <v>2</v>
      </c>
      <c r="I1368" s="1">
        <v>2</v>
      </c>
      <c r="J1368" s="1">
        <v>1</v>
      </c>
      <c r="K1368" s="1">
        <f t="shared" si="266"/>
        <v>6</v>
      </c>
      <c r="L1368" s="12">
        <f t="shared" si="274"/>
        <v>0.15</v>
      </c>
      <c r="M1368" s="1">
        <v>5</v>
      </c>
      <c r="N1368" s="1">
        <v>5</v>
      </c>
      <c r="O1368" s="1">
        <v>3</v>
      </c>
      <c r="P1368" s="1">
        <v>3</v>
      </c>
      <c r="Q1368" s="1">
        <f t="shared" si="267"/>
        <v>16</v>
      </c>
      <c r="R1368" s="12">
        <f t="shared" si="275"/>
        <v>0.4</v>
      </c>
      <c r="S1368" s="1">
        <v>5</v>
      </c>
      <c r="T1368" s="1">
        <v>3</v>
      </c>
      <c r="U1368" s="1">
        <f t="shared" si="268"/>
        <v>8</v>
      </c>
      <c r="V1368" s="12">
        <f t="shared" si="276"/>
        <v>0.4</v>
      </c>
      <c r="Z1368" s="1">
        <f t="shared" si="269"/>
        <v>0</v>
      </c>
      <c r="AB1368" s="2" t="s">
        <v>912</v>
      </c>
    </row>
    <row r="1369" spans="1:28" x14ac:dyDescent="0.25">
      <c r="A1369" s="1" t="s">
        <v>1684</v>
      </c>
      <c r="B1369" s="1" t="s">
        <v>576</v>
      </c>
      <c r="C1369" s="1" t="s">
        <v>861</v>
      </c>
      <c r="D1369" s="1">
        <v>24</v>
      </c>
      <c r="E1369" s="1">
        <v>1</v>
      </c>
      <c r="F1369" s="1">
        <v>3</v>
      </c>
      <c r="G1369" s="1">
        <v>4</v>
      </c>
      <c r="H1369" s="1">
        <v>5</v>
      </c>
      <c r="I1369" s="1">
        <v>3</v>
      </c>
      <c r="J1369" s="1">
        <v>4</v>
      </c>
      <c r="K1369" s="1">
        <f t="shared" si="266"/>
        <v>16</v>
      </c>
      <c r="L1369" s="12">
        <f t="shared" si="274"/>
        <v>0.4</v>
      </c>
      <c r="M1369" s="1">
        <v>5</v>
      </c>
      <c r="N1369" s="1">
        <v>5</v>
      </c>
      <c r="O1369" s="1">
        <v>5</v>
      </c>
      <c r="P1369" s="1">
        <v>4</v>
      </c>
      <c r="Q1369" s="1">
        <f t="shared" si="267"/>
        <v>19</v>
      </c>
      <c r="R1369" s="12">
        <f t="shared" si="275"/>
        <v>0.47499999999999998</v>
      </c>
      <c r="S1369" s="1">
        <v>4</v>
      </c>
      <c r="T1369" s="1">
        <v>3</v>
      </c>
      <c r="U1369" s="1">
        <f t="shared" si="268"/>
        <v>7</v>
      </c>
      <c r="V1369" s="12">
        <f t="shared" si="276"/>
        <v>0.35</v>
      </c>
      <c r="Z1369" s="1">
        <f t="shared" si="269"/>
        <v>0</v>
      </c>
      <c r="AB1369" s="2" t="s">
        <v>1402</v>
      </c>
    </row>
    <row r="1370" spans="1:28" x14ac:dyDescent="0.25">
      <c r="A1370" s="1" t="s">
        <v>1684</v>
      </c>
      <c r="B1370" s="1" t="s">
        <v>576</v>
      </c>
      <c r="C1370" s="1" t="s">
        <v>861</v>
      </c>
      <c r="D1370" s="1">
        <v>24</v>
      </c>
      <c r="E1370" s="1">
        <v>1</v>
      </c>
      <c r="F1370" s="1">
        <v>3</v>
      </c>
      <c r="G1370" s="1">
        <v>5</v>
      </c>
      <c r="H1370" s="1">
        <v>5</v>
      </c>
      <c r="I1370" s="1">
        <v>5</v>
      </c>
      <c r="J1370" s="1">
        <v>6</v>
      </c>
      <c r="K1370" s="1">
        <f t="shared" si="266"/>
        <v>21</v>
      </c>
      <c r="L1370" s="12">
        <f t="shared" si="274"/>
        <v>0.52500000000000002</v>
      </c>
      <c r="M1370" s="1">
        <v>6</v>
      </c>
      <c r="N1370" s="1">
        <v>6</v>
      </c>
      <c r="O1370" s="1">
        <v>6</v>
      </c>
      <c r="P1370" s="1">
        <v>6</v>
      </c>
      <c r="Q1370" s="1">
        <f t="shared" si="267"/>
        <v>24</v>
      </c>
      <c r="R1370" s="12">
        <f t="shared" si="275"/>
        <v>0.6</v>
      </c>
      <c r="S1370" s="1">
        <v>5</v>
      </c>
      <c r="T1370" s="1">
        <v>5</v>
      </c>
      <c r="U1370" s="1">
        <f t="shared" si="268"/>
        <v>10</v>
      </c>
      <c r="V1370" s="12">
        <f t="shared" si="276"/>
        <v>0.5</v>
      </c>
      <c r="Z1370" s="1">
        <f t="shared" si="269"/>
        <v>0</v>
      </c>
      <c r="AB1370" s="2" t="s">
        <v>1403</v>
      </c>
    </row>
    <row r="1371" spans="1:28" x14ac:dyDescent="0.25">
      <c r="A1371" s="1" t="s">
        <v>1684</v>
      </c>
      <c r="B1371" s="1" t="s">
        <v>576</v>
      </c>
      <c r="C1371" s="1" t="s">
        <v>861</v>
      </c>
      <c r="D1371" s="1">
        <v>24</v>
      </c>
      <c r="E1371" s="1">
        <v>1</v>
      </c>
      <c r="F1371" s="1">
        <v>3</v>
      </c>
      <c r="G1371" s="1">
        <v>4</v>
      </c>
      <c r="H1371" s="1">
        <v>5</v>
      </c>
      <c r="I1371" s="1">
        <v>5</v>
      </c>
      <c r="J1371" s="1">
        <v>3</v>
      </c>
      <c r="K1371" s="1">
        <f t="shared" si="266"/>
        <v>17</v>
      </c>
      <c r="L1371" s="12">
        <f t="shared" si="274"/>
        <v>0.42499999999999999</v>
      </c>
      <c r="M1371" s="1">
        <v>4</v>
      </c>
      <c r="N1371" s="1">
        <v>4</v>
      </c>
      <c r="O1371" s="1">
        <v>4</v>
      </c>
      <c r="P1371" s="1">
        <v>4</v>
      </c>
      <c r="Q1371" s="1">
        <f t="shared" si="267"/>
        <v>16</v>
      </c>
      <c r="R1371" s="12">
        <f t="shared" si="275"/>
        <v>0.4</v>
      </c>
      <c r="S1371" s="1">
        <v>4</v>
      </c>
      <c r="T1371" s="1">
        <v>5</v>
      </c>
      <c r="U1371" s="1">
        <f t="shared" si="268"/>
        <v>9</v>
      </c>
      <c r="V1371" s="12">
        <f t="shared" si="276"/>
        <v>0.45</v>
      </c>
      <c r="Z1371" s="1">
        <f t="shared" si="269"/>
        <v>0</v>
      </c>
      <c r="AB1371" s="2" t="s">
        <v>1404</v>
      </c>
    </row>
    <row r="1372" spans="1:28" x14ac:dyDescent="0.25">
      <c r="A1372" s="1" t="s">
        <v>1684</v>
      </c>
      <c r="B1372" s="1" t="s">
        <v>576</v>
      </c>
      <c r="C1372" s="1" t="s">
        <v>861</v>
      </c>
      <c r="D1372" s="1">
        <v>24</v>
      </c>
      <c r="E1372" s="1">
        <v>1</v>
      </c>
      <c r="F1372" s="1">
        <v>3</v>
      </c>
      <c r="G1372" s="1">
        <v>7</v>
      </c>
      <c r="H1372" s="1">
        <v>7</v>
      </c>
      <c r="I1372" s="1">
        <v>7</v>
      </c>
      <c r="J1372" s="1">
        <v>6</v>
      </c>
      <c r="K1372" s="1">
        <f t="shared" si="266"/>
        <v>27</v>
      </c>
      <c r="L1372" s="12">
        <f t="shared" si="274"/>
        <v>0.67500000000000004</v>
      </c>
      <c r="M1372" s="1">
        <v>5</v>
      </c>
      <c r="N1372" s="1">
        <v>5</v>
      </c>
      <c r="O1372" s="1">
        <v>7</v>
      </c>
      <c r="P1372" s="1">
        <v>5</v>
      </c>
      <c r="Q1372" s="1">
        <f t="shared" si="267"/>
        <v>22</v>
      </c>
      <c r="R1372" s="12">
        <f t="shared" si="275"/>
        <v>0.55000000000000004</v>
      </c>
      <c r="S1372" s="1">
        <v>6</v>
      </c>
      <c r="T1372" s="1">
        <v>5</v>
      </c>
      <c r="U1372" s="1">
        <f t="shared" si="268"/>
        <v>11</v>
      </c>
      <c r="V1372" s="12">
        <f t="shared" si="276"/>
        <v>0.55000000000000004</v>
      </c>
      <c r="Z1372" s="1">
        <f t="shared" si="269"/>
        <v>0</v>
      </c>
      <c r="AB1372" s="2" t="s">
        <v>1405</v>
      </c>
    </row>
    <row r="1373" spans="1:28" x14ac:dyDescent="0.25">
      <c r="A1373" s="1" t="s">
        <v>1684</v>
      </c>
      <c r="B1373" s="1" t="s">
        <v>576</v>
      </c>
      <c r="C1373" s="1" t="s">
        <v>861</v>
      </c>
      <c r="D1373" s="1">
        <v>24</v>
      </c>
      <c r="E1373" s="1">
        <v>1</v>
      </c>
      <c r="F1373" s="1">
        <v>3</v>
      </c>
      <c r="G1373" s="1">
        <v>6</v>
      </c>
      <c r="H1373" s="1">
        <v>6</v>
      </c>
      <c r="I1373" s="1">
        <v>4</v>
      </c>
      <c r="J1373" s="1">
        <v>6</v>
      </c>
      <c r="K1373" s="1">
        <f t="shared" si="266"/>
        <v>22</v>
      </c>
      <c r="L1373" s="12">
        <f t="shared" si="274"/>
        <v>0.55000000000000004</v>
      </c>
      <c r="M1373" s="1">
        <v>6</v>
      </c>
      <c r="N1373" s="1">
        <v>4</v>
      </c>
      <c r="O1373" s="1">
        <v>6</v>
      </c>
      <c r="P1373" s="1">
        <v>6</v>
      </c>
      <c r="Q1373" s="1">
        <f t="shared" si="267"/>
        <v>22</v>
      </c>
      <c r="R1373" s="12">
        <f t="shared" si="275"/>
        <v>0.55000000000000004</v>
      </c>
      <c r="S1373" s="1">
        <v>6</v>
      </c>
      <c r="T1373" s="1">
        <v>5</v>
      </c>
      <c r="U1373" s="1">
        <f t="shared" si="268"/>
        <v>11</v>
      </c>
      <c r="V1373" s="12">
        <f t="shared" si="276"/>
        <v>0.55000000000000004</v>
      </c>
      <c r="Z1373" s="1">
        <f t="shared" si="269"/>
        <v>0</v>
      </c>
      <c r="AB1373" s="2" t="s">
        <v>1406</v>
      </c>
    </row>
    <row r="1374" spans="1:28" x14ac:dyDescent="0.25">
      <c r="A1374" s="1" t="s">
        <v>1684</v>
      </c>
      <c r="B1374" s="1" t="s">
        <v>576</v>
      </c>
      <c r="C1374" s="1" t="s">
        <v>861</v>
      </c>
      <c r="D1374" s="1">
        <v>24</v>
      </c>
      <c r="E1374" s="1">
        <v>1</v>
      </c>
      <c r="F1374" s="1">
        <v>3</v>
      </c>
      <c r="G1374" s="1">
        <v>4</v>
      </c>
      <c r="H1374" s="1">
        <v>2</v>
      </c>
      <c r="I1374" s="1">
        <v>3</v>
      </c>
      <c r="J1374" s="1">
        <v>3</v>
      </c>
      <c r="K1374" s="1">
        <f t="shared" si="266"/>
        <v>12</v>
      </c>
      <c r="L1374" s="12">
        <f t="shared" si="274"/>
        <v>0.3</v>
      </c>
      <c r="M1374" s="1">
        <v>6</v>
      </c>
      <c r="N1374" s="1">
        <v>4</v>
      </c>
      <c r="O1374" s="1">
        <v>3</v>
      </c>
      <c r="P1374" s="1">
        <v>5</v>
      </c>
      <c r="Q1374" s="1">
        <f t="shared" si="267"/>
        <v>18</v>
      </c>
      <c r="R1374" s="12">
        <f t="shared" si="275"/>
        <v>0.45</v>
      </c>
      <c r="S1374" s="1">
        <v>4</v>
      </c>
      <c r="T1374" s="1">
        <v>4</v>
      </c>
      <c r="U1374" s="1">
        <f t="shared" si="268"/>
        <v>8</v>
      </c>
      <c r="V1374" s="12">
        <f t="shared" si="276"/>
        <v>0.4</v>
      </c>
      <c r="Z1374" s="1">
        <f t="shared" si="269"/>
        <v>0</v>
      </c>
      <c r="AB1374" s="2" t="s">
        <v>1407</v>
      </c>
    </row>
    <row r="1375" spans="1:28" x14ac:dyDescent="0.25">
      <c r="A1375" s="1" t="s">
        <v>1685</v>
      </c>
      <c r="B1375" s="1" t="s">
        <v>35</v>
      </c>
      <c r="C1375" s="1" t="s">
        <v>36</v>
      </c>
      <c r="D1375" s="1">
        <v>20</v>
      </c>
      <c r="E1375" s="1">
        <v>2</v>
      </c>
      <c r="F1375" s="1">
        <v>1</v>
      </c>
      <c r="G1375" s="1">
        <v>5</v>
      </c>
      <c r="H1375" s="1">
        <v>1</v>
      </c>
      <c r="I1375" s="1">
        <v>2</v>
      </c>
      <c r="J1375" s="1">
        <v>3</v>
      </c>
      <c r="K1375" s="1">
        <f t="shared" si="266"/>
        <v>11</v>
      </c>
      <c r="L1375" s="12">
        <f t="shared" ref="L1375:L1397" si="277">K1375/35</f>
        <v>0.31428571428571428</v>
      </c>
      <c r="M1375" s="1">
        <v>5</v>
      </c>
      <c r="N1375" s="1">
        <v>5</v>
      </c>
      <c r="O1375" s="1">
        <v>3</v>
      </c>
      <c r="P1375" s="1">
        <v>3</v>
      </c>
      <c r="Q1375" s="1">
        <f t="shared" si="267"/>
        <v>16</v>
      </c>
      <c r="R1375" s="12">
        <f t="shared" ref="R1375:R1397" si="278">Q1375/35</f>
        <v>0.45714285714285713</v>
      </c>
      <c r="S1375" s="1">
        <v>2</v>
      </c>
      <c r="T1375" s="1">
        <v>4</v>
      </c>
      <c r="U1375" s="1">
        <f t="shared" si="268"/>
        <v>6</v>
      </c>
      <c r="V1375" s="12">
        <f t="shared" ref="V1375:V1397" si="279">U1375/15</f>
        <v>0.4</v>
      </c>
      <c r="W1375" s="1">
        <v>4</v>
      </c>
      <c r="X1375" s="1">
        <v>3</v>
      </c>
      <c r="Y1375" s="1">
        <v>3</v>
      </c>
      <c r="Z1375" s="1">
        <f t="shared" si="269"/>
        <v>10</v>
      </c>
      <c r="AA1375" s="12">
        <f t="shared" ref="AA1375:AA1397" si="280">Z1375/15</f>
        <v>0.66666666666666663</v>
      </c>
      <c r="AB1375" s="2" t="s">
        <v>254</v>
      </c>
    </row>
    <row r="1376" spans="1:28" x14ac:dyDescent="0.25">
      <c r="A1376" s="1" t="s">
        <v>1685</v>
      </c>
      <c r="B1376" s="1" t="s">
        <v>35</v>
      </c>
      <c r="C1376" s="1" t="s">
        <v>36</v>
      </c>
      <c r="D1376" s="1">
        <v>20</v>
      </c>
      <c r="E1376" s="1">
        <v>2</v>
      </c>
      <c r="F1376" s="1">
        <v>1</v>
      </c>
      <c r="G1376" s="1">
        <v>6</v>
      </c>
      <c r="H1376" s="1">
        <v>6</v>
      </c>
      <c r="I1376" s="1">
        <v>5</v>
      </c>
      <c r="J1376" s="1">
        <v>4</v>
      </c>
      <c r="K1376" s="1">
        <f t="shared" si="266"/>
        <v>21</v>
      </c>
      <c r="L1376" s="12">
        <f t="shared" si="277"/>
        <v>0.6</v>
      </c>
      <c r="M1376" s="1">
        <v>7</v>
      </c>
      <c r="N1376" s="1">
        <v>6</v>
      </c>
      <c r="O1376" s="1">
        <v>7</v>
      </c>
      <c r="P1376" s="1">
        <v>5</v>
      </c>
      <c r="Q1376" s="1">
        <f t="shared" si="267"/>
        <v>25</v>
      </c>
      <c r="R1376" s="12">
        <f t="shared" si="278"/>
        <v>0.7142857142857143</v>
      </c>
      <c r="S1376" s="1">
        <v>4</v>
      </c>
      <c r="T1376" s="1">
        <v>5</v>
      </c>
      <c r="U1376" s="1">
        <f t="shared" si="268"/>
        <v>9</v>
      </c>
      <c r="V1376" s="12">
        <f t="shared" si="279"/>
        <v>0.6</v>
      </c>
      <c r="W1376" s="1">
        <v>4</v>
      </c>
      <c r="X1376" s="1">
        <v>3</v>
      </c>
      <c r="Y1376" s="1">
        <v>2</v>
      </c>
      <c r="Z1376" s="1">
        <f t="shared" si="269"/>
        <v>9</v>
      </c>
      <c r="AA1376" s="12">
        <f t="shared" si="280"/>
        <v>0.6</v>
      </c>
      <c r="AB1376" s="2" t="s">
        <v>255</v>
      </c>
    </row>
    <row r="1377" spans="1:28" x14ac:dyDescent="0.25">
      <c r="A1377" s="1" t="s">
        <v>1685</v>
      </c>
      <c r="B1377" s="1" t="s">
        <v>35</v>
      </c>
      <c r="C1377" s="1" t="s">
        <v>36</v>
      </c>
      <c r="D1377" s="1">
        <v>20</v>
      </c>
      <c r="E1377" s="1">
        <v>2</v>
      </c>
      <c r="F1377" s="1">
        <v>1</v>
      </c>
      <c r="G1377" s="1">
        <v>7</v>
      </c>
      <c r="H1377" s="1">
        <v>5</v>
      </c>
      <c r="I1377" s="1">
        <v>6</v>
      </c>
      <c r="J1377" s="1">
        <v>5</v>
      </c>
      <c r="K1377" s="1">
        <f t="shared" si="266"/>
        <v>23</v>
      </c>
      <c r="L1377" s="12">
        <f t="shared" si="277"/>
        <v>0.65714285714285714</v>
      </c>
      <c r="M1377" s="1">
        <v>5</v>
      </c>
      <c r="N1377" s="1">
        <v>4</v>
      </c>
      <c r="O1377" s="1">
        <v>6</v>
      </c>
      <c r="P1377" s="1">
        <v>5</v>
      </c>
      <c r="Q1377" s="1">
        <f t="shared" si="267"/>
        <v>20</v>
      </c>
      <c r="R1377" s="12">
        <f t="shared" si="278"/>
        <v>0.5714285714285714</v>
      </c>
      <c r="S1377" s="1">
        <v>8</v>
      </c>
      <c r="T1377" s="1">
        <v>5</v>
      </c>
      <c r="U1377" s="1">
        <f t="shared" si="268"/>
        <v>13</v>
      </c>
      <c r="V1377" s="12">
        <f t="shared" si="279"/>
        <v>0.8666666666666667</v>
      </c>
      <c r="W1377" s="1">
        <v>5</v>
      </c>
      <c r="X1377" s="1">
        <v>4</v>
      </c>
      <c r="Y1377" s="1">
        <v>3</v>
      </c>
      <c r="Z1377" s="1">
        <f t="shared" si="269"/>
        <v>12</v>
      </c>
      <c r="AA1377" s="12">
        <f t="shared" si="280"/>
        <v>0.8</v>
      </c>
      <c r="AB1377" s="2" t="s">
        <v>256</v>
      </c>
    </row>
    <row r="1378" spans="1:28" x14ac:dyDescent="0.25">
      <c r="A1378" s="1" t="s">
        <v>1685</v>
      </c>
      <c r="B1378" s="1" t="s">
        <v>35</v>
      </c>
      <c r="C1378" s="1" t="s">
        <v>36</v>
      </c>
      <c r="D1378" s="1">
        <v>20</v>
      </c>
      <c r="E1378" s="1">
        <v>2</v>
      </c>
      <c r="F1378" s="1">
        <v>1</v>
      </c>
      <c r="G1378" s="1">
        <v>6</v>
      </c>
      <c r="H1378" s="1">
        <v>5</v>
      </c>
      <c r="I1378" s="1">
        <v>4</v>
      </c>
      <c r="J1378" s="1">
        <v>3</v>
      </c>
      <c r="K1378" s="1">
        <f t="shared" si="266"/>
        <v>18</v>
      </c>
      <c r="L1378" s="12">
        <f t="shared" si="277"/>
        <v>0.51428571428571423</v>
      </c>
      <c r="M1378" s="1">
        <v>3</v>
      </c>
      <c r="N1378" s="1">
        <v>4</v>
      </c>
      <c r="O1378" s="1">
        <v>5</v>
      </c>
      <c r="P1378" s="1">
        <v>2</v>
      </c>
      <c r="Q1378" s="1">
        <f t="shared" si="267"/>
        <v>14</v>
      </c>
      <c r="R1378" s="12">
        <f t="shared" si="278"/>
        <v>0.4</v>
      </c>
      <c r="S1378" s="1">
        <v>3</v>
      </c>
      <c r="T1378" s="1">
        <v>2</v>
      </c>
      <c r="U1378" s="1">
        <f t="shared" si="268"/>
        <v>5</v>
      </c>
      <c r="V1378" s="12">
        <f t="shared" si="279"/>
        <v>0.33333333333333331</v>
      </c>
      <c r="W1378" s="1">
        <v>3</v>
      </c>
      <c r="X1378" s="1">
        <v>4</v>
      </c>
      <c r="Y1378" s="1">
        <v>5</v>
      </c>
      <c r="Z1378" s="1">
        <f t="shared" si="269"/>
        <v>12</v>
      </c>
      <c r="AA1378" s="12">
        <f t="shared" si="280"/>
        <v>0.8</v>
      </c>
      <c r="AB1378" s="2" t="s">
        <v>257</v>
      </c>
    </row>
    <row r="1379" spans="1:28" x14ac:dyDescent="0.25">
      <c r="A1379" s="1" t="s">
        <v>1685</v>
      </c>
      <c r="B1379" s="1" t="s">
        <v>35</v>
      </c>
      <c r="C1379" s="1" t="s">
        <v>36</v>
      </c>
      <c r="D1379" s="1">
        <v>20</v>
      </c>
      <c r="E1379" s="1">
        <v>2</v>
      </c>
      <c r="F1379" s="1">
        <v>1</v>
      </c>
      <c r="G1379" s="1">
        <v>7</v>
      </c>
      <c r="H1379" s="1">
        <v>6</v>
      </c>
      <c r="I1379" s="1">
        <v>6</v>
      </c>
      <c r="J1379" s="1">
        <v>5</v>
      </c>
      <c r="K1379" s="1">
        <f t="shared" si="266"/>
        <v>24</v>
      </c>
      <c r="L1379" s="12">
        <f t="shared" si="277"/>
        <v>0.68571428571428572</v>
      </c>
      <c r="M1379" s="1">
        <v>8</v>
      </c>
      <c r="N1379" s="1">
        <v>7</v>
      </c>
      <c r="O1379" s="1">
        <v>7</v>
      </c>
      <c r="P1379" s="1">
        <v>5</v>
      </c>
      <c r="Q1379" s="1">
        <f t="shared" si="267"/>
        <v>27</v>
      </c>
      <c r="R1379" s="12">
        <f t="shared" si="278"/>
        <v>0.77142857142857146</v>
      </c>
      <c r="S1379" s="1">
        <v>7</v>
      </c>
      <c r="T1379" s="1">
        <v>5</v>
      </c>
      <c r="U1379" s="1">
        <f t="shared" si="268"/>
        <v>12</v>
      </c>
      <c r="V1379" s="12">
        <f t="shared" si="279"/>
        <v>0.8</v>
      </c>
      <c r="W1379" s="1">
        <v>5</v>
      </c>
      <c r="X1379" s="1">
        <v>5</v>
      </c>
      <c r="Y1379" s="1">
        <v>4</v>
      </c>
      <c r="Z1379" s="1">
        <f t="shared" si="269"/>
        <v>14</v>
      </c>
      <c r="AA1379" s="12">
        <f t="shared" si="280"/>
        <v>0.93333333333333335</v>
      </c>
      <c r="AB1379" s="2" t="s">
        <v>258</v>
      </c>
    </row>
    <row r="1380" spans="1:28" x14ac:dyDescent="0.25">
      <c r="A1380" s="1" t="s">
        <v>1685</v>
      </c>
      <c r="B1380" s="1" t="s">
        <v>35</v>
      </c>
      <c r="C1380" s="1" t="s">
        <v>36</v>
      </c>
      <c r="D1380" s="1">
        <v>20</v>
      </c>
      <c r="E1380" s="1">
        <v>2</v>
      </c>
      <c r="F1380" s="1">
        <v>1</v>
      </c>
      <c r="G1380" s="1">
        <v>8</v>
      </c>
      <c r="H1380" s="1">
        <v>7</v>
      </c>
      <c r="I1380" s="1">
        <v>7</v>
      </c>
      <c r="J1380" s="1">
        <v>5</v>
      </c>
      <c r="K1380" s="1">
        <f t="shared" si="266"/>
        <v>27</v>
      </c>
      <c r="L1380" s="12">
        <f t="shared" si="277"/>
        <v>0.77142857142857146</v>
      </c>
      <c r="M1380" s="1">
        <v>7</v>
      </c>
      <c r="N1380" s="1">
        <v>8</v>
      </c>
      <c r="O1380" s="1">
        <v>7</v>
      </c>
      <c r="P1380" s="1">
        <v>5</v>
      </c>
      <c r="Q1380" s="1">
        <f t="shared" si="267"/>
        <v>27</v>
      </c>
      <c r="R1380" s="12">
        <f t="shared" si="278"/>
        <v>0.77142857142857146</v>
      </c>
      <c r="S1380" s="1">
        <v>8</v>
      </c>
      <c r="T1380" s="1">
        <v>5</v>
      </c>
      <c r="U1380" s="1">
        <f t="shared" si="268"/>
        <v>13</v>
      </c>
      <c r="V1380" s="12">
        <f t="shared" si="279"/>
        <v>0.8666666666666667</v>
      </c>
      <c r="W1380" s="1">
        <v>5</v>
      </c>
      <c r="X1380" s="1">
        <v>5</v>
      </c>
      <c r="Y1380" s="1">
        <v>5</v>
      </c>
      <c r="Z1380" s="1">
        <f t="shared" si="269"/>
        <v>15</v>
      </c>
      <c r="AA1380" s="12">
        <f t="shared" si="280"/>
        <v>1</v>
      </c>
      <c r="AB1380" s="2" t="s">
        <v>259</v>
      </c>
    </row>
    <row r="1381" spans="1:28" x14ac:dyDescent="0.25">
      <c r="A1381" s="1" t="s">
        <v>1685</v>
      </c>
      <c r="B1381" s="1" t="s">
        <v>35</v>
      </c>
      <c r="C1381" s="1" t="s">
        <v>36</v>
      </c>
      <c r="D1381" s="1">
        <v>20</v>
      </c>
      <c r="E1381" s="1">
        <v>2</v>
      </c>
      <c r="F1381" s="1">
        <v>1</v>
      </c>
      <c r="G1381" s="1">
        <v>7</v>
      </c>
      <c r="H1381" s="1">
        <v>8</v>
      </c>
      <c r="I1381" s="1">
        <v>6</v>
      </c>
      <c r="J1381" s="1">
        <v>5</v>
      </c>
      <c r="K1381" s="1">
        <f t="shared" si="266"/>
        <v>26</v>
      </c>
      <c r="L1381" s="12">
        <f t="shared" si="277"/>
        <v>0.74285714285714288</v>
      </c>
      <c r="M1381" s="1">
        <v>6</v>
      </c>
      <c r="N1381" s="1">
        <v>7</v>
      </c>
      <c r="O1381" s="1">
        <v>5</v>
      </c>
      <c r="P1381" s="1">
        <v>5</v>
      </c>
      <c r="Q1381" s="1">
        <f t="shared" si="267"/>
        <v>23</v>
      </c>
      <c r="R1381" s="12">
        <f t="shared" si="278"/>
        <v>0.65714285714285714</v>
      </c>
      <c r="S1381" s="1">
        <v>7</v>
      </c>
      <c r="T1381" s="1">
        <v>5</v>
      </c>
      <c r="U1381" s="1">
        <f t="shared" si="268"/>
        <v>12</v>
      </c>
      <c r="V1381" s="12">
        <f t="shared" si="279"/>
        <v>0.8</v>
      </c>
      <c r="W1381" s="1">
        <v>5</v>
      </c>
      <c r="X1381" s="1">
        <v>3</v>
      </c>
      <c r="Y1381" s="1">
        <v>4</v>
      </c>
      <c r="Z1381" s="1">
        <f t="shared" si="269"/>
        <v>12</v>
      </c>
      <c r="AA1381" s="12">
        <f t="shared" si="280"/>
        <v>0.8</v>
      </c>
      <c r="AB1381" s="2" t="s">
        <v>260</v>
      </c>
    </row>
    <row r="1382" spans="1:28" x14ac:dyDescent="0.25">
      <c r="A1382" s="1" t="s">
        <v>1685</v>
      </c>
      <c r="B1382" s="1" t="s">
        <v>35</v>
      </c>
      <c r="C1382" s="1" t="s">
        <v>36</v>
      </c>
      <c r="D1382" s="1">
        <v>20</v>
      </c>
      <c r="E1382" s="1">
        <v>2</v>
      </c>
      <c r="F1382" s="1">
        <v>1</v>
      </c>
      <c r="G1382" s="1">
        <v>7</v>
      </c>
      <c r="H1382" s="1">
        <v>6</v>
      </c>
      <c r="I1382" s="1">
        <v>6</v>
      </c>
      <c r="J1382" s="1">
        <v>4</v>
      </c>
      <c r="K1382" s="1">
        <f t="shared" si="266"/>
        <v>23</v>
      </c>
      <c r="L1382" s="12">
        <f t="shared" si="277"/>
        <v>0.65714285714285714</v>
      </c>
      <c r="M1382" s="1">
        <v>7</v>
      </c>
      <c r="N1382" s="1">
        <v>7</v>
      </c>
      <c r="O1382" s="1">
        <v>5</v>
      </c>
      <c r="P1382" s="1">
        <v>5</v>
      </c>
      <c r="Q1382" s="1">
        <f t="shared" si="267"/>
        <v>24</v>
      </c>
      <c r="R1382" s="12">
        <f t="shared" si="278"/>
        <v>0.68571428571428572</v>
      </c>
      <c r="S1382" s="1">
        <v>6</v>
      </c>
      <c r="T1382" s="1">
        <v>4</v>
      </c>
      <c r="U1382" s="1">
        <f t="shared" si="268"/>
        <v>10</v>
      </c>
      <c r="V1382" s="12">
        <f t="shared" si="279"/>
        <v>0.66666666666666663</v>
      </c>
      <c r="W1382" s="1">
        <v>5</v>
      </c>
      <c r="X1382" s="1">
        <v>4</v>
      </c>
      <c r="Y1382" s="1">
        <v>3</v>
      </c>
      <c r="Z1382" s="1">
        <f t="shared" si="269"/>
        <v>12</v>
      </c>
      <c r="AA1382" s="12">
        <f t="shared" si="280"/>
        <v>0.8</v>
      </c>
      <c r="AB1382" s="2" t="s">
        <v>261</v>
      </c>
    </row>
    <row r="1383" spans="1:28" x14ac:dyDescent="0.25">
      <c r="A1383" s="1" t="s">
        <v>1685</v>
      </c>
      <c r="B1383" s="1" t="s">
        <v>35</v>
      </c>
      <c r="C1383" s="1" t="s">
        <v>36</v>
      </c>
      <c r="D1383" s="1">
        <v>5</v>
      </c>
      <c r="E1383" s="1">
        <v>3</v>
      </c>
      <c r="F1383" s="1">
        <v>2</v>
      </c>
      <c r="G1383" s="1">
        <v>7</v>
      </c>
      <c r="H1383" s="1">
        <v>6</v>
      </c>
      <c r="I1383" s="1">
        <v>5</v>
      </c>
      <c r="J1383" s="1">
        <v>4</v>
      </c>
      <c r="K1383" s="1">
        <f t="shared" si="266"/>
        <v>22</v>
      </c>
      <c r="L1383" s="12">
        <f t="shared" si="277"/>
        <v>0.62857142857142856</v>
      </c>
      <c r="M1383" s="1">
        <v>6</v>
      </c>
      <c r="N1383" s="1">
        <v>5</v>
      </c>
      <c r="O1383" s="1">
        <v>6</v>
      </c>
      <c r="P1383" s="1">
        <v>4</v>
      </c>
      <c r="Q1383" s="1">
        <f t="shared" si="267"/>
        <v>21</v>
      </c>
      <c r="R1383" s="12">
        <f t="shared" si="278"/>
        <v>0.6</v>
      </c>
      <c r="S1383" s="1">
        <v>6</v>
      </c>
      <c r="T1383" s="1">
        <v>3</v>
      </c>
      <c r="U1383" s="1">
        <f t="shared" si="268"/>
        <v>9</v>
      </c>
      <c r="V1383" s="12">
        <f t="shared" si="279"/>
        <v>0.6</v>
      </c>
      <c r="W1383" s="1">
        <v>4</v>
      </c>
      <c r="X1383" s="1">
        <v>2</v>
      </c>
      <c r="Y1383" s="1">
        <v>3</v>
      </c>
      <c r="Z1383" s="1">
        <f t="shared" si="269"/>
        <v>9</v>
      </c>
      <c r="AA1383" s="12">
        <f t="shared" si="280"/>
        <v>0.6</v>
      </c>
      <c r="AB1383" s="2" t="s">
        <v>459</v>
      </c>
    </row>
    <row r="1384" spans="1:28" x14ac:dyDescent="0.25">
      <c r="A1384" s="1" t="s">
        <v>1685</v>
      </c>
      <c r="B1384" s="1" t="s">
        <v>35</v>
      </c>
      <c r="C1384" s="1" t="s">
        <v>36</v>
      </c>
      <c r="D1384" s="1">
        <v>5</v>
      </c>
      <c r="E1384" s="1">
        <v>3</v>
      </c>
      <c r="F1384" s="1">
        <v>2</v>
      </c>
      <c r="G1384" s="1">
        <v>7</v>
      </c>
      <c r="H1384" s="1">
        <v>8</v>
      </c>
      <c r="I1384" s="1">
        <v>6</v>
      </c>
      <c r="J1384" s="1">
        <v>5</v>
      </c>
      <c r="K1384" s="1">
        <f t="shared" si="266"/>
        <v>26</v>
      </c>
      <c r="L1384" s="12">
        <f t="shared" si="277"/>
        <v>0.74285714285714288</v>
      </c>
      <c r="M1384" s="1">
        <v>7</v>
      </c>
      <c r="N1384" s="1">
        <v>6</v>
      </c>
      <c r="O1384" s="1">
        <v>6</v>
      </c>
      <c r="P1384" s="1">
        <v>4</v>
      </c>
      <c r="Q1384" s="1">
        <f t="shared" si="267"/>
        <v>23</v>
      </c>
      <c r="R1384" s="12">
        <f t="shared" si="278"/>
        <v>0.65714285714285714</v>
      </c>
      <c r="S1384" s="1">
        <v>7</v>
      </c>
      <c r="T1384" s="1">
        <v>2</v>
      </c>
      <c r="U1384" s="1">
        <f t="shared" si="268"/>
        <v>9</v>
      </c>
      <c r="V1384" s="12">
        <f t="shared" si="279"/>
        <v>0.6</v>
      </c>
      <c r="W1384" s="1">
        <v>5</v>
      </c>
      <c r="X1384" s="1">
        <v>3</v>
      </c>
      <c r="Y1384" s="1">
        <v>3</v>
      </c>
      <c r="Z1384" s="1">
        <f t="shared" si="269"/>
        <v>11</v>
      </c>
      <c r="AA1384" s="12">
        <f t="shared" si="280"/>
        <v>0.73333333333333328</v>
      </c>
      <c r="AB1384" s="2" t="s">
        <v>460</v>
      </c>
    </row>
    <row r="1385" spans="1:28" x14ac:dyDescent="0.25">
      <c r="A1385" s="1" t="s">
        <v>1685</v>
      </c>
      <c r="B1385" s="1" t="s">
        <v>35</v>
      </c>
      <c r="C1385" s="1" t="s">
        <v>36</v>
      </c>
      <c r="D1385" s="1">
        <v>5</v>
      </c>
      <c r="E1385" s="1">
        <v>3</v>
      </c>
      <c r="F1385" s="1">
        <v>2</v>
      </c>
      <c r="G1385" s="1">
        <v>8</v>
      </c>
      <c r="H1385" s="1">
        <v>8</v>
      </c>
      <c r="I1385" s="1">
        <v>7</v>
      </c>
      <c r="J1385" s="1">
        <v>4</v>
      </c>
      <c r="K1385" s="1">
        <f t="shared" si="266"/>
        <v>27</v>
      </c>
      <c r="L1385" s="12">
        <f t="shared" si="277"/>
        <v>0.77142857142857146</v>
      </c>
      <c r="M1385" s="1">
        <v>8</v>
      </c>
      <c r="N1385" s="1">
        <v>6</v>
      </c>
      <c r="O1385" s="1">
        <v>7</v>
      </c>
      <c r="P1385" s="1">
        <v>5</v>
      </c>
      <c r="Q1385" s="1">
        <f t="shared" si="267"/>
        <v>26</v>
      </c>
      <c r="R1385" s="12">
        <f t="shared" si="278"/>
        <v>0.74285714285714288</v>
      </c>
      <c r="S1385" s="1">
        <v>7</v>
      </c>
      <c r="T1385" s="1">
        <v>4</v>
      </c>
      <c r="U1385" s="1">
        <f t="shared" si="268"/>
        <v>11</v>
      </c>
      <c r="V1385" s="12">
        <f t="shared" si="279"/>
        <v>0.73333333333333328</v>
      </c>
      <c r="W1385" s="1">
        <v>4</v>
      </c>
      <c r="X1385" s="1">
        <v>3</v>
      </c>
      <c r="Y1385" s="1">
        <v>3</v>
      </c>
      <c r="Z1385" s="1">
        <f t="shared" si="269"/>
        <v>10</v>
      </c>
      <c r="AA1385" s="12">
        <f t="shared" si="280"/>
        <v>0.66666666666666663</v>
      </c>
      <c r="AB1385" s="2" t="s">
        <v>461</v>
      </c>
    </row>
    <row r="1386" spans="1:28" x14ac:dyDescent="0.25">
      <c r="A1386" s="1" t="s">
        <v>1685</v>
      </c>
      <c r="B1386" s="1" t="s">
        <v>35</v>
      </c>
      <c r="C1386" s="1" t="s">
        <v>36</v>
      </c>
      <c r="D1386" s="1">
        <v>5</v>
      </c>
      <c r="E1386" s="1">
        <v>3</v>
      </c>
      <c r="F1386" s="1">
        <v>2</v>
      </c>
      <c r="G1386" s="1">
        <v>8</v>
      </c>
      <c r="H1386" s="1">
        <v>6</v>
      </c>
      <c r="I1386" s="1">
        <v>6</v>
      </c>
      <c r="J1386" s="1">
        <v>3</v>
      </c>
      <c r="K1386" s="1">
        <f t="shared" si="266"/>
        <v>23</v>
      </c>
      <c r="L1386" s="12">
        <f t="shared" si="277"/>
        <v>0.65714285714285714</v>
      </c>
      <c r="M1386" s="1">
        <v>6</v>
      </c>
      <c r="N1386" s="1">
        <v>5</v>
      </c>
      <c r="O1386" s="1">
        <v>6</v>
      </c>
      <c r="P1386" s="1">
        <v>5</v>
      </c>
      <c r="Q1386" s="1">
        <f t="shared" si="267"/>
        <v>22</v>
      </c>
      <c r="R1386" s="12">
        <f t="shared" si="278"/>
        <v>0.62857142857142856</v>
      </c>
      <c r="S1386" s="1">
        <v>7</v>
      </c>
      <c r="T1386" s="1">
        <v>3</v>
      </c>
      <c r="U1386" s="1">
        <f t="shared" si="268"/>
        <v>10</v>
      </c>
      <c r="V1386" s="12">
        <f t="shared" si="279"/>
        <v>0.66666666666666663</v>
      </c>
      <c r="W1386" s="1">
        <v>3</v>
      </c>
      <c r="X1386" s="1">
        <v>2</v>
      </c>
      <c r="Y1386" s="1">
        <v>2</v>
      </c>
      <c r="Z1386" s="1">
        <f t="shared" si="269"/>
        <v>7</v>
      </c>
      <c r="AA1386" s="12">
        <f t="shared" si="280"/>
        <v>0.46666666666666667</v>
      </c>
      <c r="AB1386" s="2" t="s">
        <v>462</v>
      </c>
    </row>
    <row r="1387" spans="1:28" x14ac:dyDescent="0.25">
      <c r="A1387" s="1" t="s">
        <v>1685</v>
      </c>
      <c r="B1387" s="1" t="s">
        <v>35</v>
      </c>
      <c r="C1387" s="1" t="s">
        <v>36</v>
      </c>
      <c r="D1387" s="1">
        <v>5</v>
      </c>
      <c r="E1387" s="1">
        <v>3</v>
      </c>
      <c r="F1387" s="1">
        <v>2</v>
      </c>
      <c r="G1387" s="1">
        <v>8</v>
      </c>
      <c r="H1387" s="1">
        <v>7</v>
      </c>
      <c r="I1387" s="1">
        <v>6</v>
      </c>
      <c r="J1387" s="1">
        <v>5</v>
      </c>
      <c r="K1387" s="1">
        <f t="shared" si="266"/>
        <v>26</v>
      </c>
      <c r="L1387" s="12">
        <f t="shared" si="277"/>
        <v>0.74285714285714288</v>
      </c>
      <c r="M1387" s="1">
        <v>6</v>
      </c>
      <c r="N1387" s="1">
        <v>6</v>
      </c>
      <c r="O1387" s="1">
        <v>6</v>
      </c>
      <c r="P1387" s="1">
        <v>4</v>
      </c>
      <c r="Q1387" s="1">
        <f t="shared" si="267"/>
        <v>22</v>
      </c>
      <c r="R1387" s="12">
        <f t="shared" si="278"/>
        <v>0.62857142857142856</v>
      </c>
      <c r="S1387" s="1">
        <v>7</v>
      </c>
      <c r="T1387" s="1">
        <v>4</v>
      </c>
      <c r="U1387" s="1">
        <f t="shared" si="268"/>
        <v>11</v>
      </c>
      <c r="V1387" s="12">
        <f t="shared" si="279"/>
        <v>0.73333333333333328</v>
      </c>
      <c r="W1387" s="1">
        <v>4</v>
      </c>
      <c r="X1387" s="1">
        <v>3</v>
      </c>
      <c r="Y1387" s="1">
        <v>3</v>
      </c>
      <c r="Z1387" s="1">
        <f t="shared" si="269"/>
        <v>10</v>
      </c>
      <c r="AA1387" s="12">
        <f t="shared" si="280"/>
        <v>0.66666666666666663</v>
      </c>
      <c r="AB1387" s="2" t="s">
        <v>463</v>
      </c>
    </row>
    <row r="1388" spans="1:28" x14ac:dyDescent="0.25">
      <c r="A1388" s="1" t="s">
        <v>1685</v>
      </c>
      <c r="B1388" s="1" t="s">
        <v>35</v>
      </c>
      <c r="C1388" s="1" t="s">
        <v>36</v>
      </c>
      <c r="D1388" s="1">
        <v>5</v>
      </c>
      <c r="E1388" s="1">
        <v>3</v>
      </c>
      <c r="F1388" s="1">
        <v>2</v>
      </c>
      <c r="G1388" s="1">
        <v>7</v>
      </c>
      <c r="H1388" s="1">
        <v>6</v>
      </c>
      <c r="I1388" s="1">
        <v>6</v>
      </c>
      <c r="J1388" s="1">
        <v>2</v>
      </c>
      <c r="K1388" s="1">
        <f t="shared" si="266"/>
        <v>21</v>
      </c>
      <c r="L1388" s="12">
        <f t="shared" si="277"/>
        <v>0.6</v>
      </c>
      <c r="M1388" s="1">
        <v>6</v>
      </c>
      <c r="N1388" s="1">
        <v>5</v>
      </c>
      <c r="O1388" s="1">
        <v>5</v>
      </c>
      <c r="P1388" s="1">
        <v>4</v>
      </c>
      <c r="Q1388" s="1">
        <f t="shared" si="267"/>
        <v>20</v>
      </c>
      <c r="R1388" s="12">
        <f t="shared" si="278"/>
        <v>0.5714285714285714</v>
      </c>
      <c r="S1388" s="1">
        <v>6</v>
      </c>
      <c r="T1388" s="1">
        <v>3</v>
      </c>
      <c r="U1388" s="1">
        <f t="shared" si="268"/>
        <v>9</v>
      </c>
      <c r="V1388" s="12">
        <f t="shared" si="279"/>
        <v>0.6</v>
      </c>
      <c r="W1388" s="1">
        <v>4</v>
      </c>
      <c r="X1388" s="1">
        <v>4</v>
      </c>
      <c r="Y1388" s="1">
        <v>2</v>
      </c>
      <c r="Z1388" s="1">
        <f t="shared" si="269"/>
        <v>10</v>
      </c>
      <c r="AA1388" s="12">
        <f t="shared" si="280"/>
        <v>0.66666666666666663</v>
      </c>
      <c r="AB1388" s="2" t="s">
        <v>464</v>
      </c>
    </row>
    <row r="1389" spans="1:28" x14ac:dyDescent="0.25">
      <c r="A1389" s="1" t="s">
        <v>1685</v>
      </c>
      <c r="B1389" s="1" t="s">
        <v>35</v>
      </c>
      <c r="C1389" s="1" t="s">
        <v>36</v>
      </c>
      <c r="D1389" s="1">
        <v>5</v>
      </c>
      <c r="E1389" s="1">
        <v>3</v>
      </c>
      <c r="F1389" s="1">
        <v>2</v>
      </c>
      <c r="G1389" s="1">
        <v>7</v>
      </c>
      <c r="H1389" s="1">
        <v>4</v>
      </c>
      <c r="I1389" s="1">
        <v>5</v>
      </c>
      <c r="J1389" s="1">
        <v>4</v>
      </c>
      <c r="K1389" s="1">
        <f t="shared" si="266"/>
        <v>20</v>
      </c>
      <c r="L1389" s="12">
        <f t="shared" si="277"/>
        <v>0.5714285714285714</v>
      </c>
      <c r="M1389" s="1">
        <v>7</v>
      </c>
      <c r="N1389" s="1">
        <v>5</v>
      </c>
      <c r="O1389" s="1">
        <v>4</v>
      </c>
      <c r="P1389" s="1">
        <v>4</v>
      </c>
      <c r="Q1389" s="1">
        <f t="shared" si="267"/>
        <v>20</v>
      </c>
      <c r="R1389" s="12">
        <f t="shared" si="278"/>
        <v>0.5714285714285714</v>
      </c>
      <c r="S1389" s="1">
        <v>7</v>
      </c>
      <c r="T1389" s="1">
        <v>4</v>
      </c>
      <c r="U1389" s="1">
        <f t="shared" si="268"/>
        <v>11</v>
      </c>
      <c r="V1389" s="12">
        <f t="shared" si="279"/>
        <v>0.73333333333333328</v>
      </c>
      <c r="W1389" s="1">
        <v>3</v>
      </c>
      <c r="X1389" s="1">
        <v>2</v>
      </c>
      <c r="Y1389" s="1">
        <v>2</v>
      </c>
      <c r="Z1389" s="1">
        <f t="shared" si="269"/>
        <v>7</v>
      </c>
      <c r="AA1389" s="12">
        <f t="shared" si="280"/>
        <v>0.46666666666666667</v>
      </c>
      <c r="AB1389" s="2" t="s">
        <v>465</v>
      </c>
    </row>
    <row r="1390" spans="1:28" x14ac:dyDescent="0.25">
      <c r="A1390" s="1" t="s">
        <v>1685</v>
      </c>
      <c r="B1390" s="1" t="s">
        <v>35</v>
      </c>
      <c r="C1390" s="1" t="s">
        <v>36</v>
      </c>
      <c r="D1390" s="1">
        <v>5</v>
      </c>
      <c r="E1390" s="1">
        <v>3</v>
      </c>
      <c r="F1390" s="1">
        <v>2</v>
      </c>
      <c r="G1390" s="1">
        <v>8</v>
      </c>
      <c r="H1390" s="1">
        <v>8</v>
      </c>
      <c r="I1390" s="1">
        <v>7</v>
      </c>
      <c r="J1390" s="1">
        <v>5</v>
      </c>
      <c r="K1390" s="1">
        <f t="shared" si="266"/>
        <v>28</v>
      </c>
      <c r="L1390" s="12">
        <f t="shared" si="277"/>
        <v>0.8</v>
      </c>
      <c r="M1390" s="1">
        <v>8</v>
      </c>
      <c r="N1390" s="1">
        <v>6</v>
      </c>
      <c r="O1390" s="1">
        <v>7</v>
      </c>
      <c r="P1390" s="1">
        <v>5</v>
      </c>
      <c r="Q1390" s="1">
        <f t="shared" si="267"/>
        <v>26</v>
      </c>
      <c r="R1390" s="12">
        <f t="shared" si="278"/>
        <v>0.74285714285714288</v>
      </c>
      <c r="S1390" s="1">
        <v>8</v>
      </c>
      <c r="T1390" s="1">
        <v>5</v>
      </c>
      <c r="U1390" s="1">
        <f t="shared" si="268"/>
        <v>13</v>
      </c>
      <c r="V1390" s="12">
        <f t="shared" si="279"/>
        <v>0.8666666666666667</v>
      </c>
      <c r="W1390" s="1">
        <v>5</v>
      </c>
      <c r="X1390" s="1">
        <v>4</v>
      </c>
      <c r="Y1390" s="1">
        <v>3</v>
      </c>
      <c r="Z1390" s="1">
        <f t="shared" si="269"/>
        <v>12</v>
      </c>
      <c r="AA1390" s="12">
        <f t="shared" si="280"/>
        <v>0.8</v>
      </c>
      <c r="AB1390" s="2" t="s">
        <v>466</v>
      </c>
    </row>
    <row r="1391" spans="1:28" x14ac:dyDescent="0.25">
      <c r="A1391" s="1" t="s">
        <v>1685</v>
      </c>
      <c r="B1391" s="1" t="s">
        <v>35</v>
      </c>
      <c r="C1391" s="1" t="s">
        <v>36</v>
      </c>
      <c r="D1391" s="1">
        <v>5</v>
      </c>
      <c r="E1391" s="1">
        <v>3</v>
      </c>
      <c r="F1391" s="1">
        <v>2</v>
      </c>
      <c r="G1391" s="1">
        <v>8</v>
      </c>
      <c r="H1391" s="1">
        <v>8</v>
      </c>
      <c r="I1391" s="1">
        <v>7</v>
      </c>
      <c r="J1391" s="1">
        <v>4</v>
      </c>
      <c r="K1391" s="1">
        <f t="shared" si="266"/>
        <v>27</v>
      </c>
      <c r="L1391" s="12">
        <f t="shared" si="277"/>
        <v>0.77142857142857146</v>
      </c>
      <c r="M1391" s="1">
        <v>7</v>
      </c>
      <c r="N1391" s="1">
        <v>7</v>
      </c>
      <c r="O1391" s="1">
        <v>7</v>
      </c>
      <c r="P1391" s="1">
        <v>4</v>
      </c>
      <c r="Q1391" s="1">
        <f t="shared" si="267"/>
        <v>25</v>
      </c>
      <c r="R1391" s="12">
        <f t="shared" si="278"/>
        <v>0.7142857142857143</v>
      </c>
      <c r="S1391" s="1">
        <v>7</v>
      </c>
      <c r="T1391" s="1">
        <v>4</v>
      </c>
      <c r="U1391" s="1">
        <f t="shared" si="268"/>
        <v>11</v>
      </c>
      <c r="V1391" s="12">
        <f t="shared" si="279"/>
        <v>0.73333333333333328</v>
      </c>
      <c r="W1391" s="1">
        <v>3</v>
      </c>
      <c r="X1391" s="1">
        <v>2</v>
      </c>
      <c r="Y1391" s="1">
        <v>3</v>
      </c>
      <c r="Z1391" s="1">
        <f t="shared" si="269"/>
        <v>8</v>
      </c>
      <c r="AA1391" s="12">
        <f t="shared" si="280"/>
        <v>0.53333333333333333</v>
      </c>
      <c r="AB1391" s="2" t="s">
        <v>467</v>
      </c>
    </row>
    <row r="1392" spans="1:28" x14ac:dyDescent="0.25">
      <c r="A1392" s="1" t="s">
        <v>1685</v>
      </c>
      <c r="B1392" s="1" t="s">
        <v>576</v>
      </c>
      <c r="C1392" s="1" t="s">
        <v>36</v>
      </c>
      <c r="D1392" s="1">
        <v>27</v>
      </c>
      <c r="E1392" s="1">
        <v>2</v>
      </c>
      <c r="F1392" s="1">
        <v>1</v>
      </c>
      <c r="G1392" s="1">
        <v>7</v>
      </c>
      <c r="H1392" s="1">
        <v>7</v>
      </c>
      <c r="I1392" s="1">
        <v>8</v>
      </c>
      <c r="J1392" s="1">
        <v>5</v>
      </c>
      <c r="K1392" s="1">
        <f t="shared" si="266"/>
        <v>27</v>
      </c>
      <c r="L1392" s="12">
        <f t="shared" si="277"/>
        <v>0.77142857142857146</v>
      </c>
      <c r="M1392" s="1">
        <v>8</v>
      </c>
      <c r="N1392" s="1">
        <v>7</v>
      </c>
      <c r="O1392" s="1">
        <v>7</v>
      </c>
      <c r="P1392" s="1">
        <v>5</v>
      </c>
      <c r="Q1392" s="1">
        <f t="shared" si="267"/>
        <v>27</v>
      </c>
      <c r="R1392" s="12">
        <f t="shared" si="278"/>
        <v>0.77142857142857146</v>
      </c>
      <c r="S1392" s="1">
        <v>8</v>
      </c>
      <c r="T1392" s="1">
        <v>5</v>
      </c>
      <c r="U1392" s="1">
        <f t="shared" si="268"/>
        <v>13</v>
      </c>
      <c r="V1392" s="12">
        <f t="shared" si="279"/>
        <v>0.8666666666666667</v>
      </c>
      <c r="W1392" s="1">
        <v>5</v>
      </c>
      <c r="X1392" s="1">
        <v>2</v>
      </c>
      <c r="Y1392" s="1">
        <v>2</v>
      </c>
      <c r="Z1392" s="1">
        <f t="shared" si="269"/>
        <v>9</v>
      </c>
      <c r="AA1392" s="12">
        <f t="shared" si="280"/>
        <v>0.6</v>
      </c>
      <c r="AB1392" s="2" t="s">
        <v>677</v>
      </c>
    </row>
    <row r="1393" spans="1:28" x14ac:dyDescent="0.25">
      <c r="A1393" s="1" t="s">
        <v>1685</v>
      </c>
      <c r="B1393" s="1" t="s">
        <v>576</v>
      </c>
      <c r="C1393" s="1" t="s">
        <v>36</v>
      </c>
      <c r="D1393" s="1">
        <v>27</v>
      </c>
      <c r="E1393" s="1">
        <v>2</v>
      </c>
      <c r="F1393" s="1">
        <v>1</v>
      </c>
      <c r="G1393" s="1">
        <v>8</v>
      </c>
      <c r="H1393" s="1">
        <v>5</v>
      </c>
      <c r="I1393" s="1">
        <v>8</v>
      </c>
      <c r="J1393" s="1">
        <v>5</v>
      </c>
      <c r="K1393" s="1">
        <f t="shared" si="266"/>
        <v>26</v>
      </c>
      <c r="L1393" s="12">
        <f t="shared" si="277"/>
        <v>0.74285714285714288</v>
      </c>
      <c r="M1393" s="1">
        <v>9</v>
      </c>
      <c r="N1393" s="1">
        <v>8</v>
      </c>
      <c r="O1393" s="1">
        <v>8</v>
      </c>
      <c r="P1393" s="1">
        <v>5</v>
      </c>
      <c r="Q1393" s="1">
        <f t="shared" si="267"/>
        <v>30</v>
      </c>
      <c r="R1393" s="12">
        <f t="shared" si="278"/>
        <v>0.8571428571428571</v>
      </c>
      <c r="S1393" s="1">
        <v>8</v>
      </c>
      <c r="T1393" s="1">
        <v>5</v>
      </c>
      <c r="U1393" s="1">
        <f t="shared" si="268"/>
        <v>13</v>
      </c>
      <c r="V1393" s="12">
        <f t="shared" si="279"/>
        <v>0.8666666666666667</v>
      </c>
      <c r="W1393" s="1">
        <v>5</v>
      </c>
      <c r="X1393" s="1">
        <v>5</v>
      </c>
      <c r="Y1393" s="1">
        <v>2</v>
      </c>
      <c r="Z1393" s="1">
        <f t="shared" si="269"/>
        <v>12</v>
      </c>
      <c r="AA1393" s="12">
        <f t="shared" si="280"/>
        <v>0.8</v>
      </c>
      <c r="AB1393" s="2" t="s">
        <v>678</v>
      </c>
    </row>
    <row r="1394" spans="1:28" x14ac:dyDescent="0.25">
      <c r="A1394" s="1" t="s">
        <v>1685</v>
      </c>
      <c r="B1394" s="1" t="s">
        <v>576</v>
      </c>
      <c r="C1394" s="1" t="s">
        <v>36</v>
      </c>
      <c r="D1394" s="1">
        <v>27</v>
      </c>
      <c r="E1394" s="1">
        <v>2</v>
      </c>
      <c r="F1394" s="1">
        <v>1</v>
      </c>
      <c r="G1394" s="1">
        <v>8</v>
      </c>
      <c r="H1394" s="1">
        <v>9</v>
      </c>
      <c r="I1394" s="1">
        <v>8</v>
      </c>
      <c r="J1394" s="1">
        <v>5</v>
      </c>
      <c r="K1394" s="1">
        <f t="shared" si="266"/>
        <v>30</v>
      </c>
      <c r="L1394" s="12">
        <f t="shared" si="277"/>
        <v>0.8571428571428571</v>
      </c>
      <c r="M1394" s="1">
        <v>7</v>
      </c>
      <c r="N1394" s="1">
        <v>8</v>
      </c>
      <c r="O1394" s="1">
        <v>6</v>
      </c>
      <c r="P1394" s="1">
        <v>5</v>
      </c>
      <c r="Q1394" s="1">
        <f t="shared" si="267"/>
        <v>26</v>
      </c>
      <c r="R1394" s="12">
        <f t="shared" si="278"/>
        <v>0.74285714285714288</v>
      </c>
      <c r="S1394" s="1">
        <v>9</v>
      </c>
      <c r="T1394" s="1">
        <v>5</v>
      </c>
      <c r="U1394" s="1">
        <f t="shared" si="268"/>
        <v>14</v>
      </c>
      <c r="V1394" s="12">
        <f t="shared" si="279"/>
        <v>0.93333333333333335</v>
      </c>
      <c r="W1394" s="1">
        <v>3</v>
      </c>
      <c r="X1394" s="1">
        <v>3</v>
      </c>
      <c r="Y1394" s="1">
        <v>2</v>
      </c>
      <c r="Z1394" s="1">
        <f t="shared" si="269"/>
        <v>8</v>
      </c>
      <c r="AA1394" s="12">
        <f t="shared" si="280"/>
        <v>0.53333333333333333</v>
      </c>
      <c r="AB1394" s="2" t="s">
        <v>679</v>
      </c>
    </row>
    <row r="1395" spans="1:28" x14ac:dyDescent="0.25">
      <c r="A1395" s="1" t="s">
        <v>1685</v>
      </c>
      <c r="B1395" s="1" t="s">
        <v>576</v>
      </c>
      <c r="C1395" s="1" t="s">
        <v>36</v>
      </c>
      <c r="D1395" s="1">
        <v>27</v>
      </c>
      <c r="E1395" s="1">
        <v>2</v>
      </c>
      <c r="F1395" s="1">
        <v>1</v>
      </c>
      <c r="G1395" s="1">
        <v>9</v>
      </c>
      <c r="H1395" s="1">
        <v>7</v>
      </c>
      <c r="I1395" s="1">
        <v>8</v>
      </c>
      <c r="J1395" s="1">
        <v>5</v>
      </c>
      <c r="K1395" s="1">
        <f t="shared" si="266"/>
        <v>29</v>
      </c>
      <c r="L1395" s="12">
        <f t="shared" si="277"/>
        <v>0.82857142857142863</v>
      </c>
      <c r="M1395" s="1">
        <v>9</v>
      </c>
      <c r="N1395" s="1">
        <v>9</v>
      </c>
      <c r="O1395" s="1">
        <v>10</v>
      </c>
      <c r="P1395" s="1">
        <v>5</v>
      </c>
      <c r="Q1395" s="1">
        <f t="shared" si="267"/>
        <v>33</v>
      </c>
      <c r="R1395" s="12">
        <f t="shared" si="278"/>
        <v>0.94285714285714284</v>
      </c>
      <c r="S1395" s="1">
        <v>9</v>
      </c>
      <c r="T1395" s="1">
        <v>5</v>
      </c>
      <c r="U1395" s="1">
        <f t="shared" si="268"/>
        <v>14</v>
      </c>
      <c r="V1395" s="12">
        <f t="shared" si="279"/>
        <v>0.93333333333333335</v>
      </c>
      <c r="W1395" s="1">
        <v>5</v>
      </c>
      <c r="X1395" s="1">
        <v>4</v>
      </c>
      <c r="Y1395" s="1">
        <v>4</v>
      </c>
      <c r="Z1395" s="1">
        <f t="shared" si="269"/>
        <v>13</v>
      </c>
      <c r="AA1395" s="12">
        <f t="shared" si="280"/>
        <v>0.8666666666666667</v>
      </c>
      <c r="AB1395" s="2" t="s">
        <v>680</v>
      </c>
    </row>
    <row r="1396" spans="1:28" x14ac:dyDescent="0.25">
      <c r="A1396" s="1" t="s">
        <v>1685</v>
      </c>
      <c r="B1396" s="1" t="s">
        <v>576</v>
      </c>
      <c r="C1396" s="1" t="s">
        <v>36</v>
      </c>
      <c r="D1396" s="1">
        <v>27</v>
      </c>
      <c r="E1396" s="1">
        <v>2</v>
      </c>
      <c r="F1396" s="1">
        <v>1</v>
      </c>
      <c r="G1396" s="1">
        <v>6</v>
      </c>
      <c r="H1396" s="1">
        <v>6</v>
      </c>
      <c r="I1396" s="1">
        <v>5</v>
      </c>
      <c r="J1396" s="1">
        <v>5</v>
      </c>
      <c r="K1396" s="1">
        <f t="shared" si="266"/>
        <v>22</v>
      </c>
      <c r="L1396" s="12">
        <f t="shared" si="277"/>
        <v>0.62857142857142856</v>
      </c>
      <c r="M1396" s="1">
        <v>6</v>
      </c>
      <c r="N1396" s="1">
        <v>6</v>
      </c>
      <c r="O1396" s="1">
        <v>6</v>
      </c>
      <c r="P1396" s="1">
        <v>5</v>
      </c>
      <c r="Q1396" s="1">
        <f t="shared" si="267"/>
        <v>23</v>
      </c>
      <c r="R1396" s="12">
        <f t="shared" si="278"/>
        <v>0.65714285714285714</v>
      </c>
      <c r="S1396" s="1">
        <v>7</v>
      </c>
      <c r="T1396" s="1">
        <v>5</v>
      </c>
      <c r="U1396" s="1">
        <f t="shared" si="268"/>
        <v>12</v>
      </c>
      <c r="V1396" s="12">
        <f t="shared" si="279"/>
        <v>0.8</v>
      </c>
      <c r="W1396" s="1">
        <v>5</v>
      </c>
      <c r="X1396" s="1">
        <v>3</v>
      </c>
      <c r="Y1396" s="1">
        <v>3</v>
      </c>
      <c r="Z1396" s="1">
        <f t="shared" si="269"/>
        <v>11</v>
      </c>
      <c r="AA1396" s="12">
        <f t="shared" si="280"/>
        <v>0.73333333333333328</v>
      </c>
      <c r="AB1396" s="2" t="s">
        <v>681</v>
      </c>
    </row>
    <row r="1397" spans="1:28" x14ac:dyDescent="0.25">
      <c r="A1397" s="1" t="s">
        <v>1685</v>
      </c>
      <c r="B1397" s="1" t="s">
        <v>576</v>
      </c>
      <c r="C1397" s="1" t="s">
        <v>36</v>
      </c>
      <c r="D1397" s="1">
        <v>27</v>
      </c>
      <c r="E1397" s="1">
        <v>2</v>
      </c>
      <c r="F1397" s="1">
        <v>1</v>
      </c>
      <c r="G1397" s="1">
        <v>6</v>
      </c>
      <c r="H1397" s="1">
        <v>7</v>
      </c>
      <c r="I1397" s="1">
        <v>5</v>
      </c>
      <c r="J1397" s="1">
        <v>4</v>
      </c>
      <c r="K1397" s="1">
        <f t="shared" si="266"/>
        <v>22</v>
      </c>
      <c r="L1397" s="12">
        <f t="shared" si="277"/>
        <v>0.62857142857142856</v>
      </c>
      <c r="M1397" s="1">
        <v>5</v>
      </c>
      <c r="N1397" s="1">
        <v>5</v>
      </c>
      <c r="O1397" s="1">
        <v>4</v>
      </c>
      <c r="P1397" s="1">
        <v>4</v>
      </c>
      <c r="Q1397" s="1">
        <f t="shared" si="267"/>
        <v>18</v>
      </c>
      <c r="R1397" s="12">
        <f t="shared" si="278"/>
        <v>0.51428571428571423</v>
      </c>
      <c r="S1397" s="1">
        <v>4</v>
      </c>
      <c r="T1397" s="1">
        <v>5</v>
      </c>
      <c r="U1397" s="1">
        <f t="shared" si="268"/>
        <v>9</v>
      </c>
      <c r="V1397" s="12">
        <f t="shared" si="279"/>
        <v>0.6</v>
      </c>
      <c r="W1397" s="1">
        <v>4</v>
      </c>
      <c r="X1397" s="1">
        <v>2</v>
      </c>
      <c r="Y1397" s="1">
        <v>2</v>
      </c>
      <c r="Z1397" s="1">
        <f t="shared" si="269"/>
        <v>8</v>
      </c>
      <c r="AA1397" s="12">
        <f t="shared" si="280"/>
        <v>0.53333333333333333</v>
      </c>
      <c r="AB1397" s="2" t="s">
        <v>682</v>
      </c>
    </row>
    <row r="1398" spans="1:28" x14ac:dyDescent="0.25">
      <c r="A1398" s="1" t="s">
        <v>1685</v>
      </c>
      <c r="B1398" s="1" t="s">
        <v>35</v>
      </c>
      <c r="C1398" s="1" t="s">
        <v>861</v>
      </c>
      <c r="D1398" s="1">
        <v>18</v>
      </c>
      <c r="E1398" s="1">
        <v>2</v>
      </c>
      <c r="F1398" s="1">
        <v>7</v>
      </c>
      <c r="G1398" s="1">
        <v>8</v>
      </c>
      <c r="H1398" s="1">
        <v>5</v>
      </c>
      <c r="I1398" s="1">
        <v>5</v>
      </c>
      <c r="J1398" s="1">
        <v>8</v>
      </c>
      <c r="K1398" s="1">
        <f t="shared" si="266"/>
        <v>26</v>
      </c>
      <c r="L1398" s="12">
        <f t="shared" ref="L1398:L1418" si="281">K1398/40</f>
        <v>0.65</v>
      </c>
      <c r="M1398" s="1">
        <v>6</v>
      </c>
      <c r="N1398" s="1">
        <v>7</v>
      </c>
      <c r="O1398" s="1">
        <v>7</v>
      </c>
      <c r="P1398" s="1">
        <v>8</v>
      </c>
      <c r="Q1398" s="1">
        <f t="shared" si="267"/>
        <v>28</v>
      </c>
      <c r="R1398" s="12">
        <f t="shared" ref="R1398:R1418" si="282">Q1398/40</f>
        <v>0.7</v>
      </c>
      <c r="S1398" s="1">
        <v>7</v>
      </c>
      <c r="T1398" s="1">
        <v>8</v>
      </c>
      <c r="U1398" s="1">
        <f t="shared" si="268"/>
        <v>15</v>
      </c>
      <c r="V1398" s="12">
        <f t="shared" ref="V1398:V1418" si="283">U1398/20</f>
        <v>0.75</v>
      </c>
      <c r="Z1398" s="1">
        <f t="shared" si="269"/>
        <v>0</v>
      </c>
      <c r="AB1398" s="2" t="s">
        <v>1188</v>
      </c>
    </row>
    <row r="1399" spans="1:28" x14ac:dyDescent="0.25">
      <c r="A1399" s="1" t="s">
        <v>1685</v>
      </c>
      <c r="B1399" s="1" t="s">
        <v>35</v>
      </c>
      <c r="C1399" s="1" t="s">
        <v>861</v>
      </c>
      <c r="D1399" s="1">
        <v>18</v>
      </c>
      <c r="E1399" s="1">
        <v>2</v>
      </c>
      <c r="F1399" s="1">
        <v>7</v>
      </c>
      <c r="G1399" s="1">
        <v>6</v>
      </c>
      <c r="H1399" s="1">
        <v>4</v>
      </c>
      <c r="I1399" s="1">
        <v>5</v>
      </c>
      <c r="J1399" s="1">
        <v>2</v>
      </c>
      <c r="K1399" s="1">
        <f t="shared" si="266"/>
        <v>17</v>
      </c>
      <c r="L1399" s="12">
        <f t="shared" si="281"/>
        <v>0.42499999999999999</v>
      </c>
      <c r="M1399" s="1">
        <v>4</v>
      </c>
      <c r="N1399" s="1">
        <v>2</v>
      </c>
      <c r="O1399" s="1">
        <v>4</v>
      </c>
      <c r="P1399" s="1">
        <v>3</v>
      </c>
      <c r="Q1399" s="1">
        <f t="shared" si="267"/>
        <v>13</v>
      </c>
      <c r="R1399" s="12">
        <f t="shared" si="282"/>
        <v>0.32500000000000001</v>
      </c>
      <c r="S1399" s="1">
        <v>4</v>
      </c>
      <c r="T1399" s="1">
        <v>4</v>
      </c>
      <c r="U1399" s="1">
        <f t="shared" si="268"/>
        <v>8</v>
      </c>
      <c r="V1399" s="12">
        <f t="shared" si="283"/>
        <v>0.4</v>
      </c>
      <c r="Z1399" s="1">
        <f t="shared" si="269"/>
        <v>0</v>
      </c>
      <c r="AB1399" s="2" t="s">
        <v>1189</v>
      </c>
    </row>
    <row r="1400" spans="1:28" x14ac:dyDescent="0.25">
      <c r="A1400" s="1" t="s">
        <v>1685</v>
      </c>
      <c r="B1400" s="1" t="s">
        <v>35</v>
      </c>
      <c r="C1400" s="1" t="s">
        <v>861</v>
      </c>
      <c r="D1400" s="1">
        <v>18</v>
      </c>
      <c r="E1400" s="1">
        <v>2</v>
      </c>
      <c r="F1400" s="1">
        <v>7</v>
      </c>
      <c r="G1400" s="1">
        <v>7</v>
      </c>
      <c r="H1400" s="1">
        <v>5</v>
      </c>
      <c r="I1400" s="1">
        <v>5</v>
      </c>
      <c r="J1400" s="1">
        <v>5</v>
      </c>
      <c r="K1400" s="1">
        <f t="shared" si="266"/>
        <v>22</v>
      </c>
      <c r="L1400" s="12">
        <f t="shared" si="281"/>
        <v>0.55000000000000004</v>
      </c>
      <c r="M1400" s="1">
        <v>7</v>
      </c>
      <c r="N1400" s="1">
        <v>7</v>
      </c>
      <c r="O1400" s="1">
        <v>7</v>
      </c>
      <c r="P1400" s="1">
        <v>5</v>
      </c>
      <c r="Q1400" s="1">
        <f t="shared" si="267"/>
        <v>26</v>
      </c>
      <c r="R1400" s="12">
        <f t="shared" si="282"/>
        <v>0.65</v>
      </c>
      <c r="S1400" s="1">
        <v>6</v>
      </c>
      <c r="T1400" s="1">
        <v>5</v>
      </c>
      <c r="U1400" s="1">
        <f t="shared" si="268"/>
        <v>11</v>
      </c>
      <c r="V1400" s="12">
        <f t="shared" si="283"/>
        <v>0.55000000000000004</v>
      </c>
      <c r="Z1400" s="1">
        <f t="shared" si="269"/>
        <v>0</v>
      </c>
      <c r="AB1400" s="2" t="s">
        <v>1190</v>
      </c>
    </row>
    <row r="1401" spans="1:28" x14ac:dyDescent="0.25">
      <c r="A1401" s="1" t="s">
        <v>1685</v>
      </c>
      <c r="B1401" s="1" t="s">
        <v>35</v>
      </c>
      <c r="C1401" s="1" t="s">
        <v>861</v>
      </c>
      <c r="D1401" s="1">
        <v>18</v>
      </c>
      <c r="E1401" s="1">
        <v>2</v>
      </c>
      <c r="F1401" s="1">
        <v>7</v>
      </c>
      <c r="G1401" s="1">
        <v>4</v>
      </c>
      <c r="H1401" s="1">
        <v>3</v>
      </c>
      <c r="I1401" s="1">
        <v>4</v>
      </c>
      <c r="J1401" s="1">
        <v>3</v>
      </c>
      <c r="K1401" s="1">
        <f t="shared" si="266"/>
        <v>14</v>
      </c>
      <c r="L1401" s="12">
        <f t="shared" si="281"/>
        <v>0.35</v>
      </c>
      <c r="M1401" s="1">
        <v>3</v>
      </c>
      <c r="N1401" s="1">
        <v>4</v>
      </c>
      <c r="O1401" s="1">
        <v>3</v>
      </c>
      <c r="P1401" s="1">
        <v>3</v>
      </c>
      <c r="Q1401" s="1">
        <f t="shared" si="267"/>
        <v>13</v>
      </c>
      <c r="R1401" s="12">
        <f t="shared" si="282"/>
        <v>0.32500000000000001</v>
      </c>
      <c r="S1401" s="1">
        <v>3</v>
      </c>
      <c r="T1401" s="1">
        <v>3</v>
      </c>
      <c r="U1401" s="1">
        <f t="shared" si="268"/>
        <v>6</v>
      </c>
      <c r="V1401" s="12">
        <f t="shared" si="283"/>
        <v>0.3</v>
      </c>
      <c r="Z1401" s="1">
        <f t="shared" si="269"/>
        <v>0</v>
      </c>
      <c r="AB1401" s="2" t="s">
        <v>1191</v>
      </c>
    </row>
    <row r="1402" spans="1:28" x14ac:dyDescent="0.25">
      <c r="A1402" s="1" t="s">
        <v>1685</v>
      </c>
      <c r="B1402" s="1" t="s">
        <v>35</v>
      </c>
      <c r="C1402" s="1" t="s">
        <v>861</v>
      </c>
      <c r="D1402" s="1">
        <v>18</v>
      </c>
      <c r="E1402" s="1">
        <v>2</v>
      </c>
      <c r="F1402" s="1">
        <v>7</v>
      </c>
      <c r="G1402" s="1">
        <v>8</v>
      </c>
      <c r="H1402" s="1">
        <v>6</v>
      </c>
      <c r="I1402" s="1">
        <v>6</v>
      </c>
      <c r="J1402" s="1">
        <v>6</v>
      </c>
      <c r="K1402" s="1">
        <f t="shared" si="266"/>
        <v>26</v>
      </c>
      <c r="L1402" s="12">
        <f t="shared" si="281"/>
        <v>0.65</v>
      </c>
      <c r="M1402" s="1">
        <v>5</v>
      </c>
      <c r="N1402" s="1">
        <v>5</v>
      </c>
      <c r="O1402" s="1">
        <v>6</v>
      </c>
      <c r="P1402" s="1">
        <v>7</v>
      </c>
      <c r="Q1402" s="1">
        <f t="shared" si="267"/>
        <v>23</v>
      </c>
      <c r="R1402" s="12">
        <f t="shared" si="282"/>
        <v>0.57499999999999996</v>
      </c>
      <c r="S1402" s="1">
        <v>6</v>
      </c>
      <c r="T1402" s="1">
        <v>7</v>
      </c>
      <c r="U1402" s="1">
        <f t="shared" si="268"/>
        <v>13</v>
      </c>
      <c r="V1402" s="12">
        <f t="shared" si="283"/>
        <v>0.65</v>
      </c>
      <c r="Z1402" s="1">
        <f t="shared" si="269"/>
        <v>0</v>
      </c>
      <c r="AB1402" s="2" t="s">
        <v>1192</v>
      </c>
    </row>
    <row r="1403" spans="1:28" x14ac:dyDescent="0.25">
      <c r="A1403" s="1" t="s">
        <v>1685</v>
      </c>
      <c r="B1403" s="1" t="s">
        <v>35</v>
      </c>
      <c r="C1403" s="1" t="s">
        <v>861</v>
      </c>
      <c r="D1403" s="1">
        <v>18</v>
      </c>
      <c r="E1403" s="1">
        <v>2</v>
      </c>
      <c r="F1403" s="1">
        <v>7</v>
      </c>
      <c r="G1403" s="1">
        <v>7</v>
      </c>
      <c r="H1403" s="1">
        <v>3</v>
      </c>
      <c r="I1403" s="1">
        <v>5</v>
      </c>
      <c r="J1403" s="1">
        <v>5</v>
      </c>
      <c r="K1403" s="1">
        <f t="shared" si="266"/>
        <v>20</v>
      </c>
      <c r="L1403" s="12">
        <f t="shared" si="281"/>
        <v>0.5</v>
      </c>
      <c r="M1403" s="1">
        <v>5</v>
      </c>
      <c r="N1403" s="1">
        <v>4</v>
      </c>
      <c r="O1403" s="1">
        <v>5</v>
      </c>
      <c r="P1403" s="1">
        <v>5</v>
      </c>
      <c r="Q1403" s="1">
        <f t="shared" si="267"/>
        <v>19</v>
      </c>
      <c r="R1403" s="12">
        <f t="shared" si="282"/>
        <v>0.47499999999999998</v>
      </c>
      <c r="S1403" s="1">
        <v>4</v>
      </c>
      <c r="T1403" s="1">
        <v>4</v>
      </c>
      <c r="U1403" s="1">
        <f t="shared" si="268"/>
        <v>8</v>
      </c>
      <c r="V1403" s="12">
        <f t="shared" si="283"/>
        <v>0.4</v>
      </c>
      <c r="Z1403" s="1">
        <f t="shared" si="269"/>
        <v>0</v>
      </c>
      <c r="AB1403" s="2" t="s">
        <v>1193</v>
      </c>
    </row>
    <row r="1404" spans="1:28" x14ac:dyDescent="0.25">
      <c r="A1404" s="1" t="s">
        <v>1685</v>
      </c>
      <c r="B1404" s="1" t="s">
        <v>35</v>
      </c>
      <c r="C1404" s="1" t="s">
        <v>861</v>
      </c>
      <c r="D1404" s="1">
        <v>18</v>
      </c>
      <c r="E1404" s="1">
        <v>2</v>
      </c>
      <c r="F1404" s="1">
        <v>7</v>
      </c>
      <c r="G1404" s="1">
        <v>5</v>
      </c>
      <c r="H1404" s="1">
        <v>5</v>
      </c>
      <c r="I1404" s="1">
        <v>4</v>
      </c>
      <c r="J1404" s="1">
        <v>5</v>
      </c>
      <c r="K1404" s="1">
        <f t="shared" si="266"/>
        <v>19</v>
      </c>
      <c r="L1404" s="12">
        <f t="shared" si="281"/>
        <v>0.47499999999999998</v>
      </c>
      <c r="M1404" s="1">
        <v>5</v>
      </c>
      <c r="N1404" s="1">
        <v>4</v>
      </c>
      <c r="O1404" s="1">
        <v>6</v>
      </c>
      <c r="P1404" s="1">
        <v>5</v>
      </c>
      <c r="Q1404" s="1">
        <f t="shared" si="267"/>
        <v>20</v>
      </c>
      <c r="R1404" s="12">
        <f t="shared" si="282"/>
        <v>0.5</v>
      </c>
      <c r="S1404" s="1">
        <v>6</v>
      </c>
      <c r="T1404" s="1">
        <v>4</v>
      </c>
      <c r="U1404" s="1">
        <f t="shared" si="268"/>
        <v>10</v>
      </c>
      <c r="V1404" s="12">
        <f t="shared" si="283"/>
        <v>0.5</v>
      </c>
      <c r="Z1404" s="1">
        <f t="shared" si="269"/>
        <v>0</v>
      </c>
      <c r="AB1404" s="2" t="s">
        <v>1194</v>
      </c>
    </row>
    <row r="1405" spans="1:28" x14ac:dyDescent="0.25">
      <c r="A1405" s="1" t="s">
        <v>1685</v>
      </c>
      <c r="B1405" s="1" t="s">
        <v>35</v>
      </c>
      <c r="C1405" s="1" t="s">
        <v>861</v>
      </c>
      <c r="D1405" s="1">
        <v>18</v>
      </c>
      <c r="E1405" s="1">
        <v>2</v>
      </c>
      <c r="F1405" s="1">
        <v>7</v>
      </c>
      <c r="G1405" s="1">
        <v>6</v>
      </c>
      <c r="H1405" s="1">
        <v>5</v>
      </c>
      <c r="I1405" s="1">
        <v>5</v>
      </c>
      <c r="J1405" s="1">
        <v>5</v>
      </c>
      <c r="K1405" s="1">
        <f t="shared" si="266"/>
        <v>21</v>
      </c>
      <c r="L1405" s="12">
        <f t="shared" si="281"/>
        <v>0.52500000000000002</v>
      </c>
      <c r="M1405" s="1">
        <v>6</v>
      </c>
      <c r="N1405" s="1">
        <v>4</v>
      </c>
      <c r="O1405" s="1">
        <v>6</v>
      </c>
      <c r="P1405" s="1">
        <v>5</v>
      </c>
      <c r="Q1405" s="1">
        <f t="shared" si="267"/>
        <v>21</v>
      </c>
      <c r="R1405" s="12">
        <f t="shared" si="282"/>
        <v>0.52500000000000002</v>
      </c>
      <c r="S1405" s="1">
        <v>4</v>
      </c>
      <c r="T1405" s="1">
        <v>5</v>
      </c>
      <c r="U1405" s="1">
        <f t="shared" si="268"/>
        <v>9</v>
      </c>
      <c r="V1405" s="12">
        <f t="shared" si="283"/>
        <v>0.45</v>
      </c>
      <c r="Z1405" s="1">
        <f t="shared" si="269"/>
        <v>0</v>
      </c>
      <c r="AB1405" s="2" t="s">
        <v>1195</v>
      </c>
    </row>
    <row r="1406" spans="1:28" x14ac:dyDescent="0.25">
      <c r="A1406" s="1" t="s">
        <v>1685</v>
      </c>
      <c r="B1406" s="1" t="s">
        <v>576</v>
      </c>
      <c r="C1406" s="1" t="s">
        <v>861</v>
      </c>
      <c r="D1406" s="1">
        <v>24</v>
      </c>
      <c r="E1406" s="1">
        <v>1</v>
      </c>
      <c r="F1406" s="1">
        <v>1</v>
      </c>
      <c r="G1406" s="1">
        <v>6</v>
      </c>
      <c r="H1406" s="1">
        <v>6</v>
      </c>
      <c r="I1406" s="1">
        <v>6</v>
      </c>
      <c r="J1406" s="1">
        <v>5</v>
      </c>
      <c r="K1406" s="1">
        <f t="shared" si="266"/>
        <v>23</v>
      </c>
      <c r="L1406" s="12">
        <f t="shared" si="281"/>
        <v>0.57499999999999996</v>
      </c>
      <c r="M1406" s="1">
        <v>6</v>
      </c>
      <c r="N1406" s="1">
        <v>6</v>
      </c>
      <c r="O1406" s="1">
        <v>7</v>
      </c>
      <c r="P1406" s="1">
        <v>6</v>
      </c>
      <c r="Q1406" s="1">
        <f t="shared" si="267"/>
        <v>25</v>
      </c>
      <c r="R1406" s="12">
        <f t="shared" si="282"/>
        <v>0.625</v>
      </c>
      <c r="S1406" s="1">
        <v>6</v>
      </c>
      <c r="T1406" s="1">
        <v>6</v>
      </c>
      <c r="U1406" s="1">
        <f t="shared" si="268"/>
        <v>12</v>
      </c>
      <c r="V1406" s="12">
        <f t="shared" si="283"/>
        <v>0.6</v>
      </c>
      <c r="Z1406" s="1">
        <f t="shared" si="269"/>
        <v>0</v>
      </c>
      <c r="AB1406" s="2" t="s">
        <v>1361</v>
      </c>
    </row>
    <row r="1407" spans="1:28" x14ac:dyDescent="0.25">
      <c r="A1407" s="1" t="s">
        <v>1685</v>
      </c>
      <c r="B1407" s="1" t="s">
        <v>576</v>
      </c>
      <c r="C1407" s="1" t="s">
        <v>861</v>
      </c>
      <c r="D1407" s="1">
        <v>24</v>
      </c>
      <c r="E1407" s="1">
        <v>1</v>
      </c>
      <c r="F1407" s="1">
        <v>1</v>
      </c>
      <c r="G1407" s="1">
        <v>4</v>
      </c>
      <c r="H1407" s="1">
        <v>4</v>
      </c>
      <c r="I1407" s="1">
        <v>5</v>
      </c>
      <c r="J1407" s="1">
        <v>3</v>
      </c>
      <c r="K1407" s="1">
        <f t="shared" si="266"/>
        <v>16</v>
      </c>
      <c r="L1407" s="12">
        <f t="shared" si="281"/>
        <v>0.4</v>
      </c>
      <c r="M1407" s="1">
        <v>5</v>
      </c>
      <c r="N1407" s="1">
        <v>6</v>
      </c>
      <c r="O1407" s="1">
        <v>4</v>
      </c>
      <c r="P1407" s="1">
        <v>3</v>
      </c>
      <c r="Q1407" s="1">
        <f t="shared" si="267"/>
        <v>18</v>
      </c>
      <c r="R1407" s="12">
        <f t="shared" si="282"/>
        <v>0.45</v>
      </c>
      <c r="S1407" s="1">
        <v>5</v>
      </c>
      <c r="T1407" s="1">
        <v>4</v>
      </c>
      <c r="U1407" s="1">
        <f t="shared" si="268"/>
        <v>9</v>
      </c>
      <c r="V1407" s="12">
        <f t="shared" si="283"/>
        <v>0.45</v>
      </c>
      <c r="Z1407" s="1">
        <f t="shared" si="269"/>
        <v>0</v>
      </c>
      <c r="AB1407" s="2" t="s">
        <v>1362</v>
      </c>
    </row>
    <row r="1408" spans="1:28" x14ac:dyDescent="0.25">
      <c r="A1408" s="1" t="s">
        <v>1685</v>
      </c>
      <c r="B1408" s="1" t="s">
        <v>576</v>
      </c>
      <c r="C1408" s="1" t="s">
        <v>861</v>
      </c>
      <c r="D1408" s="1">
        <v>24</v>
      </c>
      <c r="E1408" s="1">
        <v>1</v>
      </c>
      <c r="F1408" s="1">
        <v>1</v>
      </c>
      <c r="G1408" s="1">
        <v>7</v>
      </c>
      <c r="H1408" s="1">
        <v>7</v>
      </c>
      <c r="I1408" s="1">
        <v>8</v>
      </c>
      <c r="J1408" s="1">
        <v>8</v>
      </c>
      <c r="K1408" s="1">
        <f t="shared" si="266"/>
        <v>30</v>
      </c>
      <c r="L1408" s="12">
        <f t="shared" si="281"/>
        <v>0.75</v>
      </c>
      <c r="M1408" s="1">
        <v>7</v>
      </c>
      <c r="N1408" s="1">
        <v>8</v>
      </c>
      <c r="O1408" s="1">
        <v>7</v>
      </c>
      <c r="P1408" s="1">
        <v>8</v>
      </c>
      <c r="Q1408" s="1">
        <f t="shared" si="267"/>
        <v>30</v>
      </c>
      <c r="R1408" s="12">
        <f t="shared" si="282"/>
        <v>0.75</v>
      </c>
      <c r="S1408" s="1">
        <v>8</v>
      </c>
      <c r="T1408" s="1">
        <v>7</v>
      </c>
      <c r="U1408" s="1">
        <f t="shared" si="268"/>
        <v>15</v>
      </c>
      <c r="V1408" s="12">
        <f t="shared" si="283"/>
        <v>0.75</v>
      </c>
      <c r="Z1408" s="1">
        <f t="shared" si="269"/>
        <v>0</v>
      </c>
      <c r="AB1408" s="2" t="s">
        <v>1363</v>
      </c>
    </row>
    <row r="1409" spans="1:28" x14ac:dyDescent="0.25">
      <c r="A1409" s="1" t="s">
        <v>1685</v>
      </c>
      <c r="B1409" s="1" t="s">
        <v>576</v>
      </c>
      <c r="C1409" s="1" t="s">
        <v>861</v>
      </c>
      <c r="D1409" s="1">
        <v>24</v>
      </c>
      <c r="E1409" s="1">
        <v>1</v>
      </c>
      <c r="F1409" s="1">
        <v>1</v>
      </c>
      <c r="G1409" s="1">
        <v>5</v>
      </c>
      <c r="H1409" s="1">
        <v>6</v>
      </c>
      <c r="I1409" s="1">
        <v>5</v>
      </c>
      <c r="J1409" s="1">
        <v>4</v>
      </c>
      <c r="K1409" s="1">
        <f t="shared" si="266"/>
        <v>20</v>
      </c>
      <c r="L1409" s="12">
        <f t="shared" si="281"/>
        <v>0.5</v>
      </c>
      <c r="M1409" s="1">
        <v>5</v>
      </c>
      <c r="N1409" s="1">
        <v>4</v>
      </c>
      <c r="O1409" s="1">
        <v>5</v>
      </c>
      <c r="P1409" s="1">
        <v>5</v>
      </c>
      <c r="Q1409" s="1">
        <f t="shared" si="267"/>
        <v>19</v>
      </c>
      <c r="R1409" s="12">
        <f t="shared" si="282"/>
        <v>0.47499999999999998</v>
      </c>
      <c r="S1409" s="1">
        <v>5</v>
      </c>
      <c r="T1409" s="1">
        <v>4</v>
      </c>
      <c r="U1409" s="1">
        <f t="shared" si="268"/>
        <v>9</v>
      </c>
      <c r="V1409" s="12">
        <f t="shared" si="283"/>
        <v>0.45</v>
      </c>
      <c r="Z1409" s="1">
        <f t="shared" si="269"/>
        <v>0</v>
      </c>
      <c r="AB1409" s="2" t="s">
        <v>1364</v>
      </c>
    </row>
    <row r="1410" spans="1:28" x14ac:dyDescent="0.25">
      <c r="A1410" s="1" t="s">
        <v>1685</v>
      </c>
      <c r="B1410" s="1" t="s">
        <v>576</v>
      </c>
      <c r="C1410" s="1" t="s">
        <v>861</v>
      </c>
      <c r="D1410" s="1">
        <v>24</v>
      </c>
      <c r="E1410" s="1">
        <v>1</v>
      </c>
      <c r="F1410" s="1">
        <v>1</v>
      </c>
      <c r="G1410" s="1">
        <v>7</v>
      </c>
      <c r="H1410" s="1">
        <v>8</v>
      </c>
      <c r="I1410" s="1">
        <v>8</v>
      </c>
      <c r="J1410" s="1">
        <v>8</v>
      </c>
      <c r="K1410" s="1">
        <f t="shared" si="266"/>
        <v>31</v>
      </c>
      <c r="L1410" s="12">
        <f t="shared" si="281"/>
        <v>0.77500000000000002</v>
      </c>
      <c r="M1410" s="1">
        <v>7</v>
      </c>
      <c r="N1410" s="1">
        <v>7</v>
      </c>
      <c r="O1410" s="1">
        <v>8</v>
      </c>
      <c r="P1410" s="1">
        <v>7</v>
      </c>
      <c r="Q1410" s="1">
        <f t="shared" si="267"/>
        <v>29</v>
      </c>
      <c r="R1410" s="12">
        <f t="shared" si="282"/>
        <v>0.72499999999999998</v>
      </c>
      <c r="S1410" s="1">
        <v>8</v>
      </c>
      <c r="T1410" s="1">
        <v>7</v>
      </c>
      <c r="U1410" s="1">
        <f t="shared" si="268"/>
        <v>15</v>
      </c>
      <c r="V1410" s="12">
        <f t="shared" si="283"/>
        <v>0.75</v>
      </c>
      <c r="Z1410" s="1">
        <f t="shared" si="269"/>
        <v>0</v>
      </c>
      <c r="AB1410" s="2" t="s">
        <v>1365</v>
      </c>
    </row>
    <row r="1411" spans="1:28" x14ac:dyDescent="0.25">
      <c r="A1411" s="1" t="s">
        <v>1685</v>
      </c>
      <c r="B1411" s="1" t="s">
        <v>576</v>
      </c>
      <c r="C1411" s="1" t="s">
        <v>861</v>
      </c>
      <c r="D1411" s="1">
        <v>24</v>
      </c>
      <c r="E1411" s="1">
        <v>1</v>
      </c>
      <c r="F1411" s="1">
        <v>1</v>
      </c>
      <c r="G1411" s="1">
        <v>5</v>
      </c>
      <c r="H1411" s="1">
        <v>6</v>
      </c>
      <c r="I1411" s="1">
        <v>5</v>
      </c>
      <c r="J1411" s="1">
        <v>7</v>
      </c>
      <c r="K1411" s="1">
        <f t="shared" ref="K1411:K1474" si="284">SUM(G1411:J1411)</f>
        <v>23</v>
      </c>
      <c r="L1411" s="12">
        <f t="shared" si="281"/>
        <v>0.57499999999999996</v>
      </c>
      <c r="M1411" s="1">
        <v>6</v>
      </c>
      <c r="N1411" s="1">
        <v>6</v>
      </c>
      <c r="O1411" s="1">
        <v>5</v>
      </c>
      <c r="P1411" s="1">
        <v>4</v>
      </c>
      <c r="Q1411" s="1">
        <f t="shared" ref="Q1411:Q1474" si="285">SUM(M1411:P1411)</f>
        <v>21</v>
      </c>
      <c r="R1411" s="12">
        <f t="shared" si="282"/>
        <v>0.52500000000000002</v>
      </c>
      <c r="S1411" s="1">
        <v>7</v>
      </c>
      <c r="T1411" s="1">
        <v>5</v>
      </c>
      <c r="U1411" s="1">
        <f t="shared" ref="U1411:U1474" si="286">SUM(S1411:T1411)</f>
        <v>12</v>
      </c>
      <c r="V1411" s="12">
        <f t="shared" si="283"/>
        <v>0.6</v>
      </c>
      <c r="Z1411" s="1">
        <f t="shared" ref="Z1411:Z1474" si="287">SUM(W1411:Y1411)</f>
        <v>0</v>
      </c>
      <c r="AB1411" s="2" t="s">
        <v>1366</v>
      </c>
    </row>
    <row r="1412" spans="1:28" x14ac:dyDescent="0.25">
      <c r="A1412" s="1" t="s">
        <v>1685</v>
      </c>
      <c r="B1412" s="1" t="s">
        <v>576</v>
      </c>
      <c r="C1412" s="1" t="s">
        <v>861</v>
      </c>
      <c r="D1412" s="1">
        <v>24</v>
      </c>
      <c r="E1412" s="1">
        <v>1</v>
      </c>
      <c r="F1412" s="1">
        <v>1</v>
      </c>
      <c r="G1412" s="1">
        <v>4</v>
      </c>
      <c r="H1412" s="1">
        <v>4</v>
      </c>
      <c r="I1412" s="1">
        <v>4</v>
      </c>
      <c r="J1412" s="1">
        <v>4</v>
      </c>
      <c r="K1412" s="1">
        <f t="shared" si="284"/>
        <v>16</v>
      </c>
      <c r="L1412" s="12">
        <f t="shared" si="281"/>
        <v>0.4</v>
      </c>
      <c r="M1412" s="1">
        <v>5</v>
      </c>
      <c r="N1412" s="1">
        <v>4</v>
      </c>
      <c r="O1412" s="1">
        <v>3</v>
      </c>
      <c r="P1412" s="1">
        <v>3</v>
      </c>
      <c r="Q1412" s="1">
        <f t="shared" si="285"/>
        <v>15</v>
      </c>
      <c r="R1412" s="12">
        <f t="shared" si="282"/>
        <v>0.375</v>
      </c>
      <c r="S1412" s="1">
        <v>4</v>
      </c>
      <c r="T1412" s="1">
        <v>4</v>
      </c>
      <c r="U1412" s="1">
        <f t="shared" si="286"/>
        <v>8</v>
      </c>
      <c r="V1412" s="12">
        <f t="shared" si="283"/>
        <v>0.4</v>
      </c>
      <c r="Z1412" s="1">
        <f t="shared" si="287"/>
        <v>0</v>
      </c>
      <c r="AB1412" s="2" t="s">
        <v>1367</v>
      </c>
    </row>
    <row r="1413" spans="1:28" x14ac:dyDescent="0.25">
      <c r="A1413" s="1" t="s">
        <v>1685</v>
      </c>
      <c r="B1413" s="1" t="s">
        <v>576</v>
      </c>
      <c r="C1413" s="1" t="s">
        <v>861</v>
      </c>
      <c r="D1413" s="1">
        <v>25</v>
      </c>
      <c r="E1413" s="1">
        <v>2</v>
      </c>
      <c r="F1413" s="1">
        <v>4</v>
      </c>
      <c r="G1413" s="1">
        <v>7</v>
      </c>
      <c r="H1413" s="1">
        <v>5</v>
      </c>
      <c r="I1413" s="1">
        <v>5</v>
      </c>
      <c r="J1413" s="1">
        <v>4</v>
      </c>
      <c r="K1413" s="1">
        <f t="shared" si="284"/>
        <v>21</v>
      </c>
      <c r="L1413" s="12">
        <f t="shared" si="281"/>
        <v>0.52500000000000002</v>
      </c>
      <c r="M1413" s="1">
        <v>6</v>
      </c>
      <c r="N1413" s="1">
        <v>4</v>
      </c>
      <c r="O1413" s="1">
        <v>5</v>
      </c>
      <c r="P1413" s="1">
        <v>6</v>
      </c>
      <c r="Q1413" s="1">
        <f t="shared" si="285"/>
        <v>21</v>
      </c>
      <c r="R1413" s="12">
        <f t="shared" si="282"/>
        <v>0.52500000000000002</v>
      </c>
      <c r="S1413" s="1">
        <v>6</v>
      </c>
      <c r="T1413" s="1">
        <v>5</v>
      </c>
      <c r="U1413" s="1">
        <f t="shared" si="286"/>
        <v>11</v>
      </c>
      <c r="V1413" s="12">
        <f t="shared" si="283"/>
        <v>0.55000000000000004</v>
      </c>
      <c r="Z1413" s="1">
        <f t="shared" si="287"/>
        <v>0</v>
      </c>
      <c r="AB1413" s="2" t="s">
        <v>1517</v>
      </c>
    </row>
    <row r="1414" spans="1:28" x14ac:dyDescent="0.25">
      <c r="A1414" s="1" t="s">
        <v>1685</v>
      </c>
      <c r="B1414" s="1" t="s">
        <v>576</v>
      </c>
      <c r="C1414" s="1" t="s">
        <v>861</v>
      </c>
      <c r="D1414" s="1">
        <v>25</v>
      </c>
      <c r="E1414" s="1">
        <v>2</v>
      </c>
      <c r="F1414" s="1">
        <v>4</v>
      </c>
      <c r="G1414" s="1">
        <v>7</v>
      </c>
      <c r="H1414" s="1">
        <v>6</v>
      </c>
      <c r="I1414" s="1">
        <v>5</v>
      </c>
      <c r="J1414" s="1">
        <v>6</v>
      </c>
      <c r="K1414" s="1">
        <f t="shared" si="284"/>
        <v>24</v>
      </c>
      <c r="L1414" s="12">
        <f t="shared" si="281"/>
        <v>0.6</v>
      </c>
      <c r="M1414" s="1">
        <v>6</v>
      </c>
      <c r="N1414" s="1">
        <v>5</v>
      </c>
      <c r="O1414" s="1">
        <v>7</v>
      </c>
      <c r="P1414" s="1">
        <v>7</v>
      </c>
      <c r="Q1414" s="1">
        <f t="shared" si="285"/>
        <v>25</v>
      </c>
      <c r="R1414" s="12">
        <f t="shared" si="282"/>
        <v>0.625</v>
      </c>
      <c r="S1414" s="1">
        <v>7</v>
      </c>
      <c r="T1414" s="1">
        <v>5</v>
      </c>
      <c r="U1414" s="1">
        <f t="shared" si="286"/>
        <v>12</v>
      </c>
      <c r="V1414" s="12">
        <f t="shared" si="283"/>
        <v>0.6</v>
      </c>
      <c r="Z1414" s="1">
        <f t="shared" si="287"/>
        <v>0</v>
      </c>
      <c r="AB1414" s="2" t="s">
        <v>1518</v>
      </c>
    </row>
    <row r="1415" spans="1:28" x14ac:dyDescent="0.25">
      <c r="A1415" s="1" t="s">
        <v>1685</v>
      </c>
      <c r="B1415" s="1" t="s">
        <v>576</v>
      </c>
      <c r="C1415" s="1" t="s">
        <v>861</v>
      </c>
      <c r="D1415" s="1">
        <v>25</v>
      </c>
      <c r="E1415" s="1">
        <v>2</v>
      </c>
      <c r="F1415" s="1">
        <v>4</v>
      </c>
      <c r="G1415" s="1">
        <v>8</v>
      </c>
      <c r="H1415" s="1">
        <v>8</v>
      </c>
      <c r="I1415" s="1">
        <v>7</v>
      </c>
      <c r="J1415" s="1">
        <v>8</v>
      </c>
      <c r="K1415" s="1">
        <f t="shared" si="284"/>
        <v>31</v>
      </c>
      <c r="L1415" s="12">
        <f t="shared" si="281"/>
        <v>0.77500000000000002</v>
      </c>
      <c r="M1415" s="1">
        <v>8</v>
      </c>
      <c r="N1415" s="1">
        <v>7</v>
      </c>
      <c r="O1415" s="1">
        <v>8</v>
      </c>
      <c r="P1415" s="1">
        <v>7</v>
      </c>
      <c r="Q1415" s="1">
        <f t="shared" si="285"/>
        <v>30</v>
      </c>
      <c r="R1415" s="12">
        <f t="shared" si="282"/>
        <v>0.75</v>
      </c>
      <c r="S1415" s="1">
        <v>6</v>
      </c>
      <c r="T1415" s="1">
        <v>7</v>
      </c>
      <c r="U1415" s="1">
        <f t="shared" si="286"/>
        <v>13</v>
      </c>
      <c r="V1415" s="12">
        <f t="shared" si="283"/>
        <v>0.65</v>
      </c>
      <c r="Z1415" s="1">
        <f t="shared" si="287"/>
        <v>0</v>
      </c>
      <c r="AB1415" s="2" t="s">
        <v>1519</v>
      </c>
    </row>
    <row r="1416" spans="1:28" x14ac:dyDescent="0.25">
      <c r="A1416" s="1" t="s">
        <v>1685</v>
      </c>
      <c r="B1416" s="1" t="s">
        <v>576</v>
      </c>
      <c r="C1416" s="1" t="s">
        <v>861</v>
      </c>
      <c r="D1416" s="1">
        <v>25</v>
      </c>
      <c r="E1416" s="1">
        <v>2</v>
      </c>
      <c r="F1416" s="1">
        <v>4</v>
      </c>
      <c r="G1416" s="1">
        <v>4</v>
      </c>
      <c r="H1416" s="1">
        <v>4</v>
      </c>
      <c r="I1416" s="1">
        <v>5</v>
      </c>
      <c r="J1416" s="1">
        <v>2</v>
      </c>
      <c r="K1416" s="1">
        <f t="shared" si="284"/>
        <v>15</v>
      </c>
      <c r="L1416" s="12">
        <f t="shared" si="281"/>
        <v>0.375</v>
      </c>
      <c r="M1416" s="1">
        <v>4</v>
      </c>
      <c r="N1416" s="1">
        <v>3</v>
      </c>
      <c r="O1416" s="1">
        <v>3</v>
      </c>
      <c r="P1416" s="1">
        <v>3</v>
      </c>
      <c r="Q1416" s="1">
        <f t="shared" si="285"/>
        <v>13</v>
      </c>
      <c r="R1416" s="12">
        <f t="shared" si="282"/>
        <v>0.32500000000000001</v>
      </c>
      <c r="S1416" s="1">
        <v>2</v>
      </c>
      <c r="T1416" s="1">
        <v>4</v>
      </c>
      <c r="U1416" s="1">
        <f t="shared" si="286"/>
        <v>6</v>
      </c>
      <c r="V1416" s="12">
        <f t="shared" si="283"/>
        <v>0.3</v>
      </c>
      <c r="Z1416" s="1">
        <f t="shared" si="287"/>
        <v>0</v>
      </c>
      <c r="AB1416" s="2" t="s">
        <v>1520</v>
      </c>
    </row>
    <row r="1417" spans="1:28" x14ac:dyDescent="0.25">
      <c r="A1417" s="1" t="s">
        <v>1685</v>
      </c>
      <c r="B1417" s="1" t="s">
        <v>576</v>
      </c>
      <c r="C1417" s="1" t="s">
        <v>861</v>
      </c>
      <c r="D1417" s="1">
        <v>25</v>
      </c>
      <c r="E1417" s="1">
        <v>2</v>
      </c>
      <c r="F1417" s="1">
        <v>4</v>
      </c>
      <c r="G1417" s="1">
        <v>7</v>
      </c>
      <c r="H1417" s="1">
        <v>7</v>
      </c>
      <c r="I1417" s="1">
        <v>6</v>
      </c>
      <c r="J1417" s="1">
        <v>6</v>
      </c>
      <c r="K1417" s="1">
        <f t="shared" si="284"/>
        <v>26</v>
      </c>
      <c r="L1417" s="12">
        <f t="shared" si="281"/>
        <v>0.65</v>
      </c>
      <c r="M1417" s="1">
        <v>6</v>
      </c>
      <c r="N1417" s="1">
        <v>7</v>
      </c>
      <c r="O1417" s="1">
        <v>7</v>
      </c>
      <c r="P1417" s="1">
        <v>6</v>
      </c>
      <c r="Q1417" s="1">
        <f t="shared" si="285"/>
        <v>26</v>
      </c>
      <c r="R1417" s="12">
        <f t="shared" si="282"/>
        <v>0.65</v>
      </c>
      <c r="S1417" s="1">
        <v>7</v>
      </c>
      <c r="T1417" s="1">
        <v>7</v>
      </c>
      <c r="U1417" s="1">
        <f t="shared" si="286"/>
        <v>14</v>
      </c>
      <c r="V1417" s="12">
        <f t="shared" si="283"/>
        <v>0.7</v>
      </c>
      <c r="Z1417" s="1">
        <f t="shared" si="287"/>
        <v>0</v>
      </c>
      <c r="AB1417" s="2" t="s">
        <v>1521</v>
      </c>
    </row>
    <row r="1418" spans="1:28" x14ac:dyDescent="0.25">
      <c r="A1418" s="1" t="s">
        <v>1685</v>
      </c>
      <c r="B1418" s="1" t="s">
        <v>576</v>
      </c>
      <c r="C1418" s="1" t="s">
        <v>861</v>
      </c>
      <c r="D1418" s="1">
        <v>25</v>
      </c>
      <c r="E1418" s="1">
        <v>2</v>
      </c>
      <c r="F1418" s="1">
        <v>4</v>
      </c>
      <c r="G1418" s="1">
        <v>7</v>
      </c>
      <c r="H1418" s="1">
        <v>6</v>
      </c>
      <c r="I1418" s="1">
        <v>5</v>
      </c>
      <c r="J1418" s="1">
        <v>5</v>
      </c>
      <c r="K1418" s="1">
        <f t="shared" si="284"/>
        <v>23</v>
      </c>
      <c r="L1418" s="12">
        <f t="shared" si="281"/>
        <v>0.57499999999999996</v>
      </c>
      <c r="M1418" s="1">
        <v>6</v>
      </c>
      <c r="N1418" s="1">
        <v>6</v>
      </c>
      <c r="O1418" s="1">
        <v>5</v>
      </c>
      <c r="P1418" s="1">
        <v>4</v>
      </c>
      <c r="Q1418" s="1">
        <f t="shared" si="285"/>
        <v>21</v>
      </c>
      <c r="R1418" s="12">
        <f t="shared" si="282"/>
        <v>0.52500000000000002</v>
      </c>
      <c r="S1418" s="1">
        <v>4</v>
      </c>
      <c r="T1418" s="1">
        <v>5</v>
      </c>
      <c r="U1418" s="1">
        <f t="shared" si="286"/>
        <v>9</v>
      </c>
      <c r="V1418" s="12">
        <f t="shared" si="283"/>
        <v>0.45</v>
      </c>
      <c r="Z1418" s="1">
        <f t="shared" si="287"/>
        <v>0</v>
      </c>
      <c r="AB1418" s="2" t="s">
        <v>1522</v>
      </c>
    </row>
    <row r="1419" spans="1:28" x14ac:dyDescent="0.25">
      <c r="A1419" s="1" t="s">
        <v>1686</v>
      </c>
      <c r="B1419" s="1" t="s">
        <v>35</v>
      </c>
      <c r="C1419" s="1" t="s">
        <v>36</v>
      </c>
      <c r="D1419" s="1">
        <v>19</v>
      </c>
      <c r="E1419" s="1">
        <v>1</v>
      </c>
      <c r="F1419" s="1">
        <v>1</v>
      </c>
      <c r="G1419" s="1">
        <v>5</v>
      </c>
      <c r="H1419" s="1">
        <v>4</v>
      </c>
      <c r="I1419" s="1">
        <v>5</v>
      </c>
      <c r="J1419" s="1">
        <v>3</v>
      </c>
      <c r="K1419" s="1">
        <f t="shared" si="284"/>
        <v>17</v>
      </c>
      <c r="L1419" s="12">
        <f t="shared" ref="L1419:L1464" si="288">K1419/35</f>
        <v>0.48571428571428571</v>
      </c>
      <c r="M1419" s="1">
        <v>5</v>
      </c>
      <c r="N1419" s="1">
        <v>6</v>
      </c>
      <c r="O1419" s="1">
        <v>5</v>
      </c>
      <c r="P1419" s="1">
        <v>4</v>
      </c>
      <c r="Q1419" s="1">
        <f t="shared" si="285"/>
        <v>20</v>
      </c>
      <c r="R1419" s="12">
        <f t="shared" ref="R1419:R1464" si="289">Q1419/35</f>
        <v>0.5714285714285714</v>
      </c>
      <c r="S1419" s="1">
        <v>5</v>
      </c>
      <c r="T1419" s="1">
        <v>4</v>
      </c>
      <c r="U1419" s="1">
        <f t="shared" si="286"/>
        <v>9</v>
      </c>
      <c r="V1419" s="12">
        <f t="shared" ref="V1419:V1464" si="290">U1419/15</f>
        <v>0.6</v>
      </c>
      <c r="W1419" s="1">
        <v>4</v>
      </c>
      <c r="X1419" s="1">
        <v>4</v>
      </c>
      <c r="Y1419" s="1">
        <v>3</v>
      </c>
      <c r="Z1419" s="1">
        <f t="shared" si="287"/>
        <v>11</v>
      </c>
      <c r="AA1419" s="12">
        <f t="shared" ref="AA1419:AA1464" si="291">Z1419/15</f>
        <v>0.73333333333333328</v>
      </c>
      <c r="AB1419" s="2" t="s">
        <v>57</v>
      </c>
    </row>
    <row r="1420" spans="1:28" x14ac:dyDescent="0.25">
      <c r="A1420" s="1" t="s">
        <v>1686</v>
      </c>
      <c r="B1420" s="1" t="s">
        <v>35</v>
      </c>
      <c r="C1420" s="1" t="s">
        <v>36</v>
      </c>
      <c r="D1420" s="1">
        <v>19</v>
      </c>
      <c r="E1420" s="1">
        <v>1</v>
      </c>
      <c r="F1420" s="1">
        <v>1</v>
      </c>
      <c r="G1420" s="1">
        <v>6</v>
      </c>
      <c r="H1420" s="1">
        <v>5</v>
      </c>
      <c r="I1420" s="1">
        <v>6</v>
      </c>
      <c r="J1420" s="1">
        <v>4</v>
      </c>
      <c r="K1420" s="1">
        <f t="shared" si="284"/>
        <v>21</v>
      </c>
      <c r="L1420" s="12">
        <f t="shared" si="288"/>
        <v>0.6</v>
      </c>
      <c r="M1420" s="1">
        <v>6</v>
      </c>
      <c r="N1420" s="1">
        <v>6</v>
      </c>
      <c r="O1420" s="1">
        <v>6</v>
      </c>
      <c r="P1420" s="1">
        <v>4</v>
      </c>
      <c r="Q1420" s="1">
        <f t="shared" si="285"/>
        <v>22</v>
      </c>
      <c r="R1420" s="12">
        <f t="shared" si="289"/>
        <v>0.62857142857142856</v>
      </c>
      <c r="S1420" s="1">
        <v>6</v>
      </c>
      <c r="T1420" s="1">
        <v>3</v>
      </c>
      <c r="U1420" s="1">
        <f t="shared" si="286"/>
        <v>9</v>
      </c>
      <c r="V1420" s="12">
        <f t="shared" si="290"/>
        <v>0.6</v>
      </c>
      <c r="W1420" s="1">
        <v>3</v>
      </c>
      <c r="X1420" s="1">
        <v>4</v>
      </c>
      <c r="Y1420" s="1">
        <v>3</v>
      </c>
      <c r="Z1420" s="1">
        <f t="shared" si="287"/>
        <v>10</v>
      </c>
      <c r="AA1420" s="12">
        <f t="shared" si="291"/>
        <v>0.66666666666666663</v>
      </c>
      <c r="AB1420" s="2" t="s">
        <v>58</v>
      </c>
    </row>
    <row r="1421" spans="1:28" x14ac:dyDescent="0.25">
      <c r="A1421" s="1" t="s">
        <v>1686</v>
      </c>
      <c r="B1421" s="1" t="s">
        <v>35</v>
      </c>
      <c r="C1421" s="1" t="s">
        <v>36</v>
      </c>
      <c r="D1421" s="1">
        <v>19</v>
      </c>
      <c r="E1421" s="1">
        <v>1</v>
      </c>
      <c r="F1421" s="1">
        <v>1</v>
      </c>
      <c r="G1421" s="1">
        <v>7</v>
      </c>
      <c r="H1421" s="1">
        <v>6</v>
      </c>
      <c r="I1421" s="1">
        <v>5</v>
      </c>
      <c r="J1421" s="1">
        <v>5</v>
      </c>
      <c r="K1421" s="1">
        <f t="shared" si="284"/>
        <v>23</v>
      </c>
      <c r="L1421" s="12">
        <f t="shared" si="288"/>
        <v>0.65714285714285714</v>
      </c>
      <c r="M1421" s="1">
        <v>6</v>
      </c>
      <c r="N1421" s="1">
        <v>6</v>
      </c>
      <c r="O1421" s="1">
        <v>6</v>
      </c>
      <c r="P1421" s="1">
        <v>4</v>
      </c>
      <c r="Q1421" s="1">
        <f t="shared" si="285"/>
        <v>22</v>
      </c>
      <c r="R1421" s="12">
        <f t="shared" si="289"/>
        <v>0.62857142857142856</v>
      </c>
      <c r="S1421" s="1">
        <v>6</v>
      </c>
      <c r="T1421" s="1">
        <v>4</v>
      </c>
      <c r="U1421" s="1">
        <f t="shared" si="286"/>
        <v>10</v>
      </c>
      <c r="V1421" s="12">
        <f t="shared" si="290"/>
        <v>0.66666666666666663</v>
      </c>
      <c r="W1421" s="1">
        <v>4</v>
      </c>
      <c r="X1421" s="1">
        <v>4</v>
      </c>
      <c r="Y1421" s="1">
        <v>4</v>
      </c>
      <c r="Z1421" s="1">
        <f t="shared" si="287"/>
        <v>12</v>
      </c>
      <c r="AA1421" s="12">
        <f t="shared" si="291"/>
        <v>0.8</v>
      </c>
      <c r="AB1421" s="2" t="s">
        <v>59</v>
      </c>
    </row>
    <row r="1422" spans="1:28" x14ac:dyDescent="0.25">
      <c r="A1422" s="1" t="s">
        <v>1686</v>
      </c>
      <c r="B1422" s="1" t="s">
        <v>35</v>
      </c>
      <c r="C1422" s="1" t="s">
        <v>36</v>
      </c>
      <c r="D1422" s="1">
        <v>19</v>
      </c>
      <c r="E1422" s="1">
        <v>1</v>
      </c>
      <c r="F1422" s="1">
        <v>1</v>
      </c>
      <c r="G1422" s="1">
        <v>7</v>
      </c>
      <c r="H1422" s="1">
        <v>6</v>
      </c>
      <c r="I1422" s="1">
        <v>6</v>
      </c>
      <c r="J1422" s="1">
        <v>5</v>
      </c>
      <c r="K1422" s="1">
        <f t="shared" si="284"/>
        <v>24</v>
      </c>
      <c r="L1422" s="12">
        <f t="shared" si="288"/>
        <v>0.68571428571428572</v>
      </c>
      <c r="M1422" s="1">
        <v>6</v>
      </c>
      <c r="N1422" s="1">
        <v>6</v>
      </c>
      <c r="O1422" s="1">
        <v>6</v>
      </c>
      <c r="P1422" s="1">
        <v>5</v>
      </c>
      <c r="Q1422" s="1">
        <f t="shared" si="285"/>
        <v>23</v>
      </c>
      <c r="R1422" s="12">
        <f t="shared" si="289"/>
        <v>0.65714285714285714</v>
      </c>
      <c r="S1422" s="1">
        <v>6</v>
      </c>
      <c r="T1422" s="1">
        <v>5</v>
      </c>
      <c r="U1422" s="1">
        <f t="shared" si="286"/>
        <v>11</v>
      </c>
      <c r="V1422" s="12">
        <f t="shared" si="290"/>
        <v>0.73333333333333328</v>
      </c>
      <c r="W1422" s="1">
        <v>5</v>
      </c>
      <c r="X1422" s="1">
        <v>5</v>
      </c>
      <c r="Y1422" s="1">
        <v>5</v>
      </c>
      <c r="Z1422" s="1">
        <f t="shared" si="287"/>
        <v>15</v>
      </c>
      <c r="AA1422" s="12">
        <f t="shared" si="291"/>
        <v>1</v>
      </c>
      <c r="AB1422" s="2" t="s">
        <v>60</v>
      </c>
    </row>
    <row r="1423" spans="1:28" x14ac:dyDescent="0.25">
      <c r="A1423" s="1" t="s">
        <v>1686</v>
      </c>
      <c r="B1423" s="1" t="s">
        <v>35</v>
      </c>
      <c r="C1423" s="1" t="s">
        <v>36</v>
      </c>
      <c r="D1423" s="1">
        <v>19</v>
      </c>
      <c r="E1423" s="1">
        <v>1</v>
      </c>
      <c r="F1423" s="1">
        <v>1</v>
      </c>
      <c r="G1423" s="1">
        <v>7</v>
      </c>
      <c r="H1423" s="1">
        <v>7</v>
      </c>
      <c r="I1423" s="1">
        <v>7</v>
      </c>
      <c r="J1423" s="1">
        <v>5</v>
      </c>
      <c r="K1423" s="1">
        <f t="shared" si="284"/>
        <v>26</v>
      </c>
      <c r="L1423" s="12">
        <f t="shared" si="288"/>
        <v>0.74285714285714288</v>
      </c>
      <c r="M1423" s="1">
        <v>7</v>
      </c>
      <c r="N1423" s="1">
        <v>7</v>
      </c>
      <c r="O1423" s="1">
        <v>7</v>
      </c>
      <c r="P1423" s="1">
        <v>5</v>
      </c>
      <c r="Q1423" s="1">
        <f t="shared" si="285"/>
        <v>26</v>
      </c>
      <c r="R1423" s="12">
        <f t="shared" si="289"/>
        <v>0.74285714285714288</v>
      </c>
      <c r="S1423" s="1">
        <v>7</v>
      </c>
      <c r="T1423" s="1">
        <v>5</v>
      </c>
      <c r="U1423" s="1">
        <f t="shared" si="286"/>
        <v>12</v>
      </c>
      <c r="V1423" s="12">
        <f t="shared" si="290"/>
        <v>0.8</v>
      </c>
      <c r="W1423" s="1">
        <v>5</v>
      </c>
      <c r="X1423" s="1">
        <v>5</v>
      </c>
      <c r="Y1423" s="1">
        <v>5</v>
      </c>
      <c r="Z1423" s="1">
        <f t="shared" si="287"/>
        <v>15</v>
      </c>
      <c r="AA1423" s="12">
        <f t="shared" si="291"/>
        <v>1</v>
      </c>
      <c r="AB1423" s="2" t="s">
        <v>61</v>
      </c>
    </row>
    <row r="1424" spans="1:28" x14ac:dyDescent="0.25">
      <c r="A1424" s="1" t="s">
        <v>1686</v>
      </c>
      <c r="B1424" s="1" t="s">
        <v>35</v>
      </c>
      <c r="C1424" s="1" t="s">
        <v>36</v>
      </c>
      <c r="D1424" s="1">
        <v>19</v>
      </c>
      <c r="E1424" s="1">
        <v>1</v>
      </c>
      <c r="F1424" s="1">
        <v>1</v>
      </c>
      <c r="G1424" s="1">
        <v>7</v>
      </c>
      <c r="H1424" s="1">
        <v>7</v>
      </c>
      <c r="I1424" s="1">
        <v>7</v>
      </c>
      <c r="J1424" s="1">
        <v>5</v>
      </c>
      <c r="K1424" s="1">
        <f t="shared" si="284"/>
        <v>26</v>
      </c>
      <c r="L1424" s="12">
        <f t="shared" si="288"/>
        <v>0.74285714285714288</v>
      </c>
      <c r="M1424" s="1">
        <v>7</v>
      </c>
      <c r="N1424" s="1">
        <v>7</v>
      </c>
      <c r="O1424" s="1">
        <v>7</v>
      </c>
      <c r="P1424" s="1">
        <v>5</v>
      </c>
      <c r="Q1424" s="1">
        <f t="shared" si="285"/>
        <v>26</v>
      </c>
      <c r="R1424" s="12">
        <f t="shared" si="289"/>
        <v>0.74285714285714288</v>
      </c>
      <c r="S1424" s="1">
        <v>7</v>
      </c>
      <c r="T1424" s="1">
        <v>5</v>
      </c>
      <c r="U1424" s="1">
        <f t="shared" si="286"/>
        <v>12</v>
      </c>
      <c r="V1424" s="12">
        <f t="shared" si="290"/>
        <v>0.8</v>
      </c>
      <c r="W1424" s="1">
        <v>4</v>
      </c>
      <c r="X1424" s="1">
        <v>5</v>
      </c>
      <c r="Y1424" s="1">
        <v>5</v>
      </c>
      <c r="Z1424" s="1">
        <f t="shared" si="287"/>
        <v>14</v>
      </c>
      <c r="AA1424" s="12">
        <f t="shared" si="291"/>
        <v>0.93333333333333335</v>
      </c>
      <c r="AB1424" s="2" t="s">
        <v>62</v>
      </c>
    </row>
    <row r="1425" spans="1:28" x14ac:dyDescent="0.25">
      <c r="A1425" s="1" t="s">
        <v>1686</v>
      </c>
      <c r="B1425" s="1" t="s">
        <v>35</v>
      </c>
      <c r="C1425" s="1" t="s">
        <v>36</v>
      </c>
      <c r="D1425" s="1">
        <v>19</v>
      </c>
      <c r="E1425" s="1">
        <v>1</v>
      </c>
      <c r="F1425" s="1">
        <v>1</v>
      </c>
      <c r="G1425" s="1">
        <v>7</v>
      </c>
      <c r="H1425" s="1">
        <v>7</v>
      </c>
      <c r="I1425" s="1">
        <v>7</v>
      </c>
      <c r="J1425" s="1">
        <v>5</v>
      </c>
      <c r="K1425" s="1">
        <f t="shared" si="284"/>
        <v>26</v>
      </c>
      <c r="L1425" s="12">
        <f t="shared" si="288"/>
        <v>0.74285714285714288</v>
      </c>
      <c r="M1425" s="1">
        <v>7</v>
      </c>
      <c r="N1425" s="1">
        <v>7</v>
      </c>
      <c r="O1425" s="1">
        <v>7</v>
      </c>
      <c r="P1425" s="1">
        <v>5</v>
      </c>
      <c r="Q1425" s="1">
        <f t="shared" si="285"/>
        <v>26</v>
      </c>
      <c r="R1425" s="12">
        <f t="shared" si="289"/>
        <v>0.74285714285714288</v>
      </c>
      <c r="S1425" s="1">
        <v>7</v>
      </c>
      <c r="T1425" s="1">
        <v>5</v>
      </c>
      <c r="U1425" s="1">
        <f t="shared" si="286"/>
        <v>12</v>
      </c>
      <c r="V1425" s="12">
        <f t="shared" si="290"/>
        <v>0.8</v>
      </c>
      <c r="W1425" s="1">
        <v>5</v>
      </c>
      <c r="X1425" s="1">
        <v>5</v>
      </c>
      <c r="Y1425" s="1">
        <v>5</v>
      </c>
      <c r="Z1425" s="1">
        <f t="shared" si="287"/>
        <v>15</v>
      </c>
      <c r="AA1425" s="12">
        <f t="shared" si="291"/>
        <v>1</v>
      </c>
      <c r="AB1425" s="2" t="s">
        <v>63</v>
      </c>
    </row>
    <row r="1426" spans="1:28" x14ac:dyDescent="0.25">
      <c r="A1426" s="1" t="s">
        <v>1686</v>
      </c>
      <c r="B1426" s="1" t="s">
        <v>35</v>
      </c>
      <c r="C1426" s="1" t="s">
        <v>36</v>
      </c>
      <c r="D1426" s="1">
        <v>19</v>
      </c>
      <c r="E1426" s="1">
        <v>1</v>
      </c>
      <c r="F1426" s="1">
        <v>1</v>
      </c>
      <c r="G1426" s="1">
        <v>7</v>
      </c>
      <c r="H1426" s="1">
        <v>5</v>
      </c>
      <c r="I1426" s="1">
        <v>6</v>
      </c>
      <c r="J1426" s="1">
        <v>5</v>
      </c>
      <c r="K1426" s="1">
        <f t="shared" si="284"/>
        <v>23</v>
      </c>
      <c r="L1426" s="12">
        <f t="shared" si="288"/>
        <v>0.65714285714285714</v>
      </c>
      <c r="M1426" s="1">
        <v>5</v>
      </c>
      <c r="N1426" s="1">
        <v>5</v>
      </c>
      <c r="O1426" s="1">
        <v>7</v>
      </c>
      <c r="P1426" s="1">
        <v>5</v>
      </c>
      <c r="Q1426" s="1">
        <f t="shared" si="285"/>
        <v>22</v>
      </c>
      <c r="R1426" s="12">
        <f t="shared" si="289"/>
        <v>0.62857142857142856</v>
      </c>
      <c r="S1426" s="1">
        <v>6</v>
      </c>
      <c r="T1426" s="1">
        <v>4</v>
      </c>
      <c r="U1426" s="1">
        <f t="shared" si="286"/>
        <v>10</v>
      </c>
      <c r="V1426" s="12">
        <f t="shared" si="290"/>
        <v>0.66666666666666663</v>
      </c>
      <c r="W1426" s="1">
        <v>4</v>
      </c>
      <c r="X1426" s="1">
        <v>4</v>
      </c>
      <c r="Y1426" s="1">
        <v>4</v>
      </c>
      <c r="Z1426" s="1">
        <f t="shared" si="287"/>
        <v>12</v>
      </c>
      <c r="AA1426" s="12">
        <f t="shared" si="291"/>
        <v>0.8</v>
      </c>
      <c r="AB1426" s="2" t="s">
        <v>64</v>
      </c>
    </row>
    <row r="1427" spans="1:28" x14ac:dyDescent="0.25">
      <c r="A1427" s="1" t="s">
        <v>1686</v>
      </c>
      <c r="B1427" s="1" t="s">
        <v>35</v>
      </c>
      <c r="C1427" s="1" t="s">
        <v>36</v>
      </c>
      <c r="D1427" s="1">
        <v>19</v>
      </c>
      <c r="E1427" s="1">
        <v>1</v>
      </c>
      <c r="F1427" s="1">
        <v>1</v>
      </c>
      <c r="G1427" s="1">
        <v>6</v>
      </c>
      <c r="H1427" s="1">
        <v>6</v>
      </c>
      <c r="I1427" s="1">
        <v>5</v>
      </c>
      <c r="J1427" s="1">
        <v>4</v>
      </c>
      <c r="K1427" s="1">
        <f t="shared" si="284"/>
        <v>21</v>
      </c>
      <c r="L1427" s="12">
        <f t="shared" si="288"/>
        <v>0.6</v>
      </c>
      <c r="M1427" s="1">
        <v>7</v>
      </c>
      <c r="N1427" s="1">
        <v>6</v>
      </c>
      <c r="O1427" s="1">
        <v>7</v>
      </c>
      <c r="P1427" s="1">
        <v>5</v>
      </c>
      <c r="Q1427" s="1">
        <f t="shared" si="285"/>
        <v>25</v>
      </c>
      <c r="R1427" s="12">
        <f t="shared" si="289"/>
        <v>0.7142857142857143</v>
      </c>
      <c r="S1427" s="1">
        <v>7</v>
      </c>
      <c r="T1427" s="1">
        <v>3</v>
      </c>
      <c r="U1427" s="1">
        <f t="shared" si="286"/>
        <v>10</v>
      </c>
      <c r="V1427" s="12">
        <f t="shared" si="290"/>
        <v>0.66666666666666663</v>
      </c>
      <c r="W1427" s="1">
        <v>5</v>
      </c>
      <c r="X1427" s="1">
        <v>5</v>
      </c>
      <c r="Y1427" s="1">
        <v>4</v>
      </c>
      <c r="Z1427" s="1">
        <f t="shared" si="287"/>
        <v>14</v>
      </c>
      <c r="AA1427" s="12">
        <f t="shared" si="291"/>
        <v>0.93333333333333335</v>
      </c>
      <c r="AB1427" s="2" t="s">
        <v>65</v>
      </c>
    </row>
    <row r="1428" spans="1:28" x14ac:dyDescent="0.25">
      <c r="A1428" s="1" t="s">
        <v>1686</v>
      </c>
      <c r="B1428" s="1" t="s">
        <v>35</v>
      </c>
      <c r="C1428" s="1" t="s">
        <v>36</v>
      </c>
      <c r="D1428" s="1">
        <v>20</v>
      </c>
      <c r="E1428" s="1">
        <v>2</v>
      </c>
      <c r="F1428" s="1">
        <v>1</v>
      </c>
      <c r="G1428" s="1">
        <v>3</v>
      </c>
      <c r="H1428" s="1">
        <v>2</v>
      </c>
      <c r="I1428" s="1">
        <v>2</v>
      </c>
      <c r="J1428" s="1">
        <v>2</v>
      </c>
      <c r="K1428" s="1">
        <f t="shared" si="284"/>
        <v>9</v>
      </c>
      <c r="L1428" s="12">
        <f t="shared" si="288"/>
        <v>0.25714285714285712</v>
      </c>
      <c r="M1428" s="1">
        <v>3</v>
      </c>
      <c r="N1428" s="1">
        <v>2</v>
      </c>
      <c r="O1428" s="1">
        <v>2</v>
      </c>
      <c r="P1428" s="1">
        <v>2</v>
      </c>
      <c r="Q1428" s="1">
        <f t="shared" si="285"/>
        <v>9</v>
      </c>
      <c r="R1428" s="12">
        <f t="shared" si="289"/>
        <v>0.25714285714285712</v>
      </c>
      <c r="S1428" s="1">
        <v>4</v>
      </c>
      <c r="T1428" s="1">
        <v>3</v>
      </c>
      <c r="U1428" s="1">
        <f t="shared" si="286"/>
        <v>7</v>
      </c>
      <c r="V1428" s="12">
        <f t="shared" si="290"/>
        <v>0.46666666666666667</v>
      </c>
      <c r="W1428" s="1">
        <v>3</v>
      </c>
      <c r="X1428" s="1">
        <v>2</v>
      </c>
      <c r="Y1428" s="1">
        <v>2</v>
      </c>
      <c r="Z1428" s="1">
        <f t="shared" si="287"/>
        <v>7</v>
      </c>
      <c r="AA1428" s="12">
        <f t="shared" si="291"/>
        <v>0.46666666666666667</v>
      </c>
      <c r="AB1428" s="2" t="s">
        <v>262</v>
      </c>
    </row>
    <row r="1429" spans="1:28" x14ac:dyDescent="0.25">
      <c r="A1429" s="1" t="s">
        <v>1686</v>
      </c>
      <c r="B1429" s="1" t="s">
        <v>35</v>
      </c>
      <c r="C1429" s="1" t="s">
        <v>36</v>
      </c>
      <c r="D1429" s="1">
        <v>20</v>
      </c>
      <c r="E1429" s="1">
        <v>2</v>
      </c>
      <c r="F1429" s="1">
        <v>1</v>
      </c>
      <c r="G1429" s="1">
        <v>3</v>
      </c>
      <c r="H1429" s="1">
        <v>2</v>
      </c>
      <c r="I1429" s="1">
        <v>3</v>
      </c>
      <c r="J1429" s="1">
        <v>3</v>
      </c>
      <c r="K1429" s="1">
        <f t="shared" si="284"/>
        <v>11</v>
      </c>
      <c r="L1429" s="12">
        <f t="shared" si="288"/>
        <v>0.31428571428571428</v>
      </c>
      <c r="M1429" s="1">
        <v>3</v>
      </c>
      <c r="N1429" s="1">
        <v>3</v>
      </c>
      <c r="O1429" s="1">
        <v>3</v>
      </c>
      <c r="P1429" s="1">
        <v>3</v>
      </c>
      <c r="Q1429" s="1">
        <f t="shared" si="285"/>
        <v>12</v>
      </c>
      <c r="R1429" s="12">
        <f t="shared" si="289"/>
        <v>0.34285714285714286</v>
      </c>
      <c r="S1429" s="1">
        <v>4</v>
      </c>
      <c r="T1429" s="1">
        <v>4</v>
      </c>
      <c r="U1429" s="1">
        <f t="shared" si="286"/>
        <v>8</v>
      </c>
      <c r="V1429" s="12">
        <f t="shared" si="290"/>
        <v>0.53333333333333333</v>
      </c>
      <c r="W1429" s="1">
        <v>2</v>
      </c>
      <c r="X1429" s="1">
        <v>2</v>
      </c>
      <c r="Y1429" s="1">
        <v>2</v>
      </c>
      <c r="Z1429" s="1">
        <f t="shared" si="287"/>
        <v>6</v>
      </c>
      <c r="AA1429" s="12">
        <f t="shared" si="291"/>
        <v>0.4</v>
      </c>
      <c r="AB1429" s="2" t="s">
        <v>263</v>
      </c>
    </row>
    <row r="1430" spans="1:28" x14ac:dyDescent="0.25">
      <c r="A1430" s="1" t="s">
        <v>1686</v>
      </c>
      <c r="B1430" s="1" t="s">
        <v>35</v>
      </c>
      <c r="C1430" s="1" t="s">
        <v>36</v>
      </c>
      <c r="D1430" s="1">
        <v>20</v>
      </c>
      <c r="E1430" s="1">
        <v>2</v>
      </c>
      <c r="F1430" s="1">
        <v>1</v>
      </c>
      <c r="G1430" s="1">
        <v>6</v>
      </c>
      <c r="H1430" s="1">
        <v>5</v>
      </c>
      <c r="I1430" s="1">
        <v>6</v>
      </c>
      <c r="J1430" s="1">
        <v>4</v>
      </c>
      <c r="K1430" s="1">
        <f t="shared" si="284"/>
        <v>21</v>
      </c>
      <c r="L1430" s="12">
        <f t="shared" si="288"/>
        <v>0.6</v>
      </c>
      <c r="M1430" s="1">
        <v>6</v>
      </c>
      <c r="N1430" s="1">
        <v>6</v>
      </c>
      <c r="O1430" s="1">
        <v>5</v>
      </c>
      <c r="P1430" s="1">
        <v>5</v>
      </c>
      <c r="Q1430" s="1">
        <f t="shared" si="285"/>
        <v>22</v>
      </c>
      <c r="R1430" s="12">
        <f t="shared" si="289"/>
        <v>0.62857142857142856</v>
      </c>
      <c r="S1430" s="1">
        <v>6</v>
      </c>
      <c r="T1430" s="1">
        <v>5</v>
      </c>
      <c r="U1430" s="1">
        <f t="shared" si="286"/>
        <v>11</v>
      </c>
      <c r="V1430" s="12">
        <f t="shared" si="290"/>
        <v>0.73333333333333328</v>
      </c>
      <c r="W1430" s="1">
        <v>4</v>
      </c>
      <c r="X1430" s="1">
        <v>3</v>
      </c>
      <c r="Y1430" s="1">
        <v>4</v>
      </c>
      <c r="Z1430" s="1">
        <f t="shared" si="287"/>
        <v>11</v>
      </c>
      <c r="AA1430" s="12">
        <f t="shared" si="291"/>
        <v>0.73333333333333328</v>
      </c>
      <c r="AB1430" s="2" t="s">
        <v>264</v>
      </c>
    </row>
    <row r="1431" spans="1:28" x14ac:dyDescent="0.25">
      <c r="A1431" s="1" t="s">
        <v>1686</v>
      </c>
      <c r="B1431" s="1" t="s">
        <v>35</v>
      </c>
      <c r="C1431" s="1" t="s">
        <v>36</v>
      </c>
      <c r="D1431" s="1">
        <v>20</v>
      </c>
      <c r="E1431" s="1">
        <v>2</v>
      </c>
      <c r="F1431" s="1">
        <v>1</v>
      </c>
      <c r="G1431" s="1">
        <v>6</v>
      </c>
      <c r="H1431" s="1">
        <v>4</v>
      </c>
      <c r="I1431" s="1">
        <v>5</v>
      </c>
      <c r="J1431" s="1">
        <v>4</v>
      </c>
      <c r="K1431" s="1">
        <f t="shared" si="284"/>
        <v>19</v>
      </c>
      <c r="L1431" s="12">
        <f t="shared" si="288"/>
        <v>0.54285714285714282</v>
      </c>
      <c r="M1431" s="1">
        <v>5</v>
      </c>
      <c r="N1431" s="1">
        <v>5</v>
      </c>
      <c r="O1431" s="1">
        <v>6</v>
      </c>
      <c r="P1431" s="1">
        <v>4</v>
      </c>
      <c r="Q1431" s="1">
        <f t="shared" si="285"/>
        <v>20</v>
      </c>
      <c r="R1431" s="12">
        <f t="shared" si="289"/>
        <v>0.5714285714285714</v>
      </c>
      <c r="S1431" s="1">
        <v>6</v>
      </c>
      <c r="T1431" s="1">
        <v>5</v>
      </c>
      <c r="U1431" s="1">
        <f t="shared" si="286"/>
        <v>11</v>
      </c>
      <c r="V1431" s="12">
        <f t="shared" si="290"/>
        <v>0.73333333333333328</v>
      </c>
      <c r="W1431" s="1">
        <v>5</v>
      </c>
      <c r="X1431" s="1">
        <v>3</v>
      </c>
      <c r="Y1431" s="1">
        <v>5</v>
      </c>
      <c r="Z1431" s="1">
        <f t="shared" si="287"/>
        <v>13</v>
      </c>
      <c r="AA1431" s="12">
        <f t="shared" si="291"/>
        <v>0.8666666666666667</v>
      </c>
      <c r="AB1431" s="2" t="s">
        <v>265</v>
      </c>
    </row>
    <row r="1432" spans="1:28" x14ac:dyDescent="0.25">
      <c r="A1432" s="1" t="s">
        <v>1686</v>
      </c>
      <c r="B1432" s="1" t="s">
        <v>35</v>
      </c>
      <c r="C1432" s="1" t="s">
        <v>36</v>
      </c>
      <c r="D1432" s="1">
        <v>20</v>
      </c>
      <c r="E1432" s="1">
        <v>2</v>
      </c>
      <c r="F1432" s="1">
        <v>1</v>
      </c>
      <c r="G1432" s="1">
        <v>7</v>
      </c>
      <c r="H1432" s="1">
        <v>7</v>
      </c>
      <c r="I1432" s="1">
        <v>7</v>
      </c>
      <c r="J1432" s="1">
        <v>5</v>
      </c>
      <c r="K1432" s="1">
        <f t="shared" si="284"/>
        <v>26</v>
      </c>
      <c r="L1432" s="12">
        <f t="shared" si="288"/>
        <v>0.74285714285714288</v>
      </c>
      <c r="M1432" s="1">
        <v>7</v>
      </c>
      <c r="N1432" s="1">
        <v>6</v>
      </c>
      <c r="O1432" s="1">
        <v>7</v>
      </c>
      <c r="P1432" s="1">
        <v>5</v>
      </c>
      <c r="Q1432" s="1">
        <f t="shared" si="285"/>
        <v>25</v>
      </c>
      <c r="R1432" s="12">
        <f t="shared" si="289"/>
        <v>0.7142857142857143</v>
      </c>
      <c r="S1432" s="1">
        <v>7</v>
      </c>
      <c r="T1432" s="1">
        <v>5</v>
      </c>
      <c r="U1432" s="1">
        <f t="shared" si="286"/>
        <v>12</v>
      </c>
      <c r="V1432" s="12">
        <f t="shared" si="290"/>
        <v>0.8</v>
      </c>
      <c r="W1432" s="1">
        <v>5</v>
      </c>
      <c r="X1432" s="1">
        <v>4</v>
      </c>
      <c r="Y1432" s="1">
        <v>4</v>
      </c>
      <c r="Z1432" s="1">
        <f t="shared" si="287"/>
        <v>13</v>
      </c>
      <c r="AA1432" s="12">
        <f t="shared" si="291"/>
        <v>0.8666666666666667</v>
      </c>
      <c r="AB1432" s="2" t="s">
        <v>266</v>
      </c>
    </row>
    <row r="1433" spans="1:28" x14ac:dyDescent="0.25">
      <c r="A1433" s="1" t="s">
        <v>1686</v>
      </c>
      <c r="B1433" s="1" t="s">
        <v>35</v>
      </c>
      <c r="C1433" s="1" t="s">
        <v>36</v>
      </c>
      <c r="D1433" s="1">
        <v>20</v>
      </c>
      <c r="E1433" s="1">
        <v>2</v>
      </c>
      <c r="F1433" s="1">
        <v>1</v>
      </c>
      <c r="G1433" s="1">
        <v>7</v>
      </c>
      <c r="H1433" s="1">
        <v>7</v>
      </c>
      <c r="I1433" s="1">
        <v>7</v>
      </c>
      <c r="J1433" s="1">
        <v>5</v>
      </c>
      <c r="K1433" s="1">
        <f t="shared" si="284"/>
        <v>26</v>
      </c>
      <c r="L1433" s="12">
        <f t="shared" si="288"/>
        <v>0.74285714285714288</v>
      </c>
      <c r="M1433" s="1">
        <v>7</v>
      </c>
      <c r="N1433" s="1">
        <v>7</v>
      </c>
      <c r="O1433" s="1">
        <v>7</v>
      </c>
      <c r="P1433" s="1">
        <v>5</v>
      </c>
      <c r="Q1433" s="1">
        <f t="shared" si="285"/>
        <v>26</v>
      </c>
      <c r="R1433" s="12">
        <f t="shared" si="289"/>
        <v>0.74285714285714288</v>
      </c>
      <c r="S1433" s="1">
        <v>7</v>
      </c>
      <c r="T1433" s="1">
        <v>5</v>
      </c>
      <c r="U1433" s="1">
        <f t="shared" si="286"/>
        <v>12</v>
      </c>
      <c r="V1433" s="12">
        <f t="shared" si="290"/>
        <v>0.8</v>
      </c>
      <c r="W1433" s="1">
        <v>5</v>
      </c>
      <c r="X1433" s="1">
        <v>4</v>
      </c>
      <c r="Y1433" s="1">
        <v>5</v>
      </c>
      <c r="Z1433" s="1">
        <f t="shared" si="287"/>
        <v>14</v>
      </c>
      <c r="AA1433" s="12">
        <f t="shared" si="291"/>
        <v>0.93333333333333335</v>
      </c>
      <c r="AB1433" s="2" t="s">
        <v>267</v>
      </c>
    </row>
    <row r="1434" spans="1:28" x14ac:dyDescent="0.25">
      <c r="A1434" s="1" t="s">
        <v>1686</v>
      </c>
      <c r="B1434" s="1" t="s">
        <v>35</v>
      </c>
      <c r="C1434" s="1" t="s">
        <v>36</v>
      </c>
      <c r="D1434" s="1">
        <v>20</v>
      </c>
      <c r="E1434" s="1">
        <v>2</v>
      </c>
      <c r="F1434" s="1">
        <v>1</v>
      </c>
      <c r="G1434" s="1">
        <v>8</v>
      </c>
      <c r="H1434" s="1">
        <v>7</v>
      </c>
      <c r="I1434" s="1">
        <v>7</v>
      </c>
      <c r="J1434" s="1">
        <v>5</v>
      </c>
      <c r="K1434" s="1">
        <f t="shared" si="284"/>
        <v>27</v>
      </c>
      <c r="L1434" s="12">
        <f t="shared" si="288"/>
        <v>0.77142857142857146</v>
      </c>
      <c r="M1434" s="1">
        <v>7</v>
      </c>
      <c r="N1434" s="1">
        <v>7</v>
      </c>
      <c r="O1434" s="1">
        <v>7</v>
      </c>
      <c r="P1434" s="1">
        <v>5</v>
      </c>
      <c r="Q1434" s="1">
        <f t="shared" si="285"/>
        <v>26</v>
      </c>
      <c r="R1434" s="12">
        <f t="shared" si="289"/>
        <v>0.74285714285714288</v>
      </c>
      <c r="S1434" s="1">
        <v>8</v>
      </c>
      <c r="T1434" s="1">
        <v>5</v>
      </c>
      <c r="U1434" s="1">
        <f t="shared" si="286"/>
        <v>13</v>
      </c>
      <c r="V1434" s="12">
        <f t="shared" si="290"/>
        <v>0.8666666666666667</v>
      </c>
      <c r="W1434" s="1">
        <v>5</v>
      </c>
      <c r="X1434" s="1">
        <v>4</v>
      </c>
      <c r="Y1434" s="1">
        <v>4</v>
      </c>
      <c r="Z1434" s="1">
        <f t="shared" si="287"/>
        <v>13</v>
      </c>
      <c r="AA1434" s="12">
        <f t="shared" si="291"/>
        <v>0.8666666666666667</v>
      </c>
      <c r="AB1434" s="2" t="s">
        <v>268</v>
      </c>
    </row>
    <row r="1435" spans="1:28" x14ac:dyDescent="0.25">
      <c r="A1435" s="1" t="s">
        <v>1686</v>
      </c>
      <c r="B1435" s="1" t="s">
        <v>35</v>
      </c>
      <c r="C1435" s="1" t="s">
        <v>36</v>
      </c>
      <c r="D1435" s="1">
        <v>20</v>
      </c>
      <c r="E1435" s="1">
        <v>2</v>
      </c>
      <c r="F1435" s="1">
        <v>1</v>
      </c>
      <c r="G1435" s="1">
        <v>7</v>
      </c>
      <c r="H1435" s="1">
        <v>6</v>
      </c>
      <c r="I1435" s="1">
        <v>6</v>
      </c>
      <c r="J1435" s="1">
        <v>4</v>
      </c>
      <c r="K1435" s="1">
        <f t="shared" si="284"/>
        <v>23</v>
      </c>
      <c r="L1435" s="12">
        <f t="shared" si="288"/>
        <v>0.65714285714285714</v>
      </c>
      <c r="M1435" s="1">
        <v>7</v>
      </c>
      <c r="N1435" s="1">
        <v>6</v>
      </c>
      <c r="O1435" s="1">
        <v>7</v>
      </c>
      <c r="P1435" s="1">
        <v>5</v>
      </c>
      <c r="Q1435" s="1">
        <f t="shared" si="285"/>
        <v>25</v>
      </c>
      <c r="R1435" s="12">
        <f t="shared" si="289"/>
        <v>0.7142857142857143</v>
      </c>
      <c r="S1435" s="1">
        <v>7</v>
      </c>
      <c r="T1435" s="1">
        <v>3</v>
      </c>
      <c r="U1435" s="1">
        <f t="shared" si="286"/>
        <v>10</v>
      </c>
      <c r="V1435" s="12">
        <f t="shared" si="290"/>
        <v>0.66666666666666663</v>
      </c>
      <c r="W1435" s="1">
        <v>5</v>
      </c>
      <c r="X1435" s="1">
        <v>5</v>
      </c>
      <c r="Y1435" s="1">
        <v>4</v>
      </c>
      <c r="Z1435" s="1">
        <f t="shared" si="287"/>
        <v>14</v>
      </c>
      <c r="AA1435" s="12">
        <f t="shared" si="291"/>
        <v>0.93333333333333335</v>
      </c>
      <c r="AB1435" s="2" t="s">
        <v>269</v>
      </c>
    </row>
    <row r="1436" spans="1:28" x14ac:dyDescent="0.25">
      <c r="A1436" s="1" t="s">
        <v>1686</v>
      </c>
      <c r="B1436" s="1" t="s">
        <v>35</v>
      </c>
      <c r="C1436" s="1" t="s">
        <v>36</v>
      </c>
      <c r="D1436" s="1">
        <v>5</v>
      </c>
      <c r="E1436" s="1">
        <v>3</v>
      </c>
      <c r="F1436" s="1">
        <v>3</v>
      </c>
      <c r="G1436" s="1">
        <v>6</v>
      </c>
      <c r="H1436" s="1">
        <v>4</v>
      </c>
      <c r="I1436" s="1">
        <v>4</v>
      </c>
      <c r="J1436" s="1">
        <v>3</v>
      </c>
      <c r="K1436" s="1">
        <f t="shared" si="284"/>
        <v>17</v>
      </c>
      <c r="L1436" s="12">
        <f t="shared" si="288"/>
        <v>0.48571428571428571</v>
      </c>
      <c r="M1436" s="1">
        <v>6</v>
      </c>
      <c r="N1436" s="1">
        <v>5</v>
      </c>
      <c r="O1436" s="1">
        <v>5</v>
      </c>
      <c r="P1436" s="1">
        <v>4</v>
      </c>
      <c r="Q1436" s="1">
        <f t="shared" si="285"/>
        <v>20</v>
      </c>
      <c r="R1436" s="12">
        <f t="shared" si="289"/>
        <v>0.5714285714285714</v>
      </c>
      <c r="S1436" s="1">
        <v>6</v>
      </c>
      <c r="T1436" s="1">
        <v>4</v>
      </c>
      <c r="U1436" s="1">
        <f t="shared" si="286"/>
        <v>10</v>
      </c>
      <c r="V1436" s="12">
        <f t="shared" si="290"/>
        <v>0.66666666666666663</v>
      </c>
      <c r="W1436" s="1">
        <v>3</v>
      </c>
      <c r="X1436" s="1">
        <v>3</v>
      </c>
      <c r="Y1436" s="1">
        <v>3</v>
      </c>
      <c r="Z1436" s="1">
        <f t="shared" si="287"/>
        <v>9</v>
      </c>
      <c r="AA1436" s="12">
        <f t="shared" si="291"/>
        <v>0.6</v>
      </c>
      <c r="AB1436" s="2" t="s">
        <v>493</v>
      </c>
    </row>
    <row r="1437" spans="1:28" x14ac:dyDescent="0.25">
      <c r="A1437" s="1" t="s">
        <v>1686</v>
      </c>
      <c r="B1437" s="1" t="s">
        <v>35</v>
      </c>
      <c r="C1437" s="1" t="s">
        <v>36</v>
      </c>
      <c r="D1437" s="1">
        <v>5</v>
      </c>
      <c r="E1437" s="1">
        <v>3</v>
      </c>
      <c r="F1437" s="1">
        <v>3</v>
      </c>
      <c r="G1437" s="1">
        <v>7</v>
      </c>
      <c r="H1437" s="1">
        <v>6</v>
      </c>
      <c r="I1437" s="1">
        <v>4</v>
      </c>
      <c r="J1437" s="1">
        <v>5</v>
      </c>
      <c r="K1437" s="1">
        <f t="shared" si="284"/>
        <v>22</v>
      </c>
      <c r="L1437" s="12">
        <f t="shared" si="288"/>
        <v>0.62857142857142856</v>
      </c>
      <c r="M1437" s="1">
        <v>6</v>
      </c>
      <c r="N1437" s="1">
        <v>5</v>
      </c>
      <c r="O1437" s="1">
        <v>7</v>
      </c>
      <c r="P1437" s="1">
        <v>5</v>
      </c>
      <c r="Q1437" s="1">
        <f t="shared" si="285"/>
        <v>23</v>
      </c>
      <c r="R1437" s="12">
        <f t="shared" si="289"/>
        <v>0.65714285714285714</v>
      </c>
      <c r="S1437" s="1">
        <v>7</v>
      </c>
      <c r="T1437" s="1">
        <v>5</v>
      </c>
      <c r="U1437" s="1">
        <f t="shared" si="286"/>
        <v>12</v>
      </c>
      <c r="V1437" s="12">
        <f t="shared" si="290"/>
        <v>0.8</v>
      </c>
      <c r="W1437" s="1">
        <v>4</v>
      </c>
      <c r="X1437" s="1">
        <v>4</v>
      </c>
      <c r="Y1437" s="1">
        <v>5</v>
      </c>
      <c r="Z1437" s="1">
        <f t="shared" si="287"/>
        <v>13</v>
      </c>
      <c r="AA1437" s="12">
        <f t="shared" si="291"/>
        <v>0.8666666666666667</v>
      </c>
      <c r="AB1437" s="2" t="s">
        <v>494</v>
      </c>
    </row>
    <row r="1438" spans="1:28" x14ac:dyDescent="0.25">
      <c r="A1438" s="1" t="s">
        <v>1686</v>
      </c>
      <c r="B1438" s="1" t="s">
        <v>35</v>
      </c>
      <c r="C1438" s="1" t="s">
        <v>36</v>
      </c>
      <c r="D1438" s="1">
        <v>5</v>
      </c>
      <c r="E1438" s="1">
        <v>3</v>
      </c>
      <c r="F1438" s="1">
        <v>3</v>
      </c>
      <c r="G1438" s="1">
        <v>7</v>
      </c>
      <c r="H1438" s="1">
        <v>7</v>
      </c>
      <c r="I1438" s="1">
        <v>6</v>
      </c>
      <c r="J1438" s="1">
        <v>4</v>
      </c>
      <c r="K1438" s="1">
        <f t="shared" si="284"/>
        <v>24</v>
      </c>
      <c r="L1438" s="12">
        <f t="shared" si="288"/>
        <v>0.68571428571428572</v>
      </c>
      <c r="M1438" s="1">
        <v>6</v>
      </c>
      <c r="N1438" s="1">
        <v>6</v>
      </c>
      <c r="O1438" s="1">
        <v>6</v>
      </c>
      <c r="P1438" s="1">
        <v>4</v>
      </c>
      <c r="Q1438" s="1">
        <f t="shared" si="285"/>
        <v>22</v>
      </c>
      <c r="R1438" s="12">
        <f t="shared" si="289"/>
        <v>0.62857142857142856</v>
      </c>
      <c r="S1438" s="1">
        <v>6</v>
      </c>
      <c r="T1438" s="1">
        <v>4</v>
      </c>
      <c r="U1438" s="1">
        <f t="shared" si="286"/>
        <v>10</v>
      </c>
      <c r="V1438" s="12">
        <f t="shared" si="290"/>
        <v>0.66666666666666663</v>
      </c>
      <c r="W1438" s="1">
        <v>4</v>
      </c>
      <c r="X1438" s="1">
        <v>3</v>
      </c>
      <c r="Y1438" s="1">
        <v>3</v>
      </c>
      <c r="Z1438" s="1">
        <f t="shared" si="287"/>
        <v>10</v>
      </c>
      <c r="AA1438" s="12">
        <f t="shared" si="291"/>
        <v>0.66666666666666663</v>
      </c>
      <c r="AB1438" s="2" t="s">
        <v>495</v>
      </c>
    </row>
    <row r="1439" spans="1:28" x14ac:dyDescent="0.25">
      <c r="A1439" s="1" t="s">
        <v>1686</v>
      </c>
      <c r="B1439" s="1" t="s">
        <v>35</v>
      </c>
      <c r="C1439" s="1" t="s">
        <v>36</v>
      </c>
      <c r="D1439" s="1">
        <v>5</v>
      </c>
      <c r="E1439" s="1">
        <v>3</v>
      </c>
      <c r="F1439" s="1">
        <v>3</v>
      </c>
      <c r="G1439" s="1">
        <v>6</v>
      </c>
      <c r="H1439" s="1">
        <v>6</v>
      </c>
      <c r="I1439" s="1">
        <v>6</v>
      </c>
      <c r="J1439" s="1">
        <v>4</v>
      </c>
      <c r="K1439" s="1">
        <f t="shared" si="284"/>
        <v>22</v>
      </c>
      <c r="L1439" s="12">
        <f t="shared" si="288"/>
        <v>0.62857142857142856</v>
      </c>
      <c r="M1439" s="1">
        <v>5</v>
      </c>
      <c r="N1439" s="1">
        <v>5</v>
      </c>
      <c r="O1439" s="1">
        <v>5</v>
      </c>
      <c r="P1439" s="1">
        <v>4</v>
      </c>
      <c r="Q1439" s="1">
        <f t="shared" si="285"/>
        <v>19</v>
      </c>
      <c r="R1439" s="12">
        <f t="shared" si="289"/>
        <v>0.54285714285714282</v>
      </c>
      <c r="S1439" s="1">
        <v>5</v>
      </c>
      <c r="T1439" s="1">
        <v>3</v>
      </c>
      <c r="U1439" s="1">
        <f t="shared" si="286"/>
        <v>8</v>
      </c>
      <c r="V1439" s="12">
        <f t="shared" si="290"/>
        <v>0.53333333333333333</v>
      </c>
      <c r="W1439" s="1">
        <v>4</v>
      </c>
      <c r="X1439" s="1">
        <v>3</v>
      </c>
      <c r="Y1439" s="1">
        <v>4</v>
      </c>
      <c r="Z1439" s="1">
        <f t="shared" si="287"/>
        <v>11</v>
      </c>
      <c r="AA1439" s="12">
        <f t="shared" si="291"/>
        <v>0.73333333333333328</v>
      </c>
      <c r="AB1439" s="2" t="s">
        <v>496</v>
      </c>
    </row>
    <row r="1440" spans="1:28" x14ac:dyDescent="0.25">
      <c r="A1440" s="1" t="s">
        <v>1686</v>
      </c>
      <c r="B1440" s="1" t="s">
        <v>35</v>
      </c>
      <c r="C1440" s="1" t="s">
        <v>36</v>
      </c>
      <c r="D1440" s="1">
        <v>5</v>
      </c>
      <c r="E1440" s="1">
        <v>3</v>
      </c>
      <c r="F1440" s="1">
        <v>3</v>
      </c>
      <c r="G1440" s="1">
        <v>8</v>
      </c>
      <c r="H1440" s="1">
        <v>6</v>
      </c>
      <c r="I1440" s="1">
        <v>8</v>
      </c>
      <c r="J1440" s="1">
        <v>5</v>
      </c>
      <c r="K1440" s="1">
        <f t="shared" si="284"/>
        <v>27</v>
      </c>
      <c r="L1440" s="12">
        <f t="shared" si="288"/>
        <v>0.77142857142857146</v>
      </c>
      <c r="M1440" s="1">
        <v>9</v>
      </c>
      <c r="N1440" s="1">
        <v>8</v>
      </c>
      <c r="O1440" s="1">
        <v>9</v>
      </c>
      <c r="P1440" s="1">
        <v>5</v>
      </c>
      <c r="Q1440" s="1">
        <f t="shared" si="285"/>
        <v>31</v>
      </c>
      <c r="R1440" s="12">
        <f t="shared" si="289"/>
        <v>0.88571428571428568</v>
      </c>
      <c r="S1440" s="1">
        <v>9</v>
      </c>
      <c r="T1440" s="1">
        <v>5</v>
      </c>
      <c r="U1440" s="1">
        <f t="shared" si="286"/>
        <v>14</v>
      </c>
      <c r="V1440" s="12">
        <f t="shared" si="290"/>
        <v>0.93333333333333335</v>
      </c>
      <c r="W1440" s="1">
        <v>5</v>
      </c>
      <c r="X1440" s="1">
        <v>5</v>
      </c>
      <c r="Y1440" s="1">
        <v>5</v>
      </c>
      <c r="Z1440" s="1">
        <f t="shared" si="287"/>
        <v>15</v>
      </c>
      <c r="AA1440" s="12">
        <f t="shared" si="291"/>
        <v>1</v>
      </c>
      <c r="AB1440" s="2" t="s">
        <v>497</v>
      </c>
    </row>
    <row r="1441" spans="1:28" x14ac:dyDescent="0.25">
      <c r="A1441" s="1" t="s">
        <v>1686</v>
      </c>
      <c r="B1441" s="1" t="s">
        <v>35</v>
      </c>
      <c r="C1441" s="1" t="s">
        <v>36</v>
      </c>
      <c r="D1441" s="1">
        <v>5</v>
      </c>
      <c r="E1441" s="1">
        <v>3</v>
      </c>
      <c r="F1441" s="1">
        <v>3</v>
      </c>
      <c r="G1441" s="1">
        <v>7</v>
      </c>
      <c r="H1441" s="1">
        <v>6</v>
      </c>
      <c r="I1441" s="1">
        <v>6</v>
      </c>
      <c r="J1441" s="1">
        <v>4</v>
      </c>
      <c r="K1441" s="1">
        <f t="shared" si="284"/>
        <v>23</v>
      </c>
      <c r="L1441" s="12">
        <f t="shared" si="288"/>
        <v>0.65714285714285714</v>
      </c>
      <c r="M1441" s="1">
        <v>5</v>
      </c>
      <c r="N1441" s="1">
        <v>5</v>
      </c>
      <c r="O1441" s="1">
        <v>5</v>
      </c>
      <c r="P1441" s="1">
        <v>4</v>
      </c>
      <c r="Q1441" s="1">
        <f t="shared" si="285"/>
        <v>19</v>
      </c>
      <c r="R1441" s="12">
        <f t="shared" si="289"/>
        <v>0.54285714285714282</v>
      </c>
      <c r="S1441" s="1">
        <v>6</v>
      </c>
      <c r="T1441" s="1">
        <v>4</v>
      </c>
      <c r="U1441" s="1">
        <f t="shared" si="286"/>
        <v>10</v>
      </c>
      <c r="V1441" s="12">
        <f t="shared" si="290"/>
        <v>0.66666666666666663</v>
      </c>
      <c r="W1441" s="1">
        <v>4</v>
      </c>
      <c r="X1441" s="1">
        <v>3</v>
      </c>
      <c r="Y1441" s="1">
        <v>3</v>
      </c>
      <c r="Z1441" s="1">
        <f t="shared" si="287"/>
        <v>10</v>
      </c>
      <c r="AA1441" s="12">
        <f t="shared" si="291"/>
        <v>0.66666666666666663</v>
      </c>
      <c r="AB1441" s="2" t="s">
        <v>498</v>
      </c>
    </row>
    <row r="1442" spans="1:28" x14ac:dyDescent="0.25">
      <c r="A1442" s="1" t="s">
        <v>1686</v>
      </c>
      <c r="B1442" s="1" t="s">
        <v>35</v>
      </c>
      <c r="C1442" s="1" t="s">
        <v>36</v>
      </c>
      <c r="D1442" s="1">
        <v>5</v>
      </c>
      <c r="E1442" s="1">
        <v>3</v>
      </c>
      <c r="F1442" s="1">
        <v>3</v>
      </c>
      <c r="G1442" s="1">
        <v>5</v>
      </c>
      <c r="H1442" s="1">
        <v>5</v>
      </c>
      <c r="I1442" s="1">
        <v>5</v>
      </c>
      <c r="J1442" s="1">
        <v>3</v>
      </c>
      <c r="K1442" s="1">
        <f t="shared" si="284"/>
        <v>18</v>
      </c>
      <c r="L1442" s="12">
        <f t="shared" si="288"/>
        <v>0.51428571428571423</v>
      </c>
      <c r="M1442" s="1">
        <v>4</v>
      </c>
      <c r="N1442" s="1">
        <v>4</v>
      </c>
      <c r="O1442" s="1">
        <v>4</v>
      </c>
      <c r="P1442" s="1">
        <v>3</v>
      </c>
      <c r="Q1442" s="1">
        <f t="shared" si="285"/>
        <v>15</v>
      </c>
      <c r="R1442" s="12">
        <f t="shared" si="289"/>
        <v>0.42857142857142855</v>
      </c>
      <c r="S1442" s="1">
        <v>4</v>
      </c>
      <c r="T1442" s="1">
        <v>3</v>
      </c>
      <c r="U1442" s="1">
        <f t="shared" si="286"/>
        <v>7</v>
      </c>
      <c r="V1442" s="12">
        <f t="shared" si="290"/>
        <v>0.46666666666666667</v>
      </c>
      <c r="W1442" s="1">
        <v>4</v>
      </c>
      <c r="X1442" s="1">
        <v>3</v>
      </c>
      <c r="Y1442" s="1">
        <v>2</v>
      </c>
      <c r="Z1442" s="1">
        <f t="shared" si="287"/>
        <v>9</v>
      </c>
      <c r="AA1442" s="12">
        <f t="shared" si="291"/>
        <v>0.6</v>
      </c>
      <c r="AB1442" s="2" t="s">
        <v>499</v>
      </c>
    </row>
    <row r="1443" spans="1:28" x14ac:dyDescent="0.25">
      <c r="A1443" s="1" t="s">
        <v>1686</v>
      </c>
      <c r="B1443" s="1" t="s">
        <v>35</v>
      </c>
      <c r="C1443" s="1" t="s">
        <v>36</v>
      </c>
      <c r="D1443" s="1">
        <v>5</v>
      </c>
      <c r="E1443" s="1">
        <v>3</v>
      </c>
      <c r="F1443" s="1">
        <v>3</v>
      </c>
      <c r="G1443" s="1">
        <v>7</v>
      </c>
      <c r="H1443" s="1">
        <v>5</v>
      </c>
      <c r="I1443" s="1">
        <v>6</v>
      </c>
      <c r="J1443" s="1">
        <v>5</v>
      </c>
      <c r="K1443" s="1">
        <f t="shared" si="284"/>
        <v>23</v>
      </c>
      <c r="L1443" s="12">
        <f t="shared" si="288"/>
        <v>0.65714285714285714</v>
      </c>
      <c r="M1443" s="1">
        <v>7</v>
      </c>
      <c r="N1443" s="1">
        <v>6</v>
      </c>
      <c r="O1443" s="1">
        <v>6</v>
      </c>
      <c r="P1443" s="1">
        <v>5</v>
      </c>
      <c r="Q1443" s="1">
        <f t="shared" si="285"/>
        <v>24</v>
      </c>
      <c r="R1443" s="12">
        <f t="shared" si="289"/>
        <v>0.68571428571428572</v>
      </c>
      <c r="S1443" s="1">
        <v>6</v>
      </c>
      <c r="T1443" s="1">
        <v>5</v>
      </c>
      <c r="U1443" s="1">
        <f t="shared" si="286"/>
        <v>11</v>
      </c>
      <c r="V1443" s="12">
        <f t="shared" si="290"/>
        <v>0.73333333333333328</v>
      </c>
      <c r="W1443" s="1">
        <v>4</v>
      </c>
      <c r="X1443" s="1">
        <v>3</v>
      </c>
      <c r="Y1443" s="1">
        <v>4</v>
      </c>
      <c r="Z1443" s="1">
        <f t="shared" si="287"/>
        <v>11</v>
      </c>
      <c r="AA1443" s="12">
        <f t="shared" si="291"/>
        <v>0.73333333333333328</v>
      </c>
      <c r="AB1443" s="2" t="s">
        <v>500</v>
      </c>
    </row>
    <row r="1444" spans="1:28" x14ac:dyDescent="0.25">
      <c r="A1444" s="1" t="s">
        <v>1686</v>
      </c>
      <c r="B1444" s="1" t="s">
        <v>576</v>
      </c>
      <c r="C1444" s="1" t="s">
        <v>36</v>
      </c>
      <c r="D1444" s="1">
        <v>26</v>
      </c>
      <c r="E1444" s="1">
        <v>1</v>
      </c>
      <c r="F1444" s="1">
        <v>2</v>
      </c>
      <c r="G1444" s="1">
        <v>6</v>
      </c>
      <c r="H1444" s="1">
        <v>5</v>
      </c>
      <c r="I1444" s="1">
        <v>5</v>
      </c>
      <c r="J1444" s="1">
        <v>4</v>
      </c>
      <c r="K1444" s="1">
        <f t="shared" si="284"/>
        <v>20</v>
      </c>
      <c r="L1444" s="12">
        <f t="shared" si="288"/>
        <v>0.5714285714285714</v>
      </c>
      <c r="M1444" s="1">
        <v>5</v>
      </c>
      <c r="N1444" s="1">
        <v>6</v>
      </c>
      <c r="O1444" s="1">
        <v>6</v>
      </c>
      <c r="P1444" s="1">
        <v>4</v>
      </c>
      <c r="Q1444" s="1">
        <f t="shared" si="285"/>
        <v>21</v>
      </c>
      <c r="R1444" s="12">
        <f t="shared" si="289"/>
        <v>0.6</v>
      </c>
      <c r="S1444" s="1">
        <v>6</v>
      </c>
      <c r="T1444" s="1">
        <v>4</v>
      </c>
      <c r="U1444" s="1">
        <f t="shared" si="286"/>
        <v>10</v>
      </c>
      <c r="V1444" s="12">
        <f t="shared" si="290"/>
        <v>0.66666666666666663</v>
      </c>
      <c r="W1444" s="1">
        <v>5</v>
      </c>
      <c r="X1444" s="1">
        <v>4</v>
      </c>
      <c r="Y1444" s="1">
        <v>3</v>
      </c>
      <c r="Z1444" s="1">
        <f t="shared" si="287"/>
        <v>12</v>
      </c>
      <c r="AA1444" s="12">
        <f t="shared" si="291"/>
        <v>0.8</v>
      </c>
      <c r="AB1444" s="2" t="s">
        <v>610</v>
      </c>
    </row>
    <row r="1445" spans="1:28" x14ac:dyDescent="0.25">
      <c r="A1445" s="1" t="s">
        <v>1686</v>
      </c>
      <c r="B1445" s="1" t="s">
        <v>576</v>
      </c>
      <c r="C1445" s="1" t="s">
        <v>36</v>
      </c>
      <c r="D1445" s="1">
        <v>26</v>
      </c>
      <c r="E1445" s="1">
        <v>1</v>
      </c>
      <c r="F1445" s="1">
        <v>2</v>
      </c>
      <c r="G1445" s="1">
        <v>9</v>
      </c>
      <c r="H1445" s="1">
        <v>9</v>
      </c>
      <c r="I1445" s="1">
        <v>9</v>
      </c>
      <c r="J1445" s="1">
        <v>5</v>
      </c>
      <c r="K1445" s="1">
        <f t="shared" si="284"/>
        <v>32</v>
      </c>
      <c r="L1445" s="12">
        <f t="shared" si="288"/>
        <v>0.91428571428571426</v>
      </c>
      <c r="M1445" s="1">
        <v>9</v>
      </c>
      <c r="N1445" s="1">
        <v>9</v>
      </c>
      <c r="O1445" s="1">
        <v>8</v>
      </c>
      <c r="P1445" s="1">
        <v>5</v>
      </c>
      <c r="Q1445" s="1">
        <f t="shared" si="285"/>
        <v>31</v>
      </c>
      <c r="R1445" s="12">
        <f t="shared" si="289"/>
        <v>0.88571428571428568</v>
      </c>
      <c r="S1445" s="1">
        <v>8</v>
      </c>
      <c r="T1445" s="1">
        <v>5</v>
      </c>
      <c r="U1445" s="1">
        <f t="shared" si="286"/>
        <v>13</v>
      </c>
      <c r="V1445" s="12">
        <f t="shared" si="290"/>
        <v>0.8666666666666667</v>
      </c>
      <c r="W1445" s="1">
        <v>5</v>
      </c>
      <c r="X1445" s="1">
        <v>5</v>
      </c>
      <c r="Y1445" s="1">
        <v>5</v>
      </c>
      <c r="Z1445" s="1">
        <f t="shared" si="287"/>
        <v>15</v>
      </c>
      <c r="AA1445" s="12">
        <f t="shared" si="291"/>
        <v>1</v>
      </c>
      <c r="AB1445" s="2" t="s">
        <v>611</v>
      </c>
    </row>
    <row r="1446" spans="1:28" x14ac:dyDescent="0.25">
      <c r="A1446" s="1" t="s">
        <v>1686</v>
      </c>
      <c r="B1446" s="1" t="s">
        <v>576</v>
      </c>
      <c r="C1446" s="1" t="s">
        <v>36</v>
      </c>
      <c r="D1446" s="1">
        <v>26</v>
      </c>
      <c r="E1446" s="1">
        <v>1</v>
      </c>
      <c r="F1446" s="1">
        <v>2</v>
      </c>
      <c r="G1446" s="1">
        <v>8</v>
      </c>
      <c r="H1446" s="1">
        <v>7</v>
      </c>
      <c r="I1446" s="1">
        <v>7</v>
      </c>
      <c r="J1446" s="1">
        <v>5</v>
      </c>
      <c r="K1446" s="1">
        <f t="shared" si="284"/>
        <v>27</v>
      </c>
      <c r="L1446" s="12">
        <f t="shared" si="288"/>
        <v>0.77142857142857146</v>
      </c>
      <c r="M1446" s="1">
        <v>8</v>
      </c>
      <c r="N1446" s="1">
        <v>8</v>
      </c>
      <c r="O1446" s="1">
        <v>8</v>
      </c>
      <c r="P1446" s="1">
        <v>5</v>
      </c>
      <c r="Q1446" s="1">
        <f t="shared" si="285"/>
        <v>29</v>
      </c>
      <c r="R1446" s="12">
        <f t="shared" si="289"/>
        <v>0.82857142857142863</v>
      </c>
      <c r="S1446" s="1">
        <v>8</v>
      </c>
      <c r="T1446" s="1">
        <v>5</v>
      </c>
      <c r="U1446" s="1">
        <f t="shared" si="286"/>
        <v>13</v>
      </c>
      <c r="V1446" s="12">
        <f t="shared" si="290"/>
        <v>0.8666666666666667</v>
      </c>
      <c r="W1446" s="1">
        <v>5</v>
      </c>
      <c r="X1446" s="1">
        <v>4</v>
      </c>
      <c r="Y1446" s="1">
        <v>4</v>
      </c>
      <c r="Z1446" s="1">
        <f t="shared" si="287"/>
        <v>13</v>
      </c>
      <c r="AA1446" s="12">
        <f t="shared" si="291"/>
        <v>0.8666666666666667</v>
      </c>
      <c r="AB1446" s="2" t="s">
        <v>612</v>
      </c>
    </row>
    <row r="1447" spans="1:28" x14ac:dyDescent="0.25">
      <c r="A1447" s="1" t="s">
        <v>1686</v>
      </c>
      <c r="B1447" s="1" t="s">
        <v>576</v>
      </c>
      <c r="C1447" s="1" t="s">
        <v>36</v>
      </c>
      <c r="D1447" s="1">
        <v>26</v>
      </c>
      <c r="E1447" s="1">
        <v>1</v>
      </c>
      <c r="F1447" s="1">
        <v>2</v>
      </c>
      <c r="G1447" s="1">
        <v>9</v>
      </c>
      <c r="H1447" s="1">
        <v>9</v>
      </c>
      <c r="I1447" s="1">
        <v>9</v>
      </c>
      <c r="J1447" s="1">
        <v>5</v>
      </c>
      <c r="K1447" s="1">
        <f t="shared" si="284"/>
        <v>32</v>
      </c>
      <c r="L1447" s="12">
        <f t="shared" si="288"/>
        <v>0.91428571428571426</v>
      </c>
      <c r="M1447" s="1">
        <v>8</v>
      </c>
      <c r="N1447" s="1">
        <v>8</v>
      </c>
      <c r="O1447" s="1">
        <v>8</v>
      </c>
      <c r="P1447" s="1">
        <v>4</v>
      </c>
      <c r="Q1447" s="1">
        <f t="shared" si="285"/>
        <v>28</v>
      </c>
      <c r="R1447" s="12">
        <f t="shared" si="289"/>
        <v>0.8</v>
      </c>
      <c r="S1447" s="1">
        <v>9</v>
      </c>
      <c r="T1447" s="1">
        <v>5</v>
      </c>
      <c r="U1447" s="1">
        <f t="shared" si="286"/>
        <v>14</v>
      </c>
      <c r="V1447" s="12">
        <f t="shared" si="290"/>
        <v>0.93333333333333335</v>
      </c>
      <c r="W1447" s="1">
        <v>5</v>
      </c>
      <c r="X1447" s="1">
        <v>5</v>
      </c>
      <c r="Y1447" s="1">
        <v>5</v>
      </c>
      <c r="Z1447" s="1">
        <f t="shared" si="287"/>
        <v>15</v>
      </c>
      <c r="AA1447" s="12">
        <f t="shared" si="291"/>
        <v>1</v>
      </c>
      <c r="AB1447" s="2" t="s">
        <v>613</v>
      </c>
    </row>
    <row r="1448" spans="1:28" x14ac:dyDescent="0.25">
      <c r="A1448" s="1" t="s">
        <v>1686</v>
      </c>
      <c r="B1448" s="1" t="s">
        <v>576</v>
      </c>
      <c r="C1448" s="1" t="s">
        <v>36</v>
      </c>
      <c r="D1448" s="1">
        <v>26</v>
      </c>
      <c r="E1448" s="1">
        <v>1</v>
      </c>
      <c r="F1448" s="1">
        <v>2</v>
      </c>
      <c r="G1448" s="1">
        <v>7</v>
      </c>
      <c r="H1448" s="1">
        <v>7</v>
      </c>
      <c r="I1448" s="1">
        <v>7</v>
      </c>
      <c r="J1448" s="1">
        <v>4</v>
      </c>
      <c r="K1448" s="1">
        <f t="shared" si="284"/>
        <v>25</v>
      </c>
      <c r="L1448" s="12">
        <f t="shared" si="288"/>
        <v>0.7142857142857143</v>
      </c>
      <c r="M1448" s="1">
        <v>8</v>
      </c>
      <c r="N1448" s="1">
        <v>8</v>
      </c>
      <c r="O1448" s="1">
        <v>7</v>
      </c>
      <c r="P1448" s="1">
        <v>5</v>
      </c>
      <c r="Q1448" s="1">
        <f t="shared" si="285"/>
        <v>28</v>
      </c>
      <c r="R1448" s="12">
        <f t="shared" si="289"/>
        <v>0.8</v>
      </c>
      <c r="S1448" s="1">
        <v>9</v>
      </c>
      <c r="T1448" s="1">
        <v>5</v>
      </c>
      <c r="U1448" s="1">
        <f t="shared" si="286"/>
        <v>14</v>
      </c>
      <c r="V1448" s="12">
        <f t="shared" si="290"/>
        <v>0.93333333333333335</v>
      </c>
      <c r="W1448" s="1">
        <v>5</v>
      </c>
      <c r="X1448" s="1">
        <v>5</v>
      </c>
      <c r="Y1448" s="1">
        <v>5</v>
      </c>
      <c r="Z1448" s="1">
        <f t="shared" si="287"/>
        <v>15</v>
      </c>
      <c r="AA1448" s="12">
        <f t="shared" si="291"/>
        <v>1</v>
      </c>
      <c r="AB1448" s="2" t="s">
        <v>614</v>
      </c>
    </row>
    <row r="1449" spans="1:28" x14ac:dyDescent="0.25">
      <c r="A1449" s="1" t="s">
        <v>1686</v>
      </c>
      <c r="B1449" s="1" t="s">
        <v>576</v>
      </c>
      <c r="C1449" s="1" t="s">
        <v>36</v>
      </c>
      <c r="D1449" s="1">
        <v>26</v>
      </c>
      <c r="E1449" s="1">
        <v>1</v>
      </c>
      <c r="F1449" s="1">
        <v>2</v>
      </c>
      <c r="G1449" s="1">
        <v>10</v>
      </c>
      <c r="H1449" s="1">
        <v>8</v>
      </c>
      <c r="I1449" s="1">
        <v>9</v>
      </c>
      <c r="J1449" s="1">
        <v>5</v>
      </c>
      <c r="K1449" s="1">
        <f t="shared" si="284"/>
        <v>32</v>
      </c>
      <c r="L1449" s="12">
        <f t="shared" si="288"/>
        <v>0.91428571428571426</v>
      </c>
      <c r="M1449" s="1">
        <v>7</v>
      </c>
      <c r="N1449" s="1">
        <v>9</v>
      </c>
      <c r="O1449" s="1">
        <v>8</v>
      </c>
      <c r="P1449" s="1">
        <v>5</v>
      </c>
      <c r="Q1449" s="1">
        <f t="shared" si="285"/>
        <v>29</v>
      </c>
      <c r="R1449" s="12">
        <f t="shared" si="289"/>
        <v>0.82857142857142863</v>
      </c>
      <c r="S1449" s="1">
        <v>9</v>
      </c>
      <c r="T1449" s="1">
        <v>5</v>
      </c>
      <c r="U1449" s="1">
        <f t="shared" si="286"/>
        <v>14</v>
      </c>
      <c r="V1449" s="12">
        <f t="shared" si="290"/>
        <v>0.93333333333333335</v>
      </c>
      <c r="W1449" s="1">
        <v>5</v>
      </c>
      <c r="X1449" s="1">
        <v>5</v>
      </c>
      <c r="Y1449" s="1">
        <v>5</v>
      </c>
      <c r="Z1449" s="1">
        <f t="shared" si="287"/>
        <v>15</v>
      </c>
      <c r="AA1449" s="12">
        <f t="shared" si="291"/>
        <v>1</v>
      </c>
      <c r="AB1449" s="2" t="s">
        <v>615</v>
      </c>
    </row>
    <row r="1450" spans="1:28" x14ac:dyDescent="0.25">
      <c r="A1450" s="1" t="s">
        <v>1686</v>
      </c>
      <c r="B1450" s="1" t="s">
        <v>576</v>
      </c>
      <c r="C1450" s="1" t="s">
        <v>36</v>
      </c>
      <c r="D1450" s="1">
        <v>26</v>
      </c>
      <c r="E1450" s="1">
        <v>1</v>
      </c>
      <c r="F1450" s="1">
        <v>2</v>
      </c>
      <c r="G1450" s="1">
        <v>9</v>
      </c>
      <c r="H1450" s="1">
        <v>8</v>
      </c>
      <c r="I1450" s="1">
        <v>9</v>
      </c>
      <c r="J1450" s="1">
        <v>5</v>
      </c>
      <c r="K1450" s="1">
        <f t="shared" si="284"/>
        <v>31</v>
      </c>
      <c r="L1450" s="12">
        <f t="shared" si="288"/>
        <v>0.88571428571428568</v>
      </c>
      <c r="M1450" s="1">
        <v>10</v>
      </c>
      <c r="N1450" s="1">
        <v>10</v>
      </c>
      <c r="O1450" s="1">
        <v>9</v>
      </c>
      <c r="P1450" s="1">
        <v>5</v>
      </c>
      <c r="Q1450" s="1">
        <f t="shared" si="285"/>
        <v>34</v>
      </c>
      <c r="R1450" s="12">
        <f t="shared" si="289"/>
        <v>0.97142857142857142</v>
      </c>
      <c r="S1450" s="1">
        <v>8</v>
      </c>
      <c r="T1450" s="1">
        <v>5</v>
      </c>
      <c r="U1450" s="1">
        <f t="shared" si="286"/>
        <v>13</v>
      </c>
      <c r="V1450" s="12">
        <f t="shared" si="290"/>
        <v>0.8666666666666667</v>
      </c>
      <c r="W1450" s="1">
        <v>5</v>
      </c>
      <c r="X1450" s="1">
        <v>5</v>
      </c>
      <c r="Y1450" s="1">
        <v>5</v>
      </c>
      <c r="Z1450" s="1">
        <f t="shared" si="287"/>
        <v>15</v>
      </c>
      <c r="AA1450" s="12">
        <f t="shared" si="291"/>
        <v>1</v>
      </c>
      <c r="AB1450" s="2" t="s">
        <v>616</v>
      </c>
    </row>
    <row r="1451" spans="1:28" x14ac:dyDescent="0.25">
      <c r="A1451" s="1" t="s">
        <v>1686</v>
      </c>
      <c r="B1451" s="1" t="s">
        <v>576</v>
      </c>
      <c r="C1451" s="1" t="s">
        <v>36</v>
      </c>
      <c r="D1451" s="1">
        <v>27</v>
      </c>
      <c r="E1451" s="1">
        <v>2</v>
      </c>
      <c r="F1451" s="1">
        <v>1</v>
      </c>
      <c r="G1451" s="1">
        <v>7</v>
      </c>
      <c r="H1451" s="1">
        <v>7</v>
      </c>
      <c r="I1451" s="1">
        <v>7</v>
      </c>
      <c r="J1451" s="1">
        <v>4</v>
      </c>
      <c r="K1451" s="1">
        <f t="shared" si="284"/>
        <v>25</v>
      </c>
      <c r="L1451" s="12">
        <f t="shared" si="288"/>
        <v>0.7142857142857143</v>
      </c>
      <c r="M1451" s="1">
        <v>6</v>
      </c>
      <c r="N1451" s="1">
        <v>6</v>
      </c>
      <c r="O1451" s="1">
        <v>7</v>
      </c>
      <c r="P1451" s="1">
        <v>4</v>
      </c>
      <c r="Q1451" s="1">
        <f t="shared" si="285"/>
        <v>23</v>
      </c>
      <c r="R1451" s="12">
        <f t="shared" si="289"/>
        <v>0.65714285714285714</v>
      </c>
      <c r="S1451" s="1">
        <v>6</v>
      </c>
      <c r="T1451" s="1">
        <v>4</v>
      </c>
      <c r="U1451" s="1">
        <f t="shared" si="286"/>
        <v>10</v>
      </c>
      <c r="V1451" s="12">
        <f t="shared" si="290"/>
        <v>0.66666666666666663</v>
      </c>
      <c r="W1451" s="1">
        <v>5</v>
      </c>
      <c r="X1451" s="1">
        <v>4</v>
      </c>
      <c r="Y1451" s="1">
        <v>4</v>
      </c>
      <c r="Z1451" s="1">
        <f t="shared" si="287"/>
        <v>13</v>
      </c>
      <c r="AA1451" s="12">
        <f t="shared" si="291"/>
        <v>0.8666666666666667</v>
      </c>
      <c r="AB1451" s="2" t="s">
        <v>683</v>
      </c>
    </row>
    <row r="1452" spans="1:28" x14ac:dyDescent="0.25">
      <c r="A1452" s="1" t="s">
        <v>1686</v>
      </c>
      <c r="B1452" s="1" t="s">
        <v>576</v>
      </c>
      <c r="C1452" s="1" t="s">
        <v>36</v>
      </c>
      <c r="D1452" s="1">
        <v>27</v>
      </c>
      <c r="E1452" s="1">
        <v>2</v>
      </c>
      <c r="F1452" s="1">
        <v>1</v>
      </c>
      <c r="G1452" s="1">
        <v>7</v>
      </c>
      <c r="H1452" s="1">
        <v>6</v>
      </c>
      <c r="I1452" s="1">
        <v>6</v>
      </c>
      <c r="J1452" s="1">
        <v>4</v>
      </c>
      <c r="K1452" s="1">
        <f t="shared" si="284"/>
        <v>23</v>
      </c>
      <c r="L1452" s="12">
        <f t="shared" si="288"/>
        <v>0.65714285714285714</v>
      </c>
      <c r="M1452" s="1">
        <v>6</v>
      </c>
      <c r="N1452" s="1">
        <v>6</v>
      </c>
      <c r="O1452" s="1">
        <v>7</v>
      </c>
      <c r="P1452" s="1">
        <v>4</v>
      </c>
      <c r="Q1452" s="1">
        <f t="shared" si="285"/>
        <v>23</v>
      </c>
      <c r="R1452" s="12">
        <f t="shared" si="289"/>
        <v>0.65714285714285714</v>
      </c>
      <c r="S1452" s="1">
        <v>7</v>
      </c>
      <c r="T1452" s="1">
        <v>4</v>
      </c>
      <c r="U1452" s="1">
        <f t="shared" si="286"/>
        <v>11</v>
      </c>
      <c r="V1452" s="12">
        <f t="shared" si="290"/>
        <v>0.73333333333333328</v>
      </c>
      <c r="W1452" s="1">
        <v>5</v>
      </c>
      <c r="X1452" s="1">
        <v>4</v>
      </c>
      <c r="Y1452" s="1">
        <v>4</v>
      </c>
      <c r="Z1452" s="1">
        <f t="shared" si="287"/>
        <v>13</v>
      </c>
      <c r="AA1452" s="12">
        <f t="shared" si="291"/>
        <v>0.8666666666666667</v>
      </c>
      <c r="AB1452" s="2" t="s">
        <v>684</v>
      </c>
    </row>
    <row r="1453" spans="1:28" x14ac:dyDescent="0.25">
      <c r="A1453" s="1" t="s">
        <v>1686</v>
      </c>
      <c r="B1453" s="1" t="s">
        <v>576</v>
      </c>
      <c r="C1453" s="1" t="s">
        <v>36</v>
      </c>
      <c r="D1453" s="1">
        <v>27</v>
      </c>
      <c r="E1453" s="1">
        <v>2</v>
      </c>
      <c r="F1453" s="1">
        <v>1</v>
      </c>
      <c r="G1453" s="1">
        <v>7</v>
      </c>
      <c r="H1453" s="1">
        <v>7</v>
      </c>
      <c r="I1453" s="1">
        <v>6</v>
      </c>
      <c r="J1453" s="1">
        <v>4</v>
      </c>
      <c r="K1453" s="1">
        <f t="shared" si="284"/>
        <v>24</v>
      </c>
      <c r="L1453" s="12">
        <f t="shared" si="288"/>
        <v>0.68571428571428572</v>
      </c>
      <c r="M1453" s="1">
        <v>5</v>
      </c>
      <c r="N1453" s="1">
        <v>5</v>
      </c>
      <c r="O1453" s="1">
        <v>6</v>
      </c>
      <c r="P1453" s="1">
        <v>4</v>
      </c>
      <c r="Q1453" s="1">
        <f t="shared" si="285"/>
        <v>20</v>
      </c>
      <c r="R1453" s="12">
        <f t="shared" si="289"/>
        <v>0.5714285714285714</v>
      </c>
      <c r="S1453" s="1">
        <v>6</v>
      </c>
      <c r="T1453" s="1">
        <v>4</v>
      </c>
      <c r="U1453" s="1">
        <f t="shared" si="286"/>
        <v>10</v>
      </c>
      <c r="V1453" s="12">
        <f t="shared" si="290"/>
        <v>0.66666666666666663</v>
      </c>
      <c r="W1453" s="1">
        <v>4</v>
      </c>
      <c r="X1453" s="1">
        <v>3</v>
      </c>
      <c r="Y1453" s="1">
        <v>3</v>
      </c>
      <c r="Z1453" s="1">
        <f t="shared" si="287"/>
        <v>10</v>
      </c>
      <c r="AA1453" s="12">
        <f t="shared" si="291"/>
        <v>0.66666666666666663</v>
      </c>
      <c r="AB1453" s="2" t="s">
        <v>685</v>
      </c>
    </row>
    <row r="1454" spans="1:28" x14ac:dyDescent="0.25">
      <c r="A1454" s="1" t="s">
        <v>1686</v>
      </c>
      <c r="B1454" s="1" t="s">
        <v>576</v>
      </c>
      <c r="C1454" s="1" t="s">
        <v>36</v>
      </c>
      <c r="D1454" s="1">
        <v>27</v>
      </c>
      <c r="E1454" s="1">
        <v>2</v>
      </c>
      <c r="F1454" s="1">
        <v>1</v>
      </c>
      <c r="G1454" s="1">
        <v>7</v>
      </c>
      <c r="H1454" s="1">
        <v>6</v>
      </c>
      <c r="I1454" s="1">
        <v>7</v>
      </c>
      <c r="J1454" s="1">
        <v>5</v>
      </c>
      <c r="K1454" s="1">
        <f t="shared" si="284"/>
        <v>25</v>
      </c>
      <c r="L1454" s="12">
        <f t="shared" si="288"/>
        <v>0.7142857142857143</v>
      </c>
      <c r="M1454" s="1">
        <v>7</v>
      </c>
      <c r="N1454" s="1">
        <v>7</v>
      </c>
      <c r="O1454" s="1">
        <v>7</v>
      </c>
      <c r="P1454" s="1">
        <v>5</v>
      </c>
      <c r="Q1454" s="1">
        <f t="shared" si="285"/>
        <v>26</v>
      </c>
      <c r="R1454" s="12">
        <f t="shared" si="289"/>
        <v>0.74285714285714288</v>
      </c>
      <c r="S1454" s="1">
        <v>7</v>
      </c>
      <c r="T1454" s="1">
        <v>5</v>
      </c>
      <c r="U1454" s="1">
        <f t="shared" si="286"/>
        <v>12</v>
      </c>
      <c r="V1454" s="12">
        <f t="shared" si="290"/>
        <v>0.8</v>
      </c>
      <c r="W1454" s="1">
        <v>5</v>
      </c>
      <c r="X1454" s="1">
        <v>5</v>
      </c>
      <c r="Y1454" s="1">
        <v>5</v>
      </c>
      <c r="Z1454" s="1">
        <f t="shared" si="287"/>
        <v>15</v>
      </c>
      <c r="AA1454" s="12">
        <f t="shared" si="291"/>
        <v>1</v>
      </c>
      <c r="AB1454" s="2" t="s">
        <v>686</v>
      </c>
    </row>
    <row r="1455" spans="1:28" x14ac:dyDescent="0.25">
      <c r="A1455" s="1" t="s">
        <v>1686</v>
      </c>
      <c r="B1455" s="1" t="s">
        <v>576</v>
      </c>
      <c r="C1455" s="1" t="s">
        <v>36</v>
      </c>
      <c r="D1455" s="1">
        <v>27</v>
      </c>
      <c r="E1455" s="1">
        <v>2</v>
      </c>
      <c r="F1455" s="1">
        <v>1</v>
      </c>
      <c r="G1455" s="1">
        <v>7</v>
      </c>
      <c r="H1455" s="1">
        <v>5</v>
      </c>
      <c r="I1455" s="1">
        <v>6</v>
      </c>
      <c r="J1455" s="1">
        <v>4</v>
      </c>
      <c r="K1455" s="1">
        <f t="shared" si="284"/>
        <v>22</v>
      </c>
      <c r="L1455" s="12">
        <f t="shared" si="288"/>
        <v>0.62857142857142856</v>
      </c>
      <c r="M1455" s="1">
        <v>7</v>
      </c>
      <c r="N1455" s="1">
        <v>6</v>
      </c>
      <c r="O1455" s="1">
        <v>6</v>
      </c>
      <c r="P1455" s="1">
        <v>4</v>
      </c>
      <c r="Q1455" s="1">
        <f t="shared" si="285"/>
        <v>23</v>
      </c>
      <c r="R1455" s="12">
        <f t="shared" si="289"/>
        <v>0.65714285714285714</v>
      </c>
      <c r="S1455" s="1">
        <v>7</v>
      </c>
      <c r="T1455" s="1">
        <v>4</v>
      </c>
      <c r="U1455" s="1">
        <f t="shared" si="286"/>
        <v>11</v>
      </c>
      <c r="V1455" s="12">
        <f t="shared" si="290"/>
        <v>0.73333333333333328</v>
      </c>
      <c r="W1455" s="1">
        <v>5</v>
      </c>
      <c r="X1455" s="1">
        <v>4</v>
      </c>
      <c r="Y1455" s="1">
        <v>4</v>
      </c>
      <c r="Z1455" s="1">
        <f t="shared" si="287"/>
        <v>13</v>
      </c>
      <c r="AA1455" s="12">
        <f t="shared" si="291"/>
        <v>0.8666666666666667</v>
      </c>
      <c r="AB1455" s="2" t="s">
        <v>687</v>
      </c>
    </row>
    <row r="1456" spans="1:28" x14ac:dyDescent="0.25">
      <c r="A1456" s="1" t="s">
        <v>1686</v>
      </c>
      <c r="B1456" s="1" t="s">
        <v>576</v>
      </c>
      <c r="C1456" s="1" t="s">
        <v>36</v>
      </c>
      <c r="D1456" s="1">
        <v>27</v>
      </c>
      <c r="E1456" s="1">
        <v>2</v>
      </c>
      <c r="F1456" s="1">
        <v>1</v>
      </c>
      <c r="G1456" s="1">
        <v>6</v>
      </c>
      <c r="H1456" s="1">
        <v>6</v>
      </c>
      <c r="I1456" s="1">
        <v>5</v>
      </c>
      <c r="J1456" s="1">
        <v>4</v>
      </c>
      <c r="K1456" s="1">
        <f t="shared" si="284"/>
        <v>21</v>
      </c>
      <c r="L1456" s="12">
        <f t="shared" si="288"/>
        <v>0.6</v>
      </c>
      <c r="M1456" s="1">
        <v>6</v>
      </c>
      <c r="N1456" s="1">
        <v>6</v>
      </c>
      <c r="O1456" s="1">
        <v>6</v>
      </c>
      <c r="P1456" s="1">
        <v>3</v>
      </c>
      <c r="Q1456" s="1">
        <f t="shared" si="285"/>
        <v>21</v>
      </c>
      <c r="R1456" s="12">
        <f t="shared" si="289"/>
        <v>0.6</v>
      </c>
      <c r="S1456" s="1">
        <v>6</v>
      </c>
      <c r="T1456" s="1">
        <v>4</v>
      </c>
      <c r="U1456" s="1">
        <f t="shared" si="286"/>
        <v>10</v>
      </c>
      <c r="V1456" s="12">
        <f t="shared" si="290"/>
        <v>0.66666666666666663</v>
      </c>
      <c r="W1456" s="1">
        <v>5</v>
      </c>
      <c r="X1456" s="1">
        <v>3</v>
      </c>
      <c r="Y1456" s="1">
        <v>3</v>
      </c>
      <c r="Z1456" s="1">
        <f t="shared" si="287"/>
        <v>11</v>
      </c>
      <c r="AA1456" s="12">
        <f t="shared" si="291"/>
        <v>0.73333333333333328</v>
      </c>
      <c r="AB1456" s="2" t="s">
        <v>688</v>
      </c>
    </row>
    <row r="1457" spans="1:28" x14ac:dyDescent="0.25">
      <c r="A1457" s="1" t="s">
        <v>1686</v>
      </c>
      <c r="B1457" s="1" t="s">
        <v>576</v>
      </c>
      <c r="C1457" s="1" t="s">
        <v>36</v>
      </c>
      <c r="D1457" s="1">
        <v>12</v>
      </c>
      <c r="E1457" s="1">
        <v>3</v>
      </c>
      <c r="F1457" s="1">
        <v>2</v>
      </c>
      <c r="G1457" s="1">
        <v>7</v>
      </c>
      <c r="H1457" s="1">
        <v>5</v>
      </c>
      <c r="I1457" s="1">
        <v>6</v>
      </c>
      <c r="J1457" s="1">
        <v>4</v>
      </c>
      <c r="K1457" s="1">
        <f t="shared" si="284"/>
        <v>22</v>
      </c>
      <c r="L1457" s="12">
        <f t="shared" si="288"/>
        <v>0.62857142857142856</v>
      </c>
      <c r="M1457" s="1">
        <v>4</v>
      </c>
      <c r="N1457" s="1">
        <v>5</v>
      </c>
      <c r="O1457" s="1">
        <v>5</v>
      </c>
      <c r="P1457" s="1">
        <v>3</v>
      </c>
      <c r="Q1457" s="1">
        <f t="shared" si="285"/>
        <v>17</v>
      </c>
      <c r="R1457" s="12">
        <f t="shared" si="289"/>
        <v>0.48571428571428571</v>
      </c>
      <c r="S1457" s="1">
        <v>6</v>
      </c>
      <c r="T1457" s="1">
        <v>4</v>
      </c>
      <c r="U1457" s="1">
        <f t="shared" si="286"/>
        <v>10</v>
      </c>
      <c r="V1457" s="12">
        <f t="shared" si="290"/>
        <v>0.66666666666666663</v>
      </c>
      <c r="W1457" s="1">
        <v>4</v>
      </c>
      <c r="X1457" s="1">
        <v>4</v>
      </c>
      <c r="Y1457" s="1">
        <v>3</v>
      </c>
      <c r="Z1457" s="1">
        <f t="shared" si="287"/>
        <v>11</v>
      </c>
      <c r="AA1457" s="12">
        <f t="shared" si="291"/>
        <v>0.73333333333333328</v>
      </c>
      <c r="AB1457" s="2" t="s">
        <v>781</v>
      </c>
    </row>
    <row r="1458" spans="1:28" x14ac:dyDescent="0.25">
      <c r="A1458" s="1" t="s">
        <v>1686</v>
      </c>
      <c r="B1458" s="1" t="s">
        <v>576</v>
      </c>
      <c r="C1458" s="1" t="s">
        <v>36</v>
      </c>
      <c r="D1458" s="1">
        <v>12</v>
      </c>
      <c r="E1458" s="1">
        <v>3</v>
      </c>
      <c r="F1458" s="1">
        <v>2</v>
      </c>
      <c r="G1458" s="1">
        <v>9</v>
      </c>
      <c r="H1458" s="1">
        <v>9</v>
      </c>
      <c r="I1458" s="1">
        <v>9</v>
      </c>
      <c r="J1458" s="1">
        <v>5</v>
      </c>
      <c r="K1458" s="1">
        <f t="shared" si="284"/>
        <v>32</v>
      </c>
      <c r="L1458" s="12">
        <f t="shared" si="288"/>
        <v>0.91428571428571426</v>
      </c>
      <c r="M1458" s="1">
        <v>6</v>
      </c>
      <c r="N1458" s="1">
        <v>7</v>
      </c>
      <c r="O1458" s="1">
        <v>7</v>
      </c>
      <c r="P1458" s="1">
        <v>4</v>
      </c>
      <c r="Q1458" s="1">
        <f t="shared" si="285"/>
        <v>24</v>
      </c>
      <c r="R1458" s="12">
        <f t="shared" si="289"/>
        <v>0.68571428571428572</v>
      </c>
      <c r="S1458" s="1">
        <v>7</v>
      </c>
      <c r="T1458" s="1">
        <v>5</v>
      </c>
      <c r="U1458" s="1">
        <f t="shared" si="286"/>
        <v>12</v>
      </c>
      <c r="V1458" s="12">
        <f t="shared" si="290"/>
        <v>0.8</v>
      </c>
      <c r="W1458" s="1">
        <v>5</v>
      </c>
      <c r="X1458" s="1">
        <v>5</v>
      </c>
      <c r="Y1458" s="1">
        <v>5</v>
      </c>
      <c r="Z1458" s="1">
        <f t="shared" si="287"/>
        <v>15</v>
      </c>
      <c r="AA1458" s="12">
        <f t="shared" si="291"/>
        <v>1</v>
      </c>
      <c r="AB1458" s="2" t="s">
        <v>782</v>
      </c>
    </row>
    <row r="1459" spans="1:28" x14ac:dyDescent="0.25">
      <c r="A1459" s="1" t="s">
        <v>1686</v>
      </c>
      <c r="B1459" s="1" t="s">
        <v>576</v>
      </c>
      <c r="C1459" s="1" t="s">
        <v>36</v>
      </c>
      <c r="D1459" s="1">
        <v>12</v>
      </c>
      <c r="E1459" s="1">
        <v>3</v>
      </c>
      <c r="F1459" s="1">
        <v>2</v>
      </c>
      <c r="G1459" s="1">
        <v>9</v>
      </c>
      <c r="H1459" s="1">
        <v>8</v>
      </c>
      <c r="I1459" s="1">
        <v>8</v>
      </c>
      <c r="J1459" s="1">
        <v>5</v>
      </c>
      <c r="K1459" s="1">
        <f t="shared" si="284"/>
        <v>30</v>
      </c>
      <c r="L1459" s="12">
        <f t="shared" si="288"/>
        <v>0.8571428571428571</v>
      </c>
      <c r="M1459" s="1">
        <v>7</v>
      </c>
      <c r="N1459" s="1">
        <v>9</v>
      </c>
      <c r="O1459" s="1">
        <v>8</v>
      </c>
      <c r="P1459" s="1">
        <v>5</v>
      </c>
      <c r="Q1459" s="1">
        <f t="shared" si="285"/>
        <v>29</v>
      </c>
      <c r="R1459" s="12">
        <f t="shared" si="289"/>
        <v>0.82857142857142863</v>
      </c>
      <c r="S1459" s="1">
        <v>8</v>
      </c>
      <c r="T1459" s="1">
        <v>5</v>
      </c>
      <c r="U1459" s="1">
        <f t="shared" si="286"/>
        <v>13</v>
      </c>
      <c r="V1459" s="12">
        <f t="shared" si="290"/>
        <v>0.8666666666666667</v>
      </c>
      <c r="W1459" s="1">
        <v>5</v>
      </c>
      <c r="X1459" s="1">
        <v>5</v>
      </c>
      <c r="Y1459" s="1">
        <v>5</v>
      </c>
      <c r="Z1459" s="1">
        <f t="shared" si="287"/>
        <v>15</v>
      </c>
      <c r="AA1459" s="12">
        <f t="shared" si="291"/>
        <v>1</v>
      </c>
      <c r="AB1459" s="2" t="s">
        <v>783</v>
      </c>
    </row>
    <row r="1460" spans="1:28" x14ac:dyDescent="0.25">
      <c r="A1460" s="1" t="s">
        <v>1686</v>
      </c>
      <c r="B1460" s="1" t="s">
        <v>576</v>
      </c>
      <c r="C1460" s="1" t="s">
        <v>36</v>
      </c>
      <c r="D1460" s="1">
        <v>12</v>
      </c>
      <c r="E1460" s="1">
        <v>3</v>
      </c>
      <c r="F1460" s="1">
        <v>2</v>
      </c>
      <c r="G1460" s="1">
        <v>9</v>
      </c>
      <c r="H1460" s="1">
        <v>9</v>
      </c>
      <c r="I1460" s="1">
        <v>9</v>
      </c>
      <c r="J1460" s="1">
        <v>5</v>
      </c>
      <c r="K1460" s="1">
        <f t="shared" si="284"/>
        <v>32</v>
      </c>
      <c r="L1460" s="12">
        <f t="shared" si="288"/>
        <v>0.91428571428571426</v>
      </c>
      <c r="M1460" s="1">
        <v>9</v>
      </c>
      <c r="N1460" s="1">
        <v>8</v>
      </c>
      <c r="O1460" s="1">
        <v>8</v>
      </c>
      <c r="P1460" s="1">
        <v>5</v>
      </c>
      <c r="Q1460" s="1">
        <f t="shared" si="285"/>
        <v>30</v>
      </c>
      <c r="R1460" s="12">
        <f t="shared" si="289"/>
        <v>0.8571428571428571</v>
      </c>
      <c r="S1460" s="1">
        <v>9</v>
      </c>
      <c r="T1460" s="1">
        <v>5</v>
      </c>
      <c r="U1460" s="1">
        <f t="shared" si="286"/>
        <v>14</v>
      </c>
      <c r="V1460" s="12">
        <f t="shared" si="290"/>
        <v>0.93333333333333335</v>
      </c>
      <c r="W1460" s="1">
        <v>5</v>
      </c>
      <c r="X1460" s="1">
        <v>5</v>
      </c>
      <c r="Y1460" s="1">
        <v>5</v>
      </c>
      <c r="Z1460" s="1">
        <f t="shared" si="287"/>
        <v>15</v>
      </c>
      <c r="AA1460" s="12">
        <f t="shared" si="291"/>
        <v>1</v>
      </c>
      <c r="AB1460" s="2" t="s">
        <v>784</v>
      </c>
    </row>
    <row r="1461" spans="1:28" x14ac:dyDescent="0.25">
      <c r="A1461" s="1" t="s">
        <v>1686</v>
      </c>
      <c r="B1461" s="1" t="s">
        <v>576</v>
      </c>
      <c r="C1461" s="1" t="s">
        <v>36</v>
      </c>
      <c r="D1461" s="1">
        <v>12</v>
      </c>
      <c r="E1461" s="1">
        <v>3</v>
      </c>
      <c r="F1461" s="1">
        <v>2</v>
      </c>
      <c r="G1461" s="1">
        <v>9</v>
      </c>
      <c r="H1461" s="1">
        <v>8</v>
      </c>
      <c r="I1461" s="1">
        <v>9</v>
      </c>
      <c r="J1461" s="1">
        <v>5</v>
      </c>
      <c r="K1461" s="1">
        <f t="shared" si="284"/>
        <v>31</v>
      </c>
      <c r="L1461" s="12">
        <f t="shared" si="288"/>
        <v>0.88571428571428568</v>
      </c>
      <c r="M1461" s="1">
        <v>7</v>
      </c>
      <c r="N1461" s="1">
        <v>7</v>
      </c>
      <c r="O1461" s="1">
        <v>9</v>
      </c>
      <c r="P1461" s="1">
        <v>5</v>
      </c>
      <c r="Q1461" s="1">
        <f t="shared" si="285"/>
        <v>28</v>
      </c>
      <c r="R1461" s="12">
        <f t="shared" si="289"/>
        <v>0.8</v>
      </c>
      <c r="S1461" s="1">
        <v>9</v>
      </c>
      <c r="T1461" s="1">
        <v>4</v>
      </c>
      <c r="U1461" s="1">
        <f t="shared" si="286"/>
        <v>13</v>
      </c>
      <c r="V1461" s="12">
        <f t="shared" si="290"/>
        <v>0.8666666666666667</v>
      </c>
      <c r="W1461" s="1">
        <v>5</v>
      </c>
      <c r="X1461" s="1">
        <v>5</v>
      </c>
      <c r="Y1461" s="1">
        <v>5</v>
      </c>
      <c r="Z1461" s="1">
        <f t="shared" si="287"/>
        <v>15</v>
      </c>
      <c r="AA1461" s="12">
        <f t="shared" si="291"/>
        <v>1</v>
      </c>
      <c r="AB1461" s="2" t="s">
        <v>785</v>
      </c>
    </row>
    <row r="1462" spans="1:28" x14ac:dyDescent="0.25">
      <c r="A1462" s="1" t="s">
        <v>1686</v>
      </c>
      <c r="B1462" s="1" t="s">
        <v>576</v>
      </c>
      <c r="C1462" s="1" t="s">
        <v>36</v>
      </c>
      <c r="D1462" s="1">
        <v>12</v>
      </c>
      <c r="E1462" s="1">
        <v>3</v>
      </c>
      <c r="F1462" s="1">
        <v>2</v>
      </c>
      <c r="G1462" s="1">
        <v>8</v>
      </c>
      <c r="H1462" s="1">
        <v>8</v>
      </c>
      <c r="I1462" s="1">
        <v>8</v>
      </c>
      <c r="J1462" s="1">
        <v>5</v>
      </c>
      <c r="K1462" s="1">
        <f t="shared" si="284"/>
        <v>29</v>
      </c>
      <c r="L1462" s="12">
        <f t="shared" si="288"/>
        <v>0.82857142857142863</v>
      </c>
      <c r="M1462" s="1">
        <v>9</v>
      </c>
      <c r="N1462" s="1">
        <v>9</v>
      </c>
      <c r="O1462" s="1">
        <v>9</v>
      </c>
      <c r="P1462" s="1">
        <v>5</v>
      </c>
      <c r="Q1462" s="1">
        <f t="shared" si="285"/>
        <v>32</v>
      </c>
      <c r="R1462" s="12">
        <f t="shared" si="289"/>
        <v>0.91428571428571426</v>
      </c>
      <c r="S1462" s="1">
        <v>8</v>
      </c>
      <c r="T1462" s="1">
        <v>5</v>
      </c>
      <c r="U1462" s="1">
        <f t="shared" si="286"/>
        <v>13</v>
      </c>
      <c r="V1462" s="12">
        <f t="shared" si="290"/>
        <v>0.8666666666666667</v>
      </c>
      <c r="W1462" s="1">
        <v>5</v>
      </c>
      <c r="X1462" s="1">
        <v>5</v>
      </c>
      <c r="Y1462" s="1">
        <v>5</v>
      </c>
      <c r="Z1462" s="1">
        <f t="shared" si="287"/>
        <v>15</v>
      </c>
      <c r="AA1462" s="12">
        <f t="shared" si="291"/>
        <v>1</v>
      </c>
      <c r="AB1462" s="2" t="s">
        <v>786</v>
      </c>
    </row>
    <row r="1463" spans="1:28" x14ac:dyDescent="0.25">
      <c r="A1463" s="1" t="s">
        <v>1686</v>
      </c>
      <c r="B1463" s="1" t="s">
        <v>576</v>
      </c>
      <c r="C1463" s="1" t="s">
        <v>36</v>
      </c>
      <c r="D1463" s="1">
        <v>12</v>
      </c>
      <c r="E1463" s="1">
        <v>3</v>
      </c>
      <c r="F1463" s="1">
        <v>2</v>
      </c>
      <c r="G1463" s="1">
        <v>9</v>
      </c>
      <c r="H1463" s="1">
        <v>9</v>
      </c>
      <c r="I1463" s="1">
        <v>9</v>
      </c>
      <c r="J1463" s="1">
        <v>5</v>
      </c>
      <c r="K1463" s="1">
        <f t="shared" si="284"/>
        <v>32</v>
      </c>
      <c r="L1463" s="12">
        <f t="shared" si="288"/>
        <v>0.91428571428571426</v>
      </c>
      <c r="M1463" s="1">
        <v>9</v>
      </c>
      <c r="N1463" s="1">
        <v>9</v>
      </c>
      <c r="O1463" s="1">
        <v>9</v>
      </c>
      <c r="P1463" s="1">
        <v>5</v>
      </c>
      <c r="Q1463" s="1">
        <f t="shared" si="285"/>
        <v>32</v>
      </c>
      <c r="R1463" s="12">
        <f t="shared" si="289"/>
        <v>0.91428571428571426</v>
      </c>
      <c r="S1463" s="1">
        <v>9</v>
      </c>
      <c r="T1463" s="1">
        <v>5</v>
      </c>
      <c r="U1463" s="1">
        <f t="shared" si="286"/>
        <v>14</v>
      </c>
      <c r="V1463" s="12">
        <f t="shared" si="290"/>
        <v>0.93333333333333335</v>
      </c>
      <c r="W1463" s="1">
        <v>5</v>
      </c>
      <c r="X1463" s="1">
        <v>5</v>
      </c>
      <c r="Y1463" s="1">
        <v>5</v>
      </c>
      <c r="Z1463" s="1">
        <f t="shared" si="287"/>
        <v>15</v>
      </c>
      <c r="AA1463" s="12">
        <f t="shared" si="291"/>
        <v>1</v>
      </c>
      <c r="AB1463" s="2" t="s">
        <v>787</v>
      </c>
    </row>
    <row r="1464" spans="1:28" x14ac:dyDescent="0.25">
      <c r="A1464" s="1" t="s">
        <v>1686</v>
      </c>
      <c r="B1464" s="1" t="s">
        <v>576</v>
      </c>
      <c r="C1464" s="1" t="s">
        <v>36</v>
      </c>
      <c r="D1464" s="1">
        <v>12</v>
      </c>
      <c r="E1464" s="1">
        <v>3</v>
      </c>
      <c r="F1464" s="1">
        <v>2</v>
      </c>
      <c r="G1464" s="1">
        <v>9</v>
      </c>
      <c r="H1464" s="1">
        <v>9</v>
      </c>
      <c r="I1464" s="1">
        <v>9</v>
      </c>
      <c r="J1464" s="1">
        <v>5</v>
      </c>
      <c r="K1464" s="1">
        <f t="shared" si="284"/>
        <v>32</v>
      </c>
      <c r="L1464" s="12">
        <f t="shared" si="288"/>
        <v>0.91428571428571426</v>
      </c>
      <c r="M1464" s="1">
        <v>8</v>
      </c>
      <c r="N1464" s="1">
        <v>9</v>
      </c>
      <c r="O1464" s="1">
        <v>9</v>
      </c>
      <c r="P1464" s="1">
        <v>5</v>
      </c>
      <c r="Q1464" s="1">
        <f t="shared" si="285"/>
        <v>31</v>
      </c>
      <c r="R1464" s="12">
        <f t="shared" si="289"/>
        <v>0.88571428571428568</v>
      </c>
      <c r="S1464" s="1">
        <v>9</v>
      </c>
      <c r="T1464" s="1">
        <v>5</v>
      </c>
      <c r="U1464" s="1">
        <f t="shared" si="286"/>
        <v>14</v>
      </c>
      <c r="V1464" s="12">
        <f t="shared" si="290"/>
        <v>0.93333333333333335</v>
      </c>
      <c r="W1464" s="1">
        <v>5</v>
      </c>
      <c r="X1464" s="1">
        <v>5</v>
      </c>
      <c r="Y1464" s="1">
        <v>5</v>
      </c>
      <c r="Z1464" s="1">
        <f t="shared" si="287"/>
        <v>15</v>
      </c>
      <c r="AA1464" s="12">
        <f t="shared" si="291"/>
        <v>1</v>
      </c>
      <c r="AB1464" s="2" t="s">
        <v>788</v>
      </c>
    </row>
    <row r="1465" spans="1:28" x14ac:dyDescent="0.25">
      <c r="A1465" s="1" t="s">
        <v>1686</v>
      </c>
      <c r="B1465" s="1" t="s">
        <v>35</v>
      </c>
      <c r="C1465" s="1" t="s">
        <v>861</v>
      </c>
      <c r="D1465" s="1">
        <v>17</v>
      </c>
      <c r="E1465" s="1">
        <v>1</v>
      </c>
      <c r="F1465" s="1">
        <v>1</v>
      </c>
      <c r="G1465" s="1">
        <v>6</v>
      </c>
      <c r="H1465" s="1">
        <v>5</v>
      </c>
      <c r="I1465" s="1">
        <v>6</v>
      </c>
      <c r="J1465" s="1">
        <v>6</v>
      </c>
      <c r="K1465" s="1">
        <f t="shared" si="284"/>
        <v>23</v>
      </c>
      <c r="L1465" s="12">
        <f t="shared" ref="L1465:L1511" si="292">K1465/40</f>
        <v>0.57499999999999996</v>
      </c>
      <c r="M1465" s="1">
        <v>6</v>
      </c>
      <c r="N1465" s="1">
        <v>5</v>
      </c>
      <c r="O1465" s="1">
        <v>6</v>
      </c>
      <c r="P1465" s="1">
        <v>6</v>
      </c>
      <c r="Q1465" s="1">
        <f t="shared" si="285"/>
        <v>23</v>
      </c>
      <c r="R1465" s="12">
        <f t="shared" ref="R1465:R1511" si="293">Q1465/40</f>
        <v>0.57499999999999996</v>
      </c>
      <c r="S1465" s="1">
        <v>6</v>
      </c>
      <c r="T1465" s="1">
        <v>7</v>
      </c>
      <c r="U1465" s="1">
        <f t="shared" si="286"/>
        <v>13</v>
      </c>
      <c r="V1465" s="12">
        <f t="shared" ref="V1465:V1511" si="294">U1465/20</f>
        <v>0.65</v>
      </c>
      <c r="Z1465" s="1">
        <f t="shared" si="287"/>
        <v>0</v>
      </c>
      <c r="AB1465" s="2" t="s">
        <v>880</v>
      </c>
    </row>
    <row r="1466" spans="1:28" x14ac:dyDescent="0.25">
      <c r="A1466" s="1" t="s">
        <v>1686</v>
      </c>
      <c r="B1466" s="1" t="s">
        <v>35</v>
      </c>
      <c r="C1466" s="1" t="s">
        <v>861</v>
      </c>
      <c r="D1466" s="1">
        <v>17</v>
      </c>
      <c r="E1466" s="1">
        <v>1</v>
      </c>
      <c r="F1466" s="1">
        <v>1</v>
      </c>
      <c r="G1466" s="1">
        <v>7</v>
      </c>
      <c r="H1466" s="1">
        <v>6</v>
      </c>
      <c r="I1466" s="1">
        <v>6</v>
      </c>
      <c r="J1466" s="1">
        <v>6</v>
      </c>
      <c r="K1466" s="1">
        <f t="shared" si="284"/>
        <v>25</v>
      </c>
      <c r="L1466" s="12">
        <f t="shared" si="292"/>
        <v>0.625</v>
      </c>
      <c r="M1466" s="1">
        <v>6</v>
      </c>
      <c r="N1466" s="1">
        <v>6</v>
      </c>
      <c r="O1466" s="1">
        <v>6</v>
      </c>
      <c r="P1466" s="1">
        <v>6</v>
      </c>
      <c r="Q1466" s="1">
        <f t="shared" si="285"/>
        <v>24</v>
      </c>
      <c r="R1466" s="12">
        <f t="shared" si="293"/>
        <v>0.6</v>
      </c>
      <c r="S1466" s="1">
        <v>7</v>
      </c>
      <c r="T1466" s="1">
        <v>7</v>
      </c>
      <c r="U1466" s="1">
        <f t="shared" si="286"/>
        <v>14</v>
      </c>
      <c r="V1466" s="12">
        <f t="shared" si="294"/>
        <v>0.7</v>
      </c>
      <c r="Z1466" s="1">
        <f t="shared" si="287"/>
        <v>0</v>
      </c>
      <c r="AB1466" s="2" t="s">
        <v>881</v>
      </c>
    </row>
    <row r="1467" spans="1:28" x14ac:dyDescent="0.25">
      <c r="A1467" s="1" t="s">
        <v>1686</v>
      </c>
      <c r="B1467" s="1" t="s">
        <v>35</v>
      </c>
      <c r="C1467" s="1" t="s">
        <v>861</v>
      </c>
      <c r="D1467" s="1">
        <v>17</v>
      </c>
      <c r="E1467" s="1">
        <v>1</v>
      </c>
      <c r="F1467" s="1">
        <v>1</v>
      </c>
      <c r="G1467" s="1">
        <v>6</v>
      </c>
      <c r="H1467" s="1">
        <v>6</v>
      </c>
      <c r="I1467" s="1">
        <v>6</v>
      </c>
      <c r="J1467" s="1">
        <v>5</v>
      </c>
      <c r="K1467" s="1">
        <f t="shared" si="284"/>
        <v>23</v>
      </c>
      <c r="L1467" s="12">
        <f t="shared" si="292"/>
        <v>0.57499999999999996</v>
      </c>
      <c r="M1467" s="1">
        <v>4</v>
      </c>
      <c r="N1467" s="1">
        <v>5</v>
      </c>
      <c r="O1467" s="1">
        <v>6</v>
      </c>
      <c r="P1467" s="1">
        <v>5</v>
      </c>
      <c r="Q1467" s="1">
        <f t="shared" si="285"/>
        <v>20</v>
      </c>
      <c r="R1467" s="12">
        <f t="shared" si="293"/>
        <v>0.5</v>
      </c>
      <c r="S1467" s="1">
        <v>5</v>
      </c>
      <c r="T1467" s="1">
        <v>6</v>
      </c>
      <c r="U1467" s="1">
        <f t="shared" si="286"/>
        <v>11</v>
      </c>
      <c r="V1467" s="12">
        <f t="shared" si="294"/>
        <v>0.55000000000000004</v>
      </c>
      <c r="Z1467" s="1">
        <f t="shared" si="287"/>
        <v>0</v>
      </c>
      <c r="AB1467" s="2" t="s">
        <v>882</v>
      </c>
    </row>
    <row r="1468" spans="1:28" x14ac:dyDescent="0.25">
      <c r="A1468" s="1" t="s">
        <v>1686</v>
      </c>
      <c r="B1468" s="1" t="s">
        <v>35</v>
      </c>
      <c r="C1468" s="1" t="s">
        <v>861</v>
      </c>
      <c r="D1468" s="1">
        <v>17</v>
      </c>
      <c r="E1468" s="1">
        <v>1</v>
      </c>
      <c r="F1468" s="1">
        <v>1</v>
      </c>
      <c r="G1468" s="1">
        <v>7</v>
      </c>
      <c r="H1468" s="1">
        <v>7</v>
      </c>
      <c r="I1468" s="1">
        <v>7</v>
      </c>
      <c r="J1468" s="1">
        <v>7</v>
      </c>
      <c r="K1468" s="1">
        <f t="shared" si="284"/>
        <v>28</v>
      </c>
      <c r="L1468" s="12">
        <f t="shared" si="292"/>
        <v>0.7</v>
      </c>
      <c r="M1468" s="1">
        <v>6</v>
      </c>
      <c r="N1468" s="1">
        <v>7</v>
      </c>
      <c r="O1468" s="1">
        <v>7</v>
      </c>
      <c r="P1468" s="1">
        <v>6</v>
      </c>
      <c r="Q1468" s="1">
        <f t="shared" si="285"/>
        <v>26</v>
      </c>
      <c r="R1468" s="12">
        <f t="shared" si="293"/>
        <v>0.65</v>
      </c>
      <c r="S1468" s="1">
        <v>6</v>
      </c>
      <c r="T1468" s="1">
        <v>4</v>
      </c>
      <c r="U1468" s="1">
        <f t="shared" si="286"/>
        <v>10</v>
      </c>
      <c r="V1468" s="12">
        <f t="shared" si="294"/>
        <v>0.5</v>
      </c>
      <c r="Z1468" s="1">
        <f t="shared" si="287"/>
        <v>0</v>
      </c>
      <c r="AB1468" s="2" t="s">
        <v>883</v>
      </c>
    </row>
    <row r="1469" spans="1:28" x14ac:dyDescent="0.25">
      <c r="A1469" s="1" t="s">
        <v>1686</v>
      </c>
      <c r="B1469" s="1" t="s">
        <v>35</v>
      </c>
      <c r="C1469" s="1" t="s">
        <v>861</v>
      </c>
      <c r="D1469" s="1">
        <v>17</v>
      </c>
      <c r="E1469" s="1">
        <v>1</v>
      </c>
      <c r="F1469" s="1">
        <v>1</v>
      </c>
      <c r="G1469" s="1">
        <v>7</v>
      </c>
      <c r="H1469" s="1">
        <v>7</v>
      </c>
      <c r="I1469" s="1">
        <v>7</v>
      </c>
      <c r="J1469" s="1">
        <v>7</v>
      </c>
      <c r="K1469" s="1">
        <f t="shared" si="284"/>
        <v>28</v>
      </c>
      <c r="L1469" s="12">
        <f t="shared" si="292"/>
        <v>0.7</v>
      </c>
      <c r="M1469" s="1">
        <v>7</v>
      </c>
      <c r="N1469" s="1">
        <v>6</v>
      </c>
      <c r="O1469" s="1">
        <v>8</v>
      </c>
      <c r="P1469" s="1">
        <v>8</v>
      </c>
      <c r="Q1469" s="1">
        <f t="shared" si="285"/>
        <v>29</v>
      </c>
      <c r="R1469" s="12">
        <f t="shared" si="293"/>
        <v>0.72499999999999998</v>
      </c>
      <c r="S1469" s="1">
        <v>7</v>
      </c>
      <c r="T1469" s="1">
        <v>7</v>
      </c>
      <c r="U1469" s="1">
        <f t="shared" si="286"/>
        <v>14</v>
      </c>
      <c r="V1469" s="12">
        <f t="shared" si="294"/>
        <v>0.7</v>
      </c>
      <c r="Z1469" s="1">
        <f t="shared" si="287"/>
        <v>0</v>
      </c>
      <c r="AB1469" s="2" t="s">
        <v>884</v>
      </c>
    </row>
    <row r="1470" spans="1:28" x14ac:dyDescent="0.25">
      <c r="A1470" s="1" t="s">
        <v>1686</v>
      </c>
      <c r="B1470" s="1" t="s">
        <v>35</v>
      </c>
      <c r="C1470" s="1" t="s">
        <v>861</v>
      </c>
      <c r="D1470" s="1">
        <v>17</v>
      </c>
      <c r="E1470" s="1">
        <v>1</v>
      </c>
      <c r="F1470" s="1">
        <v>1</v>
      </c>
      <c r="G1470" s="1">
        <v>5</v>
      </c>
      <c r="H1470" s="1">
        <v>4</v>
      </c>
      <c r="I1470" s="1">
        <v>5</v>
      </c>
      <c r="J1470" s="1">
        <v>5</v>
      </c>
      <c r="K1470" s="1">
        <f t="shared" si="284"/>
        <v>19</v>
      </c>
      <c r="L1470" s="12">
        <f t="shared" si="292"/>
        <v>0.47499999999999998</v>
      </c>
      <c r="M1470" s="1">
        <v>6</v>
      </c>
      <c r="N1470" s="1">
        <v>7</v>
      </c>
      <c r="O1470" s="1">
        <v>7</v>
      </c>
      <c r="P1470" s="1">
        <v>6</v>
      </c>
      <c r="Q1470" s="1">
        <f t="shared" si="285"/>
        <v>26</v>
      </c>
      <c r="R1470" s="12">
        <f t="shared" si="293"/>
        <v>0.65</v>
      </c>
      <c r="S1470" s="1">
        <v>6</v>
      </c>
      <c r="T1470" s="1">
        <v>6</v>
      </c>
      <c r="U1470" s="1">
        <f t="shared" si="286"/>
        <v>12</v>
      </c>
      <c r="V1470" s="12">
        <f t="shared" si="294"/>
        <v>0.6</v>
      </c>
      <c r="Z1470" s="1">
        <f t="shared" si="287"/>
        <v>0</v>
      </c>
      <c r="AB1470" s="2" t="s">
        <v>885</v>
      </c>
    </row>
    <row r="1471" spans="1:28" x14ac:dyDescent="0.25">
      <c r="A1471" s="1" t="s">
        <v>1686</v>
      </c>
      <c r="B1471" s="1" t="s">
        <v>35</v>
      </c>
      <c r="C1471" s="1" t="s">
        <v>861</v>
      </c>
      <c r="D1471" s="1">
        <v>17</v>
      </c>
      <c r="E1471" s="1">
        <v>1</v>
      </c>
      <c r="F1471" s="1">
        <v>1</v>
      </c>
      <c r="G1471" s="1">
        <v>6</v>
      </c>
      <c r="H1471" s="1">
        <v>6</v>
      </c>
      <c r="I1471" s="1">
        <v>6</v>
      </c>
      <c r="J1471" s="1">
        <v>5</v>
      </c>
      <c r="K1471" s="1">
        <f t="shared" si="284"/>
        <v>23</v>
      </c>
      <c r="L1471" s="12">
        <f t="shared" si="292"/>
        <v>0.57499999999999996</v>
      </c>
      <c r="M1471" s="1">
        <v>5</v>
      </c>
      <c r="N1471" s="1">
        <v>5</v>
      </c>
      <c r="O1471" s="1">
        <v>6</v>
      </c>
      <c r="P1471" s="1">
        <v>6</v>
      </c>
      <c r="Q1471" s="1">
        <f t="shared" si="285"/>
        <v>22</v>
      </c>
      <c r="R1471" s="12">
        <f t="shared" si="293"/>
        <v>0.55000000000000004</v>
      </c>
      <c r="S1471" s="1">
        <v>6</v>
      </c>
      <c r="T1471" s="1">
        <v>6</v>
      </c>
      <c r="U1471" s="1">
        <f t="shared" si="286"/>
        <v>12</v>
      </c>
      <c r="V1471" s="12">
        <f t="shared" si="294"/>
        <v>0.6</v>
      </c>
      <c r="Z1471" s="1">
        <f t="shared" si="287"/>
        <v>0</v>
      </c>
      <c r="AB1471" s="2" t="s">
        <v>886</v>
      </c>
    </row>
    <row r="1472" spans="1:28" x14ac:dyDescent="0.25">
      <c r="A1472" s="1" t="s">
        <v>1686</v>
      </c>
      <c r="B1472" s="1" t="s">
        <v>35</v>
      </c>
      <c r="C1472" s="1" t="s">
        <v>861</v>
      </c>
      <c r="D1472" s="1">
        <v>17</v>
      </c>
      <c r="E1472" s="1">
        <v>1</v>
      </c>
      <c r="F1472" s="1">
        <v>1</v>
      </c>
      <c r="G1472" s="1">
        <v>6</v>
      </c>
      <c r="H1472" s="1">
        <v>6</v>
      </c>
      <c r="I1472" s="1">
        <v>5</v>
      </c>
      <c r="J1472" s="1">
        <v>6</v>
      </c>
      <c r="K1472" s="1">
        <f t="shared" si="284"/>
        <v>23</v>
      </c>
      <c r="L1472" s="12">
        <f t="shared" si="292"/>
        <v>0.57499999999999996</v>
      </c>
      <c r="M1472" s="1">
        <v>6</v>
      </c>
      <c r="N1472" s="1">
        <v>7</v>
      </c>
      <c r="O1472" s="1">
        <v>6</v>
      </c>
      <c r="P1472" s="1">
        <v>6</v>
      </c>
      <c r="Q1472" s="1">
        <f t="shared" si="285"/>
        <v>25</v>
      </c>
      <c r="R1472" s="12">
        <f t="shared" si="293"/>
        <v>0.625</v>
      </c>
      <c r="S1472" s="1">
        <v>6</v>
      </c>
      <c r="T1472" s="1">
        <v>7</v>
      </c>
      <c r="U1472" s="1">
        <f t="shared" si="286"/>
        <v>13</v>
      </c>
      <c r="V1472" s="12">
        <f t="shared" si="294"/>
        <v>0.65</v>
      </c>
      <c r="Z1472" s="1">
        <f t="shared" si="287"/>
        <v>0</v>
      </c>
      <c r="AB1472" s="2" t="s">
        <v>887</v>
      </c>
    </row>
    <row r="1473" spans="1:28" x14ac:dyDescent="0.25">
      <c r="A1473" s="1" t="s">
        <v>1686</v>
      </c>
      <c r="B1473" s="1" t="s">
        <v>35</v>
      </c>
      <c r="C1473" s="1" t="s">
        <v>861</v>
      </c>
      <c r="D1473" s="1">
        <v>17</v>
      </c>
      <c r="E1473" s="1">
        <v>1</v>
      </c>
      <c r="F1473" s="1">
        <v>1</v>
      </c>
      <c r="G1473" s="1">
        <v>7</v>
      </c>
      <c r="H1473" s="1">
        <v>7</v>
      </c>
      <c r="I1473" s="1">
        <v>6</v>
      </c>
      <c r="J1473" s="1">
        <v>7</v>
      </c>
      <c r="K1473" s="1">
        <f t="shared" si="284"/>
        <v>27</v>
      </c>
      <c r="L1473" s="12">
        <f t="shared" si="292"/>
        <v>0.67500000000000004</v>
      </c>
      <c r="M1473" s="1">
        <v>7</v>
      </c>
      <c r="N1473" s="1">
        <v>6</v>
      </c>
      <c r="O1473" s="1">
        <v>7</v>
      </c>
      <c r="P1473" s="1">
        <v>8</v>
      </c>
      <c r="Q1473" s="1">
        <f t="shared" si="285"/>
        <v>28</v>
      </c>
      <c r="R1473" s="12">
        <f t="shared" si="293"/>
        <v>0.7</v>
      </c>
      <c r="S1473" s="1">
        <v>7</v>
      </c>
      <c r="T1473" s="1">
        <v>7</v>
      </c>
      <c r="U1473" s="1">
        <f t="shared" si="286"/>
        <v>14</v>
      </c>
      <c r="V1473" s="12">
        <f t="shared" si="294"/>
        <v>0.7</v>
      </c>
      <c r="Z1473" s="1">
        <f t="shared" si="287"/>
        <v>0</v>
      </c>
      <c r="AB1473" s="2" t="s">
        <v>888</v>
      </c>
    </row>
    <row r="1474" spans="1:28" x14ac:dyDescent="0.25">
      <c r="A1474" s="1" t="s">
        <v>1686</v>
      </c>
      <c r="B1474" s="1" t="s">
        <v>35</v>
      </c>
      <c r="C1474" s="1" t="s">
        <v>861</v>
      </c>
      <c r="D1474" s="1">
        <v>18</v>
      </c>
      <c r="E1474" s="1">
        <v>2</v>
      </c>
      <c r="F1474" s="1">
        <v>3</v>
      </c>
      <c r="G1474" s="1">
        <v>6</v>
      </c>
      <c r="H1474" s="1">
        <v>6</v>
      </c>
      <c r="I1474" s="1">
        <v>6</v>
      </c>
      <c r="J1474" s="1">
        <v>7</v>
      </c>
      <c r="K1474" s="1">
        <f t="shared" si="284"/>
        <v>25</v>
      </c>
      <c r="L1474" s="12">
        <f t="shared" si="292"/>
        <v>0.625</v>
      </c>
      <c r="M1474" s="1">
        <v>7</v>
      </c>
      <c r="N1474" s="1">
        <v>6</v>
      </c>
      <c r="O1474" s="1">
        <v>6</v>
      </c>
      <c r="P1474" s="1">
        <v>6</v>
      </c>
      <c r="Q1474" s="1">
        <f t="shared" si="285"/>
        <v>25</v>
      </c>
      <c r="R1474" s="12">
        <f t="shared" si="293"/>
        <v>0.625</v>
      </c>
      <c r="S1474" s="1">
        <v>7</v>
      </c>
      <c r="T1474" s="1">
        <v>6</v>
      </c>
      <c r="U1474" s="1">
        <f t="shared" si="286"/>
        <v>13</v>
      </c>
      <c r="V1474" s="12">
        <f t="shared" si="294"/>
        <v>0.65</v>
      </c>
      <c r="Z1474" s="1">
        <f t="shared" si="287"/>
        <v>0</v>
      </c>
      <c r="AB1474" s="2" t="s">
        <v>1092</v>
      </c>
    </row>
    <row r="1475" spans="1:28" x14ac:dyDescent="0.25">
      <c r="A1475" s="1" t="s">
        <v>1686</v>
      </c>
      <c r="B1475" s="1" t="s">
        <v>35</v>
      </c>
      <c r="C1475" s="1" t="s">
        <v>861</v>
      </c>
      <c r="D1475" s="1">
        <v>18</v>
      </c>
      <c r="E1475" s="1">
        <v>2</v>
      </c>
      <c r="F1475" s="1">
        <v>3</v>
      </c>
      <c r="G1475" s="1">
        <v>6</v>
      </c>
      <c r="H1475" s="1">
        <v>5</v>
      </c>
      <c r="I1475" s="1">
        <v>6</v>
      </c>
      <c r="J1475" s="1">
        <v>7</v>
      </c>
      <c r="K1475" s="1">
        <f t="shared" ref="K1475:K1538" si="295">SUM(G1475:J1475)</f>
        <v>24</v>
      </c>
      <c r="L1475" s="12">
        <f t="shared" si="292"/>
        <v>0.6</v>
      </c>
      <c r="M1475" s="1">
        <v>7</v>
      </c>
      <c r="N1475" s="1">
        <v>6</v>
      </c>
      <c r="O1475" s="1">
        <v>6</v>
      </c>
      <c r="P1475" s="1">
        <v>6</v>
      </c>
      <c r="Q1475" s="1">
        <f t="shared" ref="Q1475:Q1538" si="296">SUM(M1475:P1475)</f>
        <v>25</v>
      </c>
      <c r="R1475" s="12">
        <f t="shared" si="293"/>
        <v>0.625</v>
      </c>
      <c r="S1475" s="1">
        <v>6</v>
      </c>
      <c r="T1475" s="1">
        <v>5</v>
      </c>
      <c r="U1475" s="1">
        <f t="shared" ref="U1475:U1538" si="297">SUM(S1475:T1475)</f>
        <v>11</v>
      </c>
      <c r="V1475" s="12">
        <f t="shared" si="294"/>
        <v>0.55000000000000004</v>
      </c>
      <c r="Z1475" s="1">
        <f t="shared" ref="Z1475:Z1538" si="298">SUM(W1475:Y1475)</f>
        <v>0</v>
      </c>
      <c r="AB1475" s="2" t="s">
        <v>1093</v>
      </c>
    </row>
    <row r="1476" spans="1:28" x14ac:dyDescent="0.25">
      <c r="A1476" s="1" t="s">
        <v>1686</v>
      </c>
      <c r="B1476" s="1" t="s">
        <v>35</v>
      </c>
      <c r="C1476" s="1" t="s">
        <v>861</v>
      </c>
      <c r="D1476" s="1">
        <v>18</v>
      </c>
      <c r="E1476" s="1">
        <v>2</v>
      </c>
      <c r="F1476" s="1">
        <v>3</v>
      </c>
      <c r="G1476" s="1">
        <v>6</v>
      </c>
      <c r="H1476" s="1">
        <v>5</v>
      </c>
      <c r="I1476" s="1">
        <v>5</v>
      </c>
      <c r="J1476" s="1">
        <v>5</v>
      </c>
      <c r="K1476" s="1">
        <f t="shared" si="295"/>
        <v>21</v>
      </c>
      <c r="L1476" s="12">
        <f t="shared" si="292"/>
        <v>0.52500000000000002</v>
      </c>
      <c r="M1476" s="1">
        <v>5</v>
      </c>
      <c r="N1476" s="1">
        <v>5</v>
      </c>
      <c r="O1476" s="1">
        <v>6</v>
      </c>
      <c r="P1476" s="1">
        <v>6</v>
      </c>
      <c r="Q1476" s="1">
        <f t="shared" si="296"/>
        <v>22</v>
      </c>
      <c r="R1476" s="12">
        <f t="shared" si="293"/>
        <v>0.55000000000000004</v>
      </c>
      <c r="S1476" s="1">
        <v>6</v>
      </c>
      <c r="T1476" s="1">
        <v>6</v>
      </c>
      <c r="U1476" s="1">
        <f t="shared" si="297"/>
        <v>12</v>
      </c>
      <c r="V1476" s="12">
        <f t="shared" si="294"/>
        <v>0.6</v>
      </c>
      <c r="Z1476" s="1">
        <f t="shared" si="298"/>
        <v>0</v>
      </c>
      <c r="AB1476" s="2" t="s">
        <v>1094</v>
      </c>
    </row>
    <row r="1477" spans="1:28" x14ac:dyDescent="0.25">
      <c r="A1477" s="1" t="s">
        <v>1686</v>
      </c>
      <c r="B1477" s="1" t="s">
        <v>35</v>
      </c>
      <c r="C1477" s="1" t="s">
        <v>861</v>
      </c>
      <c r="D1477" s="1">
        <v>18</v>
      </c>
      <c r="E1477" s="1">
        <v>2</v>
      </c>
      <c r="F1477" s="1">
        <v>3</v>
      </c>
      <c r="G1477" s="1">
        <v>6</v>
      </c>
      <c r="H1477" s="1">
        <v>6</v>
      </c>
      <c r="I1477" s="1">
        <v>6</v>
      </c>
      <c r="J1477" s="1">
        <v>6</v>
      </c>
      <c r="K1477" s="1">
        <f t="shared" si="295"/>
        <v>24</v>
      </c>
      <c r="L1477" s="12">
        <f t="shared" si="292"/>
        <v>0.6</v>
      </c>
      <c r="M1477" s="1">
        <v>5</v>
      </c>
      <c r="N1477" s="1">
        <v>6</v>
      </c>
      <c r="O1477" s="1">
        <v>5</v>
      </c>
      <c r="P1477" s="1">
        <v>6</v>
      </c>
      <c r="Q1477" s="1">
        <f t="shared" si="296"/>
        <v>22</v>
      </c>
      <c r="R1477" s="12">
        <f t="shared" si="293"/>
        <v>0.55000000000000004</v>
      </c>
      <c r="S1477" s="1">
        <v>5</v>
      </c>
      <c r="T1477" s="1">
        <v>6</v>
      </c>
      <c r="U1477" s="1">
        <f t="shared" si="297"/>
        <v>11</v>
      </c>
      <c r="V1477" s="12">
        <f t="shared" si="294"/>
        <v>0.55000000000000004</v>
      </c>
      <c r="Z1477" s="1">
        <f t="shared" si="298"/>
        <v>0</v>
      </c>
      <c r="AB1477" s="2" t="s">
        <v>1095</v>
      </c>
    </row>
    <row r="1478" spans="1:28" x14ac:dyDescent="0.25">
      <c r="A1478" s="1" t="s">
        <v>1686</v>
      </c>
      <c r="B1478" s="1" t="s">
        <v>35</v>
      </c>
      <c r="C1478" s="1" t="s">
        <v>861</v>
      </c>
      <c r="D1478" s="1">
        <v>18</v>
      </c>
      <c r="E1478" s="1">
        <v>2</v>
      </c>
      <c r="F1478" s="1">
        <v>3</v>
      </c>
      <c r="G1478" s="1">
        <v>5</v>
      </c>
      <c r="H1478" s="1">
        <v>6</v>
      </c>
      <c r="I1478" s="1">
        <v>5</v>
      </c>
      <c r="J1478" s="1">
        <v>5</v>
      </c>
      <c r="K1478" s="1">
        <f t="shared" si="295"/>
        <v>21</v>
      </c>
      <c r="L1478" s="12">
        <f t="shared" si="292"/>
        <v>0.52500000000000002</v>
      </c>
      <c r="M1478" s="1">
        <v>5</v>
      </c>
      <c r="N1478" s="1">
        <v>4</v>
      </c>
      <c r="O1478" s="1">
        <v>5</v>
      </c>
      <c r="P1478" s="1">
        <v>5</v>
      </c>
      <c r="Q1478" s="1">
        <f t="shared" si="296"/>
        <v>19</v>
      </c>
      <c r="R1478" s="12">
        <f t="shared" si="293"/>
        <v>0.47499999999999998</v>
      </c>
      <c r="S1478" s="1">
        <v>6</v>
      </c>
      <c r="T1478" s="1">
        <v>4</v>
      </c>
      <c r="U1478" s="1">
        <f t="shared" si="297"/>
        <v>10</v>
      </c>
      <c r="V1478" s="12">
        <f t="shared" si="294"/>
        <v>0.5</v>
      </c>
      <c r="Z1478" s="1">
        <f t="shared" si="298"/>
        <v>0</v>
      </c>
      <c r="AB1478" s="2" t="s">
        <v>1096</v>
      </c>
    </row>
    <row r="1479" spans="1:28" x14ac:dyDescent="0.25">
      <c r="A1479" s="1" t="s">
        <v>1686</v>
      </c>
      <c r="B1479" s="1" t="s">
        <v>35</v>
      </c>
      <c r="C1479" s="1" t="s">
        <v>861</v>
      </c>
      <c r="D1479" s="1">
        <v>18</v>
      </c>
      <c r="E1479" s="1">
        <v>2</v>
      </c>
      <c r="F1479" s="1">
        <v>3</v>
      </c>
      <c r="G1479" s="1">
        <v>5</v>
      </c>
      <c r="H1479" s="1">
        <v>3</v>
      </c>
      <c r="I1479" s="1">
        <v>4</v>
      </c>
      <c r="J1479" s="1">
        <v>5</v>
      </c>
      <c r="K1479" s="1">
        <f t="shared" si="295"/>
        <v>17</v>
      </c>
      <c r="L1479" s="12">
        <f t="shared" si="292"/>
        <v>0.42499999999999999</v>
      </c>
      <c r="M1479" s="1">
        <v>5</v>
      </c>
      <c r="N1479" s="1">
        <v>5</v>
      </c>
      <c r="O1479" s="1">
        <v>5</v>
      </c>
      <c r="P1479" s="1">
        <v>4</v>
      </c>
      <c r="Q1479" s="1">
        <f t="shared" si="296"/>
        <v>19</v>
      </c>
      <c r="R1479" s="12">
        <f t="shared" si="293"/>
        <v>0.47499999999999998</v>
      </c>
      <c r="S1479" s="1">
        <v>5</v>
      </c>
      <c r="T1479" s="1">
        <v>4</v>
      </c>
      <c r="U1479" s="1">
        <f t="shared" si="297"/>
        <v>9</v>
      </c>
      <c r="V1479" s="12">
        <f t="shared" si="294"/>
        <v>0.45</v>
      </c>
      <c r="Z1479" s="1">
        <f t="shared" si="298"/>
        <v>0</v>
      </c>
      <c r="AB1479" s="2" t="s">
        <v>1097</v>
      </c>
    </row>
    <row r="1480" spans="1:28" x14ac:dyDescent="0.25">
      <c r="A1480" s="1" t="s">
        <v>1686</v>
      </c>
      <c r="B1480" s="1" t="s">
        <v>35</v>
      </c>
      <c r="C1480" s="1" t="s">
        <v>861</v>
      </c>
      <c r="D1480" s="1">
        <v>18</v>
      </c>
      <c r="E1480" s="1">
        <v>2</v>
      </c>
      <c r="F1480" s="1">
        <v>3</v>
      </c>
      <c r="G1480" s="1">
        <v>6</v>
      </c>
      <c r="H1480" s="1">
        <v>6</v>
      </c>
      <c r="I1480" s="1">
        <v>6</v>
      </c>
      <c r="J1480" s="1">
        <v>6</v>
      </c>
      <c r="K1480" s="1">
        <f t="shared" si="295"/>
        <v>24</v>
      </c>
      <c r="L1480" s="12">
        <f t="shared" si="292"/>
        <v>0.6</v>
      </c>
      <c r="M1480" s="1">
        <v>7</v>
      </c>
      <c r="N1480" s="1">
        <v>7</v>
      </c>
      <c r="O1480" s="1">
        <v>7</v>
      </c>
      <c r="P1480" s="1">
        <v>7</v>
      </c>
      <c r="Q1480" s="1">
        <f t="shared" si="296"/>
        <v>28</v>
      </c>
      <c r="R1480" s="12">
        <f t="shared" si="293"/>
        <v>0.7</v>
      </c>
      <c r="S1480" s="1">
        <v>7</v>
      </c>
      <c r="T1480" s="1">
        <v>6</v>
      </c>
      <c r="U1480" s="1">
        <f t="shared" si="297"/>
        <v>13</v>
      </c>
      <c r="V1480" s="12">
        <f t="shared" si="294"/>
        <v>0.65</v>
      </c>
      <c r="Z1480" s="1">
        <f t="shared" si="298"/>
        <v>0</v>
      </c>
      <c r="AB1480" s="2" t="s">
        <v>1098</v>
      </c>
    </row>
    <row r="1481" spans="1:28" x14ac:dyDescent="0.25">
      <c r="A1481" s="1" t="s">
        <v>1686</v>
      </c>
      <c r="B1481" s="1" t="s">
        <v>35</v>
      </c>
      <c r="C1481" s="1" t="s">
        <v>861</v>
      </c>
      <c r="D1481" s="1">
        <v>18</v>
      </c>
      <c r="E1481" s="1">
        <v>2</v>
      </c>
      <c r="F1481" s="1">
        <v>3</v>
      </c>
      <c r="G1481" s="1">
        <v>7</v>
      </c>
      <c r="H1481" s="1">
        <v>6</v>
      </c>
      <c r="I1481" s="1">
        <v>7</v>
      </c>
      <c r="J1481" s="1">
        <v>7</v>
      </c>
      <c r="K1481" s="1">
        <f t="shared" si="295"/>
        <v>27</v>
      </c>
      <c r="L1481" s="12">
        <f t="shared" si="292"/>
        <v>0.67500000000000004</v>
      </c>
      <c r="M1481" s="1">
        <v>6</v>
      </c>
      <c r="N1481" s="1">
        <v>6</v>
      </c>
      <c r="O1481" s="1">
        <v>6</v>
      </c>
      <c r="P1481" s="1">
        <v>6</v>
      </c>
      <c r="Q1481" s="1">
        <f t="shared" si="296"/>
        <v>24</v>
      </c>
      <c r="R1481" s="12">
        <f t="shared" si="293"/>
        <v>0.6</v>
      </c>
      <c r="S1481" s="1">
        <v>6</v>
      </c>
      <c r="T1481" s="1">
        <v>5</v>
      </c>
      <c r="U1481" s="1">
        <f t="shared" si="297"/>
        <v>11</v>
      </c>
      <c r="V1481" s="12">
        <f t="shared" si="294"/>
        <v>0.55000000000000004</v>
      </c>
      <c r="Z1481" s="1">
        <f t="shared" si="298"/>
        <v>0</v>
      </c>
      <c r="AB1481" s="2" t="s">
        <v>1099</v>
      </c>
    </row>
    <row r="1482" spans="1:28" x14ac:dyDescent="0.25">
      <c r="A1482" s="1" t="s">
        <v>1686</v>
      </c>
      <c r="B1482" s="1" t="s">
        <v>35</v>
      </c>
      <c r="C1482" s="1" t="s">
        <v>861</v>
      </c>
      <c r="D1482" s="1">
        <v>4</v>
      </c>
      <c r="E1482" s="1">
        <v>3</v>
      </c>
      <c r="F1482" s="1">
        <v>2</v>
      </c>
      <c r="G1482" s="1">
        <v>6</v>
      </c>
      <c r="H1482" s="1">
        <v>5</v>
      </c>
      <c r="I1482" s="1">
        <v>5</v>
      </c>
      <c r="J1482" s="1">
        <v>5</v>
      </c>
      <c r="K1482" s="1">
        <f t="shared" si="295"/>
        <v>21</v>
      </c>
      <c r="L1482" s="12">
        <f t="shared" si="292"/>
        <v>0.52500000000000002</v>
      </c>
      <c r="M1482" s="1">
        <v>5</v>
      </c>
      <c r="N1482" s="1">
        <v>5</v>
      </c>
      <c r="O1482" s="1">
        <v>5</v>
      </c>
      <c r="P1482" s="1">
        <v>6</v>
      </c>
      <c r="Q1482" s="1">
        <f t="shared" si="296"/>
        <v>21</v>
      </c>
      <c r="R1482" s="12">
        <f t="shared" si="293"/>
        <v>0.52500000000000002</v>
      </c>
      <c r="S1482" s="1">
        <v>5</v>
      </c>
      <c r="T1482" s="1">
        <v>6</v>
      </c>
      <c r="U1482" s="1">
        <f t="shared" si="297"/>
        <v>11</v>
      </c>
      <c r="V1482" s="12">
        <f t="shared" si="294"/>
        <v>0.55000000000000004</v>
      </c>
      <c r="Z1482" s="1">
        <f t="shared" si="298"/>
        <v>0</v>
      </c>
      <c r="AB1482" s="2" t="s">
        <v>1247</v>
      </c>
    </row>
    <row r="1483" spans="1:28" x14ac:dyDescent="0.25">
      <c r="A1483" s="1" t="s">
        <v>1686</v>
      </c>
      <c r="B1483" s="1" t="s">
        <v>35</v>
      </c>
      <c r="C1483" s="1" t="s">
        <v>861</v>
      </c>
      <c r="D1483" s="1">
        <v>4</v>
      </c>
      <c r="E1483" s="1">
        <v>3</v>
      </c>
      <c r="F1483" s="1">
        <v>2</v>
      </c>
      <c r="G1483" s="1">
        <v>6</v>
      </c>
      <c r="H1483" s="1">
        <v>5</v>
      </c>
      <c r="I1483" s="1">
        <v>5</v>
      </c>
      <c r="J1483" s="1">
        <v>4</v>
      </c>
      <c r="K1483" s="1">
        <f t="shared" si="295"/>
        <v>20</v>
      </c>
      <c r="L1483" s="12">
        <f t="shared" si="292"/>
        <v>0.5</v>
      </c>
      <c r="M1483" s="1">
        <v>4</v>
      </c>
      <c r="N1483" s="1">
        <v>4</v>
      </c>
      <c r="O1483" s="1">
        <v>5</v>
      </c>
      <c r="P1483" s="1">
        <v>5</v>
      </c>
      <c r="Q1483" s="1">
        <f t="shared" si="296"/>
        <v>18</v>
      </c>
      <c r="R1483" s="12">
        <f t="shared" si="293"/>
        <v>0.45</v>
      </c>
      <c r="S1483" s="1">
        <v>5</v>
      </c>
      <c r="T1483" s="1">
        <v>4</v>
      </c>
      <c r="U1483" s="1">
        <f t="shared" si="297"/>
        <v>9</v>
      </c>
      <c r="V1483" s="12">
        <f t="shared" si="294"/>
        <v>0.45</v>
      </c>
      <c r="Z1483" s="1">
        <f t="shared" si="298"/>
        <v>0</v>
      </c>
      <c r="AB1483" s="2" t="s">
        <v>1248</v>
      </c>
    </row>
    <row r="1484" spans="1:28" x14ac:dyDescent="0.25">
      <c r="A1484" s="1" t="s">
        <v>1686</v>
      </c>
      <c r="B1484" s="1" t="s">
        <v>35</v>
      </c>
      <c r="C1484" s="1" t="s">
        <v>861</v>
      </c>
      <c r="D1484" s="1">
        <v>4</v>
      </c>
      <c r="E1484" s="1">
        <v>3</v>
      </c>
      <c r="F1484" s="1">
        <v>2</v>
      </c>
      <c r="G1484" s="1">
        <v>7</v>
      </c>
      <c r="H1484" s="1">
        <v>7</v>
      </c>
      <c r="I1484" s="1">
        <v>7</v>
      </c>
      <c r="J1484" s="1">
        <v>7</v>
      </c>
      <c r="K1484" s="1">
        <f t="shared" si="295"/>
        <v>28</v>
      </c>
      <c r="L1484" s="12">
        <f t="shared" si="292"/>
        <v>0.7</v>
      </c>
      <c r="M1484" s="1">
        <v>7</v>
      </c>
      <c r="N1484" s="1">
        <v>6</v>
      </c>
      <c r="O1484" s="1">
        <v>7</v>
      </c>
      <c r="P1484" s="1">
        <v>7</v>
      </c>
      <c r="Q1484" s="1">
        <f t="shared" si="296"/>
        <v>27</v>
      </c>
      <c r="R1484" s="12">
        <f t="shared" si="293"/>
        <v>0.67500000000000004</v>
      </c>
      <c r="S1484" s="1">
        <v>7</v>
      </c>
      <c r="T1484" s="1">
        <v>8</v>
      </c>
      <c r="U1484" s="1">
        <f t="shared" si="297"/>
        <v>15</v>
      </c>
      <c r="V1484" s="12">
        <f t="shared" si="294"/>
        <v>0.75</v>
      </c>
      <c r="Z1484" s="1">
        <f t="shared" si="298"/>
        <v>0</v>
      </c>
      <c r="AB1484" s="2" t="s">
        <v>1249</v>
      </c>
    </row>
    <row r="1485" spans="1:28" x14ac:dyDescent="0.25">
      <c r="A1485" s="1" t="s">
        <v>1686</v>
      </c>
      <c r="B1485" s="1" t="s">
        <v>35</v>
      </c>
      <c r="C1485" s="1" t="s">
        <v>861</v>
      </c>
      <c r="D1485" s="1">
        <v>4</v>
      </c>
      <c r="E1485" s="1">
        <v>3</v>
      </c>
      <c r="F1485" s="1">
        <v>2</v>
      </c>
      <c r="G1485" s="1">
        <v>7</v>
      </c>
      <c r="H1485" s="1">
        <v>7</v>
      </c>
      <c r="I1485" s="1">
        <v>7</v>
      </c>
      <c r="J1485" s="1">
        <v>7</v>
      </c>
      <c r="K1485" s="1">
        <f t="shared" si="295"/>
        <v>28</v>
      </c>
      <c r="L1485" s="12">
        <f t="shared" si="292"/>
        <v>0.7</v>
      </c>
      <c r="M1485" s="1">
        <v>6</v>
      </c>
      <c r="N1485" s="1">
        <v>7</v>
      </c>
      <c r="O1485" s="1">
        <v>7</v>
      </c>
      <c r="P1485" s="1">
        <v>7</v>
      </c>
      <c r="Q1485" s="1">
        <f t="shared" si="296"/>
        <v>27</v>
      </c>
      <c r="R1485" s="12">
        <f t="shared" si="293"/>
        <v>0.67500000000000004</v>
      </c>
      <c r="S1485" s="1">
        <v>7</v>
      </c>
      <c r="T1485" s="1">
        <v>8</v>
      </c>
      <c r="U1485" s="1">
        <f t="shared" si="297"/>
        <v>15</v>
      </c>
      <c r="V1485" s="12">
        <f t="shared" si="294"/>
        <v>0.75</v>
      </c>
      <c r="Z1485" s="1">
        <f t="shared" si="298"/>
        <v>0</v>
      </c>
      <c r="AB1485" s="2" t="s">
        <v>1250</v>
      </c>
    </row>
    <row r="1486" spans="1:28" x14ac:dyDescent="0.25">
      <c r="A1486" s="1" t="s">
        <v>1686</v>
      </c>
      <c r="B1486" s="1" t="s">
        <v>35</v>
      </c>
      <c r="C1486" s="1" t="s">
        <v>861</v>
      </c>
      <c r="D1486" s="1">
        <v>4</v>
      </c>
      <c r="E1486" s="1">
        <v>3</v>
      </c>
      <c r="F1486" s="1">
        <v>2</v>
      </c>
      <c r="G1486" s="1">
        <v>7</v>
      </c>
      <c r="H1486" s="1">
        <v>5</v>
      </c>
      <c r="I1486" s="1">
        <v>5</v>
      </c>
      <c r="J1486" s="1">
        <v>5</v>
      </c>
      <c r="K1486" s="1">
        <f t="shared" si="295"/>
        <v>22</v>
      </c>
      <c r="L1486" s="12">
        <f t="shared" si="292"/>
        <v>0.55000000000000004</v>
      </c>
      <c r="M1486" s="1">
        <v>5</v>
      </c>
      <c r="N1486" s="1">
        <v>4</v>
      </c>
      <c r="O1486" s="1">
        <v>4</v>
      </c>
      <c r="P1486" s="1">
        <v>5</v>
      </c>
      <c r="Q1486" s="1">
        <f t="shared" si="296"/>
        <v>18</v>
      </c>
      <c r="R1486" s="12">
        <f t="shared" si="293"/>
        <v>0.45</v>
      </c>
      <c r="S1486" s="1">
        <v>5</v>
      </c>
      <c r="T1486" s="1">
        <v>6</v>
      </c>
      <c r="U1486" s="1">
        <f t="shared" si="297"/>
        <v>11</v>
      </c>
      <c r="V1486" s="12">
        <f t="shared" si="294"/>
        <v>0.55000000000000004</v>
      </c>
      <c r="Z1486" s="1">
        <f t="shared" si="298"/>
        <v>0</v>
      </c>
      <c r="AB1486" s="2" t="s">
        <v>1251</v>
      </c>
    </row>
    <row r="1487" spans="1:28" x14ac:dyDescent="0.25">
      <c r="A1487" s="1" t="s">
        <v>1686</v>
      </c>
      <c r="B1487" s="1" t="s">
        <v>35</v>
      </c>
      <c r="C1487" s="1" t="s">
        <v>861</v>
      </c>
      <c r="D1487" s="1">
        <v>4</v>
      </c>
      <c r="E1487" s="1">
        <v>3</v>
      </c>
      <c r="F1487" s="1">
        <v>2</v>
      </c>
      <c r="G1487" s="1">
        <v>8</v>
      </c>
      <c r="H1487" s="1">
        <v>8</v>
      </c>
      <c r="I1487" s="1">
        <v>8</v>
      </c>
      <c r="J1487" s="1">
        <v>8</v>
      </c>
      <c r="K1487" s="1">
        <f t="shared" si="295"/>
        <v>32</v>
      </c>
      <c r="L1487" s="12">
        <f t="shared" si="292"/>
        <v>0.8</v>
      </c>
      <c r="M1487" s="1">
        <v>7</v>
      </c>
      <c r="N1487" s="1">
        <v>6</v>
      </c>
      <c r="O1487" s="1">
        <v>7</v>
      </c>
      <c r="P1487" s="1">
        <v>7</v>
      </c>
      <c r="Q1487" s="1">
        <f t="shared" si="296"/>
        <v>27</v>
      </c>
      <c r="R1487" s="12">
        <f t="shared" si="293"/>
        <v>0.67500000000000004</v>
      </c>
      <c r="S1487" s="1">
        <v>7</v>
      </c>
      <c r="T1487" s="1">
        <v>7</v>
      </c>
      <c r="U1487" s="1">
        <f t="shared" si="297"/>
        <v>14</v>
      </c>
      <c r="V1487" s="12">
        <f t="shared" si="294"/>
        <v>0.7</v>
      </c>
      <c r="Z1487" s="1">
        <f t="shared" si="298"/>
        <v>0</v>
      </c>
      <c r="AB1487" s="2" t="s">
        <v>1252</v>
      </c>
    </row>
    <row r="1488" spans="1:28" x14ac:dyDescent="0.25">
      <c r="A1488" s="1" t="s">
        <v>1686</v>
      </c>
      <c r="B1488" s="1" t="s">
        <v>35</v>
      </c>
      <c r="C1488" s="1" t="s">
        <v>861</v>
      </c>
      <c r="D1488" s="1">
        <v>4</v>
      </c>
      <c r="E1488" s="1">
        <v>3</v>
      </c>
      <c r="F1488" s="1">
        <v>2</v>
      </c>
      <c r="G1488" s="1">
        <v>6</v>
      </c>
      <c r="H1488" s="1">
        <v>4</v>
      </c>
      <c r="I1488" s="1">
        <v>6</v>
      </c>
      <c r="J1488" s="1">
        <v>7</v>
      </c>
      <c r="K1488" s="1">
        <f t="shared" si="295"/>
        <v>23</v>
      </c>
      <c r="L1488" s="12">
        <f t="shared" si="292"/>
        <v>0.57499999999999996</v>
      </c>
      <c r="M1488" s="1">
        <v>7</v>
      </c>
      <c r="N1488" s="1">
        <v>6</v>
      </c>
      <c r="O1488" s="1">
        <v>6</v>
      </c>
      <c r="P1488" s="1">
        <v>6</v>
      </c>
      <c r="Q1488" s="1">
        <f t="shared" si="296"/>
        <v>25</v>
      </c>
      <c r="R1488" s="12">
        <f t="shared" si="293"/>
        <v>0.625</v>
      </c>
      <c r="S1488" s="1">
        <v>6</v>
      </c>
      <c r="T1488" s="1">
        <v>7</v>
      </c>
      <c r="U1488" s="1">
        <f t="shared" si="297"/>
        <v>13</v>
      </c>
      <c r="V1488" s="12">
        <f t="shared" si="294"/>
        <v>0.65</v>
      </c>
      <c r="Z1488" s="1">
        <f t="shared" si="298"/>
        <v>0</v>
      </c>
      <c r="AB1488" s="2" t="s">
        <v>1253</v>
      </c>
    </row>
    <row r="1489" spans="1:28" x14ac:dyDescent="0.25">
      <c r="A1489" s="1" t="s">
        <v>1686</v>
      </c>
      <c r="B1489" s="1" t="s">
        <v>35</v>
      </c>
      <c r="C1489" s="1" t="s">
        <v>861</v>
      </c>
      <c r="D1489" s="1">
        <v>4</v>
      </c>
      <c r="E1489" s="1">
        <v>3</v>
      </c>
      <c r="F1489" s="1">
        <v>2</v>
      </c>
      <c r="G1489" s="1">
        <v>7</v>
      </c>
      <c r="H1489" s="1">
        <v>6</v>
      </c>
      <c r="I1489" s="1">
        <v>6</v>
      </c>
      <c r="J1489" s="1">
        <v>6</v>
      </c>
      <c r="K1489" s="1">
        <f t="shared" si="295"/>
        <v>25</v>
      </c>
      <c r="L1489" s="12">
        <f t="shared" si="292"/>
        <v>0.625</v>
      </c>
      <c r="M1489" s="1">
        <v>6</v>
      </c>
      <c r="N1489" s="1">
        <v>5</v>
      </c>
      <c r="O1489" s="1">
        <v>5</v>
      </c>
      <c r="P1489" s="1">
        <v>5</v>
      </c>
      <c r="Q1489" s="1">
        <f t="shared" si="296"/>
        <v>21</v>
      </c>
      <c r="R1489" s="12">
        <f t="shared" si="293"/>
        <v>0.52500000000000002</v>
      </c>
      <c r="S1489" s="1">
        <v>6</v>
      </c>
      <c r="T1489" s="1">
        <v>7</v>
      </c>
      <c r="U1489" s="1">
        <f t="shared" si="297"/>
        <v>13</v>
      </c>
      <c r="V1489" s="12">
        <f t="shared" si="294"/>
        <v>0.65</v>
      </c>
      <c r="Z1489" s="1">
        <f t="shared" si="298"/>
        <v>0</v>
      </c>
      <c r="AB1489" s="2" t="s">
        <v>1254</v>
      </c>
    </row>
    <row r="1490" spans="1:28" x14ac:dyDescent="0.25">
      <c r="A1490" s="1" t="s">
        <v>1686</v>
      </c>
      <c r="B1490" s="1" t="s">
        <v>576</v>
      </c>
      <c r="C1490" s="1" t="s">
        <v>861</v>
      </c>
      <c r="D1490" s="1">
        <v>24</v>
      </c>
      <c r="E1490" s="1">
        <v>1</v>
      </c>
      <c r="F1490" s="1">
        <v>1</v>
      </c>
      <c r="G1490" s="1">
        <v>7</v>
      </c>
      <c r="H1490" s="1">
        <v>6</v>
      </c>
      <c r="I1490" s="1">
        <v>6</v>
      </c>
      <c r="J1490" s="1">
        <v>7</v>
      </c>
      <c r="K1490" s="1">
        <f t="shared" si="295"/>
        <v>26</v>
      </c>
      <c r="L1490" s="12">
        <f t="shared" si="292"/>
        <v>0.65</v>
      </c>
      <c r="M1490" s="1">
        <v>6</v>
      </c>
      <c r="N1490" s="1">
        <v>7</v>
      </c>
      <c r="O1490" s="1">
        <v>7</v>
      </c>
      <c r="P1490" s="1">
        <v>6</v>
      </c>
      <c r="Q1490" s="1">
        <f t="shared" si="296"/>
        <v>26</v>
      </c>
      <c r="R1490" s="12">
        <f t="shared" si="293"/>
        <v>0.65</v>
      </c>
      <c r="S1490" s="1">
        <v>6</v>
      </c>
      <c r="T1490" s="1">
        <v>4</v>
      </c>
      <c r="U1490" s="1">
        <f t="shared" si="297"/>
        <v>10</v>
      </c>
      <c r="V1490" s="12">
        <f t="shared" si="294"/>
        <v>0.5</v>
      </c>
      <c r="Z1490" s="1">
        <f t="shared" si="298"/>
        <v>0</v>
      </c>
      <c r="AB1490" s="2" t="s">
        <v>1368</v>
      </c>
    </row>
    <row r="1491" spans="1:28" x14ac:dyDescent="0.25">
      <c r="A1491" s="1" t="s">
        <v>1686</v>
      </c>
      <c r="B1491" s="1" t="s">
        <v>576</v>
      </c>
      <c r="C1491" s="1" t="s">
        <v>861</v>
      </c>
      <c r="D1491" s="1">
        <v>24</v>
      </c>
      <c r="E1491" s="1">
        <v>1</v>
      </c>
      <c r="F1491" s="1">
        <v>1</v>
      </c>
      <c r="G1491" s="1">
        <v>5</v>
      </c>
      <c r="H1491" s="1">
        <v>5</v>
      </c>
      <c r="I1491" s="1">
        <v>4</v>
      </c>
      <c r="J1491" s="1">
        <v>5</v>
      </c>
      <c r="K1491" s="1">
        <f t="shared" si="295"/>
        <v>19</v>
      </c>
      <c r="L1491" s="12">
        <f t="shared" si="292"/>
        <v>0.47499999999999998</v>
      </c>
      <c r="M1491" s="1">
        <v>6</v>
      </c>
      <c r="N1491" s="1">
        <v>6</v>
      </c>
      <c r="O1491" s="1">
        <v>6</v>
      </c>
      <c r="P1491" s="1">
        <v>5</v>
      </c>
      <c r="Q1491" s="1">
        <f t="shared" si="296"/>
        <v>23</v>
      </c>
      <c r="R1491" s="12">
        <f t="shared" si="293"/>
        <v>0.57499999999999996</v>
      </c>
      <c r="S1491" s="1">
        <v>5</v>
      </c>
      <c r="T1491" s="1">
        <v>4</v>
      </c>
      <c r="U1491" s="1">
        <f t="shared" si="297"/>
        <v>9</v>
      </c>
      <c r="V1491" s="12">
        <f t="shared" si="294"/>
        <v>0.45</v>
      </c>
      <c r="Z1491" s="1">
        <f t="shared" si="298"/>
        <v>0</v>
      </c>
      <c r="AB1491" s="2" t="s">
        <v>1369</v>
      </c>
    </row>
    <row r="1492" spans="1:28" x14ac:dyDescent="0.25">
      <c r="A1492" s="1" t="s">
        <v>1686</v>
      </c>
      <c r="B1492" s="1" t="s">
        <v>576</v>
      </c>
      <c r="C1492" s="1" t="s">
        <v>861</v>
      </c>
      <c r="D1492" s="1">
        <v>24</v>
      </c>
      <c r="E1492" s="1">
        <v>1</v>
      </c>
      <c r="F1492" s="1">
        <v>1</v>
      </c>
      <c r="G1492" s="1">
        <v>8</v>
      </c>
      <c r="H1492" s="1">
        <v>7</v>
      </c>
      <c r="I1492" s="1">
        <v>8</v>
      </c>
      <c r="J1492" s="1">
        <v>8</v>
      </c>
      <c r="K1492" s="1">
        <f t="shared" si="295"/>
        <v>31</v>
      </c>
      <c r="L1492" s="12">
        <f t="shared" si="292"/>
        <v>0.77500000000000002</v>
      </c>
      <c r="M1492" s="1">
        <v>8</v>
      </c>
      <c r="N1492" s="1">
        <v>8</v>
      </c>
      <c r="O1492" s="1">
        <v>8</v>
      </c>
      <c r="P1492" s="1">
        <v>8</v>
      </c>
      <c r="Q1492" s="1">
        <f t="shared" si="296"/>
        <v>32</v>
      </c>
      <c r="R1492" s="12">
        <f t="shared" si="293"/>
        <v>0.8</v>
      </c>
      <c r="S1492" s="1">
        <v>8</v>
      </c>
      <c r="T1492" s="1">
        <v>9</v>
      </c>
      <c r="U1492" s="1">
        <f t="shared" si="297"/>
        <v>17</v>
      </c>
      <c r="V1492" s="12">
        <f t="shared" si="294"/>
        <v>0.85</v>
      </c>
      <c r="Z1492" s="1">
        <f t="shared" si="298"/>
        <v>0</v>
      </c>
      <c r="AB1492" s="2" t="s">
        <v>1370</v>
      </c>
    </row>
    <row r="1493" spans="1:28" x14ac:dyDescent="0.25">
      <c r="A1493" s="1" t="s">
        <v>1686</v>
      </c>
      <c r="B1493" s="1" t="s">
        <v>576</v>
      </c>
      <c r="C1493" s="1" t="s">
        <v>861</v>
      </c>
      <c r="D1493" s="1">
        <v>24</v>
      </c>
      <c r="E1493" s="1">
        <v>1</v>
      </c>
      <c r="F1493" s="1">
        <v>1</v>
      </c>
      <c r="G1493" s="1">
        <v>6</v>
      </c>
      <c r="H1493" s="1">
        <v>5</v>
      </c>
      <c r="I1493" s="1">
        <v>6</v>
      </c>
      <c r="J1493" s="1">
        <v>6</v>
      </c>
      <c r="K1493" s="1">
        <f t="shared" si="295"/>
        <v>23</v>
      </c>
      <c r="L1493" s="12">
        <f t="shared" si="292"/>
        <v>0.57499999999999996</v>
      </c>
      <c r="M1493" s="1">
        <v>6</v>
      </c>
      <c r="N1493" s="1">
        <v>6</v>
      </c>
      <c r="O1493" s="1">
        <v>7</v>
      </c>
      <c r="P1493" s="1">
        <v>6</v>
      </c>
      <c r="Q1493" s="1">
        <f t="shared" si="296"/>
        <v>25</v>
      </c>
      <c r="R1493" s="12">
        <f t="shared" si="293"/>
        <v>0.625</v>
      </c>
      <c r="S1493" s="1">
        <v>6</v>
      </c>
      <c r="T1493" s="1">
        <v>4</v>
      </c>
      <c r="U1493" s="1">
        <f t="shared" si="297"/>
        <v>10</v>
      </c>
      <c r="V1493" s="12">
        <f t="shared" si="294"/>
        <v>0.5</v>
      </c>
      <c r="Z1493" s="1">
        <f t="shared" si="298"/>
        <v>0</v>
      </c>
      <c r="AB1493" s="2" t="s">
        <v>1371</v>
      </c>
    </row>
    <row r="1494" spans="1:28" x14ac:dyDescent="0.25">
      <c r="A1494" s="1" t="s">
        <v>1686</v>
      </c>
      <c r="B1494" s="1" t="s">
        <v>576</v>
      </c>
      <c r="C1494" s="1" t="s">
        <v>861</v>
      </c>
      <c r="D1494" s="1">
        <v>24</v>
      </c>
      <c r="E1494" s="1">
        <v>1</v>
      </c>
      <c r="F1494" s="1">
        <v>1</v>
      </c>
      <c r="G1494" s="1">
        <v>8</v>
      </c>
      <c r="H1494" s="1">
        <v>8</v>
      </c>
      <c r="I1494" s="1">
        <v>8</v>
      </c>
      <c r="J1494" s="1">
        <v>8</v>
      </c>
      <c r="K1494" s="1">
        <f t="shared" si="295"/>
        <v>32</v>
      </c>
      <c r="L1494" s="12">
        <f t="shared" si="292"/>
        <v>0.8</v>
      </c>
      <c r="M1494" s="1">
        <v>8</v>
      </c>
      <c r="N1494" s="1">
        <v>8</v>
      </c>
      <c r="O1494" s="1">
        <v>8</v>
      </c>
      <c r="P1494" s="1">
        <v>8</v>
      </c>
      <c r="Q1494" s="1">
        <f t="shared" si="296"/>
        <v>32</v>
      </c>
      <c r="R1494" s="12">
        <f t="shared" si="293"/>
        <v>0.8</v>
      </c>
      <c r="S1494" s="1">
        <v>8</v>
      </c>
      <c r="T1494" s="1">
        <v>8</v>
      </c>
      <c r="U1494" s="1">
        <f t="shared" si="297"/>
        <v>16</v>
      </c>
      <c r="V1494" s="12">
        <f t="shared" si="294"/>
        <v>0.8</v>
      </c>
      <c r="Z1494" s="1">
        <f t="shared" si="298"/>
        <v>0</v>
      </c>
      <c r="AB1494" s="2" t="s">
        <v>1372</v>
      </c>
    </row>
    <row r="1495" spans="1:28" x14ac:dyDescent="0.25">
      <c r="A1495" s="1" t="s">
        <v>1686</v>
      </c>
      <c r="B1495" s="1" t="s">
        <v>576</v>
      </c>
      <c r="C1495" s="1" t="s">
        <v>861</v>
      </c>
      <c r="D1495" s="1">
        <v>24</v>
      </c>
      <c r="E1495" s="1">
        <v>1</v>
      </c>
      <c r="F1495" s="1">
        <v>1</v>
      </c>
      <c r="G1495" s="1">
        <v>7</v>
      </c>
      <c r="H1495" s="1">
        <v>4</v>
      </c>
      <c r="I1495" s="1">
        <v>6</v>
      </c>
      <c r="J1495" s="1">
        <v>6</v>
      </c>
      <c r="K1495" s="1">
        <f t="shared" si="295"/>
        <v>23</v>
      </c>
      <c r="L1495" s="12">
        <f t="shared" si="292"/>
        <v>0.57499999999999996</v>
      </c>
      <c r="M1495" s="1">
        <v>5</v>
      </c>
      <c r="N1495" s="1">
        <v>5</v>
      </c>
      <c r="O1495" s="1">
        <v>7</v>
      </c>
      <c r="P1495" s="1">
        <v>7</v>
      </c>
      <c r="Q1495" s="1">
        <f t="shared" si="296"/>
        <v>24</v>
      </c>
      <c r="R1495" s="12">
        <f t="shared" si="293"/>
        <v>0.6</v>
      </c>
      <c r="S1495" s="1">
        <v>5</v>
      </c>
      <c r="T1495" s="1">
        <v>7</v>
      </c>
      <c r="U1495" s="1">
        <f t="shared" si="297"/>
        <v>12</v>
      </c>
      <c r="V1495" s="12">
        <f t="shared" si="294"/>
        <v>0.6</v>
      </c>
      <c r="Z1495" s="1">
        <f t="shared" si="298"/>
        <v>0</v>
      </c>
      <c r="AB1495" s="2" t="s">
        <v>1373</v>
      </c>
    </row>
    <row r="1496" spans="1:28" x14ac:dyDescent="0.25">
      <c r="A1496" s="1" t="s">
        <v>1686</v>
      </c>
      <c r="B1496" s="1" t="s">
        <v>576</v>
      </c>
      <c r="C1496" s="1" t="s">
        <v>861</v>
      </c>
      <c r="D1496" s="1">
        <v>24</v>
      </c>
      <c r="E1496" s="1">
        <v>1</v>
      </c>
      <c r="F1496" s="1">
        <v>1</v>
      </c>
      <c r="G1496" s="1">
        <v>5</v>
      </c>
      <c r="H1496" s="1">
        <v>4</v>
      </c>
      <c r="I1496" s="1">
        <v>4</v>
      </c>
      <c r="J1496" s="1">
        <v>4</v>
      </c>
      <c r="K1496" s="1">
        <f t="shared" si="295"/>
        <v>17</v>
      </c>
      <c r="L1496" s="12">
        <f t="shared" si="292"/>
        <v>0.42499999999999999</v>
      </c>
      <c r="M1496" s="1">
        <v>4</v>
      </c>
      <c r="N1496" s="1">
        <v>4</v>
      </c>
      <c r="O1496" s="1">
        <v>4</v>
      </c>
      <c r="P1496" s="1">
        <v>5</v>
      </c>
      <c r="Q1496" s="1">
        <f t="shared" si="296"/>
        <v>17</v>
      </c>
      <c r="R1496" s="12">
        <f t="shared" si="293"/>
        <v>0.42499999999999999</v>
      </c>
      <c r="S1496" s="1">
        <v>5</v>
      </c>
      <c r="T1496" s="1">
        <v>6</v>
      </c>
      <c r="U1496" s="1">
        <f t="shared" si="297"/>
        <v>11</v>
      </c>
      <c r="V1496" s="12">
        <f t="shared" si="294"/>
        <v>0.55000000000000004</v>
      </c>
      <c r="Z1496" s="1">
        <f t="shared" si="298"/>
        <v>0</v>
      </c>
      <c r="AB1496" s="2" t="s">
        <v>1374</v>
      </c>
    </row>
    <row r="1497" spans="1:28" x14ac:dyDescent="0.25">
      <c r="A1497" s="1" t="s">
        <v>1686</v>
      </c>
      <c r="B1497" s="1" t="s">
        <v>576</v>
      </c>
      <c r="C1497" s="1" t="s">
        <v>861</v>
      </c>
      <c r="D1497" s="1">
        <v>11</v>
      </c>
      <c r="E1497" s="1">
        <v>3</v>
      </c>
      <c r="F1497" s="1">
        <v>3</v>
      </c>
      <c r="G1497" s="1">
        <v>7</v>
      </c>
      <c r="H1497" s="1">
        <v>6</v>
      </c>
      <c r="I1497" s="1">
        <v>7</v>
      </c>
      <c r="J1497" s="1">
        <v>7</v>
      </c>
      <c r="K1497" s="1">
        <f t="shared" si="295"/>
        <v>27</v>
      </c>
      <c r="L1497" s="12">
        <f t="shared" si="292"/>
        <v>0.67500000000000004</v>
      </c>
      <c r="M1497" s="1">
        <v>6</v>
      </c>
      <c r="N1497" s="1">
        <v>7</v>
      </c>
      <c r="O1497" s="1">
        <v>7</v>
      </c>
      <c r="P1497" s="1">
        <v>6</v>
      </c>
      <c r="Q1497" s="1">
        <f t="shared" si="296"/>
        <v>26</v>
      </c>
      <c r="R1497" s="12">
        <f t="shared" si="293"/>
        <v>0.65</v>
      </c>
      <c r="S1497" s="1">
        <v>6</v>
      </c>
      <c r="T1497" s="1">
        <v>7</v>
      </c>
      <c r="U1497" s="1">
        <f t="shared" si="297"/>
        <v>13</v>
      </c>
      <c r="V1497" s="12">
        <f t="shared" si="294"/>
        <v>0.65</v>
      </c>
      <c r="Z1497" s="1">
        <f t="shared" si="298"/>
        <v>0</v>
      </c>
      <c r="AB1497" s="2" t="s">
        <v>1596</v>
      </c>
    </row>
    <row r="1498" spans="1:28" x14ac:dyDescent="0.25">
      <c r="A1498" s="1" t="s">
        <v>1686</v>
      </c>
      <c r="B1498" s="1" t="s">
        <v>576</v>
      </c>
      <c r="C1498" s="1" t="s">
        <v>861</v>
      </c>
      <c r="D1498" s="1">
        <v>11</v>
      </c>
      <c r="E1498" s="1">
        <v>3</v>
      </c>
      <c r="F1498" s="1">
        <v>3</v>
      </c>
      <c r="G1498" s="1">
        <v>6</v>
      </c>
      <c r="H1498" s="1">
        <v>5</v>
      </c>
      <c r="I1498" s="1">
        <v>5</v>
      </c>
      <c r="J1498" s="1">
        <v>5</v>
      </c>
      <c r="K1498" s="1">
        <f t="shared" si="295"/>
        <v>21</v>
      </c>
      <c r="L1498" s="12">
        <f t="shared" si="292"/>
        <v>0.52500000000000002</v>
      </c>
      <c r="M1498" s="1">
        <v>5</v>
      </c>
      <c r="N1498" s="1">
        <v>5</v>
      </c>
      <c r="O1498" s="1">
        <v>5</v>
      </c>
      <c r="P1498" s="1">
        <v>5</v>
      </c>
      <c r="Q1498" s="1">
        <f t="shared" si="296"/>
        <v>20</v>
      </c>
      <c r="R1498" s="12">
        <f t="shared" si="293"/>
        <v>0.5</v>
      </c>
      <c r="S1498" s="1">
        <v>5</v>
      </c>
      <c r="T1498" s="1">
        <v>6</v>
      </c>
      <c r="U1498" s="1">
        <f t="shared" si="297"/>
        <v>11</v>
      </c>
      <c r="V1498" s="12">
        <f t="shared" si="294"/>
        <v>0.55000000000000004</v>
      </c>
      <c r="Z1498" s="1">
        <f t="shared" si="298"/>
        <v>0</v>
      </c>
      <c r="AB1498" s="2" t="s">
        <v>1597</v>
      </c>
    </row>
    <row r="1499" spans="1:28" x14ac:dyDescent="0.25">
      <c r="A1499" s="1" t="s">
        <v>1686</v>
      </c>
      <c r="B1499" s="1" t="s">
        <v>576</v>
      </c>
      <c r="C1499" s="1" t="s">
        <v>861</v>
      </c>
      <c r="D1499" s="1">
        <v>11</v>
      </c>
      <c r="E1499" s="1">
        <v>3</v>
      </c>
      <c r="F1499" s="1">
        <v>3</v>
      </c>
      <c r="G1499" s="1">
        <v>7</v>
      </c>
      <c r="H1499" s="1">
        <v>7</v>
      </c>
      <c r="I1499" s="1">
        <v>6</v>
      </c>
      <c r="J1499" s="1">
        <v>7</v>
      </c>
      <c r="K1499" s="1">
        <f t="shared" si="295"/>
        <v>27</v>
      </c>
      <c r="L1499" s="12">
        <f t="shared" si="292"/>
        <v>0.67500000000000004</v>
      </c>
      <c r="M1499" s="1">
        <v>6</v>
      </c>
      <c r="N1499" s="1">
        <v>7</v>
      </c>
      <c r="O1499" s="1">
        <v>8</v>
      </c>
      <c r="P1499" s="1">
        <v>7</v>
      </c>
      <c r="Q1499" s="1">
        <f t="shared" si="296"/>
        <v>28</v>
      </c>
      <c r="R1499" s="12">
        <f t="shared" si="293"/>
        <v>0.7</v>
      </c>
      <c r="S1499" s="1">
        <v>7</v>
      </c>
      <c r="T1499" s="1">
        <v>7</v>
      </c>
      <c r="U1499" s="1">
        <f t="shared" si="297"/>
        <v>14</v>
      </c>
      <c r="V1499" s="12">
        <f t="shared" si="294"/>
        <v>0.7</v>
      </c>
      <c r="Z1499" s="1">
        <f t="shared" si="298"/>
        <v>0</v>
      </c>
      <c r="AB1499" s="2" t="s">
        <v>1598</v>
      </c>
    </row>
    <row r="1500" spans="1:28" x14ac:dyDescent="0.25">
      <c r="A1500" s="1" t="s">
        <v>1686</v>
      </c>
      <c r="B1500" s="1" t="s">
        <v>576</v>
      </c>
      <c r="C1500" s="1" t="s">
        <v>861</v>
      </c>
      <c r="D1500" s="1">
        <v>11</v>
      </c>
      <c r="E1500" s="1">
        <v>3</v>
      </c>
      <c r="F1500" s="1">
        <v>3</v>
      </c>
      <c r="G1500" s="1">
        <v>7</v>
      </c>
      <c r="H1500" s="1">
        <v>7</v>
      </c>
      <c r="I1500" s="1">
        <v>6</v>
      </c>
      <c r="J1500" s="1">
        <v>7</v>
      </c>
      <c r="K1500" s="1">
        <f t="shared" si="295"/>
        <v>27</v>
      </c>
      <c r="L1500" s="12">
        <f t="shared" si="292"/>
        <v>0.67500000000000004</v>
      </c>
      <c r="M1500" s="1">
        <v>5</v>
      </c>
      <c r="N1500" s="1">
        <v>5</v>
      </c>
      <c r="O1500" s="1">
        <v>5</v>
      </c>
      <c r="P1500" s="1">
        <v>6</v>
      </c>
      <c r="Q1500" s="1">
        <f t="shared" si="296"/>
        <v>21</v>
      </c>
      <c r="R1500" s="12">
        <f t="shared" si="293"/>
        <v>0.52500000000000002</v>
      </c>
      <c r="S1500" s="1">
        <v>6</v>
      </c>
      <c r="T1500" s="1">
        <v>6</v>
      </c>
      <c r="U1500" s="1">
        <f t="shared" si="297"/>
        <v>12</v>
      </c>
      <c r="V1500" s="12">
        <f t="shared" si="294"/>
        <v>0.6</v>
      </c>
      <c r="Z1500" s="1">
        <f t="shared" si="298"/>
        <v>0</v>
      </c>
      <c r="AB1500" s="2" t="s">
        <v>1599</v>
      </c>
    </row>
    <row r="1501" spans="1:28" x14ac:dyDescent="0.25">
      <c r="A1501" s="1" t="s">
        <v>1686</v>
      </c>
      <c r="B1501" s="1" t="s">
        <v>576</v>
      </c>
      <c r="C1501" s="1" t="s">
        <v>861</v>
      </c>
      <c r="D1501" s="1">
        <v>11</v>
      </c>
      <c r="E1501" s="1">
        <v>3</v>
      </c>
      <c r="F1501" s="1">
        <v>3</v>
      </c>
      <c r="G1501" s="1">
        <v>7</v>
      </c>
      <c r="H1501" s="1">
        <v>8</v>
      </c>
      <c r="I1501" s="1">
        <v>7</v>
      </c>
      <c r="J1501" s="1">
        <v>8</v>
      </c>
      <c r="K1501" s="1">
        <f t="shared" si="295"/>
        <v>30</v>
      </c>
      <c r="L1501" s="12">
        <f t="shared" si="292"/>
        <v>0.75</v>
      </c>
      <c r="M1501" s="1">
        <v>7</v>
      </c>
      <c r="N1501" s="1">
        <v>6</v>
      </c>
      <c r="O1501" s="1">
        <v>7</v>
      </c>
      <c r="P1501" s="1">
        <v>7</v>
      </c>
      <c r="Q1501" s="1">
        <f t="shared" si="296"/>
        <v>27</v>
      </c>
      <c r="R1501" s="12">
        <f t="shared" si="293"/>
        <v>0.67500000000000004</v>
      </c>
      <c r="S1501" s="1">
        <v>7</v>
      </c>
      <c r="T1501" s="1">
        <v>7</v>
      </c>
      <c r="U1501" s="1">
        <f t="shared" si="297"/>
        <v>14</v>
      </c>
      <c r="V1501" s="12">
        <f t="shared" si="294"/>
        <v>0.7</v>
      </c>
      <c r="Z1501" s="1">
        <f t="shared" si="298"/>
        <v>0</v>
      </c>
      <c r="AB1501" s="2" t="s">
        <v>1600</v>
      </c>
    </row>
    <row r="1502" spans="1:28" x14ac:dyDescent="0.25">
      <c r="A1502" s="1" t="s">
        <v>1686</v>
      </c>
      <c r="B1502" s="1" t="s">
        <v>576</v>
      </c>
      <c r="C1502" s="1" t="s">
        <v>861</v>
      </c>
      <c r="D1502" s="1">
        <v>11</v>
      </c>
      <c r="E1502" s="1">
        <v>3</v>
      </c>
      <c r="F1502" s="1">
        <v>3</v>
      </c>
      <c r="G1502" s="1">
        <v>7</v>
      </c>
      <c r="H1502" s="1">
        <v>7</v>
      </c>
      <c r="I1502" s="1">
        <v>7</v>
      </c>
      <c r="J1502" s="1">
        <v>7</v>
      </c>
      <c r="K1502" s="1">
        <f t="shared" si="295"/>
        <v>28</v>
      </c>
      <c r="L1502" s="12">
        <f t="shared" si="292"/>
        <v>0.7</v>
      </c>
      <c r="M1502" s="1">
        <v>8</v>
      </c>
      <c r="N1502" s="1">
        <v>8</v>
      </c>
      <c r="O1502" s="1">
        <v>8</v>
      </c>
      <c r="P1502" s="1">
        <v>7</v>
      </c>
      <c r="Q1502" s="1">
        <f t="shared" si="296"/>
        <v>31</v>
      </c>
      <c r="R1502" s="12">
        <f t="shared" si="293"/>
        <v>0.77500000000000002</v>
      </c>
      <c r="S1502" s="1">
        <v>8</v>
      </c>
      <c r="T1502" s="1">
        <v>7</v>
      </c>
      <c r="U1502" s="1">
        <f t="shared" si="297"/>
        <v>15</v>
      </c>
      <c r="V1502" s="12">
        <f t="shared" si="294"/>
        <v>0.75</v>
      </c>
      <c r="Z1502" s="1">
        <f t="shared" si="298"/>
        <v>0</v>
      </c>
      <c r="AB1502" s="2" t="s">
        <v>1601</v>
      </c>
    </row>
    <row r="1503" spans="1:28" x14ac:dyDescent="0.25">
      <c r="A1503" s="1" t="s">
        <v>1686</v>
      </c>
      <c r="B1503" s="1" t="s">
        <v>576</v>
      </c>
      <c r="C1503" s="1" t="s">
        <v>861</v>
      </c>
      <c r="D1503" s="1">
        <v>11</v>
      </c>
      <c r="E1503" s="1">
        <v>3</v>
      </c>
      <c r="F1503" s="1">
        <v>3</v>
      </c>
      <c r="G1503" s="1">
        <v>8</v>
      </c>
      <c r="H1503" s="1">
        <v>8</v>
      </c>
      <c r="I1503" s="1">
        <v>8</v>
      </c>
      <c r="J1503" s="1">
        <v>8</v>
      </c>
      <c r="K1503" s="1">
        <f t="shared" si="295"/>
        <v>32</v>
      </c>
      <c r="L1503" s="12">
        <f t="shared" si="292"/>
        <v>0.8</v>
      </c>
      <c r="M1503" s="1">
        <v>6</v>
      </c>
      <c r="N1503" s="1">
        <v>7</v>
      </c>
      <c r="O1503" s="1">
        <v>7</v>
      </c>
      <c r="P1503" s="1">
        <v>6</v>
      </c>
      <c r="Q1503" s="1">
        <f t="shared" si="296"/>
        <v>26</v>
      </c>
      <c r="R1503" s="12">
        <f t="shared" si="293"/>
        <v>0.65</v>
      </c>
      <c r="S1503" s="1">
        <v>7</v>
      </c>
      <c r="T1503" s="1">
        <v>7</v>
      </c>
      <c r="U1503" s="1">
        <f t="shared" si="297"/>
        <v>14</v>
      </c>
      <c r="V1503" s="12">
        <f t="shared" si="294"/>
        <v>0.7</v>
      </c>
      <c r="Z1503" s="1">
        <f t="shared" si="298"/>
        <v>0</v>
      </c>
      <c r="AB1503" s="2" t="s">
        <v>1602</v>
      </c>
    </row>
    <row r="1504" spans="1:28" x14ac:dyDescent="0.25">
      <c r="A1504" s="1" t="s">
        <v>1687</v>
      </c>
      <c r="B1504" s="1" t="s">
        <v>35</v>
      </c>
      <c r="C1504" s="1" t="s">
        <v>861</v>
      </c>
      <c r="D1504" s="1">
        <v>17</v>
      </c>
      <c r="E1504" s="1">
        <v>1</v>
      </c>
      <c r="F1504" s="1">
        <v>3</v>
      </c>
      <c r="G1504" s="1">
        <v>7</v>
      </c>
      <c r="H1504" s="1">
        <v>6</v>
      </c>
      <c r="I1504" s="1">
        <v>6</v>
      </c>
      <c r="J1504" s="1">
        <v>4</v>
      </c>
      <c r="K1504" s="1">
        <f t="shared" si="295"/>
        <v>23</v>
      </c>
      <c r="L1504" s="12">
        <f t="shared" si="292"/>
        <v>0.57499999999999996</v>
      </c>
      <c r="M1504" s="1">
        <v>8</v>
      </c>
      <c r="N1504" s="1">
        <v>7</v>
      </c>
      <c r="O1504" s="1">
        <v>6</v>
      </c>
      <c r="P1504" s="1">
        <v>2</v>
      </c>
      <c r="Q1504" s="1">
        <f t="shared" si="296"/>
        <v>23</v>
      </c>
      <c r="R1504" s="12">
        <f t="shared" si="293"/>
        <v>0.57499999999999996</v>
      </c>
      <c r="S1504" s="1">
        <v>8</v>
      </c>
      <c r="T1504" s="1">
        <v>3</v>
      </c>
      <c r="U1504" s="1">
        <f t="shared" si="297"/>
        <v>11</v>
      </c>
      <c r="V1504" s="12">
        <f t="shared" si="294"/>
        <v>0.55000000000000004</v>
      </c>
      <c r="Z1504" s="1">
        <f t="shared" si="298"/>
        <v>0</v>
      </c>
      <c r="AB1504" s="2" t="s">
        <v>930</v>
      </c>
    </row>
    <row r="1505" spans="1:28" x14ac:dyDescent="0.25">
      <c r="A1505" s="1" t="s">
        <v>1687</v>
      </c>
      <c r="B1505" s="1" t="s">
        <v>35</v>
      </c>
      <c r="C1505" s="1" t="s">
        <v>861</v>
      </c>
      <c r="D1505" s="1">
        <v>17</v>
      </c>
      <c r="E1505" s="1">
        <v>1</v>
      </c>
      <c r="F1505" s="1">
        <v>3</v>
      </c>
      <c r="G1505" s="1">
        <v>8</v>
      </c>
      <c r="H1505" s="1">
        <v>7</v>
      </c>
      <c r="I1505" s="1">
        <v>9</v>
      </c>
      <c r="J1505" s="1">
        <v>3</v>
      </c>
      <c r="K1505" s="1">
        <f t="shared" si="295"/>
        <v>27</v>
      </c>
      <c r="L1505" s="12">
        <f t="shared" si="292"/>
        <v>0.67500000000000004</v>
      </c>
      <c r="M1505" s="1">
        <v>7</v>
      </c>
      <c r="N1505" s="1">
        <v>8</v>
      </c>
      <c r="O1505" s="1">
        <v>7</v>
      </c>
      <c r="P1505" s="1">
        <v>3</v>
      </c>
      <c r="Q1505" s="1">
        <f t="shared" si="296"/>
        <v>25</v>
      </c>
      <c r="R1505" s="12">
        <f t="shared" si="293"/>
        <v>0.625</v>
      </c>
      <c r="S1505" s="1">
        <v>8</v>
      </c>
      <c r="T1505" s="1">
        <v>4</v>
      </c>
      <c r="U1505" s="1">
        <f t="shared" si="297"/>
        <v>12</v>
      </c>
      <c r="V1505" s="12">
        <f t="shared" si="294"/>
        <v>0.6</v>
      </c>
      <c r="Z1505" s="1">
        <f t="shared" si="298"/>
        <v>0</v>
      </c>
      <c r="AB1505" s="2" t="s">
        <v>931</v>
      </c>
    </row>
    <row r="1506" spans="1:28" x14ac:dyDescent="0.25">
      <c r="A1506" s="1" t="s">
        <v>1687</v>
      </c>
      <c r="B1506" s="1" t="s">
        <v>35</v>
      </c>
      <c r="C1506" s="1" t="s">
        <v>861</v>
      </c>
      <c r="D1506" s="1">
        <v>17</v>
      </c>
      <c r="E1506" s="1">
        <v>1</v>
      </c>
      <c r="F1506" s="1">
        <v>3</v>
      </c>
      <c r="G1506" s="1">
        <v>6</v>
      </c>
      <c r="H1506" s="1">
        <v>5</v>
      </c>
      <c r="I1506" s="1">
        <v>5</v>
      </c>
      <c r="J1506" s="1">
        <v>3</v>
      </c>
      <c r="K1506" s="1">
        <f t="shared" si="295"/>
        <v>19</v>
      </c>
      <c r="L1506" s="12">
        <f t="shared" si="292"/>
        <v>0.47499999999999998</v>
      </c>
      <c r="M1506" s="1">
        <v>8</v>
      </c>
      <c r="N1506" s="1">
        <v>6</v>
      </c>
      <c r="O1506" s="1">
        <v>5</v>
      </c>
      <c r="P1506" s="1">
        <v>3</v>
      </c>
      <c r="Q1506" s="1">
        <f t="shared" si="296"/>
        <v>22</v>
      </c>
      <c r="R1506" s="12">
        <f t="shared" si="293"/>
        <v>0.55000000000000004</v>
      </c>
      <c r="S1506" s="1">
        <v>7</v>
      </c>
      <c r="T1506" s="1">
        <v>3</v>
      </c>
      <c r="U1506" s="1">
        <f t="shared" si="297"/>
        <v>10</v>
      </c>
      <c r="V1506" s="12">
        <f t="shared" si="294"/>
        <v>0.5</v>
      </c>
      <c r="Z1506" s="1">
        <f t="shared" si="298"/>
        <v>0</v>
      </c>
      <c r="AB1506" s="2" t="s">
        <v>932</v>
      </c>
    </row>
    <row r="1507" spans="1:28" x14ac:dyDescent="0.25">
      <c r="A1507" s="1" t="s">
        <v>1687</v>
      </c>
      <c r="B1507" s="1" t="s">
        <v>35</v>
      </c>
      <c r="C1507" s="1" t="s">
        <v>861</v>
      </c>
      <c r="D1507" s="1">
        <v>17</v>
      </c>
      <c r="E1507" s="1">
        <v>1</v>
      </c>
      <c r="F1507" s="1">
        <v>3</v>
      </c>
      <c r="G1507" s="1">
        <v>8</v>
      </c>
      <c r="H1507" s="1">
        <v>7</v>
      </c>
      <c r="I1507" s="1">
        <v>7</v>
      </c>
      <c r="J1507" s="1">
        <v>3</v>
      </c>
      <c r="K1507" s="1">
        <f t="shared" si="295"/>
        <v>25</v>
      </c>
      <c r="L1507" s="12">
        <f t="shared" si="292"/>
        <v>0.625</v>
      </c>
      <c r="M1507" s="1">
        <v>6</v>
      </c>
      <c r="N1507" s="1">
        <v>7</v>
      </c>
      <c r="O1507" s="1">
        <v>6</v>
      </c>
      <c r="P1507" s="1">
        <v>4</v>
      </c>
      <c r="Q1507" s="1">
        <f t="shared" si="296"/>
        <v>23</v>
      </c>
      <c r="R1507" s="12">
        <f t="shared" si="293"/>
        <v>0.57499999999999996</v>
      </c>
      <c r="S1507" s="1">
        <v>7</v>
      </c>
      <c r="T1507" s="1">
        <v>3</v>
      </c>
      <c r="U1507" s="1">
        <f t="shared" si="297"/>
        <v>10</v>
      </c>
      <c r="V1507" s="12">
        <f t="shared" si="294"/>
        <v>0.5</v>
      </c>
      <c r="Z1507" s="1">
        <f t="shared" si="298"/>
        <v>0</v>
      </c>
      <c r="AB1507" s="2" t="s">
        <v>933</v>
      </c>
    </row>
    <row r="1508" spans="1:28" x14ac:dyDescent="0.25">
      <c r="A1508" s="1" t="s">
        <v>1687</v>
      </c>
      <c r="B1508" s="1" t="s">
        <v>35</v>
      </c>
      <c r="C1508" s="1" t="s">
        <v>861</v>
      </c>
      <c r="D1508" s="1">
        <v>17</v>
      </c>
      <c r="E1508" s="1">
        <v>1</v>
      </c>
      <c r="F1508" s="1">
        <v>3</v>
      </c>
      <c r="G1508" s="1">
        <v>9</v>
      </c>
      <c r="H1508" s="1">
        <v>10</v>
      </c>
      <c r="I1508" s="1">
        <v>9</v>
      </c>
      <c r="J1508" s="1">
        <v>5</v>
      </c>
      <c r="K1508" s="1">
        <f t="shared" si="295"/>
        <v>33</v>
      </c>
      <c r="L1508" s="12">
        <f t="shared" si="292"/>
        <v>0.82499999999999996</v>
      </c>
      <c r="M1508" s="1">
        <v>8</v>
      </c>
      <c r="N1508" s="1">
        <v>7</v>
      </c>
      <c r="O1508" s="1">
        <v>8</v>
      </c>
      <c r="P1508" s="1">
        <v>4</v>
      </c>
      <c r="Q1508" s="1">
        <f t="shared" si="296"/>
        <v>27</v>
      </c>
      <c r="R1508" s="12">
        <f t="shared" si="293"/>
        <v>0.67500000000000004</v>
      </c>
      <c r="S1508" s="1">
        <v>9</v>
      </c>
      <c r="T1508" s="1">
        <v>4</v>
      </c>
      <c r="U1508" s="1">
        <f t="shared" si="297"/>
        <v>13</v>
      </c>
      <c r="V1508" s="12">
        <f t="shared" si="294"/>
        <v>0.65</v>
      </c>
      <c r="Z1508" s="1">
        <f t="shared" si="298"/>
        <v>0</v>
      </c>
      <c r="AB1508" s="2" t="s">
        <v>934</v>
      </c>
    </row>
    <row r="1509" spans="1:28" x14ac:dyDescent="0.25">
      <c r="A1509" s="1" t="s">
        <v>1687</v>
      </c>
      <c r="B1509" s="1" t="s">
        <v>35</v>
      </c>
      <c r="C1509" s="1" t="s">
        <v>861</v>
      </c>
      <c r="D1509" s="1">
        <v>17</v>
      </c>
      <c r="E1509" s="1">
        <v>1</v>
      </c>
      <c r="F1509" s="1">
        <v>3</v>
      </c>
      <c r="G1509" s="1">
        <v>8</v>
      </c>
      <c r="H1509" s="1">
        <v>6</v>
      </c>
      <c r="I1509" s="1">
        <v>9</v>
      </c>
      <c r="J1509" s="1">
        <v>4</v>
      </c>
      <c r="K1509" s="1">
        <f t="shared" si="295"/>
        <v>27</v>
      </c>
      <c r="L1509" s="12">
        <f t="shared" si="292"/>
        <v>0.67500000000000004</v>
      </c>
      <c r="M1509" s="1">
        <v>7</v>
      </c>
      <c r="N1509" s="1">
        <v>6</v>
      </c>
      <c r="O1509" s="1">
        <v>6</v>
      </c>
      <c r="P1509" s="1">
        <v>3</v>
      </c>
      <c r="Q1509" s="1">
        <f t="shared" si="296"/>
        <v>22</v>
      </c>
      <c r="R1509" s="12">
        <f t="shared" si="293"/>
        <v>0.55000000000000004</v>
      </c>
      <c r="S1509" s="1">
        <v>8</v>
      </c>
      <c r="T1509" s="1">
        <v>4</v>
      </c>
      <c r="U1509" s="1">
        <f t="shared" si="297"/>
        <v>12</v>
      </c>
      <c r="V1509" s="12">
        <f t="shared" si="294"/>
        <v>0.6</v>
      </c>
      <c r="Z1509" s="1">
        <f t="shared" si="298"/>
        <v>0</v>
      </c>
      <c r="AB1509" s="2" t="s">
        <v>935</v>
      </c>
    </row>
    <row r="1510" spans="1:28" x14ac:dyDescent="0.25">
      <c r="A1510" s="1" t="s">
        <v>1687</v>
      </c>
      <c r="B1510" s="1" t="s">
        <v>35</v>
      </c>
      <c r="C1510" s="1" t="s">
        <v>861</v>
      </c>
      <c r="D1510" s="1">
        <v>17</v>
      </c>
      <c r="E1510" s="1">
        <v>1</v>
      </c>
      <c r="F1510" s="1">
        <v>3</v>
      </c>
      <c r="G1510" s="1">
        <v>8</v>
      </c>
      <c r="H1510" s="1">
        <v>8</v>
      </c>
      <c r="I1510" s="1">
        <v>7</v>
      </c>
      <c r="J1510" s="1">
        <v>3</v>
      </c>
      <c r="K1510" s="1">
        <f t="shared" si="295"/>
        <v>26</v>
      </c>
      <c r="L1510" s="12">
        <f t="shared" si="292"/>
        <v>0.65</v>
      </c>
      <c r="M1510" s="1">
        <v>8</v>
      </c>
      <c r="N1510" s="1">
        <v>6</v>
      </c>
      <c r="O1510" s="1">
        <v>7</v>
      </c>
      <c r="P1510" s="1">
        <v>3</v>
      </c>
      <c r="Q1510" s="1">
        <f t="shared" si="296"/>
        <v>24</v>
      </c>
      <c r="R1510" s="12">
        <f t="shared" si="293"/>
        <v>0.6</v>
      </c>
      <c r="S1510" s="1">
        <v>7</v>
      </c>
      <c r="T1510" s="1">
        <v>3</v>
      </c>
      <c r="U1510" s="1">
        <f t="shared" si="297"/>
        <v>10</v>
      </c>
      <c r="V1510" s="12">
        <f t="shared" si="294"/>
        <v>0.5</v>
      </c>
      <c r="Z1510" s="1">
        <f t="shared" si="298"/>
        <v>0</v>
      </c>
      <c r="AB1510" s="2" t="s">
        <v>936</v>
      </c>
    </row>
    <row r="1511" spans="1:28" x14ac:dyDescent="0.25">
      <c r="A1511" s="1" t="s">
        <v>1687</v>
      </c>
      <c r="B1511" s="1" t="s">
        <v>35</v>
      </c>
      <c r="C1511" s="1" t="s">
        <v>861</v>
      </c>
      <c r="D1511" s="1">
        <v>17</v>
      </c>
      <c r="E1511" s="1">
        <v>1</v>
      </c>
      <c r="F1511" s="1">
        <v>3</v>
      </c>
      <c r="G1511" s="1">
        <v>9</v>
      </c>
      <c r="H1511" s="1">
        <v>9</v>
      </c>
      <c r="I1511" s="1">
        <v>9</v>
      </c>
      <c r="J1511" s="1">
        <v>4</v>
      </c>
      <c r="K1511" s="1">
        <f t="shared" si="295"/>
        <v>31</v>
      </c>
      <c r="L1511" s="12">
        <f t="shared" si="292"/>
        <v>0.77500000000000002</v>
      </c>
      <c r="M1511" s="1">
        <v>7</v>
      </c>
      <c r="N1511" s="1">
        <v>7</v>
      </c>
      <c r="O1511" s="1">
        <v>9</v>
      </c>
      <c r="P1511" s="1">
        <v>3</v>
      </c>
      <c r="Q1511" s="1">
        <f t="shared" si="296"/>
        <v>26</v>
      </c>
      <c r="R1511" s="12">
        <f t="shared" si="293"/>
        <v>0.65</v>
      </c>
      <c r="S1511" s="1">
        <v>6</v>
      </c>
      <c r="T1511" s="1">
        <v>3</v>
      </c>
      <c r="U1511" s="1">
        <f t="shared" si="297"/>
        <v>9</v>
      </c>
      <c r="V1511" s="12">
        <f t="shared" si="294"/>
        <v>0.45</v>
      </c>
      <c r="Z1511" s="1">
        <f t="shared" si="298"/>
        <v>0</v>
      </c>
      <c r="AB1511" s="2" t="s">
        <v>937</v>
      </c>
    </row>
    <row r="1512" spans="1:28" x14ac:dyDescent="0.25">
      <c r="A1512" s="1" t="s">
        <v>1688</v>
      </c>
      <c r="B1512" s="1" t="s">
        <v>35</v>
      </c>
      <c r="C1512" s="1" t="s">
        <v>36</v>
      </c>
      <c r="D1512" s="1">
        <v>19</v>
      </c>
      <c r="E1512" s="1">
        <v>1</v>
      </c>
      <c r="F1512" s="1">
        <v>7</v>
      </c>
      <c r="G1512" s="1">
        <v>3</v>
      </c>
      <c r="H1512" s="1">
        <v>3</v>
      </c>
      <c r="I1512" s="1">
        <v>2</v>
      </c>
      <c r="J1512" s="1">
        <v>2</v>
      </c>
      <c r="K1512" s="1">
        <f t="shared" si="295"/>
        <v>10</v>
      </c>
      <c r="L1512" s="12">
        <f t="shared" ref="L1512:L1535" si="299">K1512/35</f>
        <v>0.2857142857142857</v>
      </c>
      <c r="M1512" s="1">
        <v>3</v>
      </c>
      <c r="N1512" s="1">
        <v>3</v>
      </c>
      <c r="O1512" s="1">
        <v>2</v>
      </c>
      <c r="P1512" s="1">
        <v>2</v>
      </c>
      <c r="Q1512" s="1">
        <f t="shared" si="296"/>
        <v>10</v>
      </c>
      <c r="R1512" s="12">
        <f t="shared" ref="R1512:R1535" si="300">Q1512/35</f>
        <v>0.2857142857142857</v>
      </c>
      <c r="S1512" s="1">
        <v>3</v>
      </c>
      <c r="T1512" s="1">
        <v>3</v>
      </c>
      <c r="U1512" s="1">
        <f t="shared" si="297"/>
        <v>6</v>
      </c>
      <c r="V1512" s="12">
        <f t="shared" ref="V1512:V1535" si="301">U1512/15</f>
        <v>0.4</v>
      </c>
      <c r="W1512" s="1">
        <v>3</v>
      </c>
      <c r="X1512" s="1">
        <v>3</v>
      </c>
      <c r="Y1512" s="1">
        <v>4</v>
      </c>
      <c r="Z1512" s="1">
        <f t="shared" si="298"/>
        <v>10</v>
      </c>
      <c r="AA1512" s="12">
        <f t="shared" ref="AA1512:AA1535" si="302">Z1512/15</f>
        <v>0.66666666666666663</v>
      </c>
      <c r="AB1512" s="2" t="s">
        <v>220</v>
      </c>
    </row>
    <row r="1513" spans="1:28" x14ac:dyDescent="0.25">
      <c r="A1513" s="1" t="s">
        <v>1688</v>
      </c>
      <c r="B1513" s="1" t="s">
        <v>35</v>
      </c>
      <c r="C1513" s="1" t="s">
        <v>36</v>
      </c>
      <c r="D1513" s="1">
        <v>19</v>
      </c>
      <c r="E1513" s="1">
        <v>1</v>
      </c>
      <c r="F1513" s="1">
        <v>7</v>
      </c>
      <c r="G1513" s="1">
        <v>6</v>
      </c>
      <c r="H1513" s="1">
        <v>6</v>
      </c>
      <c r="I1513" s="1">
        <v>6</v>
      </c>
      <c r="J1513" s="1">
        <v>3</v>
      </c>
      <c r="K1513" s="1">
        <f t="shared" si="295"/>
        <v>21</v>
      </c>
      <c r="L1513" s="12">
        <f t="shared" si="299"/>
        <v>0.6</v>
      </c>
      <c r="M1513" s="1">
        <v>6</v>
      </c>
      <c r="N1513" s="1">
        <v>6</v>
      </c>
      <c r="O1513" s="1">
        <v>5</v>
      </c>
      <c r="P1513" s="1">
        <v>4</v>
      </c>
      <c r="Q1513" s="1">
        <f t="shared" si="296"/>
        <v>21</v>
      </c>
      <c r="R1513" s="12">
        <f t="shared" si="300"/>
        <v>0.6</v>
      </c>
      <c r="S1513" s="1">
        <v>5</v>
      </c>
      <c r="T1513" s="1">
        <v>2</v>
      </c>
      <c r="U1513" s="1">
        <f t="shared" si="297"/>
        <v>7</v>
      </c>
      <c r="V1513" s="12">
        <f t="shared" si="301"/>
        <v>0.46666666666666667</v>
      </c>
      <c r="W1513" s="1">
        <v>3</v>
      </c>
      <c r="X1513" s="1">
        <v>2</v>
      </c>
      <c r="Y1513" s="1">
        <v>3</v>
      </c>
      <c r="Z1513" s="1">
        <f t="shared" si="298"/>
        <v>8</v>
      </c>
      <c r="AA1513" s="12">
        <f t="shared" si="302"/>
        <v>0.53333333333333333</v>
      </c>
      <c r="AB1513" s="2" t="s">
        <v>221</v>
      </c>
    </row>
    <row r="1514" spans="1:28" x14ac:dyDescent="0.25">
      <c r="A1514" s="1" t="s">
        <v>1688</v>
      </c>
      <c r="B1514" s="1" t="s">
        <v>35</v>
      </c>
      <c r="C1514" s="1" t="s">
        <v>36</v>
      </c>
      <c r="D1514" s="1">
        <v>19</v>
      </c>
      <c r="E1514" s="1">
        <v>1</v>
      </c>
      <c r="F1514" s="1">
        <v>7</v>
      </c>
      <c r="G1514" s="1">
        <v>2</v>
      </c>
      <c r="H1514" s="1">
        <v>2</v>
      </c>
      <c r="I1514" s="1">
        <v>2</v>
      </c>
      <c r="J1514" s="1">
        <v>2</v>
      </c>
      <c r="K1514" s="1">
        <f t="shared" si="295"/>
        <v>8</v>
      </c>
      <c r="L1514" s="12">
        <f t="shared" si="299"/>
        <v>0.22857142857142856</v>
      </c>
      <c r="M1514" s="1">
        <v>4</v>
      </c>
      <c r="N1514" s="1">
        <v>6</v>
      </c>
      <c r="O1514" s="1">
        <v>4</v>
      </c>
      <c r="P1514" s="1">
        <v>2</v>
      </c>
      <c r="Q1514" s="1">
        <f t="shared" si="296"/>
        <v>16</v>
      </c>
      <c r="R1514" s="12">
        <f t="shared" si="300"/>
        <v>0.45714285714285713</v>
      </c>
      <c r="S1514" s="1">
        <v>4</v>
      </c>
      <c r="T1514" s="1">
        <v>3</v>
      </c>
      <c r="U1514" s="1">
        <f t="shared" si="297"/>
        <v>7</v>
      </c>
      <c r="V1514" s="12">
        <f t="shared" si="301"/>
        <v>0.46666666666666667</v>
      </c>
      <c r="W1514" s="1">
        <v>3</v>
      </c>
      <c r="X1514" s="1">
        <v>3</v>
      </c>
      <c r="Y1514" s="1">
        <v>2</v>
      </c>
      <c r="Z1514" s="1">
        <f t="shared" si="298"/>
        <v>8</v>
      </c>
      <c r="AA1514" s="12">
        <f t="shared" si="302"/>
        <v>0.53333333333333333</v>
      </c>
      <c r="AB1514" s="2" t="s">
        <v>222</v>
      </c>
    </row>
    <row r="1515" spans="1:28" x14ac:dyDescent="0.25">
      <c r="A1515" s="1" t="s">
        <v>1688</v>
      </c>
      <c r="B1515" s="1" t="s">
        <v>35</v>
      </c>
      <c r="C1515" s="1" t="s">
        <v>36</v>
      </c>
      <c r="D1515" s="1">
        <v>19</v>
      </c>
      <c r="E1515" s="1">
        <v>1</v>
      </c>
      <c r="F1515" s="1">
        <v>7</v>
      </c>
      <c r="G1515" s="1">
        <v>9</v>
      </c>
      <c r="H1515" s="1">
        <v>9</v>
      </c>
      <c r="I1515" s="1">
        <v>9</v>
      </c>
      <c r="J1515" s="1">
        <v>5</v>
      </c>
      <c r="K1515" s="1">
        <f t="shared" si="295"/>
        <v>32</v>
      </c>
      <c r="L1515" s="12">
        <f t="shared" si="299"/>
        <v>0.91428571428571426</v>
      </c>
      <c r="M1515" s="1">
        <v>9</v>
      </c>
      <c r="N1515" s="1">
        <v>8</v>
      </c>
      <c r="O1515" s="1">
        <v>9</v>
      </c>
      <c r="P1515" s="1">
        <v>5</v>
      </c>
      <c r="Q1515" s="1">
        <f t="shared" si="296"/>
        <v>31</v>
      </c>
      <c r="R1515" s="12">
        <f t="shared" si="300"/>
        <v>0.88571428571428568</v>
      </c>
      <c r="S1515" s="1">
        <v>9</v>
      </c>
      <c r="T1515" s="1">
        <v>5</v>
      </c>
      <c r="U1515" s="1">
        <f t="shared" si="297"/>
        <v>14</v>
      </c>
      <c r="V1515" s="12">
        <f t="shared" si="301"/>
        <v>0.93333333333333335</v>
      </c>
      <c r="W1515" s="1">
        <v>4</v>
      </c>
      <c r="X1515" s="1">
        <v>3</v>
      </c>
      <c r="Y1515" s="1">
        <v>4</v>
      </c>
      <c r="Z1515" s="1">
        <f t="shared" si="298"/>
        <v>11</v>
      </c>
      <c r="AA1515" s="12">
        <f t="shared" si="302"/>
        <v>0.73333333333333328</v>
      </c>
      <c r="AB1515" s="2" t="s">
        <v>223</v>
      </c>
    </row>
    <row r="1516" spans="1:28" x14ac:dyDescent="0.25">
      <c r="A1516" s="1" t="s">
        <v>1688</v>
      </c>
      <c r="B1516" s="1" t="s">
        <v>35</v>
      </c>
      <c r="C1516" s="1" t="s">
        <v>36</v>
      </c>
      <c r="D1516" s="1">
        <v>19</v>
      </c>
      <c r="E1516" s="1">
        <v>1</v>
      </c>
      <c r="F1516" s="1">
        <v>7</v>
      </c>
      <c r="G1516" s="1">
        <v>7</v>
      </c>
      <c r="H1516" s="1">
        <v>5</v>
      </c>
      <c r="I1516" s="1">
        <v>5</v>
      </c>
      <c r="J1516" s="1">
        <v>3</v>
      </c>
      <c r="K1516" s="1">
        <f t="shared" si="295"/>
        <v>20</v>
      </c>
      <c r="L1516" s="12">
        <f t="shared" si="299"/>
        <v>0.5714285714285714</v>
      </c>
      <c r="M1516" s="1">
        <v>4</v>
      </c>
      <c r="N1516" s="1">
        <v>4</v>
      </c>
      <c r="O1516" s="1">
        <v>5</v>
      </c>
      <c r="P1516" s="1">
        <v>3</v>
      </c>
      <c r="Q1516" s="1">
        <f t="shared" si="296"/>
        <v>16</v>
      </c>
      <c r="R1516" s="12">
        <f t="shared" si="300"/>
        <v>0.45714285714285713</v>
      </c>
      <c r="S1516" s="1">
        <v>5</v>
      </c>
      <c r="T1516" s="1">
        <v>3</v>
      </c>
      <c r="U1516" s="1">
        <f t="shared" si="297"/>
        <v>8</v>
      </c>
      <c r="V1516" s="12">
        <f t="shared" si="301"/>
        <v>0.53333333333333333</v>
      </c>
      <c r="W1516" s="1">
        <v>2</v>
      </c>
      <c r="X1516" s="1">
        <v>2</v>
      </c>
      <c r="Y1516" s="1">
        <v>2</v>
      </c>
      <c r="Z1516" s="1">
        <f t="shared" si="298"/>
        <v>6</v>
      </c>
      <c r="AA1516" s="12">
        <f t="shared" si="302"/>
        <v>0.4</v>
      </c>
      <c r="AB1516" s="2" t="s">
        <v>224</v>
      </c>
    </row>
    <row r="1517" spans="1:28" x14ac:dyDescent="0.25">
      <c r="A1517" s="1" t="s">
        <v>1688</v>
      </c>
      <c r="B1517" s="1" t="s">
        <v>35</v>
      </c>
      <c r="C1517" s="1" t="s">
        <v>36</v>
      </c>
      <c r="D1517" s="1">
        <v>19</v>
      </c>
      <c r="E1517" s="1">
        <v>1</v>
      </c>
      <c r="F1517" s="1">
        <v>7</v>
      </c>
      <c r="G1517" s="1">
        <v>8</v>
      </c>
      <c r="H1517" s="1">
        <v>9</v>
      </c>
      <c r="I1517" s="1">
        <v>9</v>
      </c>
      <c r="J1517" s="1">
        <v>5</v>
      </c>
      <c r="K1517" s="1">
        <f t="shared" si="295"/>
        <v>31</v>
      </c>
      <c r="L1517" s="12">
        <f t="shared" si="299"/>
        <v>0.88571428571428568</v>
      </c>
      <c r="M1517" s="1">
        <v>9</v>
      </c>
      <c r="N1517" s="1">
        <v>9</v>
      </c>
      <c r="O1517" s="1">
        <v>9</v>
      </c>
      <c r="P1517" s="1">
        <v>5</v>
      </c>
      <c r="Q1517" s="1">
        <f t="shared" si="296"/>
        <v>32</v>
      </c>
      <c r="R1517" s="12">
        <f t="shared" si="300"/>
        <v>0.91428571428571426</v>
      </c>
      <c r="S1517" s="1">
        <v>9</v>
      </c>
      <c r="T1517" s="1">
        <v>4</v>
      </c>
      <c r="U1517" s="1">
        <f t="shared" si="297"/>
        <v>13</v>
      </c>
      <c r="V1517" s="12">
        <f t="shared" si="301"/>
        <v>0.8666666666666667</v>
      </c>
      <c r="W1517" s="1">
        <v>4</v>
      </c>
      <c r="X1517" s="1">
        <v>5</v>
      </c>
      <c r="Y1517" s="1">
        <v>5</v>
      </c>
      <c r="Z1517" s="1">
        <f t="shared" si="298"/>
        <v>14</v>
      </c>
      <c r="AA1517" s="12">
        <f t="shared" si="302"/>
        <v>0.93333333333333335</v>
      </c>
      <c r="AB1517" s="2" t="s">
        <v>224</v>
      </c>
    </row>
    <row r="1518" spans="1:28" x14ac:dyDescent="0.25">
      <c r="A1518" s="1" t="s">
        <v>1688</v>
      </c>
      <c r="B1518" s="1" t="s">
        <v>35</v>
      </c>
      <c r="C1518" s="1" t="s">
        <v>36</v>
      </c>
      <c r="D1518" s="1">
        <v>19</v>
      </c>
      <c r="E1518" s="1">
        <v>1</v>
      </c>
      <c r="F1518" s="1">
        <v>7</v>
      </c>
      <c r="G1518" s="1">
        <v>3</v>
      </c>
      <c r="H1518" s="1">
        <v>2</v>
      </c>
      <c r="I1518" s="1">
        <v>2</v>
      </c>
      <c r="J1518" s="1">
        <v>2</v>
      </c>
      <c r="K1518" s="1">
        <f t="shared" si="295"/>
        <v>9</v>
      </c>
      <c r="L1518" s="12">
        <f t="shared" si="299"/>
        <v>0.25714285714285712</v>
      </c>
      <c r="M1518" s="1">
        <v>2</v>
      </c>
      <c r="N1518" s="1">
        <v>2</v>
      </c>
      <c r="O1518" s="1">
        <v>3</v>
      </c>
      <c r="P1518" s="1">
        <v>2</v>
      </c>
      <c r="Q1518" s="1">
        <f t="shared" si="296"/>
        <v>9</v>
      </c>
      <c r="R1518" s="12">
        <f t="shared" si="300"/>
        <v>0.25714285714285712</v>
      </c>
      <c r="S1518" s="1">
        <v>3</v>
      </c>
      <c r="T1518" s="1">
        <v>3</v>
      </c>
      <c r="U1518" s="1">
        <f t="shared" si="297"/>
        <v>6</v>
      </c>
      <c r="V1518" s="12">
        <f t="shared" si="301"/>
        <v>0.4</v>
      </c>
      <c r="W1518" s="1">
        <v>2</v>
      </c>
      <c r="X1518" s="1">
        <v>2</v>
      </c>
      <c r="Y1518" s="1">
        <v>2</v>
      </c>
      <c r="Z1518" s="1">
        <f t="shared" si="298"/>
        <v>6</v>
      </c>
      <c r="AA1518" s="12">
        <f t="shared" si="302"/>
        <v>0.4</v>
      </c>
      <c r="AB1518" s="2" t="s">
        <v>225</v>
      </c>
    </row>
    <row r="1519" spans="1:28" x14ac:dyDescent="0.25">
      <c r="A1519" s="1" t="s">
        <v>1688</v>
      </c>
      <c r="B1519" s="1" t="s">
        <v>35</v>
      </c>
      <c r="C1519" s="1" t="s">
        <v>36</v>
      </c>
      <c r="D1519" s="1">
        <v>19</v>
      </c>
      <c r="E1519" s="1">
        <v>1</v>
      </c>
      <c r="F1519" s="1">
        <v>7</v>
      </c>
      <c r="G1519" s="1">
        <v>9</v>
      </c>
      <c r="H1519" s="1">
        <v>8</v>
      </c>
      <c r="I1519" s="1">
        <v>9</v>
      </c>
      <c r="J1519" s="1">
        <v>5</v>
      </c>
      <c r="K1519" s="1">
        <f t="shared" si="295"/>
        <v>31</v>
      </c>
      <c r="L1519" s="12">
        <f t="shared" si="299"/>
        <v>0.88571428571428568</v>
      </c>
      <c r="M1519" s="1">
        <v>9</v>
      </c>
      <c r="N1519" s="1">
        <v>8</v>
      </c>
      <c r="O1519" s="1">
        <v>9</v>
      </c>
      <c r="P1519" s="1">
        <v>4</v>
      </c>
      <c r="Q1519" s="1">
        <f t="shared" si="296"/>
        <v>30</v>
      </c>
      <c r="R1519" s="12">
        <f t="shared" si="300"/>
        <v>0.8571428571428571</v>
      </c>
      <c r="S1519" s="1">
        <v>8</v>
      </c>
      <c r="T1519" s="1">
        <v>4</v>
      </c>
      <c r="U1519" s="1">
        <f t="shared" si="297"/>
        <v>12</v>
      </c>
      <c r="V1519" s="12">
        <f t="shared" si="301"/>
        <v>0.8</v>
      </c>
      <c r="W1519" s="1">
        <v>5</v>
      </c>
      <c r="X1519" s="1">
        <v>5</v>
      </c>
      <c r="Y1519" s="1">
        <v>5</v>
      </c>
      <c r="Z1519" s="1">
        <f t="shared" si="298"/>
        <v>15</v>
      </c>
      <c r="AA1519" s="12">
        <f t="shared" si="302"/>
        <v>1</v>
      </c>
      <c r="AB1519" s="2" t="s">
        <v>226</v>
      </c>
    </row>
    <row r="1520" spans="1:28" x14ac:dyDescent="0.25">
      <c r="A1520" s="1" t="s">
        <v>1688</v>
      </c>
      <c r="B1520" s="1" t="s">
        <v>35</v>
      </c>
      <c r="C1520" s="1" t="s">
        <v>36</v>
      </c>
      <c r="D1520" s="1">
        <v>5</v>
      </c>
      <c r="E1520" s="1">
        <v>3</v>
      </c>
      <c r="F1520" s="1">
        <v>2</v>
      </c>
      <c r="G1520" s="1">
        <v>8</v>
      </c>
      <c r="H1520" s="1">
        <v>6</v>
      </c>
      <c r="I1520" s="1">
        <v>7</v>
      </c>
      <c r="J1520" s="1">
        <v>3</v>
      </c>
      <c r="K1520" s="1">
        <f t="shared" si="295"/>
        <v>24</v>
      </c>
      <c r="L1520" s="12">
        <f t="shared" si="299"/>
        <v>0.68571428571428572</v>
      </c>
      <c r="M1520" s="1">
        <v>7</v>
      </c>
      <c r="N1520" s="1">
        <v>7</v>
      </c>
      <c r="O1520" s="1">
        <v>7</v>
      </c>
      <c r="P1520" s="1">
        <v>3</v>
      </c>
      <c r="Q1520" s="1">
        <f t="shared" si="296"/>
        <v>24</v>
      </c>
      <c r="R1520" s="12">
        <f t="shared" si="300"/>
        <v>0.68571428571428572</v>
      </c>
      <c r="S1520" s="1">
        <v>6</v>
      </c>
      <c r="T1520" s="1">
        <v>4</v>
      </c>
      <c r="U1520" s="1">
        <f t="shared" si="297"/>
        <v>10</v>
      </c>
      <c r="V1520" s="12">
        <f t="shared" si="301"/>
        <v>0.66666666666666663</v>
      </c>
      <c r="W1520" s="1">
        <v>4</v>
      </c>
      <c r="X1520" s="1">
        <v>4</v>
      </c>
      <c r="Y1520" s="1">
        <v>4</v>
      </c>
      <c r="Z1520" s="1">
        <f t="shared" si="298"/>
        <v>12</v>
      </c>
      <c r="AA1520" s="12">
        <f t="shared" si="302"/>
        <v>0.8</v>
      </c>
      <c r="AB1520" s="2" t="s">
        <v>468</v>
      </c>
    </row>
    <row r="1521" spans="1:28" x14ac:dyDescent="0.25">
      <c r="A1521" s="1" t="s">
        <v>1688</v>
      </c>
      <c r="B1521" s="1" t="s">
        <v>35</v>
      </c>
      <c r="C1521" s="1" t="s">
        <v>36</v>
      </c>
      <c r="D1521" s="1">
        <v>5</v>
      </c>
      <c r="E1521" s="1">
        <v>3</v>
      </c>
      <c r="F1521" s="1">
        <v>2</v>
      </c>
      <c r="G1521" s="1">
        <v>8</v>
      </c>
      <c r="H1521" s="1">
        <v>7</v>
      </c>
      <c r="I1521" s="1">
        <v>6</v>
      </c>
      <c r="J1521" s="1">
        <v>3</v>
      </c>
      <c r="K1521" s="1">
        <f t="shared" si="295"/>
        <v>24</v>
      </c>
      <c r="L1521" s="12">
        <f t="shared" si="299"/>
        <v>0.68571428571428572</v>
      </c>
      <c r="M1521" s="1">
        <v>8</v>
      </c>
      <c r="N1521" s="1">
        <v>7</v>
      </c>
      <c r="O1521" s="1">
        <v>7</v>
      </c>
      <c r="P1521" s="1">
        <v>4</v>
      </c>
      <c r="Q1521" s="1">
        <f t="shared" si="296"/>
        <v>26</v>
      </c>
      <c r="R1521" s="12">
        <f t="shared" si="300"/>
        <v>0.74285714285714288</v>
      </c>
      <c r="S1521" s="1">
        <v>7</v>
      </c>
      <c r="T1521" s="1">
        <v>4</v>
      </c>
      <c r="U1521" s="1">
        <f t="shared" si="297"/>
        <v>11</v>
      </c>
      <c r="V1521" s="12">
        <f t="shared" si="301"/>
        <v>0.73333333333333328</v>
      </c>
      <c r="W1521" s="1">
        <v>4</v>
      </c>
      <c r="X1521" s="1">
        <v>4</v>
      </c>
      <c r="Y1521" s="1">
        <v>4</v>
      </c>
      <c r="Z1521" s="1">
        <f t="shared" si="298"/>
        <v>12</v>
      </c>
      <c r="AA1521" s="12">
        <f t="shared" si="302"/>
        <v>0.8</v>
      </c>
      <c r="AB1521" s="2" t="s">
        <v>469</v>
      </c>
    </row>
    <row r="1522" spans="1:28" x14ac:dyDescent="0.25">
      <c r="A1522" s="1" t="s">
        <v>1688</v>
      </c>
      <c r="B1522" s="1" t="s">
        <v>35</v>
      </c>
      <c r="C1522" s="1" t="s">
        <v>36</v>
      </c>
      <c r="D1522" s="1">
        <v>5</v>
      </c>
      <c r="E1522" s="1">
        <v>3</v>
      </c>
      <c r="F1522" s="1">
        <v>2</v>
      </c>
      <c r="G1522" s="1">
        <v>8</v>
      </c>
      <c r="H1522" s="1">
        <v>7</v>
      </c>
      <c r="I1522" s="1">
        <v>7</v>
      </c>
      <c r="J1522" s="1">
        <v>3</v>
      </c>
      <c r="K1522" s="1">
        <f t="shared" si="295"/>
        <v>25</v>
      </c>
      <c r="L1522" s="12">
        <f t="shared" si="299"/>
        <v>0.7142857142857143</v>
      </c>
      <c r="M1522" s="1">
        <v>8</v>
      </c>
      <c r="N1522" s="1">
        <v>8</v>
      </c>
      <c r="O1522" s="1">
        <v>7</v>
      </c>
      <c r="P1522" s="1">
        <v>3</v>
      </c>
      <c r="Q1522" s="1">
        <f t="shared" si="296"/>
        <v>26</v>
      </c>
      <c r="R1522" s="12">
        <f t="shared" si="300"/>
        <v>0.74285714285714288</v>
      </c>
      <c r="S1522" s="1">
        <v>6</v>
      </c>
      <c r="T1522" s="1">
        <v>3</v>
      </c>
      <c r="U1522" s="1">
        <f t="shared" si="297"/>
        <v>9</v>
      </c>
      <c r="V1522" s="12">
        <f t="shared" si="301"/>
        <v>0.6</v>
      </c>
      <c r="W1522" s="1">
        <v>3</v>
      </c>
      <c r="X1522" s="1">
        <v>3</v>
      </c>
      <c r="Y1522" s="1">
        <v>3</v>
      </c>
      <c r="Z1522" s="1">
        <f t="shared" si="298"/>
        <v>9</v>
      </c>
      <c r="AA1522" s="12">
        <f t="shared" si="302"/>
        <v>0.6</v>
      </c>
      <c r="AB1522" s="2" t="s">
        <v>470</v>
      </c>
    </row>
    <row r="1523" spans="1:28" x14ac:dyDescent="0.25">
      <c r="A1523" s="1" t="s">
        <v>1688</v>
      </c>
      <c r="B1523" s="1" t="s">
        <v>35</v>
      </c>
      <c r="C1523" s="1" t="s">
        <v>36</v>
      </c>
      <c r="D1523" s="1">
        <v>5</v>
      </c>
      <c r="E1523" s="1">
        <v>3</v>
      </c>
      <c r="F1523" s="1">
        <v>2</v>
      </c>
      <c r="G1523" s="1">
        <v>6</v>
      </c>
      <c r="H1523" s="1">
        <v>4</v>
      </c>
      <c r="I1523" s="1">
        <v>4</v>
      </c>
      <c r="J1523" s="1">
        <v>2</v>
      </c>
      <c r="K1523" s="1">
        <f t="shared" si="295"/>
        <v>16</v>
      </c>
      <c r="L1523" s="12">
        <f t="shared" si="299"/>
        <v>0.45714285714285713</v>
      </c>
      <c r="M1523" s="1">
        <v>8</v>
      </c>
      <c r="N1523" s="1">
        <v>8</v>
      </c>
      <c r="O1523" s="1">
        <v>5</v>
      </c>
      <c r="P1523" s="1">
        <v>4</v>
      </c>
      <c r="Q1523" s="1">
        <f t="shared" si="296"/>
        <v>25</v>
      </c>
      <c r="R1523" s="12">
        <f t="shared" si="300"/>
        <v>0.7142857142857143</v>
      </c>
      <c r="S1523" s="1">
        <v>6</v>
      </c>
      <c r="T1523" s="1">
        <v>3</v>
      </c>
      <c r="U1523" s="1">
        <f t="shared" si="297"/>
        <v>9</v>
      </c>
      <c r="V1523" s="12">
        <f t="shared" si="301"/>
        <v>0.6</v>
      </c>
      <c r="W1523" s="1">
        <v>4</v>
      </c>
      <c r="X1523" s="1">
        <v>4</v>
      </c>
      <c r="Y1523" s="1">
        <v>4</v>
      </c>
      <c r="Z1523" s="1">
        <f t="shared" si="298"/>
        <v>12</v>
      </c>
      <c r="AA1523" s="12">
        <f t="shared" si="302"/>
        <v>0.8</v>
      </c>
      <c r="AB1523" s="2" t="s">
        <v>471</v>
      </c>
    </row>
    <row r="1524" spans="1:28" x14ac:dyDescent="0.25">
      <c r="A1524" s="1" t="s">
        <v>1688</v>
      </c>
      <c r="B1524" s="1" t="s">
        <v>35</v>
      </c>
      <c r="C1524" s="1" t="s">
        <v>36</v>
      </c>
      <c r="D1524" s="1">
        <v>5</v>
      </c>
      <c r="E1524" s="1">
        <v>3</v>
      </c>
      <c r="F1524" s="1">
        <v>2</v>
      </c>
      <c r="G1524" s="1">
        <v>8</v>
      </c>
      <c r="H1524" s="1">
        <v>7</v>
      </c>
      <c r="I1524" s="1">
        <v>7</v>
      </c>
      <c r="J1524" s="1">
        <v>3</v>
      </c>
      <c r="K1524" s="1">
        <f t="shared" si="295"/>
        <v>25</v>
      </c>
      <c r="L1524" s="12">
        <f t="shared" si="299"/>
        <v>0.7142857142857143</v>
      </c>
      <c r="M1524" s="1">
        <v>8</v>
      </c>
      <c r="N1524" s="1">
        <v>8</v>
      </c>
      <c r="O1524" s="1">
        <v>7</v>
      </c>
      <c r="P1524" s="1">
        <v>3</v>
      </c>
      <c r="Q1524" s="1">
        <f t="shared" si="296"/>
        <v>26</v>
      </c>
      <c r="R1524" s="12">
        <f t="shared" si="300"/>
        <v>0.74285714285714288</v>
      </c>
      <c r="S1524" s="1">
        <v>7</v>
      </c>
      <c r="T1524" s="1">
        <v>4</v>
      </c>
      <c r="U1524" s="1">
        <f t="shared" si="297"/>
        <v>11</v>
      </c>
      <c r="V1524" s="12">
        <f t="shared" si="301"/>
        <v>0.73333333333333328</v>
      </c>
      <c r="W1524" s="1">
        <v>3</v>
      </c>
      <c r="X1524" s="1">
        <v>3</v>
      </c>
      <c r="Y1524" s="1">
        <v>3</v>
      </c>
      <c r="Z1524" s="1">
        <f t="shared" si="298"/>
        <v>9</v>
      </c>
      <c r="AA1524" s="12">
        <f t="shared" si="302"/>
        <v>0.6</v>
      </c>
      <c r="AB1524" s="2" t="s">
        <v>472</v>
      </c>
    </row>
    <row r="1525" spans="1:28" x14ac:dyDescent="0.25">
      <c r="A1525" s="1" t="s">
        <v>1688</v>
      </c>
      <c r="B1525" s="1" t="s">
        <v>35</v>
      </c>
      <c r="C1525" s="1" t="s">
        <v>36</v>
      </c>
      <c r="D1525" s="1">
        <v>5</v>
      </c>
      <c r="E1525" s="1">
        <v>3</v>
      </c>
      <c r="F1525" s="1">
        <v>2</v>
      </c>
      <c r="G1525" s="1">
        <v>8</v>
      </c>
      <c r="H1525" s="1">
        <v>5</v>
      </c>
      <c r="I1525" s="1">
        <v>5</v>
      </c>
      <c r="J1525" s="1">
        <v>3</v>
      </c>
      <c r="K1525" s="1">
        <f t="shared" si="295"/>
        <v>21</v>
      </c>
      <c r="L1525" s="12">
        <f t="shared" si="299"/>
        <v>0.6</v>
      </c>
      <c r="M1525" s="1">
        <v>7</v>
      </c>
      <c r="N1525" s="1">
        <v>7</v>
      </c>
      <c r="O1525" s="1">
        <v>6</v>
      </c>
      <c r="P1525" s="1">
        <v>3</v>
      </c>
      <c r="Q1525" s="1">
        <f t="shared" si="296"/>
        <v>23</v>
      </c>
      <c r="R1525" s="12">
        <f t="shared" si="300"/>
        <v>0.65714285714285714</v>
      </c>
      <c r="S1525" s="1">
        <v>7</v>
      </c>
      <c r="T1525" s="1">
        <v>4</v>
      </c>
      <c r="U1525" s="1">
        <f t="shared" si="297"/>
        <v>11</v>
      </c>
      <c r="V1525" s="12">
        <f t="shared" si="301"/>
        <v>0.73333333333333328</v>
      </c>
      <c r="W1525" s="1">
        <v>3</v>
      </c>
      <c r="X1525" s="1">
        <v>3</v>
      </c>
      <c r="Y1525" s="1">
        <v>3</v>
      </c>
      <c r="Z1525" s="1">
        <f t="shared" si="298"/>
        <v>9</v>
      </c>
      <c r="AA1525" s="12">
        <f t="shared" si="302"/>
        <v>0.6</v>
      </c>
      <c r="AB1525" s="2" t="s">
        <v>473</v>
      </c>
    </row>
    <row r="1526" spans="1:28" x14ac:dyDescent="0.25">
      <c r="A1526" s="1" t="s">
        <v>1688</v>
      </c>
      <c r="B1526" s="1" t="s">
        <v>35</v>
      </c>
      <c r="C1526" s="1" t="s">
        <v>36</v>
      </c>
      <c r="D1526" s="1">
        <v>5</v>
      </c>
      <c r="E1526" s="1">
        <v>3</v>
      </c>
      <c r="F1526" s="1">
        <v>2</v>
      </c>
      <c r="G1526" s="1">
        <v>4</v>
      </c>
      <c r="H1526" s="1">
        <v>5</v>
      </c>
      <c r="I1526" s="1">
        <v>5</v>
      </c>
      <c r="J1526" s="1">
        <v>2</v>
      </c>
      <c r="K1526" s="1">
        <f t="shared" si="295"/>
        <v>16</v>
      </c>
      <c r="L1526" s="12">
        <f t="shared" si="299"/>
        <v>0.45714285714285713</v>
      </c>
      <c r="M1526" s="1">
        <v>6</v>
      </c>
      <c r="N1526" s="1">
        <v>5</v>
      </c>
      <c r="O1526" s="1">
        <v>5</v>
      </c>
      <c r="P1526" s="1">
        <v>2</v>
      </c>
      <c r="Q1526" s="1">
        <f t="shared" si="296"/>
        <v>18</v>
      </c>
      <c r="R1526" s="12">
        <f t="shared" si="300"/>
        <v>0.51428571428571423</v>
      </c>
      <c r="S1526" s="1">
        <v>5</v>
      </c>
      <c r="T1526" s="1">
        <v>3</v>
      </c>
      <c r="U1526" s="1">
        <f t="shared" si="297"/>
        <v>8</v>
      </c>
      <c r="V1526" s="12">
        <f t="shared" si="301"/>
        <v>0.53333333333333333</v>
      </c>
      <c r="W1526" s="1">
        <v>3</v>
      </c>
      <c r="X1526" s="1">
        <v>3</v>
      </c>
      <c r="Y1526" s="1">
        <v>3</v>
      </c>
      <c r="Z1526" s="1">
        <f t="shared" si="298"/>
        <v>9</v>
      </c>
      <c r="AA1526" s="12">
        <f t="shared" si="302"/>
        <v>0.6</v>
      </c>
      <c r="AB1526" s="2" t="s">
        <v>474</v>
      </c>
    </row>
    <row r="1527" spans="1:28" x14ac:dyDescent="0.25">
      <c r="A1527" s="1" t="s">
        <v>1688</v>
      </c>
      <c r="B1527" s="1" t="s">
        <v>35</v>
      </c>
      <c r="C1527" s="1" t="s">
        <v>36</v>
      </c>
      <c r="D1527" s="1">
        <v>5</v>
      </c>
      <c r="E1527" s="1">
        <v>3</v>
      </c>
      <c r="F1527" s="1">
        <v>2</v>
      </c>
      <c r="G1527" s="1">
        <v>8</v>
      </c>
      <c r="H1527" s="1">
        <v>8</v>
      </c>
      <c r="I1527" s="1">
        <v>8</v>
      </c>
      <c r="J1527" s="1">
        <v>4</v>
      </c>
      <c r="K1527" s="1">
        <f t="shared" si="295"/>
        <v>28</v>
      </c>
      <c r="L1527" s="12">
        <f t="shared" si="299"/>
        <v>0.8</v>
      </c>
      <c r="M1527" s="1">
        <v>7</v>
      </c>
      <c r="N1527" s="1">
        <v>7</v>
      </c>
      <c r="O1527" s="1">
        <v>7</v>
      </c>
      <c r="P1527" s="1">
        <v>4</v>
      </c>
      <c r="Q1527" s="1">
        <f t="shared" si="296"/>
        <v>25</v>
      </c>
      <c r="R1527" s="12">
        <f t="shared" si="300"/>
        <v>0.7142857142857143</v>
      </c>
      <c r="S1527" s="1">
        <v>7</v>
      </c>
      <c r="T1527" s="1">
        <v>4</v>
      </c>
      <c r="U1527" s="1">
        <f t="shared" si="297"/>
        <v>11</v>
      </c>
      <c r="V1527" s="12">
        <f t="shared" si="301"/>
        <v>0.73333333333333328</v>
      </c>
      <c r="W1527" s="1">
        <v>4</v>
      </c>
      <c r="X1527" s="1">
        <v>4</v>
      </c>
      <c r="Y1527" s="1">
        <v>4</v>
      </c>
      <c r="Z1527" s="1">
        <f t="shared" si="298"/>
        <v>12</v>
      </c>
      <c r="AA1527" s="12">
        <f t="shared" si="302"/>
        <v>0.8</v>
      </c>
      <c r="AB1527" s="2" t="s">
        <v>475</v>
      </c>
    </row>
    <row r="1528" spans="1:28" x14ac:dyDescent="0.25">
      <c r="A1528" s="1" t="s">
        <v>1688</v>
      </c>
      <c r="B1528" s="1" t="s">
        <v>35</v>
      </c>
      <c r="C1528" s="1" t="s">
        <v>36</v>
      </c>
      <c r="D1528" s="1">
        <v>5</v>
      </c>
      <c r="E1528" s="1">
        <v>3</v>
      </c>
      <c r="F1528" s="1">
        <v>2</v>
      </c>
      <c r="G1528" s="1">
        <v>7</v>
      </c>
      <c r="H1528" s="1">
        <v>7</v>
      </c>
      <c r="I1528" s="1">
        <v>6</v>
      </c>
      <c r="J1528" s="1">
        <v>3</v>
      </c>
      <c r="K1528" s="1">
        <f t="shared" si="295"/>
        <v>23</v>
      </c>
      <c r="L1528" s="12">
        <f t="shared" si="299"/>
        <v>0.65714285714285714</v>
      </c>
      <c r="M1528" s="1">
        <v>7</v>
      </c>
      <c r="N1528" s="1">
        <v>7</v>
      </c>
      <c r="O1528" s="1">
        <v>6</v>
      </c>
      <c r="P1528" s="1">
        <v>3</v>
      </c>
      <c r="Q1528" s="1">
        <f t="shared" si="296"/>
        <v>23</v>
      </c>
      <c r="R1528" s="12">
        <f t="shared" si="300"/>
        <v>0.65714285714285714</v>
      </c>
      <c r="S1528" s="1">
        <v>6</v>
      </c>
      <c r="T1528" s="1">
        <v>4</v>
      </c>
      <c r="U1528" s="1">
        <f t="shared" si="297"/>
        <v>10</v>
      </c>
      <c r="V1528" s="12">
        <f t="shared" si="301"/>
        <v>0.66666666666666663</v>
      </c>
      <c r="W1528" s="1">
        <v>4</v>
      </c>
      <c r="X1528" s="1">
        <v>4</v>
      </c>
      <c r="Y1528" s="1">
        <v>4</v>
      </c>
      <c r="Z1528" s="1">
        <f t="shared" si="298"/>
        <v>12</v>
      </c>
      <c r="AA1528" s="12">
        <f t="shared" si="302"/>
        <v>0.8</v>
      </c>
      <c r="AB1528" s="2" t="s">
        <v>476</v>
      </c>
    </row>
    <row r="1529" spans="1:28" x14ac:dyDescent="0.25">
      <c r="A1529" s="1" t="s">
        <v>1688</v>
      </c>
      <c r="B1529" s="1" t="s">
        <v>576</v>
      </c>
      <c r="C1529" s="1" t="s">
        <v>36</v>
      </c>
      <c r="D1529" s="1">
        <v>12</v>
      </c>
      <c r="E1529" s="1">
        <v>3</v>
      </c>
      <c r="F1529" s="1">
        <v>1</v>
      </c>
      <c r="G1529" s="1">
        <v>9</v>
      </c>
      <c r="H1529" s="1">
        <v>9</v>
      </c>
      <c r="I1529" s="1">
        <v>8</v>
      </c>
      <c r="J1529" s="1">
        <v>4</v>
      </c>
      <c r="K1529" s="1">
        <f t="shared" si="295"/>
        <v>30</v>
      </c>
      <c r="L1529" s="12">
        <f t="shared" si="299"/>
        <v>0.8571428571428571</v>
      </c>
      <c r="M1529" s="1">
        <v>9</v>
      </c>
      <c r="N1529" s="1">
        <v>9</v>
      </c>
      <c r="O1529" s="1">
        <v>9</v>
      </c>
      <c r="P1529" s="1">
        <v>4</v>
      </c>
      <c r="Q1529" s="1">
        <f t="shared" si="296"/>
        <v>31</v>
      </c>
      <c r="R1529" s="12">
        <f t="shared" si="300"/>
        <v>0.88571428571428568</v>
      </c>
      <c r="S1529" s="1">
        <v>8</v>
      </c>
      <c r="T1529" s="1">
        <v>4</v>
      </c>
      <c r="U1529" s="1">
        <f t="shared" si="297"/>
        <v>12</v>
      </c>
      <c r="V1529" s="12">
        <f t="shared" si="301"/>
        <v>0.8</v>
      </c>
      <c r="W1529" s="1">
        <v>4</v>
      </c>
      <c r="X1529" s="1">
        <v>5</v>
      </c>
      <c r="Y1529" s="1">
        <v>5</v>
      </c>
      <c r="Z1529" s="1">
        <f t="shared" si="298"/>
        <v>14</v>
      </c>
      <c r="AA1529" s="12">
        <f t="shared" si="302"/>
        <v>0.93333333333333335</v>
      </c>
      <c r="AB1529" s="2" t="s">
        <v>766</v>
      </c>
    </row>
    <row r="1530" spans="1:28" x14ac:dyDescent="0.25">
      <c r="A1530" s="1" t="s">
        <v>1688</v>
      </c>
      <c r="B1530" s="1" t="s">
        <v>576</v>
      </c>
      <c r="C1530" s="1" t="s">
        <v>36</v>
      </c>
      <c r="D1530" s="1">
        <v>12</v>
      </c>
      <c r="E1530" s="1">
        <v>3</v>
      </c>
      <c r="F1530" s="1">
        <v>1</v>
      </c>
      <c r="G1530" s="1">
        <v>8</v>
      </c>
      <c r="H1530" s="1">
        <v>8</v>
      </c>
      <c r="I1530" s="1">
        <v>8</v>
      </c>
      <c r="J1530" s="1">
        <v>4</v>
      </c>
      <c r="K1530" s="1">
        <f t="shared" si="295"/>
        <v>28</v>
      </c>
      <c r="L1530" s="12">
        <f t="shared" si="299"/>
        <v>0.8</v>
      </c>
      <c r="M1530" s="1">
        <v>6</v>
      </c>
      <c r="N1530" s="1">
        <v>6</v>
      </c>
      <c r="O1530" s="1">
        <v>6</v>
      </c>
      <c r="P1530" s="1">
        <v>3</v>
      </c>
      <c r="Q1530" s="1">
        <f t="shared" si="296"/>
        <v>21</v>
      </c>
      <c r="R1530" s="12">
        <f t="shared" si="300"/>
        <v>0.6</v>
      </c>
      <c r="S1530" s="1">
        <v>6</v>
      </c>
      <c r="T1530" s="1">
        <v>4</v>
      </c>
      <c r="U1530" s="1">
        <f t="shared" si="297"/>
        <v>10</v>
      </c>
      <c r="V1530" s="12">
        <f t="shared" si="301"/>
        <v>0.66666666666666663</v>
      </c>
      <c r="W1530" s="1">
        <v>4</v>
      </c>
      <c r="X1530" s="1">
        <v>4</v>
      </c>
      <c r="Y1530" s="1">
        <v>4</v>
      </c>
      <c r="Z1530" s="1">
        <f t="shared" si="298"/>
        <v>12</v>
      </c>
      <c r="AA1530" s="12">
        <f t="shared" si="302"/>
        <v>0.8</v>
      </c>
      <c r="AB1530" s="2" t="s">
        <v>767</v>
      </c>
    </row>
    <row r="1531" spans="1:28" x14ac:dyDescent="0.25">
      <c r="A1531" s="1" t="s">
        <v>1688</v>
      </c>
      <c r="B1531" s="1" t="s">
        <v>576</v>
      </c>
      <c r="C1531" s="1" t="s">
        <v>36</v>
      </c>
      <c r="D1531" s="1">
        <v>12</v>
      </c>
      <c r="E1531" s="1">
        <v>3</v>
      </c>
      <c r="F1531" s="1">
        <v>1</v>
      </c>
      <c r="G1531" s="1">
        <v>8</v>
      </c>
      <c r="H1531" s="1">
        <v>7</v>
      </c>
      <c r="I1531" s="1">
        <v>7</v>
      </c>
      <c r="J1531" s="1">
        <v>3</v>
      </c>
      <c r="K1531" s="1">
        <f t="shared" si="295"/>
        <v>25</v>
      </c>
      <c r="L1531" s="12">
        <f t="shared" si="299"/>
        <v>0.7142857142857143</v>
      </c>
      <c r="M1531" s="1">
        <v>7</v>
      </c>
      <c r="N1531" s="1">
        <v>7</v>
      </c>
      <c r="O1531" s="1">
        <v>6</v>
      </c>
      <c r="P1531" s="1">
        <v>3</v>
      </c>
      <c r="Q1531" s="1">
        <f t="shared" si="296"/>
        <v>23</v>
      </c>
      <c r="R1531" s="12">
        <f t="shared" si="300"/>
        <v>0.65714285714285714</v>
      </c>
      <c r="S1531" s="1">
        <v>6</v>
      </c>
      <c r="T1531" s="1">
        <v>4</v>
      </c>
      <c r="U1531" s="1">
        <f t="shared" si="297"/>
        <v>10</v>
      </c>
      <c r="V1531" s="12">
        <f t="shared" si="301"/>
        <v>0.66666666666666663</v>
      </c>
      <c r="W1531" s="1">
        <v>4</v>
      </c>
      <c r="X1531" s="1">
        <v>3</v>
      </c>
      <c r="Y1531" s="1">
        <v>3</v>
      </c>
      <c r="Z1531" s="1">
        <f t="shared" si="298"/>
        <v>10</v>
      </c>
      <c r="AA1531" s="12">
        <f t="shared" si="302"/>
        <v>0.66666666666666663</v>
      </c>
      <c r="AB1531" s="2" t="s">
        <v>768</v>
      </c>
    </row>
    <row r="1532" spans="1:28" x14ac:dyDescent="0.25">
      <c r="A1532" s="1" t="s">
        <v>1688</v>
      </c>
      <c r="B1532" s="1" t="s">
        <v>576</v>
      </c>
      <c r="C1532" s="1" t="s">
        <v>36</v>
      </c>
      <c r="D1532" s="1">
        <v>12</v>
      </c>
      <c r="E1532" s="1">
        <v>3</v>
      </c>
      <c r="F1532" s="1">
        <v>1</v>
      </c>
      <c r="G1532" s="1">
        <v>8</v>
      </c>
      <c r="H1532" s="1">
        <v>9</v>
      </c>
      <c r="I1532" s="1">
        <v>8</v>
      </c>
      <c r="J1532" s="1">
        <v>4</v>
      </c>
      <c r="K1532" s="1">
        <f t="shared" si="295"/>
        <v>29</v>
      </c>
      <c r="L1532" s="12">
        <f t="shared" si="299"/>
        <v>0.82857142857142863</v>
      </c>
      <c r="M1532" s="1">
        <v>8</v>
      </c>
      <c r="N1532" s="1">
        <v>8</v>
      </c>
      <c r="O1532" s="1">
        <v>6</v>
      </c>
      <c r="P1532" s="1">
        <v>3</v>
      </c>
      <c r="Q1532" s="1">
        <f t="shared" si="296"/>
        <v>25</v>
      </c>
      <c r="R1532" s="12">
        <f t="shared" si="300"/>
        <v>0.7142857142857143</v>
      </c>
      <c r="S1532" s="1">
        <v>7</v>
      </c>
      <c r="T1532" s="1">
        <v>4</v>
      </c>
      <c r="U1532" s="1">
        <f t="shared" si="297"/>
        <v>11</v>
      </c>
      <c r="V1532" s="12">
        <f t="shared" si="301"/>
        <v>0.73333333333333328</v>
      </c>
      <c r="W1532" s="1">
        <v>4</v>
      </c>
      <c r="X1532" s="1">
        <v>5</v>
      </c>
      <c r="Y1532" s="1">
        <v>5</v>
      </c>
      <c r="Z1532" s="1">
        <f t="shared" si="298"/>
        <v>14</v>
      </c>
      <c r="AA1532" s="12">
        <f t="shared" si="302"/>
        <v>0.93333333333333335</v>
      </c>
      <c r="AB1532" s="2" t="s">
        <v>769</v>
      </c>
    </row>
    <row r="1533" spans="1:28" x14ac:dyDescent="0.25">
      <c r="A1533" s="1" t="s">
        <v>1688</v>
      </c>
      <c r="B1533" s="1" t="s">
        <v>576</v>
      </c>
      <c r="C1533" s="1" t="s">
        <v>36</v>
      </c>
      <c r="D1533" s="1">
        <v>12</v>
      </c>
      <c r="E1533" s="1">
        <v>3</v>
      </c>
      <c r="F1533" s="1">
        <v>1</v>
      </c>
      <c r="G1533" s="1">
        <v>9</v>
      </c>
      <c r="H1533" s="1">
        <v>9</v>
      </c>
      <c r="I1533" s="1">
        <v>9</v>
      </c>
      <c r="J1533" s="1">
        <v>5</v>
      </c>
      <c r="K1533" s="1">
        <f t="shared" si="295"/>
        <v>32</v>
      </c>
      <c r="L1533" s="12">
        <f t="shared" si="299"/>
        <v>0.91428571428571426</v>
      </c>
      <c r="M1533" s="1">
        <v>8</v>
      </c>
      <c r="N1533" s="1">
        <v>8</v>
      </c>
      <c r="O1533" s="1">
        <v>9</v>
      </c>
      <c r="P1533" s="1">
        <v>4</v>
      </c>
      <c r="Q1533" s="1">
        <f t="shared" si="296"/>
        <v>29</v>
      </c>
      <c r="R1533" s="12">
        <f t="shared" si="300"/>
        <v>0.82857142857142863</v>
      </c>
      <c r="S1533" s="1">
        <v>8</v>
      </c>
      <c r="T1533" s="1">
        <v>4</v>
      </c>
      <c r="U1533" s="1">
        <f t="shared" si="297"/>
        <v>12</v>
      </c>
      <c r="V1533" s="12">
        <f t="shared" si="301"/>
        <v>0.8</v>
      </c>
      <c r="W1533" s="1">
        <v>4</v>
      </c>
      <c r="X1533" s="1">
        <v>3</v>
      </c>
      <c r="Y1533" s="1">
        <v>4</v>
      </c>
      <c r="Z1533" s="1">
        <f t="shared" si="298"/>
        <v>11</v>
      </c>
      <c r="AA1533" s="12">
        <f t="shared" si="302"/>
        <v>0.73333333333333328</v>
      </c>
      <c r="AB1533" s="2" t="s">
        <v>770</v>
      </c>
    </row>
    <row r="1534" spans="1:28" x14ac:dyDescent="0.25">
      <c r="A1534" s="1" t="s">
        <v>1688</v>
      </c>
      <c r="B1534" s="1" t="s">
        <v>576</v>
      </c>
      <c r="C1534" s="1" t="s">
        <v>36</v>
      </c>
      <c r="D1534" s="1">
        <v>12</v>
      </c>
      <c r="E1534" s="1">
        <v>3</v>
      </c>
      <c r="F1534" s="1">
        <v>1</v>
      </c>
      <c r="G1534" s="1">
        <v>8</v>
      </c>
      <c r="H1534" s="1">
        <v>8</v>
      </c>
      <c r="I1534" s="1">
        <v>7</v>
      </c>
      <c r="J1534" s="1">
        <v>3</v>
      </c>
      <c r="K1534" s="1">
        <f t="shared" si="295"/>
        <v>26</v>
      </c>
      <c r="L1534" s="12">
        <f t="shared" si="299"/>
        <v>0.74285714285714288</v>
      </c>
      <c r="M1534" s="1">
        <v>6</v>
      </c>
      <c r="N1534" s="1">
        <v>6</v>
      </c>
      <c r="O1534" s="1">
        <v>6</v>
      </c>
      <c r="P1534" s="1">
        <v>3</v>
      </c>
      <c r="Q1534" s="1">
        <f t="shared" si="296"/>
        <v>21</v>
      </c>
      <c r="R1534" s="12">
        <f t="shared" si="300"/>
        <v>0.6</v>
      </c>
      <c r="S1534" s="1">
        <v>6</v>
      </c>
      <c r="T1534" s="1">
        <v>4</v>
      </c>
      <c r="U1534" s="1">
        <f t="shared" si="297"/>
        <v>10</v>
      </c>
      <c r="V1534" s="12">
        <f t="shared" si="301"/>
        <v>0.66666666666666663</v>
      </c>
      <c r="W1534" s="1">
        <v>4</v>
      </c>
      <c r="X1534" s="1">
        <v>4</v>
      </c>
      <c r="Y1534" s="1">
        <v>4</v>
      </c>
      <c r="Z1534" s="1">
        <f t="shared" si="298"/>
        <v>12</v>
      </c>
      <c r="AA1534" s="12">
        <f t="shared" si="302"/>
        <v>0.8</v>
      </c>
      <c r="AB1534" s="2" t="s">
        <v>771</v>
      </c>
    </row>
    <row r="1535" spans="1:28" x14ac:dyDescent="0.25">
      <c r="A1535" s="1" t="s">
        <v>1688</v>
      </c>
      <c r="B1535" s="1" t="s">
        <v>576</v>
      </c>
      <c r="C1535" s="1" t="s">
        <v>36</v>
      </c>
      <c r="D1535" s="1">
        <v>12</v>
      </c>
      <c r="E1535" s="1">
        <v>3</v>
      </c>
      <c r="F1535" s="1">
        <v>1</v>
      </c>
      <c r="G1535" s="1">
        <v>8</v>
      </c>
      <c r="H1535" s="1">
        <v>9</v>
      </c>
      <c r="I1535" s="1">
        <v>7</v>
      </c>
      <c r="J1535" s="1">
        <v>3</v>
      </c>
      <c r="K1535" s="1">
        <f t="shared" si="295"/>
        <v>27</v>
      </c>
      <c r="L1535" s="12">
        <f t="shared" si="299"/>
        <v>0.77142857142857146</v>
      </c>
      <c r="M1535" s="1">
        <v>8</v>
      </c>
      <c r="N1535" s="1">
        <v>8</v>
      </c>
      <c r="O1535" s="1">
        <v>7</v>
      </c>
      <c r="P1535" s="1">
        <v>3</v>
      </c>
      <c r="Q1535" s="1">
        <f t="shared" si="296"/>
        <v>26</v>
      </c>
      <c r="R1535" s="12">
        <f t="shared" si="300"/>
        <v>0.74285714285714288</v>
      </c>
      <c r="S1535" s="1">
        <v>7</v>
      </c>
      <c r="T1535" s="1">
        <v>4</v>
      </c>
      <c r="U1535" s="1">
        <f t="shared" si="297"/>
        <v>11</v>
      </c>
      <c r="V1535" s="12">
        <f t="shared" si="301"/>
        <v>0.73333333333333328</v>
      </c>
      <c r="W1535" s="1">
        <v>4</v>
      </c>
      <c r="X1535" s="1">
        <v>3</v>
      </c>
      <c r="Y1535" s="1">
        <v>3</v>
      </c>
      <c r="Z1535" s="1">
        <f t="shared" si="298"/>
        <v>10</v>
      </c>
      <c r="AA1535" s="12">
        <f t="shared" si="302"/>
        <v>0.66666666666666663</v>
      </c>
      <c r="AB1535" s="2" t="s">
        <v>772</v>
      </c>
    </row>
    <row r="1536" spans="1:28" x14ac:dyDescent="0.25">
      <c r="A1536" s="1" t="s">
        <v>1688</v>
      </c>
      <c r="B1536" s="1" t="s">
        <v>35</v>
      </c>
      <c r="C1536" s="1" t="s">
        <v>861</v>
      </c>
      <c r="D1536" s="1">
        <v>17</v>
      </c>
      <c r="E1536" s="1">
        <v>1</v>
      </c>
      <c r="F1536" s="1">
        <v>6</v>
      </c>
      <c r="G1536" s="1">
        <v>8</v>
      </c>
      <c r="H1536" s="1">
        <v>8</v>
      </c>
      <c r="I1536" s="1">
        <v>8</v>
      </c>
      <c r="J1536" s="1">
        <v>8</v>
      </c>
      <c r="K1536" s="1">
        <f t="shared" si="295"/>
        <v>32</v>
      </c>
      <c r="L1536" s="12">
        <f t="shared" ref="L1536:L1579" si="303">K1536/40</f>
        <v>0.8</v>
      </c>
      <c r="M1536" s="1">
        <v>7</v>
      </c>
      <c r="N1536" s="1">
        <v>7</v>
      </c>
      <c r="O1536" s="1">
        <v>8</v>
      </c>
      <c r="P1536" s="1">
        <v>7</v>
      </c>
      <c r="Q1536" s="1">
        <f t="shared" si="296"/>
        <v>29</v>
      </c>
      <c r="R1536" s="12">
        <f t="shared" ref="R1536:R1579" si="304">Q1536/40</f>
        <v>0.72499999999999998</v>
      </c>
      <c r="S1536" s="1">
        <v>8</v>
      </c>
      <c r="T1536" s="1">
        <v>8</v>
      </c>
      <c r="U1536" s="1">
        <f t="shared" si="297"/>
        <v>16</v>
      </c>
      <c r="V1536" s="12">
        <f t="shared" ref="V1536:V1579" si="305">U1536/20</f>
        <v>0.8</v>
      </c>
      <c r="Z1536" s="1">
        <f t="shared" si="298"/>
        <v>0</v>
      </c>
      <c r="AB1536" s="2" t="s">
        <v>1000</v>
      </c>
    </row>
    <row r="1537" spans="1:28" x14ac:dyDescent="0.25">
      <c r="A1537" s="1" t="s">
        <v>1688</v>
      </c>
      <c r="B1537" s="1" t="s">
        <v>35</v>
      </c>
      <c r="C1537" s="1" t="s">
        <v>861</v>
      </c>
      <c r="D1537" s="1">
        <v>17</v>
      </c>
      <c r="E1537" s="1">
        <v>1</v>
      </c>
      <c r="F1537" s="1">
        <v>6</v>
      </c>
      <c r="G1537" s="1">
        <v>5</v>
      </c>
      <c r="H1537" s="1">
        <v>2</v>
      </c>
      <c r="I1537" s="1">
        <v>2</v>
      </c>
      <c r="J1537" s="1">
        <v>1</v>
      </c>
      <c r="K1537" s="1">
        <f t="shared" si="295"/>
        <v>10</v>
      </c>
      <c r="L1537" s="12">
        <f t="shared" si="303"/>
        <v>0.25</v>
      </c>
      <c r="M1537" s="1">
        <v>1</v>
      </c>
      <c r="N1537" s="1">
        <v>1</v>
      </c>
      <c r="O1537" s="1">
        <v>1</v>
      </c>
      <c r="P1537" s="1">
        <v>1</v>
      </c>
      <c r="Q1537" s="1">
        <f t="shared" si="296"/>
        <v>4</v>
      </c>
      <c r="R1537" s="12">
        <f t="shared" si="304"/>
        <v>0.1</v>
      </c>
      <c r="S1537" s="1">
        <v>2</v>
      </c>
      <c r="T1537" s="1">
        <v>1</v>
      </c>
      <c r="U1537" s="1">
        <f t="shared" si="297"/>
        <v>3</v>
      </c>
      <c r="V1537" s="12">
        <f t="shared" si="305"/>
        <v>0.15</v>
      </c>
      <c r="Z1537" s="1">
        <f t="shared" si="298"/>
        <v>0</v>
      </c>
      <c r="AB1537" s="2" t="s">
        <v>1001</v>
      </c>
    </row>
    <row r="1538" spans="1:28" x14ac:dyDescent="0.25">
      <c r="A1538" s="1" t="s">
        <v>1688</v>
      </c>
      <c r="B1538" s="1" t="s">
        <v>35</v>
      </c>
      <c r="C1538" s="1" t="s">
        <v>861</v>
      </c>
      <c r="D1538" s="1">
        <v>17</v>
      </c>
      <c r="E1538" s="1">
        <v>1</v>
      </c>
      <c r="F1538" s="1">
        <v>6</v>
      </c>
      <c r="G1538" s="1">
        <v>9</v>
      </c>
      <c r="H1538" s="1">
        <v>8</v>
      </c>
      <c r="I1538" s="1">
        <v>8</v>
      </c>
      <c r="J1538" s="1">
        <v>8</v>
      </c>
      <c r="K1538" s="1">
        <f t="shared" si="295"/>
        <v>33</v>
      </c>
      <c r="L1538" s="12">
        <f t="shared" si="303"/>
        <v>0.82499999999999996</v>
      </c>
      <c r="M1538" s="1">
        <v>9</v>
      </c>
      <c r="N1538" s="1">
        <v>9</v>
      </c>
      <c r="O1538" s="1">
        <v>9</v>
      </c>
      <c r="P1538" s="1">
        <v>9</v>
      </c>
      <c r="Q1538" s="1">
        <f t="shared" si="296"/>
        <v>36</v>
      </c>
      <c r="R1538" s="12">
        <f t="shared" si="304"/>
        <v>0.9</v>
      </c>
      <c r="S1538" s="1">
        <v>8</v>
      </c>
      <c r="T1538" s="1">
        <v>8</v>
      </c>
      <c r="U1538" s="1">
        <f t="shared" si="297"/>
        <v>16</v>
      </c>
      <c r="V1538" s="12">
        <f t="shared" si="305"/>
        <v>0.8</v>
      </c>
      <c r="Z1538" s="1">
        <f t="shared" si="298"/>
        <v>0</v>
      </c>
      <c r="AB1538" s="2" t="s">
        <v>1002</v>
      </c>
    </row>
    <row r="1539" spans="1:28" x14ac:dyDescent="0.25">
      <c r="A1539" s="1" t="s">
        <v>1688</v>
      </c>
      <c r="B1539" s="1" t="s">
        <v>35</v>
      </c>
      <c r="C1539" s="1" t="s">
        <v>861</v>
      </c>
      <c r="D1539" s="1">
        <v>17</v>
      </c>
      <c r="E1539" s="1">
        <v>1</v>
      </c>
      <c r="F1539" s="1">
        <v>6</v>
      </c>
      <c r="G1539" s="1">
        <v>7</v>
      </c>
      <c r="H1539" s="1">
        <v>8</v>
      </c>
      <c r="I1539" s="1">
        <v>7</v>
      </c>
      <c r="J1539" s="1">
        <v>7</v>
      </c>
      <c r="K1539" s="1">
        <f t="shared" ref="K1539:K1579" si="306">SUM(G1539:J1539)</f>
        <v>29</v>
      </c>
      <c r="L1539" s="12">
        <f t="shared" si="303"/>
        <v>0.72499999999999998</v>
      </c>
      <c r="M1539" s="1">
        <v>6</v>
      </c>
      <c r="N1539" s="1">
        <v>6</v>
      </c>
      <c r="O1539" s="1">
        <v>6</v>
      </c>
      <c r="P1539" s="1">
        <v>6</v>
      </c>
      <c r="Q1539" s="1">
        <f t="shared" ref="Q1539:Q1579" si="307">SUM(M1539:P1539)</f>
        <v>24</v>
      </c>
      <c r="R1539" s="12">
        <f t="shared" si="304"/>
        <v>0.6</v>
      </c>
      <c r="S1539" s="1">
        <v>6</v>
      </c>
      <c r="T1539" s="1">
        <v>6</v>
      </c>
      <c r="U1539" s="1">
        <f t="shared" ref="U1539:U1579" si="308">SUM(S1539:T1539)</f>
        <v>12</v>
      </c>
      <c r="V1539" s="12">
        <f t="shared" si="305"/>
        <v>0.6</v>
      </c>
      <c r="Z1539" s="1">
        <f t="shared" ref="Z1539:Z1579" si="309">SUM(W1539:Y1539)</f>
        <v>0</v>
      </c>
      <c r="AB1539" s="2" t="s">
        <v>1003</v>
      </c>
    </row>
    <row r="1540" spans="1:28" x14ac:dyDescent="0.25">
      <c r="A1540" s="1" t="s">
        <v>1688</v>
      </c>
      <c r="B1540" s="1" t="s">
        <v>35</v>
      </c>
      <c r="C1540" s="1" t="s">
        <v>861</v>
      </c>
      <c r="D1540" s="1">
        <v>17</v>
      </c>
      <c r="E1540" s="1">
        <v>1</v>
      </c>
      <c r="F1540" s="1">
        <v>6</v>
      </c>
      <c r="G1540" s="1">
        <v>7</v>
      </c>
      <c r="H1540" s="1">
        <v>7</v>
      </c>
      <c r="I1540" s="1">
        <v>8</v>
      </c>
      <c r="J1540" s="1">
        <v>7</v>
      </c>
      <c r="K1540" s="1">
        <f t="shared" si="306"/>
        <v>29</v>
      </c>
      <c r="L1540" s="12">
        <f t="shared" si="303"/>
        <v>0.72499999999999998</v>
      </c>
      <c r="M1540" s="1">
        <v>7</v>
      </c>
      <c r="N1540" s="1">
        <v>7</v>
      </c>
      <c r="O1540" s="1">
        <v>7</v>
      </c>
      <c r="P1540" s="1">
        <v>7</v>
      </c>
      <c r="Q1540" s="1">
        <f t="shared" si="307"/>
        <v>28</v>
      </c>
      <c r="R1540" s="12">
        <f t="shared" si="304"/>
        <v>0.7</v>
      </c>
      <c r="S1540" s="1">
        <v>7</v>
      </c>
      <c r="T1540" s="1">
        <v>8</v>
      </c>
      <c r="U1540" s="1">
        <f t="shared" si="308"/>
        <v>15</v>
      </c>
      <c r="V1540" s="12">
        <f t="shared" si="305"/>
        <v>0.75</v>
      </c>
      <c r="Z1540" s="1">
        <f t="shared" si="309"/>
        <v>0</v>
      </c>
      <c r="AB1540" s="2" t="s">
        <v>1004</v>
      </c>
    </row>
    <row r="1541" spans="1:28" x14ac:dyDescent="0.25">
      <c r="A1541" s="1" t="s">
        <v>1688</v>
      </c>
      <c r="B1541" s="1" t="s">
        <v>35</v>
      </c>
      <c r="C1541" s="1" t="s">
        <v>861</v>
      </c>
      <c r="D1541" s="1">
        <v>17</v>
      </c>
      <c r="E1541" s="1">
        <v>1</v>
      </c>
      <c r="F1541" s="1">
        <v>6</v>
      </c>
      <c r="G1541" s="1">
        <v>8</v>
      </c>
      <c r="H1541" s="1">
        <v>7</v>
      </c>
      <c r="I1541" s="1">
        <v>8</v>
      </c>
      <c r="J1541" s="1">
        <v>7</v>
      </c>
      <c r="K1541" s="1">
        <f t="shared" si="306"/>
        <v>30</v>
      </c>
      <c r="L1541" s="12">
        <f t="shared" si="303"/>
        <v>0.75</v>
      </c>
      <c r="M1541" s="1">
        <v>8</v>
      </c>
      <c r="N1541" s="1">
        <v>8</v>
      </c>
      <c r="O1541" s="1">
        <v>8</v>
      </c>
      <c r="P1541" s="1">
        <v>8</v>
      </c>
      <c r="Q1541" s="1">
        <f t="shared" si="307"/>
        <v>32</v>
      </c>
      <c r="R1541" s="12">
        <f t="shared" si="304"/>
        <v>0.8</v>
      </c>
      <c r="S1541" s="1">
        <v>9</v>
      </c>
      <c r="T1541" s="1">
        <v>8</v>
      </c>
      <c r="U1541" s="1">
        <f t="shared" si="308"/>
        <v>17</v>
      </c>
      <c r="V1541" s="12">
        <f t="shared" si="305"/>
        <v>0.85</v>
      </c>
      <c r="Z1541" s="1">
        <f t="shared" si="309"/>
        <v>0</v>
      </c>
      <c r="AB1541" s="2" t="s">
        <v>1005</v>
      </c>
    </row>
    <row r="1542" spans="1:28" x14ac:dyDescent="0.25">
      <c r="A1542" s="1" t="s">
        <v>1688</v>
      </c>
      <c r="B1542" s="1" t="s">
        <v>35</v>
      </c>
      <c r="C1542" s="1" t="s">
        <v>861</v>
      </c>
      <c r="D1542" s="1">
        <v>17</v>
      </c>
      <c r="E1542" s="1">
        <v>1</v>
      </c>
      <c r="F1542" s="1">
        <v>6</v>
      </c>
      <c r="G1542" s="1">
        <v>8</v>
      </c>
      <c r="H1542" s="1">
        <v>3</v>
      </c>
      <c r="I1542" s="1">
        <v>5</v>
      </c>
      <c r="J1542" s="1">
        <v>5</v>
      </c>
      <c r="K1542" s="1">
        <f t="shared" si="306"/>
        <v>21</v>
      </c>
      <c r="L1542" s="12">
        <f t="shared" si="303"/>
        <v>0.52500000000000002</v>
      </c>
      <c r="M1542" s="1">
        <v>8</v>
      </c>
      <c r="N1542" s="1">
        <v>8</v>
      </c>
      <c r="O1542" s="1">
        <v>8</v>
      </c>
      <c r="P1542" s="1">
        <v>8</v>
      </c>
      <c r="Q1542" s="1">
        <f t="shared" si="307"/>
        <v>32</v>
      </c>
      <c r="R1542" s="12">
        <f t="shared" si="304"/>
        <v>0.8</v>
      </c>
      <c r="S1542" s="1">
        <v>8</v>
      </c>
      <c r="T1542" s="1">
        <v>8</v>
      </c>
      <c r="U1542" s="1">
        <f t="shared" si="308"/>
        <v>16</v>
      </c>
      <c r="V1542" s="12">
        <f t="shared" si="305"/>
        <v>0.8</v>
      </c>
      <c r="Z1542" s="1">
        <f t="shared" si="309"/>
        <v>0</v>
      </c>
      <c r="AB1542" s="2" t="s">
        <v>1006</v>
      </c>
    </row>
    <row r="1543" spans="1:28" x14ac:dyDescent="0.25">
      <c r="A1543" s="1" t="s">
        <v>1688</v>
      </c>
      <c r="B1543" s="1" t="s">
        <v>35</v>
      </c>
      <c r="C1543" s="1" t="s">
        <v>861</v>
      </c>
      <c r="D1543" s="1">
        <v>18</v>
      </c>
      <c r="E1543" s="1">
        <v>2</v>
      </c>
      <c r="F1543" s="1">
        <v>5</v>
      </c>
      <c r="G1543" s="1">
        <v>5</v>
      </c>
      <c r="H1543" s="1">
        <v>4</v>
      </c>
      <c r="I1543" s="1">
        <v>4</v>
      </c>
      <c r="J1543" s="1">
        <v>4</v>
      </c>
      <c r="K1543" s="1">
        <f t="shared" si="306"/>
        <v>17</v>
      </c>
      <c r="L1543" s="12">
        <f t="shared" si="303"/>
        <v>0.42499999999999999</v>
      </c>
      <c r="M1543" s="1">
        <v>4</v>
      </c>
      <c r="N1543" s="1">
        <v>3</v>
      </c>
      <c r="O1543" s="1">
        <v>2</v>
      </c>
      <c r="P1543" s="1">
        <v>2</v>
      </c>
      <c r="Q1543" s="1">
        <f t="shared" si="307"/>
        <v>11</v>
      </c>
      <c r="R1543" s="12">
        <f t="shared" si="304"/>
        <v>0.27500000000000002</v>
      </c>
      <c r="S1543" s="1">
        <v>2</v>
      </c>
      <c r="T1543" s="1">
        <v>2</v>
      </c>
      <c r="U1543" s="1">
        <f t="shared" si="308"/>
        <v>4</v>
      </c>
      <c r="V1543" s="12">
        <f t="shared" si="305"/>
        <v>0.2</v>
      </c>
      <c r="Z1543" s="1">
        <f t="shared" si="309"/>
        <v>0</v>
      </c>
      <c r="AB1543" s="2" t="s">
        <v>1140</v>
      </c>
    </row>
    <row r="1544" spans="1:28" x14ac:dyDescent="0.25">
      <c r="A1544" s="1" t="s">
        <v>1688</v>
      </c>
      <c r="B1544" s="1" t="s">
        <v>35</v>
      </c>
      <c r="C1544" s="1" t="s">
        <v>861</v>
      </c>
      <c r="D1544" s="1">
        <v>18</v>
      </c>
      <c r="E1544" s="1">
        <v>2</v>
      </c>
      <c r="F1544" s="1">
        <v>5</v>
      </c>
      <c r="G1544" s="1">
        <v>7</v>
      </c>
      <c r="H1544" s="1">
        <v>5</v>
      </c>
      <c r="I1544" s="1">
        <v>5</v>
      </c>
      <c r="J1544" s="1">
        <v>5</v>
      </c>
      <c r="K1544" s="1">
        <f t="shared" si="306"/>
        <v>22</v>
      </c>
      <c r="L1544" s="12">
        <f t="shared" si="303"/>
        <v>0.55000000000000004</v>
      </c>
      <c r="M1544" s="1">
        <v>5</v>
      </c>
      <c r="N1544" s="1">
        <v>3</v>
      </c>
      <c r="O1544" s="1">
        <v>4</v>
      </c>
      <c r="P1544" s="1">
        <v>4</v>
      </c>
      <c r="Q1544" s="1">
        <f t="shared" si="307"/>
        <v>16</v>
      </c>
      <c r="R1544" s="12">
        <f t="shared" si="304"/>
        <v>0.4</v>
      </c>
      <c r="S1544" s="1">
        <v>4</v>
      </c>
      <c r="T1544" s="1">
        <v>5</v>
      </c>
      <c r="U1544" s="1">
        <f t="shared" si="308"/>
        <v>9</v>
      </c>
      <c r="V1544" s="12">
        <f t="shared" si="305"/>
        <v>0.45</v>
      </c>
      <c r="Z1544" s="1">
        <f t="shared" si="309"/>
        <v>0</v>
      </c>
      <c r="AB1544" s="2" t="s">
        <v>1141</v>
      </c>
    </row>
    <row r="1545" spans="1:28" x14ac:dyDescent="0.25">
      <c r="A1545" s="1" t="s">
        <v>1688</v>
      </c>
      <c r="B1545" s="1" t="s">
        <v>35</v>
      </c>
      <c r="C1545" s="1" t="s">
        <v>861</v>
      </c>
      <c r="D1545" s="1">
        <v>18</v>
      </c>
      <c r="E1545" s="1">
        <v>2</v>
      </c>
      <c r="F1545" s="1">
        <v>5</v>
      </c>
      <c r="G1545" s="1">
        <v>2</v>
      </c>
      <c r="H1545" s="1">
        <v>1</v>
      </c>
      <c r="I1545" s="1">
        <v>1</v>
      </c>
      <c r="J1545" s="1">
        <v>1</v>
      </c>
      <c r="K1545" s="1">
        <f t="shared" si="306"/>
        <v>5</v>
      </c>
      <c r="L1545" s="12">
        <f t="shared" si="303"/>
        <v>0.125</v>
      </c>
      <c r="M1545" s="1">
        <v>2</v>
      </c>
      <c r="N1545" s="1">
        <v>2</v>
      </c>
      <c r="O1545" s="1">
        <v>2</v>
      </c>
      <c r="P1545" s="1">
        <v>2</v>
      </c>
      <c r="Q1545" s="1">
        <f t="shared" si="307"/>
        <v>8</v>
      </c>
      <c r="R1545" s="12">
        <f t="shared" si="304"/>
        <v>0.2</v>
      </c>
      <c r="S1545" s="1">
        <v>2</v>
      </c>
      <c r="T1545" s="1">
        <v>2</v>
      </c>
      <c r="U1545" s="1">
        <f t="shared" si="308"/>
        <v>4</v>
      </c>
      <c r="V1545" s="12">
        <f t="shared" si="305"/>
        <v>0.2</v>
      </c>
      <c r="Z1545" s="1">
        <f t="shared" si="309"/>
        <v>0</v>
      </c>
      <c r="AB1545" s="2" t="s">
        <v>1142</v>
      </c>
    </row>
    <row r="1546" spans="1:28" x14ac:dyDescent="0.25">
      <c r="A1546" s="1" t="s">
        <v>1688</v>
      </c>
      <c r="B1546" s="1" t="s">
        <v>35</v>
      </c>
      <c r="C1546" s="1" t="s">
        <v>861</v>
      </c>
      <c r="D1546" s="1">
        <v>18</v>
      </c>
      <c r="E1546" s="1">
        <v>2</v>
      </c>
      <c r="F1546" s="1">
        <v>5</v>
      </c>
      <c r="G1546" s="1">
        <v>5</v>
      </c>
      <c r="H1546" s="1">
        <v>6</v>
      </c>
      <c r="I1546" s="1">
        <v>5</v>
      </c>
      <c r="J1546" s="1">
        <v>5</v>
      </c>
      <c r="K1546" s="1">
        <f t="shared" si="306"/>
        <v>21</v>
      </c>
      <c r="L1546" s="12">
        <f t="shared" si="303"/>
        <v>0.52500000000000002</v>
      </c>
      <c r="M1546" s="1">
        <v>5</v>
      </c>
      <c r="N1546" s="1">
        <v>6</v>
      </c>
      <c r="O1546" s="1">
        <v>6</v>
      </c>
      <c r="P1546" s="1">
        <v>6</v>
      </c>
      <c r="Q1546" s="1">
        <f t="shared" si="307"/>
        <v>23</v>
      </c>
      <c r="R1546" s="12">
        <f t="shared" si="304"/>
        <v>0.57499999999999996</v>
      </c>
      <c r="S1546" s="1">
        <v>5</v>
      </c>
      <c r="T1546" s="1">
        <v>4</v>
      </c>
      <c r="U1546" s="1">
        <f t="shared" si="308"/>
        <v>9</v>
      </c>
      <c r="V1546" s="12">
        <f t="shared" si="305"/>
        <v>0.45</v>
      </c>
      <c r="Z1546" s="1">
        <f t="shared" si="309"/>
        <v>0</v>
      </c>
      <c r="AB1546" s="2" t="s">
        <v>1143</v>
      </c>
    </row>
    <row r="1547" spans="1:28" x14ac:dyDescent="0.25">
      <c r="A1547" s="1" t="s">
        <v>1688</v>
      </c>
      <c r="B1547" s="1" t="s">
        <v>35</v>
      </c>
      <c r="C1547" s="1" t="s">
        <v>861</v>
      </c>
      <c r="D1547" s="1">
        <v>18</v>
      </c>
      <c r="E1547" s="1">
        <v>2</v>
      </c>
      <c r="F1547" s="1">
        <v>5</v>
      </c>
      <c r="G1547" s="1">
        <v>8</v>
      </c>
      <c r="H1547" s="1">
        <v>5</v>
      </c>
      <c r="I1547" s="1">
        <v>5</v>
      </c>
      <c r="J1547" s="1">
        <v>5</v>
      </c>
      <c r="K1547" s="1">
        <f t="shared" si="306"/>
        <v>23</v>
      </c>
      <c r="L1547" s="12">
        <f t="shared" si="303"/>
        <v>0.57499999999999996</v>
      </c>
      <c r="M1547" s="1">
        <v>4</v>
      </c>
      <c r="N1547" s="1">
        <v>4</v>
      </c>
      <c r="O1547" s="1">
        <v>4</v>
      </c>
      <c r="P1547" s="1">
        <v>3</v>
      </c>
      <c r="Q1547" s="1">
        <f t="shared" si="307"/>
        <v>15</v>
      </c>
      <c r="R1547" s="12">
        <f t="shared" si="304"/>
        <v>0.375</v>
      </c>
      <c r="S1547" s="1">
        <v>3</v>
      </c>
      <c r="T1547" s="1">
        <v>4</v>
      </c>
      <c r="U1547" s="1">
        <f t="shared" si="308"/>
        <v>7</v>
      </c>
      <c r="V1547" s="12">
        <f t="shared" si="305"/>
        <v>0.35</v>
      </c>
      <c r="Z1547" s="1">
        <f t="shared" si="309"/>
        <v>0</v>
      </c>
      <c r="AB1547" s="2" t="s">
        <v>1144</v>
      </c>
    </row>
    <row r="1548" spans="1:28" x14ac:dyDescent="0.25">
      <c r="A1548" s="1" t="s">
        <v>1688</v>
      </c>
      <c r="B1548" s="1" t="s">
        <v>35</v>
      </c>
      <c r="C1548" s="1" t="s">
        <v>861</v>
      </c>
      <c r="D1548" s="1">
        <v>18</v>
      </c>
      <c r="E1548" s="1">
        <v>2</v>
      </c>
      <c r="F1548" s="1">
        <v>5</v>
      </c>
      <c r="G1548" s="1">
        <v>2</v>
      </c>
      <c r="H1548" s="1">
        <v>1</v>
      </c>
      <c r="I1548" s="1">
        <v>1</v>
      </c>
      <c r="J1548" s="1">
        <v>1</v>
      </c>
      <c r="K1548" s="1">
        <f t="shared" si="306"/>
        <v>5</v>
      </c>
      <c r="L1548" s="12">
        <f t="shared" si="303"/>
        <v>0.125</v>
      </c>
      <c r="M1548" s="1">
        <v>2</v>
      </c>
      <c r="N1548" s="1">
        <v>1</v>
      </c>
      <c r="O1548" s="1">
        <v>1</v>
      </c>
      <c r="P1548" s="1">
        <v>1</v>
      </c>
      <c r="Q1548" s="1">
        <f t="shared" si="307"/>
        <v>5</v>
      </c>
      <c r="R1548" s="12">
        <f t="shared" si="304"/>
        <v>0.125</v>
      </c>
      <c r="S1548" s="1">
        <v>1</v>
      </c>
      <c r="T1548" s="1">
        <v>1</v>
      </c>
      <c r="U1548" s="1">
        <f t="shared" si="308"/>
        <v>2</v>
      </c>
      <c r="V1548" s="12">
        <f t="shared" si="305"/>
        <v>0.1</v>
      </c>
      <c r="Z1548" s="1">
        <f t="shared" si="309"/>
        <v>0</v>
      </c>
      <c r="AB1548" s="2" t="s">
        <v>1145</v>
      </c>
    </row>
    <row r="1549" spans="1:28" x14ac:dyDescent="0.25">
      <c r="A1549" s="1" t="s">
        <v>1688</v>
      </c>
      <c r="B1549" s="1" t="s">
        <v>35</v>
      </c>
      <c r="C1549" s="1" t="s">
        <v>861</v>
      </c>
      <c r="D1549" s="1">
        <v>18</v>
      </c>
      <c r="E1549" s="1">
        <v>2</v>
      </c>
      <c r="F1549" s="1">
        <v>5</v>
      </c>
      <c r="G1549" s="1">
        <v>2</v>
      </c>
      <c r="H1549" s="1">
        <v>1</v>
      </c>
      <c r="I1549" s="1">
        <v>1</v>
      </c>
      <c r="J1549" s="1">
        <v>1</v>
      </c>
      <c r="K1549" s="1">
        <f t="shared" si="306"/>
        <v>5</v>
      </c>
      <c r="L1549" s="12">
        <f t="shared" si="303"/>
        <v>0.125</v>
      </c>
      <c r="M1549" s="1">
        <v>2</v>
      </c>
      <c r="N1549" s="1">
        <v>1</v>
      </c>
      <c r="O1549" s="1">
        <v>1</v>
      </c>
      <c r="P1549" s="1">
        <v>1</v>
      </c>
      <c r="Q1549" s="1">
        <f t="shared" si="307"/>
        <v>5</v>
      </c>
      <c r="R1549" s="12">
        <f t="shared" si="304"/>
        <v>0.125</v>
      </c>
      <c r="S1549" s="1">
        <v>1</v>
      </c>
      <c r="T1549" s="1">
        <v>1</v>
      </c>
      <c r="U1549" s="1">
        <f t="shared" si="308"/>
        <v>2</v>
      </c>
      <c r="V1549" s="12">
        <f t="shared" si="305"/>
        <v>0.1</v>
      </c>
      <c r="Z1549" s="1">
        <f t="shared" si="309"/>
        <v>0</v>
      </c>
      <c r="AB1549" s="2" t="s">
        <v>1146</v>
      </c>
    </row>
    <row r="1550" spans="1:28" x14ac:dyDescent="0.25">
      <c r="A1550" s="1" t="s">
        <v>1688</v>
      </c>
      <c r="B1550" s="1" t="s">
        <v>35</v>
      </c>
      <c r="C1550" s="1" t="s">
        <v>861</v>
      </c>
      <c r="D1550" s="1">
        <v>18</v>
      </c>
      <c r="E1550" s="1">
        <v>2</v>
      </c>
      <c r="F1550" s="1">
        <v>5</v>
      </c>
      <c r="G1550" s="1">
        <v>3</v>
      </c>
      <c r="H1550" s="1">
        <v>3</v>
      </c>
      <c r="I1550" s="1">
        <v>3</v>
      </c>
      <c r="J1550" s="1">
        <v>3</v>
      </c>
      <c r="K1550" s="1">
        <f t="shared" si="306"/>
        <v>12</v>
      </c>
      <c r="L1550" s="12">
        <f t="shared" si="303"/>
        <v>0.3</v>
      </c>
      <c r="M1550" s="1">
        <v>3</v>
      </c>
      <c r="N1550" s="1">
        <v>3</v>
      </c>
      <c r="O1550" s="1">
        <v>3</v>
      </c>
      <c r="P1550" s="1">
        <v>3</v>
      </c>
      <c r="Q1550" s="1">
        <f t="shared" si="307"/>
        <v>12</v>
      </c>
      <c r="R1550" s="12">
        <f t="shared" si="304"/>
        <v>0.3</v>
      </c>
      <c r="S1550" s="1">
        <v>3</v>
      </c>
      <c r="T1550" s="1">
        <v>1</v>
      </c>
      <c r="U1550" s="1">
        <f t="shared" si="308"/>
        <v>4</v>
      </c>
      <c r="V1550" s="12">
        <f t="shared" si="305"/>
        <v>0.2</v>
      </c>
      <c r="Z1550" s="1">
        <f t="shared" si="309"/>
        <v>0</v>
      </c>
      <c r="AB1550" s="2" t="s">
        <v>1147</v>
      </c>
    </row>
    <row r="1551" spans="1:28" x14ac:dyDescent="0.25">
      <c r="A1551" s="1" t="s">
        <v>1688</v>
      </c>
      <c r="B1551" s="1" t="s">
        <v>35</v>
      </c>
      <c r="C1551" s="1" t="s">
        <v>861</v>
      </c>
      <c r="D1551" s="1">
        <v>4</v>
      </c>
      <c r="E1551" s="1">
        <v>3</v>
      </c>
      <c r="F1551" s="1">
        <v>6</v>
      </c>
      <c r="G1551" s="1">
        <v>7</v>
      </c>
      <c r="H1551" s="1">
        <v>6</v>
      </c>
      <c r="I1551" s="1">
        <v>5</v>
      </c>
      <c r="J1551" s="1">
        <v>5</v>
      </c>
      <c r="K1551" s="1">
        <f t="shared" si="306"/>
        <v>23</v>
      </c>
      <c r="L1551" s="12">
        <f t="shared" si="303"/>
        <v>0.57499999999999996</v>
      </c>
      <c r="M1551" s="1">
        <v>6</v>
      </c>
      <c r="N1551" s="1">
        <v>6</v>
      </c>
      <c r="O1551" s="1">
        <v>6</v>
      </c>
      <c r="P1551" s="1">
        <v>5</v>
      </c>
      <c r="Q1551" s="1">
        <f t="shared" si="307"/>
        <v>23</v>
      </c>
      <c r="R1551" s="12">
        <f t="shared" si="304"/>
        <v>0.57499999999999996</v>
      </c>
      <c r="S1551" s="1">
        <v>5</v>
      </c>
      <c r="T1551" s="1">
        <v>5</v>
      </c>
      <c r="U1551" s="1">
        <f t="shared" si="308"/>
        <v>10</v>
      </c>
      <c r="V1551" s="12">
        <f t="shared" si="305"/>
        <v>0.5</v>
      </c>
      <c r="Z1551" s="1">
        <f t="shared" si="309"/>
        <v>0</v>
      </c>
      <c r="AB1551" s="2" t="s">
        <v>1346</v>
      </c>
    </row>
    <row r="1552" spans="1:28" x14ac:dyDescent="0.25">
      <c r="A1552" s="1" t="s">
        <v>1688</v>
      </c>
      <c r="B1552" s="1" t="s">
        <v>35</v>
      </c>
      <c r="C1552" s="1" t="s">
        <v>861</v>
      </c>
      <c r="D1552" s="1">
        <v>4</v>
      </c>
      <c r="E1552" s="1">
        <v>3</v>
      </c>
      <c r="F1552" s="1">
        <v>6</v>
      </c>
      <c r="G1552" s="1">
        <v>6</v>
      </c>
      <c r="H1552" s="1">
        <v>5</v>
      </c>
      <c r="I1552" s="1">
        <v>5</v>
      </c>
      <c r="J1552" s="1">
        <v>4</v>
      </c>
      <c r="K1552" s="1">
        <f t="shared" si="306"/>
        <v>20</v>
      </c>
      <c r="L1552" s="12">
        <f t="shared" si="303"/>
        <v>0.5</v>
      </c>
      <c r="M1552" s="1">
        <v>6</v>
      </c>
      <c r="N1552" s="1">
        <v>6</v>
      </c>
      <c r="O1552" s="1">
        <v>6</v>
      </c>
      <c r="P1552" s="1">
        <v>5</v>
      </c>
      <c r="Q1552" s="1">
        <f t="shared" si="307"/>
        <v>23</v>
      </c>
      <c r="R1552" s="12">
        <f t="shared" si="304"/>
        <v>0.57499999999999996</v>
      </c>
      <c r="S1552" s="1">
        <v>5</v>
      </c>
      <c r="T1552" s="1">
        <v>6</v>
      </c>
      <c r="U1552" s="1">
        <f t="shared" si="308"/>
        <v>11</v>
      </c>
      <c r="V1552" s="12">
        <f t="shared" si="305"/>
        <v>0.55000000000000004</v>
      </c>
      <c r="Z1552" s="1">
        <f t="shared" si="309"/>
        <v>0</v>
      </c>
      <c r="AB1552" s="2" t="s">
        <v>1347</v>
      </c>
    </row>
    <row r="1553" spans="1:28" x14ac:dyDescent="0.25">
      <c r="A1553" s="1" t="s">
        <v>1688</v>
      </c>
      <c r="B1553" s="1" t="s">
        <v>35</v>
      </c>
      <c r="C1553" s="1" t="s">
        <v>861</v>
      </c>
      <c r="D1553" s="1">
        <v>4</v>
      </c>
      <c r="E1553" s="1">
        <v>3</v>
      </c>
      <c r="F1553" s="1">
        <v>6</v>
      </c>
      <c r="G1553" s="1">
        <v>7</v>
      </c>
      <c r="H1553" s="1">
        <v>5</v>
      </c>
      <c r="I1553" s="1">
        <v>4</v>
      </c>
      <c r="J1553" s="1">
        <v>4</v>
      </c>
      <c r="K1553" s="1">
        <f t="shared" si="306"/>
        <v>20</v>
      </c>
      <c r="L1553" s="12">
        <f t="shared" si="303"/>
        <v>0.5</v>
      </c>
      <c r="M1553" s="1">
        <v>4</v>
      </c>
      <c r="N1553" s="1">
        <v>4</v>
      </c>
      <c r="O1553" s="1">
        <v>4</v>
      </c>
      <c r="P1553" s="1">
        <v>4</v>
      </c>
      <c r="Q1553" s="1">
        <f t="shared" si="307"/>
        <v>16</v>
      </c>
      <c r="R1553" s="12">
        <f t="shared" si="304"/>
        <v>0.4</v>
      </c>
      <c r="S1553" s="1">
        <v>3</v>
      </c>
      <c r="T1553" s="1">
        <v>4</v>
      </c>
      <c r="U1553" s="1">
        <f t="shared" si="308"/>
        <v>7</v>
      </c>
      <c r="V1553" s="12">
        <f t="shared" si="305"/>
        <v>0.35</v>
      </c>
      <c r="Z1553" s="1">
        <f t="shared" si="309"/>
        <v>0</v>
      </c>
      <c r="AB1553" s="2" t="s">
        <v>1348</v>
      </c>
    </row>
    <row r="1554" spans="1:28" x14ac:dyDescent="0.25">
      <c r="A1554" s="1" t="s">
        <v>1688</v>
      </c>
      <c r="B1554" s="1" t="s">
        <v>35</v>
      </c>
      <c r="C1554" s="1" t="s">
        <v>861</v>
      </c>
      <c r="D1554" s="1">
        <v>4</v>
      </c>
      <c r="E1554" s="1">
        <v>3</v>
      </c>
      <c r="F1554" s="1">
        <v>6</v>
      </c>
      <c r="G1554" s="1">
        <v>7</v>
      </c>
      <c r="H1554" s="1">
        <v>5</v>
      </c>
      <c r="I1554" s="1">
        <v>5</v>
      </c>
      <c r="J1554" s="1">
        <v>5</v>
      </c>
      <c r="K1554" s="1">
        <f t="shared" si="306"/>
        <v>22</v>
      </c>
      <c r="L1554" s="12">
        <f t="shared" si="303"/>
        <v>0.55000000000000004</v>
      </c>
      <c r="M1554" s="1">
        <v>5</v>
      </c>
      <c r="N1554" s="1">
        <v>5</v>
      </c>
      <c r="O1554" s="1">
        <v>5</v>
      </c>
      <c r="P1554" s="1">
        <v>4</v>
      </c>
      <c r="Q1554" s="1">
        <f t="shared" si="307"/>
        <v>19</v>
      </c>
      <c r="R1554" s="12">
        <f t="shared" si="304"/>
        <v>0.47499999999999998</v>
      </c>
      <c r="S1554" s="1">
        <v>5</v>
      </c>
      <c r="T1554" s="1">
        <v>6</v>
      </c>
      <c r="U1554" s="1">
        <f t="shared" si="308"/>
        <v>11</v>
      </c>
      <c r="V1554" s="12">
        <f t="shared" si="305"/>
        <v>0.55000000000000004</v>
      </c>
      <c r="Z1554" s="1">
        <f t="shared" si="309"/>
        <v>0</v>
      </c>
      <c r="AB1554" s="2" t="s">
        <v>1349</v>
      </c>
    </row>
    <row r="1555" spans="1:28" x14ac:dyDescent="0.25">
      <c r="A1555" s="1" t="s">
        <v>1688</v>
      </c>
      <c r="B1555" s="1" t="s">
        <v>35</v>
      </c>
      <c r="C1555" s="1" t="s">
        <v>861</v>
      </c>
      <c r="D1555" s="1">
        <v>4</v>
      </c>
      <c r="E1555" s="1">
        <v>3</v>
      </c>
      <c r="F1555" s="1">
        <v>6</v>
      </c>
      <c r="G1555" s="1">
        <v>9</v>
      </c>
      <c r="H1555" s="1">
        <v>8</v>
      </c>
      <c r="I1555" s="1">
        <v>8</v>
      </c>
      <c r="J1555" s="1">
        <v>9</v>
      </c>
      <c r="K1555" s="1">
        <f t="shared" si="306"/>
        <v>34</v>
      </c>
      <c r="L1555" s="12">
        <f t="shared" si="303"/>
        <v>0.85</v>
      </c>
      <c r="M1555" s="1">
        <v>8</v>
      </c>
      <c r="N1555" s="1">
        <v>8</v>
      </c>
      <c r="O1555" s="1">
        <v>7</v>
      </c>
      <c r="P1555" s="1">
        <v>8</v>
      </c>
      <c r="Q1555" s="1">
        <f t="shared" si="307"/>
        <v>31</v>
      </c>
      <c r="R1555" s="12">
        <f t="shared" si="304"/>
        <v>0.77500000000000002</v>
      </c>
      <c r="S1555" s="1">
        <v>8</v>
      </c>
      <c r="T1555" s="1">
        <v>8</v>
      </c>
      <c r="U1555" s="1">
        <f t="shared" si="308"/>
        <v>16</v>
      </c>
      <c r="V1555" s="12">
        <f t="shared" si="305"/>
        <v>0.8</v>
      </c>
      <c r="Z1555" s="1">
        <f t="shared" si="309"/>
        <v>0</v>
      </c>
      <c r="AB1555" s="2" t="s">
        <v>1350</v>
      </c>
    </row>
    <row r="1556" spans="1:28" x14ac:dyDescent="0.25">
      <c r="A1556" s="1" t="s">
        <v>1688</v>
      </c>
      <c r="B1556" s="1" t="s">
        <v>35</v>
      </c>
      <c r="C1556" s="1" t="s">
        <v>861</v>
      </c>
      <c r="D1556" s="1">
        <v>4</v>
      </c>
      <c r="E1556" s="1">
        <v>3</v>
      </c>
      <c r="F1556" s="1">
        <v>6</v>
      </c>
      <c r="G1556" s="1">
        <v>8</v>
      </c>
      <c r="H1556" s="1">
        <v>8</v>
      </c>
      <c r="I1556" s="1">
        <v>8</v>
      </c>
      <c r="J1556" s="1">
        <v>8</v>
      </c>
      <c r="K1556" s="1">
        <f t="shared" si="306"/>
        <v>32</v>
      </c>
      <c r="L1556" s="12">
        <f t="shared" si="303"/>
        <v>0.8</v>
      </c>
      <c r="M1556" s="1">
        <v>8</v>
      </c>
      <c r="N1556" s="1">
        <v>7</v>
      </c>
      <c r="O1556" s="1">
        <v>7</v>
      </c>
      <c r="P1556" s="1">
        <v>7</v>
      </c>
      <c r="Q1556" s="1">
        <f t="shared" si="307"/>
        <v>29</v>
      </c>
      <c r="R1556" s="12">
        <f t="shared" si="304"/>
        <v>0.72499999999999998</v>
      </c>
      <c r="S1556" s="1">
        <v>7</v>
      </c>
      <c r="T1556" s="1">
        <v>8</v>
      </c>
      <c r="U1556" s="1">
        <f t="shared" si="308"/>
        <v>15</v>
      </c>
      <c r="V1556" s="12">
        <f t="shared" si="305"/>
        <v>0.75</v>
      </c>
      <c r="Z1556" s="1">
        <f t="shared" si="309"/>
        <v>0</v>
      </c>
      <c r="AB1556" s="2" t="s">
        <v>1351</v>
      </c>
    </row>
    <row r="1557" spans="1:28" x14ac:dyDescent="0.25">
      <c r="A1557" s="1" t="s">
        <v>1688</v>
      </c>
      <c r="B1557" s="1" t="s">
        <v>35</v>
      </c>
      <c r="C1557" s="1" t="s">
        <v>861</v>
      </c>
      <c r="D1557" s="1">
        <v>4</v>
      </c>
      <c r="E1557" s="1">
        <v>3</v>
      </c>
      <c r="F1557" s="1">
        <v>6</v>
      </c>
      <c r="G1557" s="1">
        <v>7</v>
      </c>
      <c r="H1557" s="1">
        <v>4</v>
      </c>
      <c r="I1557" s="1">
        <v>4</v>
      </c>
      <c r="J1557" s="1">
        <v>5</v>
      </c>
      <c r="K1557" s="1">
        <f t="shared" si="306"/>
        <v>20</v>
      </c>
      <c r="L1557" s="12">
        <f t="shared" si="303"/>
        <v>0.5</v>
      </c>
      <c r="M1557" s="1">
        <v>5</v>
      </c>
      <c r="N1557" s="1">
        <v>5</v>
      </c>
      <c r="O1557" s="1">
        <v>5</v>
      </c>
      <c r="P1557" s="1">
        <v>6</v>
      </c>
      <c r="Q1557" s="1">
        <f t="shared" si="307"/>
        <v>21</v>
      </c>
      <c r="R1557" s="12">
        <f t="shared" si="304"/>
        <v>0.52500000000000002</v>
      </c>
      <c r="S1557" s="1">
        <v>6</v>
      </c>
      <c r="T1557" s="1">
        <v>5</v>
      </c>
      <c r="U1557" s="1">
        <f t="shared" si="308"/>
        <v>11</v>
      </c>
      <c r="V1557" s="12">
        <f t="shared" si="305"/>
        <v>0.55000000000000004</v>
      </c>
      <c r="Z1557" s="1">
        <f t="shared" si="309"/>
        <v>0</v>
      </c>
      <c r="AB1557" s="2" t="s">
        <v>1352</v>
      </c>
    </row>
    <row r="1558" spans="1:28" x14ac:dyDescent="0.25">
      <c r="A1558" s="1" t="s">
        <v>1688</v>
      </c>
      <c r="B1558" s="1" t="s">
        <v>35</v>
      </c>
      <c r="C1558" s="1" t="s">
        <v>861</v>
      </c>
      <c r="D1558" s="1">
        <v>4</v>
      </c>
      <c r="E1558" s="1">
        <v>3</v>
      </c>
      <c r="F1558" s="1">
        <v>6</v>
      </c>
      <c r="G1558" s="1">
        <v>7</v>
      </c>
      <c r="H1558" s="1">
        <v>6</v>
      </c>
      <c r="I1558" s="1">
        <v>6</v>
      </c>
      <c r="J1558" s="1">
        <v>6</v>
      </c>
      <c r="K1558" s="1">
        <f t="shared" si="306"/>
        <v>25</v>
      </c>
      <c r="L1558" s="12">
        <f t="shared" si="303"/>
        <v>0.625</v>
      </c>
      <c r="M1558" s="1">
        <v>7</v>
      </c>
      <c r="N1558" s="1">
        <v>7</v>
      </c>
      <c r="O1558" s="1">
        <v>7</v>
      </c>
      <c r="P1558" s="1">
        <v>8</v>
      </c>
      <c r="Q1558" s="1">
        <f t="shared" si="307"/>
        <v>29</v>
      </c>
      <c r="R1558" s="12">
        <f t="shared" si="304"/>
        <v>0.72499999999999998</v>
      </c>
      <c r="S1558" s="1">
        <v>7</v>
      </c>
      <c r="T1558" s="1">
        <v>7</v>
      </c>
      <c r="U1558" s="1">
        <f t="shared" si="308"/>
        <v>14</v>
      </c>
      <c r="V1558" s="12">
        <f t="shared" si="305"/>
        <v>0.7</v>
      </c>
      <c r="Z1558" s="1">
        <f t="shared" si="309"/>
        <v>0</v>
      </c>
      <c r="AB1558" s="2" t="s">
        <v>1353</v>
      </c>
    </row>
    <row r="1559" spans="1:28" x14ac:dyDescent="0.25">
      <c r="A1559" s="1" t="s">
        <v>1688</v>
      </c>
      <c r="B1559" s="1" t="s">
        <v>576</v>
      </c>
      <c r="C1559" s="1" t="s">
        <v>861</v>
      </c>
      <c r="D1559" s="1">
        <v>24</v>
      </c>
      <c r="E1559" s="1">
        <v>1</v>
      </c>
      <c r="F1559" s="1">
        <v>2</v>
      </c>
      <c r="G1559" s="1">
        <v>7</v>
      </c>
      <c r="H1559" s="1">
        <v>6</v>
      </c>
      <c r="I1559" s="1">
        <v>5</v>
      </c>
      <c r="J1559" s="1">
        <v>5</v>
      </c>
      <c r="K1559" s="1">
        <f t="shared" si="306"/>
        <v>23</v>
      </c>
      <c r="L1559" s="12">
        <f t="shared" si="303"/>
        <v>0.57499999999999996</v>
      </c>
      <c r="M1559" s="1">
        <v>4</v>
      </c>
      <c r="N1559" s="1">
        <v>4</v>
      </c>
      <c r="O1559" s="1">
        <v>4</v>
      </c>
      <c r="P1559" s="1">
        <v>2</v>
      </c>
      <c r="Q1559" s="1">
        <f t="shared" si="307"/>
        <v>14</v>
      </c>
      <c r="R1559" s="12">
        <f t="shared" si="304"/>
        <v>0.35</v>
      </c>
      <c r="S1559" s="1">
        <v>3</v>
      </c>
      <c r="T1559" s="1">
        <v>3</v>
      </c>
      <c r="U1559" s="1">
        <f t="shared" si="308"/>
        <v>6</v>
      </c>
      <c r="V1559" s="12">
        <f t="shared" si="305"/>
        <v>0.3</v>
      </c>
      <c r="Z1559" s="1">
        <f t="shared" si="309"/>
        <v>0</v>
      </c>
      <c r="AB1559" s="2" t="s">
        <v>1382</v>
      </c>
    </row>
    <row r="1560" spans="1:28" x14ac:dyDescent="0.25">
      <c r="A1560" s="1" t="s">
        <v>1688</v>
      </c>
      <c r="B1560" s="1" t="s">
        <v>576</v>
      </c>
      <c r="C1560" s="1" t="s">
        <v>861</v>
      </c>
      <c r="D1560" s="1">
        <v>24</v>
      </c>
      <c r="E1560" s="1">
        <v>1</v>
      </c>
      <c r="F1560" s="1">
        <v>2</v>
      </c>
      <c r="G1560" s="1">
        <v>7</v>
      </c>
      <c r="H1560" s="1">
        <v>5</v>
      </c>
      <c r="I1560" s="1">
        <v>5</v>
      </c>
      <c r="J1560" s="1">
        <v>5</v>
      </c>
      <c r="K1560" s="1">
        <f t="shared" si="306"/>
        <v>22</v>
      </c>
      <c r="L1560" s="12">
        <f t="shared" si="303"/>
        <v>0.55000000000000004</v>
      </c>
      <c r="M1560" s="1">
        <v>5</v>
      </c>
      <c r="N1560" s="1">
        <v>6</v>
      </c>
      <c r="O1560" s="1">
        <v>5</v>
      </c>
      <c r="P1560" s="1">
        <v>6</v>
      </c>
      <c r="Q1560" s="1">
        <f t="shared" si="307"/>
        <v>22</v>
      </c>
      <c r="R1560" s="12">
        <f t="shared" si="304"/>
        <v>0.55000000000000004</v>
      </c>
      <c r="S1560" s="1">
        <v>6</v>
      </c>
      <c r="T1560" s="1">
        <v>7</v>
      </c>
      <c r="U1560" s="1">
        <f t="shared" si="308"/>
        <v>13</v>
      </c>
      <c r="V1560" s="12">
        <f t="shared" si="305"/>
        <v>0.65</v>
      </c>
      <c r="Z1560" s="1">
        <f t="shared" si="309"/>
        <v>0</v>
      </c>
      <c r="AB1560" s="2" t="s">
        <v>1383</v>
      </c>
    </row>
    <row r="1561" spans="1:28" x14ac:dyDescent="0.25">
      <c r="A1561" s="1" t="s">
        <v>1688</v>
      </c>
      <c r="B1561" s="1" t="s">
        <v>576</v>
      </c>
      <c r="C1561" s="1" t="s">
        <v>861</v>
      </c>
      <c r="D1561" s="1">
        <v>24</v>
      </c>
      <c r="E1561" s="1">
        <v>1</v>
      </c>
      <c r="F1561" s="1">
        <v>2</v>
      </c>
      <c r="G1561" s="1">
        <v>8</v>
      </c>
      <c r="H1561" s="1">
        <v>8</v>
      </c>
      <c r="I1561" s="1">
        <v>8</v>
      </c>
      <c r="J1561" s="1">
        <v>8</v>
      </c>
      <c r="K1561" s="1">
        <f t="shared" si="306"/>
        <v>32</v>
      </c>
      <c r="L1561" s="12">
        <f t="shared" si="303"/>
        <v>0.8</v>
      </c>
      <c r="M1561" s="1">
        <v>8</v>
      </c>
      <c r="N1561" s="1">
        <v>8</v>
      </c>
      <c r="O1561" s="1">
        <v>8</v>
      </c>
      <c r="P1561" s="1">
        <v>8</v>
      </c>
      <c r="Q1561" s="1">
        <f t="shared" si="307"/>
        <v>32</v>
      </c>
      <c r="R1561" s="12">
        <f t="shared" si="304"/>
        <v>0.8</v>
      </c>
      <c r="S1561" s="1">
        <v>8</v>
      </c>
      <c r="T1561" s="1">
        <v>9</v>
      </c>
      <c r="U1561" s="1">
        <f t="shared" si="308"/>
        <v>17</v>
      </c>
      <c r="V1561" s="12">
        <f t="shared" si="305"/>
        <v>0.85</v>
      </c>
      <c r="Z1561" s="1">
        <f t="shared" si="309"/>
        <v>0</v>
      </c>
      <c r="AB1561" s="2" t="s">
        <v>1384</v>
      </c>
    </row>
    <row r="1562" spans="1:28" x14ac:dyDescent="0.25">
      <c r="A1562" s="1" t="s">
        <v>1688</v>
      </c>
      <c r="B1562" s="1" t="s">
        <v>576</v>
      </c>
      <c r="C1562" s="1" t="s">
        <v>861</v>
      </c>
      <c r="D1562" s="1">
        <v>24</v>
      </c>
      <c r="E1562" s="1">
        <v>1</v>
      </c>
      <c r="F1562" s="1">
        <v>2</v>
      </c>
      <c r="G1562" s="1">
        <v>8</v>
      </c>
      <c r="H1562" s="1">
        <v>7</v>
      </c>
      <c r="I1562" s="1">
        <v>7</v>
      </c>
      <c r="J1562" s="1">
        <v>7</v>
      </c>
      <c r="K1562" s="1">
        <f t="shared" si="306"/>
        <v>29</v>
      </c>
      <c r="L1562" s="12">
        <f t="shared" si="303"/>
        <v>0.72499999999999998</v>
      </c>
      <c r="M1562" s="1">
        <v>8</v>
      </c>
      <c r="N1562" s="1">
        <v>8</v>
      </c>
      <c r="O1562" s="1">
        <v>8</v>
      </c>
      <c r="P1562" s="1">
        <v>7</v>
      </c>
      <c r="Q1562" s="1">
        <f t="shared" si="307"/>
        <v>31</v>
      </c>
      <c r="R1562" s="12">
        <f t="shared" si="304"/>
        <v>0.77500000000000002</v>
      </c>
      <c r="S1562" s="1">
        <v>7</v>
      </c>
      <c r="T1562" s="1">
        <v>8</v>
      </c>
      <c r="U1562" s="1">
        <f t="shared" si="308"/>
        <v>15</v>
      </c>
      <c r="V1562" s="12">
        <f t="shared" si="305"/>
        <v>0.75</v>
      </c>
      <c r="Z1562" s="1">
        <f t="shared" si="309"/>
        <v>0</v>
      </c>
      <c r="AB1562" s="2" t="s">
        <v>1385</v>
      </c>
    </row>
    <row r="1563" spans="1:28" x14ac:dyDescent="0.25">
      <c r="A1563" s="1" t="s">
        <v>1688</v>
      </c>
      <c r="B1563" s="1" t="s">
        <v>576</v>
      </c>
      <c r="C1563" s="1" t="s">
        <v>861</v>
      </c>
      <c r="D1563" s="1">
        <v>24</v>
      </c>
      <c r="E1563" s="1">
        <v>1</v>
      </c>
      <c r="F1563" s="1">
        <v>2</v>
      </c>
      <c r="G1563" s="1">
        <v>3</v>
      </c>
      <c r="H1563" s="1">
        <v>3</v>
      </c>
      <c r="I1563" s="1">
        <v>2</v>
      </c>
      <c r="J1563" s="1">
        <v>2</v>
      </c>
      <c r="K1563" s="1">
        <f t="shared" si="306"/>
        <v>10</v>
      </c>
      <c r="L1563" s="12">
        <f t="shared" si="303"/>
        <v>0.25</v>
      </c>
      <c r="M1563" s="1">
        <v>3</v>
      </c>
      <c r="N1563" s="1">
        <v>4</v>
      </c>
      <c r="O1563" s="1">
        <v>3</v>
      </c>
      <c r="P1563" s="1">
        <v>4</v>
      </c>
      <c r="Q1563" s="1">
        <f t="shared" si="307"/>
        <v>14</v>
      </c>
      <c r="R1563" s="12">
        <f t="shared" si="304"/>
        <v>0.35</v>
      </c>
      <c r="S1563" s="1">
        <v>3</v>
      </c>
      <c r="T1563" s="1">
        <v>3</v>
      </c>
      <c r="U1563" s="1">
        <f t="shared" si="308"/>
        <v>6</v>
      </c>
      <c r="V1563" s="12">
        <f t="shared" si="305"/>
        <v>0.3</v>
      </c>
      <c r="Z1563" s="1">
        <f t="shared" si="309"/>
        <v>0</v>
      </c>
      <c r="AB1563" s="2" t="s">
        <v>1386</v>
      </c>
    </row>
    <row r="1564" spans="1:28" x14ac:dyDescent="0.25">
      <c r="A1564" s="1" t="s">
        <v>1688</v>
      </c>
      <c r="B1564" s="1" t="s">
        <v>576</v>
      </c>
      <c r="C1564" s="1" t="s">
        <v>861</v>
      </c>
      <c r="D1564" s="1">
        <v>24</v>
      </c>
      <c r="E1564" s="1">
        <v>1</v>
      </c>
      <c r="F1564" s="1">
        <v>2</v>
      </c>
      <c r="G1564" s="1">
        <v>5</v>
      </c>
      <c r="H1564" s="1">
        <v>4</v>
      </c>
      <c r="I1564" s="1">
        <v>5</v>
      </c>
      <c r="J1564" s="1">
        <v>5</v>
      </c>
      <c r="K1564" s="1">
        <f t="shared" si="306"/>
        <v>19</v>
      </c>
      <c r="L1564" s="12">
        <f t="shared" si="303"/>
        <v>0.47499999999999998</v>
      </c>
      <c r="M1564" s="1">
        <v>5</v>
      </c>
      <c r="N1564" s="1">
        <v>5</v>
      </c>
      <c r="O1564" s="1">
        <v>5</v>
      </c>
      <c r="P1564" s="1">
        <v>5</v>
      </c>
      <c r="Q1564" s="1">
        <f t="shared" si="307"/>
        <v>20</v>
      </c>
      <c r="R1564" s="12">
        <f t="shared" si="304"/>
        <v>0.5</v>
      </c>
      <c r="S1564" s="1">
        <v>5</v>
      </c>
      <c r="T1564" s="1">
        <v>6</v>
      </c>
      <c r="U1564" s="1">
        <f t="shared" si="308"/>
        <v>11</v>
      </c>
      <c r="V1564" s="12">
        <f t="shared" si="305"/>
        <v>0.55000000000000004</v>
      </c>
      <c r="Z1564" s="1">
        <f t="shared" si="309"/>
        <v>0</v>
      </c>
      <c r="AB1564" s="2" t="s">
        <v>1387</v>
      </c>
    </row>
    <row r="1565" spans="1:28" x14ac:dyDescent="0.25">
      <c r="A1565" s="1" t="s">
        <v>1688</v>
      </c>
      <c r="B1565" s="1" t="s">
        <v>576</v>
      </c>
      <c r="C1565" s="1" t="s">
        <v>861</v>
      </c>
      <c r="D1565" s="1">
        <v>24</v>
      </c>
      <c r="E1565" s="1">
        <v>1</v>
      </c>
      <c r="F1565" s="1">
        <v>2</v>
      </c>
      <c r="G1565" s="1">
        <v>8</v>
      </c>
      <c r="H1565" s="1">
        <v>7</v>
      </c>
      <c r="I1565" s="1">
        <v>7</v>
      </c>
      <c r="J1565" s="1">
        <v>7</v>
      </c>
      <c r="K1565" s="1">
        <f t="shared" si="306"/>
        <v>29</v>
      </c>
      <c r="L1565" s="12">
        <f t="shared" si="303"/>
        <v>0.72499999999999998</v>
      </c>
      <c r="M1565" s="1">
        <v>8</v>
      </c>
      <c r="N1565" s="1">
        <v>8</v>
      </c>
      <c r="O1565" s="1">
        <v>7</v>
      </c>
      <c r="P1565" s="1">
        <v>8</v>
      </c>
      <c r="Q1565" s="1">
        <f t="shared" si="307"/>
        <v>31</v>
      </c>
      <c r="R1565" s="12">
        <f t="shared" si="304"/>
        <v>0.77500000000000002</v>
      </c>
      <c r="S1565" s="1">
        <v>7</v>
      </c>
      <c r="T1565" s="1">
        <v>7</v>
      </c>
      <c r="U1565" s="1">
        <f t="shared" si="308"/>
        <v>14</v>
      </c>
      <c r="V1565" s="12">
        <f t="shared" si="305"/>
        <v>0.7</v>
      </c>
      <c r="Z1565" s="1">
        <f t="shared" si="309"/>
        <v>0</v>
      </c>
      <c r="AB1565" s="2" t="s">
        <v>1388</v>
      </c>
    </row>
    <row r="1566" spans="1:28" x14ac:dyDescent="0.25">
      <c r="A1566" s="1" t="s">
        <v>1688</v>
      </c>
      <c r="B1566" s="1" t="s">
        <v>576</v>
      </c>
      <c r="C1566" s="1" t="s">
        <v>861</v>
      </c>
      <c r="D1566" s="1">
        <v>25</v>
      </c>
      <c r="E1566" s="1">
        <v>2</v>
      </c>
      <c r="F1566" s="1">
        <v>1</v>
      </c>
      <c r="G1566" s="1">
        <v>6</v>
      </c>
      <c r="H1566" s="1">
        <v>4</v>
      </c>
      <c r="I1566" s="1">
        <v>5</v>
      </c>
      <c r="J1566" s="1">
        <v>4</v>
      </c>
      <c r="K1566" s="1">
        <f t="shared" si="306"/>
        <v>19</v>
      </c>
      <c r="L1566" s="12">
        <f t="shared" si="303"/>
        <v>0.47499999999999998</v>
      </c>
      <c r="M1566" s="1">
        <v>3</v>
      </c>
      <c r="N1566" s="1">
        <v>4</v>
      </c>
      <c r="O1566" s="1">
        <v>3</v>
      </c>
      <c r="P1566" s="1">
        <v>3</v>
      </c>
      <c r="Q1566" s="1">
        <f t="shared" si="307"/>
        <v>13</v>
      </c>
      <c r="R1566" s="12">
        <f t="shared" si="304"/>
        <v>0.32500000000000001</v>
      </c>
      <c r="S1566" s="1">
        <v>3</v>
      </c>
      <c r="T1566" s="1">
        <v>4</v>
      </c>
      <c r="U1566" s="1">
        <f t="shared" si="308"/>
        <v>7</v>
      </c>
      <c r="V1566" s="12">
        <f t="shared" si="305"/>
        <v>0.35</v>
      </c>
      <c r="Z1566" s="1">
        <f t="shared" si="309"/>
        <v>0</v>
      </c>
      <c r="AB1566" s="2" t="s">
        <v>1463</v>
      </c>
    </row>
    <row r="1567" spans="1:28" x14ac:dyDescent="0.25">
      <c r="A1567" s="1" t="s">
        <v>1688</v>
      </c>
      <c r="B1567" s="1" t="s">
        <v>576</v>
      </c>
      <c r="C1567" s="1" t="s">
        <v>861</v>
      </c>
      <c r="D1567" s="1">
        <v>25</v>
      </c>
      <c r="E1567" s="1">
        <v>2</v>
      </c>
      <c r="F1567" s="1">
        <v>1</v>
      </c>
      <c r="G1567" s="1">
        <v>1</v>
      </c>
      <c r="H1567" s="1">
        <v>2</v>
      </c>
      <c r="I1567" s="1">
        <v>2</v>
      </c>
      <c r="J1567" s="1">
        <v>2</v>
      </c>
      <c r="K1567" s="1">
        <f t="shared" si="306"/>
        <v>7</v>
      </c>
      <c r="L1567" s="12">
        <f t="shared" si="303"/>
        <v>0.17499999999999999</v>
      </c>
      <c r="M1567" s="1">
        <v>2</v>
      </c>
      <c r="N1567" s="1">
        <v>2</v>
      </c>
      <c r="O1567" s="1">
        <v>2</v>
      </c>
      <c r="P1567" s="1">
        <v>2</v>
      </c>
      <c r="Q1567" s="1">
        <f t="shared" si="307"/>
        <v>8</v>
      </c>
      <c r="R1567" s="12">
        <f t="shared" si="304"/>
        <v>0.2</v>
      </c>
      <c r="S1567" s="1">
        <v>2</v>
      </c>
      <c r="T1567" s="1">
        <v>2</v>
      </c>
      <c r="U1567" s="1">
        <f t="shared" si="308"/>
        <v>4</v>
      </c>
      <c r="V1567" s="12">
        <f t="shared" si="305"/>
        <v>0.2</v>
      </c>
      <c r="Z1567" s="1">
        <f t="shared" si="309"/>
        <v>0</v>
      </c>
      <c r="AB1567" s="2" t="s">
        <v>1464</v>
      </c>
    </row>
    <row r="1568" spans="1:28" x14ac:dyDescent="0.25">
      <c r="A1568" s="1" t="s">
        <v>1688</v>
      </c>
      <c r="B1568" s="1" t="s">
        <v>576</v>
      </c>
      <c r="C1568" s="1" t="s">
        <v>861</v>
      </c>
      <c r="D1568" s="1">
        <v>25</v>
      </c>
      <c r="E1568" s="1">
        <v>2</v>
      </c>
      <c r="F1568" s="1">
        <v>1</v>
      </c>
      <c r="G1568" s="1">
        <v>6</v>
      </c>
      <c r="H1568" s="1">
        <v>6</v>
      </c>
      <c r="I1568" s="1">
        <v>6</v>
      </c>
      <c r="J1568" s="1">
        <v>6</v>
      </c>
      <c r="K1568" s="1">
        <f t="shared" si="306"/>
        <v>24</v>
      </c>
      <c r="L1568" s="12">
        <f t="shared" si="303"/>
        <v>0.6</v>
      </c>
      <c r="M1568" s="1">
        <v>5</v>
      </c>
      <c r="N1568" s="1">
        <v>6</v>
      </c>
      <c r="O1568" s="1">
        <v>5</v>
      </c>
      <c r="P1568" s="1">
        <v>4</v>
      </c>
      <c r="Q1568" s="1">
        <f t="shared" si="307"/>
        <v>20</v>
      </c>
      <c r="R1568" s="12">
        <f t="shared" si="304"/>
        <v>0.5</v>
      </c>
      <c r="S1568" s="1">
        <v>5</v>
      </c>
      <c r="T1568" s="1">
        <v>6</v>
      </c>
      <c r="U1568" s="1">
        <f t="shared" si="308"/>
        <v>11</v>
      </c>
      <c r="V1568" s="12">
        <f t="shared" si="305"/>
        <v>0.55000000000000004</v>
      </c>
      <c r="Z1568" s="1">
        <f t="shared" si="309"/>
        <v>0</v>
      </c>
      <c r="AB1568" s="2" t="s">
        <v>1465</v>
      </c>
    </row>
    <row r="1569" spans="1:28" x14ac:dyDescent="0.25">
      <c r="A1569" s="1" t="s">
        <v>1688</v>
      </c>
      <c r="B1569" s="1" t="s">
        <v>576</v>
      </c>
      <c r="C1569" s="1" t="s">
        <v>861</v>
      </c>
      <c r="D1569" s="1">
        <v>25</v>
      </c>
      <c r="E1569" s="1">
        <v>2</v>
      </c>
      <c r="F1569" s="1">
        <v>1</v>
      </c>
      <c r="G1569" s="1">
        <v>3</v>
      </c>
      <c r="H1569" s="1">
        <v>3</v>
      </c>
      <c r="I1569" s="1">
        <v>4</v>
      </c>
      <c r="J1569" s="1">
        <v>4</v>
      </c>
      <c r="K1569" s="1">
        <f t="shared" si="306"/>
        <v>14</v>
      </c>
      <c r="L1569" s="12">
        <f t="shared" si="303"/>
        <v>0.35</v>
      </c>
      <c r="M1569" s="1">
        <v>4</v>
      </c>
      <c r="N1569" s="1">
        <v>4</v>
      </c>
      <c r="O1569" s="1">
        <v>3</v>
      </c>
      <c r="P1569" s="1">
        <v>4</v>
      </c>
      <c r="Q1569" s="1">
        <f t="shared" si="307"/>
        <v>15</v>
      </c>
      <c r="R1569" s="12">
        <f t="shared" si="304"/>
        <v>0.375</v>
      </c>
      <c r="S1569" s="1">
        <v>3</v>
      </c>
      <c r="T1569" s="1">
        <v>3</v>
      </c>
      <c r="U1569" s="1">
        <f t="shared" si="308"/>
        <v>6</v>
      </c>
      <c r="V1569" s="12">
        <f t="shared" si="305"/>
        <v>0.3</v>
      </c>
      <c r="Z1569" s="1">
        <f t="shared" si="309"/>
        <v>0</v>
      </c>
      <c r="AB1569" s="2" t="s">
        <v>1466</v>
      </c>
    </row>
    <row r="1570" spans="1:28" x14ac:dyDescent="0.25">
      <c r="A1570" s="1" t="s">
        <v>1688</v>
      </c>
      <c r="B1570" s="1" t="s">
        <v>576</v>
      </c>
      <c r="C1570" s="1" t="s">
        <v>861</v>
      </c>
      <c r="D1570" s="1">
        <v>25</v>
      </c>
      <c r="E1570" s="1">
        <v>2</v>
      </c>
      <c r="F1570" s="1">
        <v>1</v>
      </c>
      <c r="G1570" s="1">
        <v>6</v>
      </c>
      <c r="H1570" s="1">
        <v>5</v>
      </c>
      <c r="I1570" s="1">
        <v>5</v>
      </c>
      <c r="J1570" s="1">
        <v>5</v>
      </c>
      <c r="K1570" s="1">
        <f t="shared" si="306"/>
        <v>21</v>
      </c>
      <c r="L1570" s="12">
        <f t="shared" si="303"/>
        <v>0.52500000000000002</v>
      </c>
      <c r="M1570" s="1">
        <v>4</v>
      </c>
      <c r="N1570" s="1">
        <v>5</v>
      </c>
      <c r="O1570" s="1">
        <v>4</v>
      </c>
      <c r="P1570" s="1">
        <v>4</v>
      </c>
      <c r="Q1570" s="1">
        <f t="shared" si="307"/>
        <v>17</v>
      </c>
      <c r="R1570" s="12">
        <f t="shared" si="304"/>
        <v>0.42499999999999999</v>
      </c>
      <c r="S1570" s="1">
        <v>5</v>
      </c>
      <c r="T1570" s="1">
        <v>4</v>
      </c>
      <c r="U1570" s="1">
        <f t="shared" si="308"/>
        <v>9</v>
      </c>
      <c r="V1570" s="12">
        <f t="shared" si="305"/>
        <v>0.45</v>
      </c>
      <c r="Z1570" s="1">
        <f t="shared" si="309"/>
        <v>0</v>
      </c>
      <c r="AB1570" s="2" t="s">
        <v>1467</v>
      </c>
    </row>
    <row r="1571" spans="1:28" x14ac:dyDescent="0.25">
      <c r="A1571" s="1" t="s">
        <v>1688</v>
      </c>
      <c r="B1571" s="1" t="s">
        <v>576</v>
      </c>
      <c r="C1571" s="1" t="s">
        <v>861</v>
      </c>
      <c r="D1571" s="1">
        <v>25</v>
      </c>
      <c r="E1571" s="1">
        <v>2</v>
      </c>
      <c r="F1571" s="1">
        <v>1</v>
      </c>
      <c r="G1571" s="1">
        <v>6</v>
      </c>
      <c r="H1571" s="1">
        <v>7</v>
      </c>
      <c r="I1571" s="1">
        <v>7</v>
      </c>
      <c r="J1571" s="1">
        <v>7</v>
      </c>
      <c r="K1571" s="1">
        <f t="shared" si="306"/>
        <v>27</v>
      </c>
      <c r="L1571" s="12">
        <f t="shared" si="303"/>
        <v>0.67500000000000004</v>
      </c>
      <c r="M1571" s="1">
        <v>7</v>
      </c>
      <c r="N1571" s="1">
        <v>6</v>
      </c>
      <c r="O1571" s="1">
        <v>5</v>
      </c>
      <c r="P1571" s="1">
        <v>5</v>
      </c>
      <c r="Q1571" s="1">
        <f t="shared" si="307"/>
        <v>23</v>
      </c>
      <c r="R1571" s="12">
        <f t="shared" si="304"/>
        <v>0.57499999999999996</v>
      </c>
      <c r="S1571" s="1">
        <v>5</v>
      </c>
      <c r="T1571" s="1">
        <v>5</v>
      </c>
      <c r="U1571" s="1">
        <f t="shared" si="308"/>
        <v>10</v>
      </c>
      <c r="V1571" s="12">
        <f t="shared" si="305"/>
        <v>0.5</v>
      </c>
      <c r="Z1571" s="1">
        <f t="shared" si="309"/>
        <v>0</v>
      </c>
      <c r="AB1571" s="2" t="s">
        <v>1468</v>
      </c>
    </row>
    <row r="1572" spans="1:28" x14ac:dyDescent="0.25">
      <c r="A1572" s="1" t="s">
        <v>1688</v>
      </c>
      <c r="B1572" s="1" t="s">
        <v>576</v>
      </c>
      <c r="C1572" s="1" t="s">
        <v>861</v>
      </c>
      <c r="D1572" s="1">
        <v>11</v>
      </c>
      <c r="E1572" s="1">
        <v>3</v>
      </c>
      <c r="F1572" s="1">
        <v>2</v>
      </c>
      <c r="G1572" s="1">
        <v>5</v>
      </c>
      <c r="H1572" s="1">
        <v>4</v>
      </c>
      <c r="I1572" s="1">
        <v>3</v>
      </c>
      <c r="J1572" s="1">
        <v>4</v>
      </c>
      <c r="K1572" s="1">
        <f t="shared" si="306"/>
        <v>16</v>
      </c>
      <c r="L1572" s="12">
        <f t="shared" si="303"/>
        <v>0.4</v>
      </c>
      <c r="M1572" s="1">
        <v>4</v>
      </c>
      <c r="N1572" s="1">
        <v>3</v>
      </c>
      <c r="O1572" s="1">
        <v>3</v>
      </c>
      <c r="P1572" s="1">
        <v>3</v>
      </c>
      <c r="Q1572" s="1">
        <f t="shared" si="307"/>
        <v>13</v>
      </c>
      <c r="R1572" s="12">
        <f t="shared" si="304"/>
        <v>0.32500000000000001</v>
      </c>
      <c r="S1572" s="1">
        <v>3</v>
      </c>
      <c r="T1572" s="1">
        <v>3</v>
      </c>
      <c r="U1572" s="1">
        <f t="shared" si="308"/>
        <v>6</v>
      </c>
      <c r="V1572" s="12">
        <f t="shared" si="305"/>
        <v>0.3</v>
      </c>
      <c r="Z1572" s="1">
        <f t="shared" si="309"/>
        <v>0</v>
      </c>
      <c r="AB1572" s="2" t="s">
        <v>1581</v>
      </c>
    </row>
    <row r="1573" spans="1:28" x14ac:dyDescent="0.25">
      <c r="A1573" s="1" t="s">
        <v>1688</v>
      </c>
      <c r="B1573" s="1" t="s">
        <v>576</v>
      </c>
      <c r="C1573" s="1" t="s">
        <v>861</v>
      </c>
      <c r="D1573" s="1">
        <v>11</v>
      </c>
      <c r="E1573" s="1">
        <v>3</v>
      </c>
      <c r="F1573" s="1">
        <v>2</v>
      </c>
      <c r="G1573" s="1">
        <v>6</v>
      </c>
      <c r="H1573" s="1">
        <v>5</v>
      </c>
      <c r="I1573" s="1">
        <v>5</v>
      </c>
      <c r="J1573" s="1">
        <v>7</v>
      </c>
      <c r="K1573" s="1">
        <f t="shared" si="306"/>
        <v>23</v>
      </c>
      <c r="L1573" s="12">
        <f t="shared" si="303"/>
        <v>0.57499999999999996</v>
      </c>
      <c r="M1573" s="1">
        <v>7</v>
      </c>
      <c r="N1573" s="1">
        <v>8</v>
      </c>
      <c r="O1573" s="1">
        <v>7</v>
      </c>
      <c r="P1573" s="1">
        <v>7</v>
      </c>
      <c r="Q1573" s="1">
        <f t="shared" si="307"/>
        <v>29</v>
      </c>
      <c r="R1573" s="12">
        <f t="shared" si="304"/>
        <v>0.72499999999999998</v>
      </c>
      <c r="S1573" s="1">
        <v>7</v>
      </c>
      <c r="T1573" s="1">
        <v>7</v>
      </c>
      <c r="U1573" s="1">
        <f t="shared" si="308"/>
        <v>14</v>
      </c>
      <c r="V1573" s="12">
        <f t="shared" si="305"/>
        <v>0.7</v>
      </c>
      <c r="Z1573" s="1">
        <f t="shared" si="309"/>
        <v>0</v>
      </c>
      <c r="AB1573" s="2" t="s">
        <v>1582</v>
      </c>
    </row>
    <row r="1574" spans="1:28" x14ac:dyDescent="0.25">
      <c r="A1574" s="1" t="s">
        <v>1688</v>
      </c>
      <c r="B1574" s="1" t="s">
        <v>576</v>
      </c>
      <c r="C1574" s="1" t="s">
        <v>861</v>
      </c>
      <c r="D1574" s="1">
        <v>11</v>
      </c>
      <c r="E1574" s="1">
        <v>3</v>
      </c>
      <c r="F1574" s="1">
        <v>2</v>
      </c>
      <c r="G1574" s="1">
        <v>8</v>
      </c>
      <c r="H1574" s="1">
        <v>8</v>
      </c>
      <c r="I1574" s="1">
        <v>7</v>
      </c>
      <c r="J1574" s="1">
        <v>8</v>
      </c>
      <c r="K1574" s="1">
        <f t="shared" si="306"/>
        <v>31</v>
      </c>
      <c r="L1574" s="12">
        <f t="shared" si="303"/>
        <v>0.77500000000000002</v>
      </c>
      <c r="M1574" s="1">
        <v>5</v>
      </c>
      <c r="N1574" s="1">
        <v>5</v>
      </c>
      <c r="O1574" s="1">
        <v>5</v>
      </c>
      <c r="P1574" s="1">
        <v>5</v>
      </c>
      <c r="Q1574" s="1">
        <f t="shared" si="307"/>
        <v>20</v>
      </c>
      <c r="R1574" s="12">
        <f t="shared" si="304"/>
        <v>0.5</v>
      </c>
      <c r="S1574" s="1">
        <v>5</v>
      </c>
      <c r="T1574" s="1">
        <v>6</v>
      </c>
      <c r="U1574" s="1">
        <f t="shared" si="308"/>
        <v>11</v>
      </c>
      <c r="V1574" s="12">
        <f t="shared" si="305"/>
        <v>0.55000000000000004</v>
      </c>
      <c r="Z1574" s="1">
        <f t="shared" si="309"/>
        <v>0</v>
      </c>
      <c r="AB1574" s="2" t="s">
        <v>1583</v>
      </c>
    </row>
    <row r="1575" spans="1:28" x14ac:dyDescent="0.25">
      <c r="A1575" s="1" t="s">
        <v>1688</v>
      </c>
      <c r="B1575" s="1" t="s">
        <v>576</v>
      </c>
      <c r="C1575" s="1" t="s">
        <v>861</v>
      </c>
      <c r="D1575" s="1">
        <v>11</v>
      </c>
      <c r="E1575" s="1">
        <v>3</v>
      </c>
      <c r="F1575" s="1">
        <v>2</v>
      </c>
      <c r="G1575" s="1">
        <v>6</v>
      </c>
      <c r="H1575" s="1">
        <v>5</v>
      </c>
      <c r="I1575" s="1">
        <v>5</v>
      </c>
      <c r="J1575" s="1">
        <v>5</v>
      </c>
      <c r="K1575" s="1">
        <f t="shared" si="306"/>
        <v>21</v>
      </c>
      <c r="L1575" s="12">
        <f t="shared" si="303"/>
        <v>0.52500000000000002</v>
      </c>
      <c r="M1575" s="1">
        <v>5</v>
      </c>
      <c r="N1575" s="1">
        <v>5</v>
      </c>
      <c r="O1575" s="1">
        <v>5</v>
      </c>
      <c r="P1575" s="1">
        <v>5</v>
      </c>
      <c r="Q1575" s="1">
        <f t="shared" si="307"/>
        <v>20</v>
      </c>
      <c r="R1575" s="12">
        <f t="shared" si="304"/>
        <v>0.5</v>
      </c>
      <c r="S1575" s="1">
        <v>5</v>
      </c>
      <c r="T1575" s="1">
        <v>5</v>
      </c>
      <c r="U1575" s="1">
        <f t="shared" si="308"/>
        <v>10</v>
      </c>
      <c r="V1575" s="12">
        <f t="shared" si="305"/>
        <v>0.5</v>
      </c>
      <c r="Z1575" s="1">
        <f t="shared" si="309"/>
        <v>0</v>
      </c>
      <c r="AB1575" s="2" t="s">
        <v>1584</v>
      </c>
    </row>
    <row r="1576" spans="1:28" x14ac:dyDescent="0.25">
      <c r="A1576" s="1" t="s">
        <v>1688</v>
      </c>
      <c r="B1576" s="1" t="s">
        <v>576</v>
      </c>
      <c r="C1576" s="1" t="s">
        <v>861</v>
      </c>
      <c r="D1576" s="1">
        <v>11</v>
      </c>
      <c r="E1576" s="1">
        <v>3</v>
      </c>
      <c r="F1576" s="1">
        <v>2</v>
      </c>
      <c r="G1576" s="1">
        <v>5</v>
      </c>
      <c r="H1576" s="1">
        <v>4</v>
      </c>
      <c r="I1576" s="1">
        <v>5</v>
      </c>
      <c r="J1576" s="1">
        <v>4</v>
      </c>
      <c r="K1576" s="1">
        <f t="shared" si="306"/>
        <v>18</v>
      </c>
      <c r="L1576" s="12">
        <f t="shared" si="303"/>
        <v>0.45</v>
      </c>
      <c r="M1576" s="1">
        <v>4</v>
      </c>
      <c r="N1576" s="1">
        <v>5</v>
      </c>
      <c r="O1576" s="1">
        <v>5</v>
      </c>
      <c r="P1576" s="1">
        <v>4</v>
      </c>
      <c r="Q1576" s="1">
        <f t="shared" si="307"/>
        <v>18</v>
      </c>
      <c r="R1576" s="12">
        <f t="shared" si="304"/>
        <v>0.45</v>
      </c>
      <c r="S1576" s="1">
        <v>4</v>
      </c>
      <c r="T1576" s="1">
        <v>4</v>
      </c>
      <c r="U1576" s="1">
        <f t="shared" si="308"/>
        <v>8</v>
      </c>
      <c r="V1576" s="12">
        <f t="shared" si="305"/>
        <v>0.4</v>
      </c>
      <c r="Z1576" s="1">
        <f t="shared" si="309"/>
        <v>0</v>
      </c>
      <c r="AB1576" s="2" t="s">
        <v>1585</v>
      </c>
    </row>
    <row r="1577" spans="1:28" x14ac:dyDescent="0.25">
      <c r="A1577" s="1" t="s">
        <v>1688</v>
      </c>
      <c r="B1577" s="1" t="s">
        <v>576</v>
      </c>
      <c r="C1577" s="1" t="s">
        <v>861</v>
      </c>
      <c r="D1577" s="1">
        <v>11</v>
      </c>
      <c r="E1577" s="1">
        <v>3</v>
      </c>
      <c r="F1577" s="1">
        <v>2</v>
      </c>
      <c r="G1577" s="1">
        <v>5</v>
      </c>
      <c r="H1577" s="1">
        <v>3</v>
      </c>
      <c r="I1577" s="1">
        <v>3</v>
      </c>
      <c r="J1577" s="1">
        <v>3</v>
      </c>
      <c r="K1577" s="1">
        <f t="shared" si="306"/>
        <v>14</v>
      </c>
      <c r="L1577" s="12">
        <f t="shared" si="303"/>
        <v>0.35</v>
      </c>
      <c r="M1577" s="1">
        <v>3</v>
      </c>
      <c r="N1577" s="1">
        <v>3</v>
      </c>
      <c r="O1577" s="1">
        <v>4</v>
      </c>
      <c r="P1577" s="1">
        <v>3</v>
      </c>
      <c r="Q1577" s="1">
        <f t="shared" si="307"/>
        <v>13</v>
      </c>
      <c r="R1577" s="12">
        <f t="shared" si="304"/>
        <v>0.32500000000000001</v>
      </c>
      <c r="S1577" s="1">
        <v>3</v>
      </c>
      <c r="T1577" s="1">
        <v>3</v>
      </c>
      <c r="U1577" s="1">
        <f t="shared" si="308"/>
        <v>6</v>
      </c>
      <c r="V1577" s="12">
        <f t="shared" si="305"/>
        <v>0.3</v>
      </c>
      <c r="Z1577" s="1">
        <f t="shared" si="309"/>
        <v>0</v>
      </c>
      <c r="AB1577" s="2" t="s">
        <v>1586</v>
      </c>
    </row>
    <row r="1578" spans="1:28" x14ac:dyDescent="0.25">
      <c r="A1578" s="1" t="s">
        <v>1688</v>
      </c>
      <c r="B1578" s="1" t="s">
        <v>576</v>
      </c>
      <c r="C1578" s="1" t="s">
        <v>861</v>
      </c>
      <c r="D1578" s="1">
        <v>11</v>
      </c>
      <c r="E1578" s="1">
        <v>3</v>
      </c>
      <c r="F1578" s="1">
        <v>2</v>
      </c>
      <c r="G1578" s="1">
        <v>5</v>
      </c>
      <c r="H1578" s="1">
        <v>5</v>
      </c>
      <c r="I1578" s="1">
        <v>5</v>
      </c>
      <c r="J1578" s="1">
        <v>5</v>
      </c>
      <c r="K1578" s="1">
        <f t="shared" si="306"/>
        <v>20</v>
      </c>
      <c r="L1578" s="12">
        <f t="shared" si="303"/>
        <v>0.5</v>
      </c>
      <c r="M1578" s="1">
        <v>4</v>
      </c>
      <c r="N1578" s="1">
        <v>5</v>
      </c>
      <c r="O1578" s="1">
        <v>4</v>
      </c>
      <c r="P1578" s="1">
        <v>4</v>
      </c>
      <c r="Q1578" s="1">
        <f t="shared" si="307"/>
        <v>17</v>
      </c>
      <c r="R1578" s="12">
        <f t="shared" si="304"/>
        <v>0.42499999999999999</v>
      </c>
      <c r="S1578" s="1">
        <v>4</v>
      </c>
      <c r="T1578" s="1">
        <v>4</v>
      </c>
      <c r="U1578" s="1">
        <f t="shared" si="308"/>
        <v>8</v>
      </c>
      <c r="V1578" s="12">
        <f t="shared" si="305"/>
        <v>0.4</v>
      </c>
      <c r="Z1578" s="1">
        <f t="shared" si="309"/>
        <v>0</v>
      </c>
      <c r="AB1578" s="2" t="s">
        <v>1587</v>
      </c>
    </row>
    <row r="1579" spans="1:28" x14ac:dyDescent="0.25">
      <c r="A1579" s="1" t="s">
        <v>1688</v>
      </c>
      <c r="B1579" s="1" t="s">
        <v>576</v>
      </c>
      <c r="C1579" s="1" t="s">
        <v>861</v>
      </c>
      <c r="D1579" s="1">
        <v>11</v>
      </c>
      <c r="E1579" s="1">
        <v>3</v>
      </c>
      <c r="F1579" s="1">
        <v>2</v>
      </c>
      <c r="G1579" s="1">
        <v>8</v>
      </c>
      <c r="H1579" s="1">
        <v>8</v>
      </c>
      <c r="I1579" s="1">
        <v>6</v>
      </c>
      <c r="J1579" s="1">
        <v>5</v>
      </c>
      <c r="K1579" s="1">
        <f t="shared" si="306"/>
        <v>27</v>
      </c>
      <c r="L1579" s="12">
        <f t="shared" si="303"/>
        <v>0.67500000000000004</v>
      </c>
      <c r="M1579" s="1">
        <v>9</v>
      </c>
      <c r="N1579" s="1">
        <v>9</v>
      </c>
      <c r="O1579" s="1">
        <v>8</v>
      </c>
      <c r="P1579" s="1">
        <v>8</v>
      </c>
      <c r="Q1579" s="1">
        <f t="shared" si="307"/>
        <v>34</v>
      </c>
      <c r="R1579" s="12">
        <f t="shared" si="304"/>
        <v>0.85</v>
      </c>
      <c r="S1579" s="1">
        <v>8</v>
      </c>
      <c r="T1579" s="1">
        <v>8</v>
      </c>
      <c r="U1579" s="1">
        <f t="shared" si="308"/>
        <v>16</v>
      </c>
      <c r="V1579" s="12">
        <f t="shared" si="305"/>
        <v>0.8</v>
      </c>
      <c r="Z1579" s="1">
        <f t="shared" si="309"/>
        <v>0</v>
      </c>
      <c r="AB1579" s="2" t="s">
        <v>1588</v>
      </c>
    </row>
  </sheetData>
  <autoFilter ref="A1:AI1579" xr:uid="{0504578B-5A2D-4D9B-AC5E-A40537320FB1}"/>
  <phoneticPr fontId="18"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391E8-31A3-40EE-8A23-2B88C7DC0991}">
  <dimension ref="A1:S39"/>
  <sheetViews>
    <sheetView zoomScale="70" zoomScaleNormal="70" workbookViewId="0">
      <selection activeCell="J41" sqref="J41"/>
    </sheetView>
  </sheetViews>
  <sheetFormatPr baseColWidth="10" defaultRowHeight="15" x14ac:dyDescent="0.25"/>
  <cols>
    <col min="1" max="1" width="6.7109375" style="1" customWidth="1"/>
    <col min="2" max="3" width="13.7109375" style="1" customWidth="1"/>
    <col min="4" max="7" width="13.7109375" customWidth="1"/>
    <col min="8" max="9" width="13.7109375" style="12" customWidth="1"/>
    <col min="10" max="12" width="13.7109375" style="13" customWidth="1"/>
    <col min="13" max="13" width="14.28515625" style="13" bestFit="1" customWidth="1"/>
    <col min="14" max="15" width="13.7109375" style="1" customWidth="1"/>
    <col min="16" max="19" width="13.7109375" customWidth="1"/>
  </cols>
  <sheetData>
    <row r="1" spans="1:19" x14ac:dyDescent="0.25">
      <c r="B1" s="14" t="s">
        <v>1752</v>
      </c>
      <c r="C1" s="14"/>
      <c r="D1" s="14"/>
      <c r="E1" s="14"/>
      <c r="F1" s="14"/>
      <c r="G1" s="14"/>
      <c r="H1" s="15" t="s">
        <v>1753</v>
      </c>
      <c r="I1" s="15"/>
      <c r="J1" s="15"/>
      <c r="K1" s="15"/>
      <c r="L1" s="17"/>
      <c r="M1" s="17"/>
      <c r="N1" s="16" t="s">
        <v>1760</v>
      </c>
      <c r="O1" s="16"/>
      <c r="P1" s="16"/>
      <c r="Q1" s="16"/>
      <c r="R1" s="16"/>
      <c r="S1" s="16"/>
    </row>
    <row r="2" spans="1:19" s="1" customFormat="1" x14ac:dyDescent="0.25">
      <c r="A2" s="1" t="s">
        <v>1706</v>
      </c>
      <c r="B2" s="1" t="s">
        <v>35</v>
      </c>
      <c r="C2" s="1" t="s">
        <v>576</v>
      </c>
      <c r="D2" s="1" t="s">
        <v>1754</v>
      </c>
      <c r="E2" s="1" t="s">
        <v>1755</v>
      </c>
      <c r="F2" s="19" t="s">
        <v>1689</v>
      </c>
      <c r="G2" s="19" t="s">
        <v>1690</v>
      </c>
      <c r="H2" s="20" t="s">
        <v>1756</v>
      </c>
      <c r="I2" s="20" t="s">
        <v>1757</v>
      </c>
      <c r="J2" s="20" t="s">
        <v>1758</v>
      </c>
      <c r="K2" s="20" t="s">
        <v>1759</v>
      </c>
      <c r="L2" s="20" t="s">
        <v>1768</v>
      </c>
      <c r="M2" s="20" t="s">
        <v>1767</v>
      </c>
      <c r="N2" s="19" t="s">
        <v>1761</v>
      </c>
      <c r="O2" s="19" t="s">
        <v>1762</v>
      </c>
      <c r="P2" s="19" t="s">
        <v>1763</v>
      </c>
      <c r="Q2" s="19" t="s">
        <v>1764</v>
      </c>
      <c r="R2" s="19" t="s">
        <v>1765</v>
      </c>
      <c r="S2" s="1" t="s">
        <v>1766</v>
      </c>
    </row>
    <row r="3" spans="1:19" x14ac:dyDescent="0.25">
      <c r="A3" s="1" t="s">
        <v>1652</v>
      </c>
      <c r="B3" s="7">
        <v>14.804956896551724</v>
      </c>
      <c r="C3" s="7">
        <v>13.407866379310345</v>
      </c>
      <c r="D3" s="7">
        <v>6.6293103448275863</v>
      </c>
      <c r="E3" s="7">
        <v>9.3125</v>
      </c>
      <c r="F3" s="7">
        <f>SUM(Tabla6[[#This Row],[A]:[D]])</f>
        <v>44.154633620689658</v>
      </c>
      <c r="G3" s="7">
        <v>0.65025414869367248</v>
      </c>
      <c r="H3" s="12">
        <v>0.42299876847290641</v>
      </c>
      <c r="I3" s="12">
        <v>0.38308189655172414</v>
      </c>
      <c r="J3" s="12">
        <v>0.44195402298850578</v>
      </c>
      <c r="K3" s="12">
        <v>0.62083333333333335</v>
      </c>
      <c r="L3" s="12">
        <f>AVERAGE(H2:K3)</f>
        <v>0.46721700533661742</v>
      </c>
      <c r="M3" s="18">
        <f>_xlfn.STDEV.S(Tabla6[[#This Row],[HEAD_A]:[HEAD_D]])</f>
        <v>0.10530932770636026</v>
      </c>
      <c r="N3" s="7">
        <v>-1.2248306149153207</v>
      </c>
      <c r="O3" s="7">
        <v>-1.4404278126870649</v>
      </c>
      <c r="P3" s="7">
        <v>-1.1337913610676389</v>
      </c>
      <c r="Q3" s="7">
        <v>-0.71917776929985544</v>
      </c>
      <c r="R3" s="7">
        <f>AVERAGE(Tabla6[[#This Row],[Z_A]:[Z_D]])</f>
        <v>-1.1295568894924699</v>
      </c>
      <c r="S3" s="7">
        <f>_xlfn.STDEV.S(Tabla6[[#This Row],[Z_A]:[Z_D]])</f>
        <v>0.30229498103860686</v>
      </c>
    </row>
    <row r="4" spans="1:19" x14ac:dyDescent="0.25">
      <c r="A4" s="1" t="s">
        <v>1653</v>
      </c>
      <c r="B4" s="7">
        <v>19.279554263565892</v>
      </c>
      <c r="C4" s="7">
        <v>18.625847868217051</v>
      </c>
      <c r="D4" s="7">
        <v>8.40625</v>
      </c>
      <c r="E4" s="7">
        <v>10.581395348837209</v>
      </c>
      <c r="F4" s="7">
        <f>SUM(Tabla6[[#This Row],[A]:[D]])</f>
        <v>56.893047480620154</v>
      </c>
      <c r="G4" s="7">
        <v>0.92765834533049363</v>
      </c>
      <c r="H4" s="12">
        <v>0.55084440753045394</v>
      </c>
      <c r="I4" s="12">
        <v>0.53216708194905871</v>
      </c>
      <c r="J4" s="12">
        <v>0.56041666666666656</v>
      </c>
      <c r="K4" s="12">
        <v>0.70542635658914721</v>
      </c>
      <c r="L4" s="12">
        <f t="shared" ref="L4:L39" si="0">AVERAGE(H3:K4)</f>
        <v>0.52721531676022448</v>
      </c>
      <c r="M4" s="18">
        <f>_xlfn.STDEV.S(Tabla6[[#This Row],[HEAD_A]:[HEAD_D]])</f>
        <v>7.9676781994280785E-2</v>
      </c>
      <c r="N4" s="7">
        <v>-0.40428487622647702</v>
      </c>
      <c r="O4" s="7">
        <v>-0.44985857762279935</v>
      </c>
      <c r="P4" s="7">
        <v>-0.39884549180091611</v>
      </c>
      <c r="Q4" s="7">
        <v>-0.16467458853120043</v>
      </c>
      <c r="R4" s="7">
        <f>AVERAGE(Tabla6[[#This Row],[Z_A]:[Z_D]])</f>
        <v>-0.35441588354534825</v>
      </c>
      <c r="S4" s="7">
        <f>_xlfn.STDEV.S(Tabla6[[#This Row],[Z_A]:[Z_D]])</f>
        <v>0.12854567723469784</v>
      </c>
    </row>
    <row r="5" spans="1:19" x14ac:dyDescent="0.25">
      <c r="A5" s="1" t="s">
        <v>1655</v>
      </c>
      <c r="B5" s="7">
        <v>21.29296875</v>
      </c>
      <c r="C5" s="7">
        <v>20.4921875</v>
      </c>
      <c r="D5" s="7">
        <v>9.640625</v>
      </c>
      <c r="E5" s="7">
        <v>10.375</v>
      </c>
      <c r="F5" s="7">
        <f>SUM(Tabla6[[#This Row],[A]:[D]])</f>
        <v>61.80078125</v>
      </c>
      <c r="G5" s="7">
        <v>1.1101350308932114</v>
      </c>
      <c r="H5" s="12">
        <v>0.60837053571428568</v>
      </c>
      <c r="I5" s="12">
        <v>0.58549107142857149</v>
      </c>
      <c r="J5" s="12">
        <v>0.64270833333333344</v>
      </c>
      <c r="K5" s="12">
        <v>0.69166666666666665</v>
      </c>
      <c r="L5" s="12">
        <f t="shared" si="0"/>
        <v>0.60963638998477288</v>
      </c>
      <c r="M5" s="18">
        <f>_xlfn.STDEV.S(Tabla6[[#This Row],[HEAD_A]:[HEAD_D]])</f>
        <v>4.6174298541670579E-2</v>
      </c>
      <c r="N5" s="7">
        <v>-4.1171257555830676E-2</v>
      </c>
      <c r="O5" s="7">
        <v>-0.10191338428093322</v>
      </c>
      <c r="P5" s="7">
        <v>0.14412394659354397</v>
      </c>
      <c r="Q5" s="7">
        <v>-0.25486869124500228</v>
      </c>
      <c r="R5" s="7">
        <f>AVERAGE(Tabla6[[#This Row],[Z_A]:[Z_D]])</f>
        <v>-6.3457346622055544E-2</v>
      </c>
      <c r="S5" s="7">
        <f>_xlfn.STDEV.S(Tabla6[[#This Row],[Z_A]:[Z_D]])</f>
        <v>0.16502912141166068</v>
      </c>
    </row>
    <row r="6" spans="1:19" x14ac:dyDescent="0.25">
      <c r="A6" s="1" t="s">
        <v>1656</v>
      </c>
      <c r="B6" s="7">
        <v>19.347222222222221</v>
      </c>
      <c r="C6" s="7">
        <v>20.319444444444443</v>
      </c>
      <c r="D6" s="7">
        <v>8.9166666666666679</v>
      </c>
      <c r="E6" s="7"/>
      <c r="F6" s="7">
        <f>SUM(Tabla6[[#This Row],[A]:[D]])</f>
        <v>48.583333333333329</v>
      </c>
      <c r="G6" s="7">
        <v>0.72142899210831246</v>
      </c>
      <c r="H6" s="12">
        <v>0.55277777777777781</v>
      </c>
      <c r="I6" s="12">
        <v>0.58055555555555549</v>
      </c>
      <c r="J6" s="12">
        <v>0.59444444444444444</v>
      </c>
      <c r="K6" s="12"/>
      <c r="L6" s="12">
        <f t="shared" si="0"/>
        <v>0.60800205498866222</v>
      </c>
      <c r="M6" s="18">
        <f>_xlfn.STDEV.S(Tabla6[[#This Row],[HEAD_A]:[HEAD_D]])</f>
        <v>2.1215628217388122E-2</v>
      </c>
      <c r="N6" s="7">
        <v>-0.16881618470675638</v>
      </c>
      <c r="O6" s="7">
        <v>6.8951971305049431E-2</v>
      </c>
      <c r="P6" s="7">
        <v>0.12989249323959259</v>
      </c>
      <c r="Q6" s="7"/>
      <c r="R6" s="7">
        <f>AVERAGE(Tabla6[[#This Row],[Z_A]:[Z_D]])</f>
        <v>1.0009426612628547E-2</v>
      </c>
      <c r="S6" s="7">
        <f>_xlfn.STDEV.S(Tabla6[[#This Row],[Z_A]:[Z_D]])</f>
        <v>0.15783658083989094</v>
      </c>
    </row>
    <row r="7" spans="1:19" x14ac:dyDescent="0.25">
      <c r="A7" s="1" t="s">
        <v>1657</v>
      </c>
      <c r="B7" s="7">
        <v>21.222222222222221</v>
      </c>
      <c r="C7" s="7">
        <v>18.111111111111111</v>
      </c>
      <c r="D7" s="7">
        <v>7.4444444444444446</v>
      </c>
      <c r="E7" s="7">
        <v>8.8888888888888893</v>
      </c>
      <c r="F7" s="7">
        <f>SUM(Tabla6[[#This Row],[A]:[D]])</f>
        <v>55.666666666666657</v>
      </c>
      <c r="G7" s="7">
        <v>1.6536847871180351</v>
      </c>
      <c r="H7" s="12">
        <v>0.6063492063492063</v>
      </c>
      <c r="I7" s="12">
        <v>0.5174603174603174</v>
      </c>
      <c r="J7" s="12">
        <v>0.49629629629629629</v>
      </c>
      <c r="K7" s="12">
        <v>0.59259259259259267</v>
      </c>
      <c r="L7" s="12">
        <f t="shared" si="0"/>
        <v>0.56292517006802723</v>
      </c>
      <c r="M7" s="18">
        <f>_xlfn.STDEV.S(Tabla6[[#This Row],[HEAD_A]:[HEAD_D]])</f>
        <v>5.4442533341612406E-2</v>
      </c>
      <c r="N7" s="7">
        <v>-0.27757980591568049</v>
      </c>
      <c r="O7" s="7">
        <v>-0.81991586555133833</v>
      </c>
      <c r="P7" s="7">
        <v>-1.2447858313320173</v>
      </c>
      <c r="Q7" s="7">
        <v>-0.90429446055048324</v>
      </c>
      <c r="R7" s="7">
        <f>AVERAGE(Tabla6[[#This Row],[Z_A]:[Z_D]])</f>
        <v>-0.81164399083737981</v>
      </c>
      <c r="S7" s="7">
        <f>_xlfn.STDEV.S(Tabla6[[#This Row],[Z_A]:[Z_D]])</f>
        <v>0.40061991174199985</v>
      </c>
    </row>
    <row r="8" spans="1:19" x14ac:dyDescent="0.25">
      <c r="A8" s="1" t="s">
        <v>1658</v>
      </c>
      <c r="B8" s="7">
        <v>22.307873090481785</v>
      </c>
      <c r="C8" s="7">
        <v>21.468933607520562</v>
      </c>
      <c r="D8" s="7">
        <v>9.0801997649823747</v>
      </c>
      <c r="E8" s="7">
        <v>11.081081081081081</v>
      </c>
      <c r="F8" s="7">
        <f>SUM(Tabla6[[#This Row],[A]:[D]])</f>
        <v>63.938087544065802</v>
      </c>
      <c r="G8" s="7">
        <v>1.2268915584914342</v>
      </c>
      <c r="H8" s="12">
        <v>0.63736780258519388</v>
      </c>
      <c r="I8" s="12">
        <v>0.61339810307201614</v>
      </c>
      <c r="J8" s="12">
        <v>0.6053466509988249</v>
      </c>
      <c r="K8" s="12">
        <v>0.73873873873873874</v>
      </c>
      <c r="L8" s="12">
        <f t="shared" si="0"/>
        <v>0.60094371351164821</v>
      </c>
      <c r="M8" s="18">
        <f>_xlfn.STDEV.S(Tabla6[[#This Row],[HEAD_A]:[HEAD_D]])</f>
        <v>6.1538955983014794E-2</v>
      </c>
      <c r="N8" s="7">
        <v>0.14432482702721802</v>
      </c>
      <c r="O8" s="7">
        <v>8.0438587670189146E-2</v>
      </c>
      <c r="P8" s="7">
        <v>-0.119519576444548</v>
      </c>
      <c r="Q8" s="7">
        <v>5.3686467144391403E-2</v>
      </c>
      <c r="R8" s="7">
        <f>AVERAGE(Tabla6[[#This Row],[Z_A]:[Z_D]])</f>
        <v>3.9732576349312647E-2</v>
      </c>
      <c r="S8" s="7">
        <f>_xlfn.STDEV.S(Tabla6[[#This Row],[Z_A]:[Z_D]])</f>
        <v>0.11277186040457261</v>
      </c>
    </row>
    <row r="9" spans="1:19" x14ac:dyDescent="0.25">
      <c r="A9" s="1" t="s">
        <v>1659</v>
      </c>
      <c r="B9" s="7">
        <v>19.197916666666664</v>
      </c>
      <c r="C9" s="7">
        <v>17.339583333333334</v>
      </c>
      <c r="D9" s="7">
        <v>8.625</v>
      </c>
      <c r="E9" s="7">
        <v>10.45</v>
      </c>
      <c r="F9" s="7">
        <f>SUM(Tabla6[[#This Row],[A]:[D]])</f>
        <v>55.612499999999997</v>
      </c>
      <c r="G9" s="7">
        <v>1.2007838852239074</v>
      </c>
      <c r="H9" s="12">
        <v>0.54851190476190481</v>
      </c>
      <c r="I9" s="12">
        <v>0.49541666666666667</v>
      </c>
      <c r="J9" s="12">
        <v>0.57499999999999996</v>
      </c>
      <c r="K9" s="12">
        <v>0.69666666666666666</v>
      </c>
      <c r="L9" s="12">
        <f t="shared" si="0"/>
        <v>0.61380581668625145</v>
      </c>
      <c r="M9" s="18">
        <f>_xlfn.STDEV.S(Tabla6[[#This Row],[HEAD_A]:[HEAD_D]])</f>
        <v>8.5199962927911793E-2</v>
      </c>
      <c r="N9" s="7">
        <v>-0.4151214642605201</v>
      </c>
      <c r="O9" s="7">
        <v>-0.68717628410104048</v>
      </c>
      <c r="P9" s="7">
        <v>-0.26884209909952073</v>
      </c>
      <c r="Q9" s="7">
        <v>-0.2220939327940715</v>
      </c>
      <c r="R9" s="7">
        <f>AVERAGE(Tabla6[[#This Row],[Z_A]:[Z_D]])</f>
        <v>-0.39830844506378815</v>
      </c>
      <c r="S9" s="7">
        <f>_xlfn.STDEV.S(Tabla6[[#This Row],[Z_A]:[Z_D]])</f>
        <v>0.20939627115141862</v>
      </c>
    </row>
    <row r="10" spans="1:19" x14ac:dyDescent="0.25">
      <c r="A10" s="1" t="s">
        <v>1660</v>
      </c>
      <c r="B10" s="7">
        <v>21.237499999999997</v>
      </c>
      <c r="C10" s="7">
        <v>21.255000000000003</v>
      </c>
      <c r="D10" s="7">
        <v>9.5124999999999993</v>
      </c>
      <c r="E10" s="7">
        <v>7.5</v>
      </c>
      <c r="F10" s="7">
        <f>SUM(Tabla6[[#This Row],[A]:[D]])</f>
        <v>59.504999999999995</v>
      </c>
      <c r="G10" s="7">
        <v>1.2264697247145708</v>
      </c>
      <c r="H10" s="12">
        <v>0.60678571428571426</v>
      </c>
      <c r="I10" s="12">
        <v>0.60728571428571421</v>
      </c>
      <c r="J10" s="12">
        <v>0.63416666666666666</v>
      </c>
      <c r="K10" s="12">
        <v>0.5</v>
      </c>
      <c r="L10" s="12">
        <f t="shared" si="0"/>
        <v>0.5829791666666666</v>
      </c>
      <c r="M10" s="18">
        <f>_xlfn.STDEV.S(Tabla6[[#This Row],[HEAD_A]:[HEAD_D]])</f>
        <v>5.9432496627087751E-2</v>
      </c>
      <c r="N10" s="7">
        <v>-5.4391776691881819E-2</v>
      </c>
      <c r="O10" s="7">
        <v>2.4320233492855559E-2</v>
      </c>
      <c r="P10" s="7">
        <v>6.3224001781363753E-2</v>
      </c>
      <c r="Q10" s="7">
        <v>-1.5112344318640167</v>
      </c>
      <c r="R10" s="7">
        <f>AVERAGE(Tabla6[[#This Row],[Z_A]:[Z_D]])</f>
        <v>-0.36952049332041981</v>
      </c>
      <c r="S10" s="7">
        <f>_xlfn.STDEV.S(Tabla6[[#This Row],[Z_A]:[Z_D]])</f>
        <v>0.76271338908015074</v>
      </c>
    </row>
    <row r="11" spans="1:19" x14ac:dyDescent="0.25">
      <c r="A11" s="1" t="s">
        <v>1661</v>
      </c>
      <c r="B11" s="7">
        <v>28.9</v>
      </c>
      <c r="C11" s="7">
        <v>28.954166666666666</v>
      </c>
      <c r="D11" s="7">
        <v>12.341071428571428</v>
      </c>
      <c r="E11" s="7">
        <v>12.666666666666666</v>
      </c>
      <c r="F11" s="7">
        <f>SUM(Tabla6[[#This Row],[A]:[D]])</f>
        <v>82.861904761904768</v>
      </c>
      <c r="G11" s="7">
        <v>1.4786579633268826</v>
      </c>
      <c r="H11" s="12">
        <v>0.82571428571428573</v>
      </c>
      <c r="I11" s="12">
        <v>0.82726190476190475</v>
      </c>
      <c r="J11" s="12">
        <v>0.82273809523809516</v>
      </c>
      <c r="K11" s="12">
        <v>0.84444444444444444</v>
      </c>
      <c r="L11" s="12">
        <f t="shared" si="0"/>
        <v>0.70854960317460303</v>
      </c>
      <c r="M11" s="18">
        <f>_xlfn.STDEV.S(Tabla6[[#This Row],[HEAD_A]:[HEAD_D]])</f>
        <v>9.7849450643228923E-3</v>
      </c>
      <c r="N11" s="7">
        <v>1.3540724407413354</v>
      </c>
      <c r="O11" s="7">
        <v>1.4766393930554562</v>
      </c>
      <c r="P11" s="7">
        <v>1.2487874411749766</v>
      </c>
      <c r="Q11" s="7">
        <v>0.74658226142232798</v>
      </c>
      <c r="R11" s="7">
        <f>AVERAGE(Tabla6[[#This Row],[Z_A]:[Z_D]])</f>
        <v>1.2065203840985241</v>
      </c>
      <c r="S11" s="7">
        <f>_xlfn.STDEV.S(Tabla6[[#This Row],[Z_A]:[Z_D]])</f>
        <v>0.32045044818411794</v>
      </c>
    </row>
    <row r="12" spans="1:19" x14ac:dyDescent="0.25">
      <c r="A12" s="1" t="s">
        <v>1664</v>
      </c>
      <c r="B12" s="7">
        <v>26.375</v>
      </c>
      <c r="C12" s="7">
        <v>25.8125</v>
      </c>
      <c r="D12" s="7">
        <v>9.5625</v>
      </c>
      <c r="E12" s="7">
        <v>10.5625</v>
      </c>
      <c r="F12" s="7">
        <f>SUM(Tabla6[[#This Row],[A]:[D]])</f>
        <v>72.3125</v>
      </c>
      <c r="G12" s="7">
        <v>2.1549068801863971</v>
      </c>
      <c r="H12" s="12">
        <v>0.75357142857142856</v>
      </c>
      <c r="I12" s="12">
        <v>0.73750000000000004</v>
      </c>
      <c r="J12" s="12">
        <v>0.63749999999999996</v>
      </c>
      <c r="K12" s="12">
        <v>0.70416666666666672</v>
      </c>
      <c r="L12" s="12">
        <f t="shared" si="0"/>
        <v>0.76911210317460321</v>
      </c>
      <c r="M12" s="18">
        <f>_xlfn.STDEV.S(Tabla6[[#This Row],[HEAD_A]:[HEAD_D]])</f>
        <v>5.1419235539306829E-2</v>
      </c>
      <c r="N12" s="7">
        <v>0.69362477478132578</v>
      </c>
      <c r="O12" s="7">
        <v>0.74719051025624383</v>
      </c>
      <c r="P12" s="7">
        <v>-0.2404624116312081</v>
      </c>
      <c r="Q12" s="7">
        <v>-0.17293179511767531</v>
      </c>
      <c r="R12" s="7">
        <f>AVERAGE(Tabla6[[#This Row],[Z_A]:[Z_D]])</f>
        <v>0.25685526957217153</v>
      </c>
      <c r="S12" s="7">
        <f>_xlfn.STDEV.S(Tabla6[[#This Row],[Z_A]:[Z_D]])</f>
        <v>0.53641962614778149</v>
      </c>
    </row>
    <row r="13" spans="1:19" x14ac:dyDescent="0.25">
      <c r="A13" s="1" t="s">
        <v>1665</v>
      </c>
      <c r="B13" s="7">
        <v>30.166666666666668</v>
      </c>
      <c r="C13" s="7">
        <v>29.5</v>
      </c>
      <c r="D13" s="7">
        <v>13.833333333333334</v>
      </c>
      <c r="E13" s="7">
        <v>12.833333333333334</v>
      </c>
      <c r="F13" s="7">
        <f>SUM(Tabla6[[#This Row],[A]:[D]])</f>
        <v>86.333333333333329</v>
      </c>
      <c r="G13" s="7">
        <v>2.6822894249174745</v>
      </c>
      <c r="H13" s="12">
        <v>0.86190476190476195</v>
      </c>
      <c r="I13" s="12">
        <v>0.84285714285714286</v>
      </c>
      <c r="J13" s="12">
        <v>0.92222222222222228</v>
      </c>
      <c r="K13" s="12">
        <v>0.85555555555555562</v>
      </c>
      <c r="L13" s="12">
        <f t="shared" si="0"/>
        <v>0.78940972222222228</v>
      </c>
      <c r="M13" s="18">
        <f>_xlfn.STDEV.S(Tabla6[[#This Row],[HEAD_A]:[HEAD_D]])</f>
        <v>3.5291441578100102E-2</v>
      </c>
      <c r="N13" s="7">
        <v>1.4082847492564816</v>
      </c>
      <c r="O13" s="7">
        <v>1.4975363042633008</v>
      </c>
      <c r="P13" s="7">
        <v>1.7846487461261606</v>
      </c>
      <c r="Q13" s="7">
        <v>0.81941505797995218</v>
      </c>
      <c r="R13" s="7">
        <f>AVERAGE(Tabla6[[#This Row],[Z_A]:[Z_D]])</f>
        <v>1.3774712144064738</v>
      </c>
      <c r="S13" s="7">
        <f>_xlfn.STDEV.S(Tabla6[[#This Row],[Z_A]:[Z_D]])</f>
        <v>0.40520995208046529</v>
      </c>
    </row>
    <row r="14" spans="1:19" x14ac:dyDescent="0.25">
      <c r="A14" s="1" t="s">
        <v>1666</v>
      </c>
      <c r="B14" s="7">
        <v>23.130541871921181</v>
      </c>
      <c r="C14" s="7">
        <v>23.562192118226601</v>
      </c>
      <c r="D14" s="7">
        <v>10.004926108374384</v>
      </c>
      <c r="E14" s="7">
        <v>9.5</v>
      </c>
      <c r="F14" s="7">
        <f>SUM(Tabla6[[#This Row],[A]:[D]])</f>
        <v>66.197660098522164</v>
      </c>
      <c r="G14" s="7">
        <v>1.471595744613627</v>
      </c>
      <c r="H14" s="12">
        <v>0.6608726249120338</v>
      </c>
      <c r="I14" s="12">
        <v>0.67320548909218858</v>
      </c>
      <c r="J14" s="12">
        <v>0.6669950738916256</v>
      </c>
      <c r="K14" s="12">
        <v>0.6333333333333333</v>
      </c>
      <c r="L14" s="12">
        <f t="shared" si="0"/>
        <v>0.76461827547110794</v>
      </c>
      <c r="M14" s="18">
        <f>_xlfn.STDEV.S(Tabla6[[#This Row],[HEAD_A]:[HEAD_D]])</f>
        <v>1.7581873573575036E-2</v>
      </c>
      <c r="N14" s="7">
        <v>0.29520468518406945</v>
      </c>
      <c r="O14" s="7">
        <v>0.48117133578732141</v>
      </c>
      <c r="P14" s="7">
        <v>0.26989698228319908</v>
      </c>
      <c r="Q14" s="7">
        <v>-0.63724087317252842</v>
      </c>
      <c r="R14" s="7">
        <f>AVERAGE(Tabla6[[#This Row],[Z_A]:[Z_D]])</f>
        <v>0.10225803252051538</v>
      </c>
      <c r="S14" s="7">
        <f>_xlfn.STDEV.S(Tabla6[[#This Row],[Z_A]:[Z_D]])</f>
        <v>0.50191803818464809</v>
      </c>
    </row>
    <row r="15" spans="1:19" x14ac:dyDescent="0.25">
      <c r="A15" s="1" t="s">
        <v>1667</v>
      </c>
      <c r="B15" s="7">
        <v>20.022420634920636</v>
      </c>
      <c r="C15" s="7">
        <v>19.671031746031744</v>
      </c>
      <c r="D15" s="7">
        <v>8.7773809523809518</v>
      </c>
      <c r="E15" s="7">
        <v>11.047619047619047</v>
      </c>
      <c r="F15" s="7">
        <f>SUM(Tabla6[[#This Row],[A]:[D]])</f>
        <v>59.518452380952382</v>
      </c>
      <c r="G15" s="7">
        <v>1.0270450330373615</v>
      </c>
      <c r="H15" s="12">
        <v>0.57206916099773242</v>
      </c>
      <c r="I15" s="12">
        <v>0.56202947845804985</v>
      </c>
      <c r="J15" s="12">
        <v>0.5851587301587301</v>
      </c>
      <c r="K15" s="12">
        <v>0.73650793650793644</v>
      </c>
      <c r="L15" s="12">
        <f t="shared" si="0"/>
        <v>0.63627147841895382</v>
      </c>
      <c r="M15" s="18">
        <f>_xlfn.STDEV.S(Tabla6[[#This Row],[HEAD_A]:[HEAD_D]])</f>
        <v>8.2257988369846199E-2</v>
      </c>
      <c r="N15" s="7">
        <v>-0.27075404719851826</v>
      </c>
      <c r="O15" s="7">
        <v>-0.25853613242487078</v>
      </c>
      <c r="P15" s="7">
        <v>-0.23084623176952285</v>
      </c>
      <c r="Q15" s="7">
        <v>3.906366629112322E-2</v>
      </c>
      <c r="R15" s="7">
        <f>AVERAGE(Tabla6[[#This Row],[Z_A]:[Z_D]])</f>
        <v>-0.18026818627544716</v>
      </c>
      <c r="S15" s="7">
        <f>_xlfn.STDEV.S(Tabla6[[#This Row],[Z_A]:[Z_D]])</f>
        <v>0.14717128644057692</v>
      </c>
    </row>
    <row r="16" spans="1:19" x14ac:dyDescent="0.25">
      <c r="A16" s="1" t="s">
        <v>1668</v>
      </c>
      <c r="B16" s="7">
        <v>15.798295454545455</v>
      </c>
      <c r="C16" s="7">
        <v>15.161931818181818</v>
      </c>
      <c r="D16" s="7">
        <v>7.4204545454545459</v>
      </c>
      <c r="E16" s="7">
        <v>12.272727272727273</v>
      </c>
      <c r="F16" s="7">
        <f>SUM(Tabla6[[#This Row],[A]:[D]])</f>
        <v>50.653409090909093</v>
      </c>
      <c r="G16" s="7">
        <v>0.59024259655611666</v>
      </c>
      <c r="H16" s="12">
        <v>0.45137987012987013</v>
      </c>
      <c r="I16" s="12">
        <v>0.43319805194805194</v>
      </c>
      <c r="J16" s="12">
        <v>0.49469696969696975</v>
      </c>
      <c r="K16" s="12">
        <v>0.81818181818181823</v>
      </c>
      <c r="L16" s="12">
        <f t="shared" si="0"/>
        <v>0.58165275200989486</v>
      </c>
      <c r="M16" s="18">
        <f>_xlfn.STDEV.S(Tabla6[[#This Row],[HEAD_A]:[HEAD_D]])</f>
        <v>0.18105884933475247</v>
      </c>
      <c r="N16" s="7">
        <v>-1.0464281376473887</v>
      </c>
      <c r="O16" s="7">
        <v>-1.1125247057061469</v>
      </c>
      <c r="P16" s="7">
        <v>-0.81664588192473953</v>
      </c>
      <c r="Q16" s="7">
        <v>0.57443201501339847</v>
      </c>
      <c r="R16" s="7">
        <f>AVERAGE(Tabla6[[#This Row],[Z_A]:[Z_D]])</f>
        <v>-0.60029167756621926</v>
      </c>
      <c r="S16" s="7">
        <f>_xlfn.STDEV.S(Tabla6[[#This Row],[Z_A]:[Z_D]])</f>
        <v>0.79334845471218962</v>
      </c>
    </row>
    <row r="17" spans="1:19" x14ac:dyDescent="0.25">
      <c r="A17" s="1" t="s">
        <v>1663</v>
      </c>
      <c r="B17" s="7">
        <v>24.01089409722222</v>
      </c>
      <c r="C17" s="7">
        <v>23.633203125000001</v>
      </c>
      <c r="D17" s="7">
        <v>10.494184027777777</v>
      </c>
      <c r="E17" s="7">
        <v>10.866666666666667</v>
      </c>
      <c r="F17" s="7">
        <f>SUM(Tabla6[[#This Row],[A]:[D]])</f>
        <v>69.004947916666666</v>
      </c>
      <c r="G17" s="7">
        <v>1.2804976442294824</v>
      </c>
      <c r="H17" s="12">
        <v>0.68602554563492069</v>
      </c>
      <c r="I17" s="12">
        <v>0.67523437500000005</v>
      </c>
      <c r="J17" s="12">
        <v>0.69961226851851854</v>
      </c>
      <c r="K17" s="12">
        <v>0.72444444444444445</v>
      </c>
      <c r="L17" s="12">
        <f t="shared" si="0"/>
        <v>0.62284666794432431</v>
      </c>
      <c r="M17" s="18">
        <f>_xlfn.STDEV.S(Tabla6[[#This Row],[HEAD_A]:[HEAD_D]])</f>
        <v>2.1232070429084947E-2</v>
      </c>
      <c r="N17" s="7">
        <v>0.46066324732350539</v>
      </c>
      <c r="O17" s="7">
        <v>0.49849481515914029</v>
      </c>
      <c r="P17" s="7">
        <v>0.50615599860102556</v>
      </c>
      <c r="Q17" s="7">
        <v>-4.0011941400011408E-2</v>
      </c>
      <c r="R17" s="7">
        <f>AVERAGE(Tabla6[[#This Row],[Z_A]:[Z_D]])</f>
        <v>0.35632552992091493</v>
      </c>
      <c r="S17" s="7">
        <f>_xlfn.STDEV.S(Tabla6[[#This Row],[Z_A]:[Z_D]])</f>
        <v>0.26497234161065347</v>
      </c>
    </row>
    <row r="18" spans="1:19" x14ac:dyDescent="0.25">
      <c r="A18" s="1" t="s">
        <v>1662</v>
      </c>
      <c r="B18" s="7">
        <v>19.72470238095238</v>
      </c>
      <c r="C18" s="7">
        <v>19.885416666666664</v>
      </c>
      <c r="D18" s="7">
        <v>9.2529761904761898</v>
      </c>
      <c r="E18" s="7">
        <v>9.9047619047619051</v>
      </c>
      <c r="F18" s="7">
        <f>SUM(Tabla6[[#This Row],[A]:[D]])</f>
        <v>58.767857142857139</v>
      </c>
      <c r="G18" s="7">
        <v>1.2342081816381756</v>
      </c>
      <c r="H18" s="12">
        <v>0.56356292517006801</v>
      </c>
      <c r="I18" s="12">
        <v>0.56815476190476188</v>
      </c>
      <c r="J18" s="12">
        <v>0.61686507936507939</v>
      </c>
      <c r="K18" s="12">
        <v>0.6603174603174603</v>
      </c>
      <c r="L18" s="12">
        <f t="shared" si="0"/>
        <v>0.64927710754440671</v>
      </c>
      <c r="M18" s="18">
        <f>_xlfn.STDEV.S(Tabla6[[#This Row],[HEAD_A]:[HEAD_D]])</f>
        <v>4.5623835231014008E-2</v>
      </c>
      <c r="N18" s="7">
        <v>-0.32520219012887031</v>
      </c>
      <c r="O18" s="7">
        <v>-0.19787971939108182</v>
      </c>
      <c r="P18" s="7">
        <v>-2.5297971849976279E-2</v>
      </c>
      <c r="Q18" s="7">
        <v>-0.46036122438972721</v>
      </c>
      <c r="R18" s="7">
        <f>AVERAGE(Tabla6[[#This Row],[Z_A]:[Z_D]])</f>
        <v>-0.2521852764399139</v>
      </c>
      <c r="S18" s="7">
        <f>_xlfn.STDEV.S(Tabla6[[#This Row],[Z_A]:[Z_D]])</f>
        <v>0.18537856537361139</v>
      </c>
    </row>
    <row r="19" spans="1:19" x14ac:dyDescent="0.25">
      <c r="A19" s="1" t="s">
        <v>1654</v>
      </c>
      <c r="B19" s="7">
        <v>25.159722222222221</v>
      </c>
      <c r="C19" s="7">
        <v>24.99074074074074</v>
      </c>
      <c r="D19" s="7">
        <v>11.138227513227513</v>
      </c>
      <c r="E19" s="7">
        <v>10.74074074074074</v>
      </c>
      <c r="F19" s="7">
        <f>SUM(Tabla6[[#This Row],[A]:[D]])</f>
        <v>72.029431216931215</v>
      </c>
      <c r="G19" s="7">
        <v>1.4270908390385064</v>
      </c>
      <c r="H19" s="12">
        <v>0.71884920634920635</v>
      </c>
      <c r="I19" s="12">
        <v>0.714021164021164</v>
      </c>
      <c r="J19" s="12">
        <v>0.74254850088183422</v>
      </c>
      <c r="K19" s="12">
        <v>0.71604938271604934</v>
      </c>
      <c r="L19" s="12">
        <f t="shared" si="0"/>
        <v>0.66254606009070294</v>
      </c>
      <c r="M19" s="18">
        <f>_xlfn.STDEV.S(Tabla6[[#This Row],[HEAD_A]:[HEAD_D]])</f>
        <v>1.3269424282421676E-2</v>
      </c>
      <c r="N19" s="7">
        <v>0.67129096029052415</v>
      </c>
      <c r="O19" s="7">
        <v>0.75421707222052048</v>
      </c>
      <c r="P19" s="7">
        <v>0.76936296223514555</v>
      </c>
      <c r="Q19" s="7">
        <v>-9.5041165465771835E-2</v>
      </c>
      <c r="R19" s="7">
        <f>AVERAGE(Tabla6[[#This Row],[Z_A]:[Z_D]])</f>
        <v>0.52495745732010457</v>
      </c>
      <c r="S19" s="7">
        <f>_xlfn.STDEV.S(Tabla6[[#This Row],[Z_A]:[Z_D]])</f>
        <v>0.41557422449948317</v>
      </c>
    </row>
    <row r="20" spans="1:19" x14ac:dyDescent="0.25">
      <c r="A20" s="1" t="s">
        <v>1670</v>
      </c>
      <c r="B20" s="7">
        <v>25.839937002652519</v>
      </c>
      <c r="C20" s="7">
        <v>25.239804376657826</v>
      </c>
      <c r="D20" s="7">
        <v>10.944960212201591</v>
      </c>
      <c r="E20" s="7">
        <v>11.862068965517242</v>
      </c>
      <c r="F20" s="7">
        <f>SUM(Tabla6[[#This Row],[A]:[D]])</f>
        <v>73.88677055702918</v>
      </c>
      <c r="G20" s="7">
        <v>1.4079892013343764</v>
      </c>
      <c r="H20" s="12">
        <v>0.73828391436150054</v>
      </c>
      <c r="I20" s="12">
        <v>0.72113726790450938</v>
      </c>
      <c r="J20" s="12">
        <v>0.72966401414677273</v>
      </c>
      <c r="K20" s="12">
        <v>0.79080459770114941</v>
      </c>
      <c r="L20" s="12">
        <f t="shared" si="0"/>
        <v>0.73391975601027315</v>
      </c>
      <c r="M20" s="18">
        <f>_xlfn.STDEV.S(Tabla6[[#This Row],[HEAD_A]:[HEAD_D]])</f>
        <v>3.1346378768447959E-2</v>
      </c>
      <c r="N20" s="7">
        <v>0.79776604288196029</v>
      </c>
      <c r="O20" s="7">
        <v>0.79877451004245292</v>
      </c>
      <c r="P20" s="7">
        <v>0.69017019933856671</v>
      </c>
      <c r="Q20" s="7">
        <v>0.39497565735103968</v>
      </c>
      <c r="R20" s="7">
        <f>AVERAGE(Tabla6[[#This Row],[Z_A]:[Z_D]])</f>
        <v>0.67042160240350501</v>
      </c>
      <c r="S20" s="7">
        <f>_xlfn.STDEV.S(Tabla6[[#This Row],[Z_A]:[Z_D]])</f>
        <v>0.19057067905538522</v>
      </c>
    </row>
    <row r="21" spans="1:19" x14ac:dyDescent="0.25">
      <c r="A21" s="1" t="s">
        <v>1671</v>
      </c>
      <c r="B21" s="7">
        <v>21.006555944055947</v>
      </c>
      <c r="C21" s="7">
        <v>21.129807692307693</v>
      </c>
      <c r="D21" s="7">
        <v>9.2303321678321666</v>
      </c>
      <c r="E21" s="7">
        <v>12.5</v>
      </c>
      <c r="F21" s="7">
        <f>SUM(Tabla6[[#This Row],[A]:[D]])</f>
        <v>63.866695804195807</v>
      </c>
      <c r="G21" s="7">
        <v>1.0952023694002107</v>
      </c>
      <c r="H21" s="12">
        <v>0.60018731268731274</v>
      </c>
      <c r="I21" s="12">
        <v>0.60370879120879117</v>
      </c>
      <c r="J21" s="12">
        <v>0.61535547785547773</v>
      </c>
      <c r="K21" s="12">
        <v>0.83333333333333337</v>
      </c>
      <c r="L21" s="12">
        <f t="shared" si="0"/>
        <v>0.70405933864985581</v>
      </c>
      <c r="M21" s="18">
        <f>_xlfn.STDEV.S(Tabla6[[#This Row],[HEAD_A]:[HEAD_D]])</f>
        <v>0.11364306773222656</v>
      </c>
      <c r="N21" s="7">
        <v>-7.9347183933522997E-2</v>
      </c>
      <c r="O21" s="7">
        <v>4.1918047089623933E-2</v>
      </c>
      <c r="P21" s="7">
        <v>-7.8230620883823487E-3</v>
      </c>
      <c r="Q21" s="7">
        <v>0.673749464864704</v>
      </c>
      <c r="R21" s="7">
        <f>AVERAGE(Tabla6[[#This Row],[Z_A]:[Z_D]])</f>
        <v>0.15712431648310565</v>
      </c>
      <c r="S21" s="7">
        <f>_xlfn.STDEV.S(Tabla6[[#This Row],[Z_A]:[Z_D]])</f>
        <v>0.34799446195534461</v>
      </c>
    </row>
    <row r="22" spans="1:19" x14ac:dyDescent="0.25">
      <c r="A22" s="1" t="s">
        <v>1672</v>
      </c>
      <c r="B22" s="7">
        <v>19.377840909090907</v>
      </c>
      <c r="C22" s="7">
        <v>18.454545454545453</v>
      </c>
      <c r="D22" s="7">
        <v>8.0042613636363633</v>
      </c>
      <c r="E22" s="7">
        <v>10.90625</v>
      </c>
      <c r="F22" s="7">
        <f>SUM(Tabla6[[#This Row],[A]:[D]])</f>
        <v>56.74289772727272</v>
      </c>
      <c r="G22" s="7">
        <v>0.93502012325931338</v>
      </c>
      <c r="H22" s="12">
        <v>0.55365259740259742</v>
      </c>
      <c r="I22" s="12">
        <v>0.52727272727272734</v>
      </c>
      <c r="J22" s="12">
        <v>0.53361742424242431</v>
      </c>
      <c r="K22" s="12">
        <v>0.7270833333333333</v>
      </c>
      <c r="L22" s="12">
        <f t="shared" si="0"/>
        <v>0.6242763746669997</v>
      </c>
      <c r="M22" s="18">
        <f>_xlfn.STDEV.S(Tabla6[[#This Row],[HEAD_A]:[HEAD_D]])</f>
        <v>9.5117960681908531E-2</v>
      </c>
      <c r="N22" s="7">
        <v>-0.38825605284341058</v>
      </c>
      <c r="O22" s="7">
        <v>-0.49220946620526101</v>
      </c>
      <c r="P22" s="7">
        <v>-0.5621174636821995</v>
      </c>
      <c r="Q22" s="7">
        <v>-2.2714152217575723E-2</v>
      </c>
      <c r="R22" s="7">
        <f>AVERAGE(Tabla6[[#This Row],[Z_A]:[Z_D]])</f>
        <v>-0.36632428373711173</v>
      </c>
      <c r="S22" s="7">
        <f>_xlfn.STDEV.S(Tabla6[[#This Row],[Z_A]:[Z_D]])</f>
        <v>0.23995206011274667</v>
      </c>
    </row>
    <row r="23" spans="1:19" x14ac:dyDescent="0.25">
      <c r="A23" s="1" t="s">
        <v>1673</v>
      </c>
      <c r="B23" s="7">
        <v>20.45719696969697</v>
      </c>
      <c r="C23" s="7">
        <v>20.484659090909091</v>
      </c>
      <c r="D23" s="7">
        <v>9.5666666666666664</v>
      </c>
      <c r="E23" s="7">
        <v>11.333333333333334</v>
      </c>
      <c r="F23" s="7">
        <f>SUM(Tabla6[[#This Row],[A]:[D]])</f>
        <v>61.841856060606055</v>
      </c>
      <c r="G23" s="7">
        <v>1.0013228676156747</v>
      </c>
      <c r="H23" s="12">
        <v>0.58449134199134201</v>
      </c>
      <c r="I23" s="12">
        <v>0.58527597402597409</v>
      </c>
      <c r="J23" s="12">
        <v>0.63777777777777778</v>
      </c>
      <c r="K23" s="12">
        <v>0.75555555555555565</v>
      </c>
      <c r="L23" s="12">
        <f t="shared" si="0"/>
        <v>0.61309084145021642</v>
      </c>
      <c r="M23" s="18">
        <f>_xlfn.STDEV.S(Tabla6[[#This Row],[HEAD_A]:[HEAD_D]])</f>
        <v>8.0480952855291985E-2</v>
      </c>
      <c r="N23" s="7">
        <v>-0.19230637918409416</v>
      </c>
      <c r="O23" s="7">
        <v>-0.10358757670908672</v>
      </c>
      <c r="P23" s="7">
        <v>9.5915854965712338E-2</v>
      </c>
      <c r="Q23" s="7">
        <v>0.16391988896133586</v>
      </c>
      <c r="R23" s="7">
        <f>AVERAGE(Tabla6[[#This Row],[Z_A]:[Z_D]])</f>
        <v>-9.0145529915331771E-3</v>
      </c>
      <c r="S23" s="7">
        <f>_xlfn.STDEV.S(Tabla6[[#This Row],[Z_A]:[Z_D]])</f>
        <v>0.16678994982882825</v>
      </c>
    </row>
    <row r="24" spans="1:19" x14ac:dyDescent="0.25">
      <c r="A24" s="1" t="s">
        <v>1669</v>
      </c>
      <c r="B24" s="7">
        <v>20.9921875</v>
      </c>
      <c r="C24" s="7">
        <v>24.5078125</v>
      </c>
      <c r="D24" s="7">
        <v>10.203125</v>
      </c>
      <c r="E24" s="7">
        <v>9.875</v>
      </c>
      <c r="F24" s="7">
        <f>SUM(Tabla6[[#This Row],[A]:[D]])</f>
        <v>65.578125</v>
      </c>
      <c r="G24" s="7">
        <v>1.9496264369318554</v>
      </c>
      <c r="H24" s="12">
        <v>0.59977678571428572</v>
      </c>
      <c r="I24" s="12">
        <v>0.70022321428571432</v>
      </c>
      <c r="J24" s="12">
        <v>0.6802083333333333</v>
      </c>
      <c r="K24" s="12">
        <v>0.65833333333333333</v>
      </c>
      <c r="L24" s="12">
        <f t="shared" si="0"/>
        <v>0.6502052895021645</v>
      </c>
      <c r="M24" s="18">
        <f>_xlfn.STDEV.S(Tabla6[[#This Row],[HEAD_A]:[HEAD_D]])</f>
        <v>4.3417989114492871E-2</v>
      </c>
      <c r="N24" s="7">
        <v>-8.5211556161715815E-2</v>
      </c>
      <c r="O24" s="7">
        <v>0.66824654793239491</v>
      </c>
      <c r="P24" s="7">
        <v>0.38456771689654551</v>
      </c>
      <c r="Q24" s="7">
        <v>-0.47336708091787449</v>
      </c>
      <c r="R24" s="7">
        <f>AVERAGE(Tabla6[[#This Row],[Z_A]:[Z_D]])</f>
        <v>0.12355890693733751</v>
      </c>
      <c r="S24" s="7">
        <f>_xlfn.STDEV.S(Tabla6[[#This Row],[Z_A]:[Z_D]])</f>
        <v>0.50488149314751618</v>
      </c>
    </row>
    <row r="25" spans="1:19" x14ac:dyDescent="0.25">
      <c r="A25" s="1" t="s">
        <v>1674</v>
      </c>
      <c r="B25" s="7">
        <v>25.2</v>
      </c>
      <c r="C25" s="7">
        <v>23.066666666666666</v>
      </c>
      <c r="D25" s="7">
        <v>11.2</v>
      </c>
      <c r="E25" s="7">
        <v>11</v>
      </c>
      <c r="F25" s="7">
        <f>SUM(Tabla6[[#This Row],[A]:[D]])</f>
        <v>70.466666666666669</v>
      </c>
      <c r="G25" s="7">
        <v>1.8469627664966937</v>
      </c>
      <c r="H25" s="12">
        <v>0.72</v>
      </c>
      <c r="I25" s="12">
        <v>0.65904761904761899</v>
      </c>
      <c r="J25" s="12">
        <v>0.74666666666666659</v>
      </c>
      <c r="K25" s="12">
        <v>0.73333333333333328</v>
      </c>
      <c r="L25" s="12">
        <f t="shared" si="0"/>
        <v>0.68719866071428559</v>
      </c>
      <c r="M25" s="18">
        <f>_xlfn.STDEV.S(Tabla6[[#This Row],[HEAD_A]:[HEAD_D]])</f>
        <v>3.8705430565402731E-2</v>
      </c>
      <c r="N25" s="7">
        <v>0.47215871675715682</v>
      </c>
      <c r="O25" s="7">
        <v>0.18845844443629972</v>
      </c>
      <c r="P25" s="7">
        <v>0.53599484202600745</v>
      </c>
      <c r="Q25" s="7">
        <v>1.8254295846087763E-2</v>
      </c>
      <c r="R25" s="7">
        <f>AVERAGE(Tabla6[[#This Row],[Z_A]:[Z_D]])</f>
        <v>0.30371657476638797</v>
      </c>
      <c r="S25" s="7">
        <f>_xlfn.STDEV.S(Tabla6[[#This Row],[Z_A]:[Z_D]])</f>
        <v>0.2429671431374541</v>
      </c>
    </row>
    <row r="26" spans="1:19" x14ac:dyDescent="0.25">
      <c r="A26" s="1" t="s">
        <v>1675</v>
      </c>
      <c r="B26" s="7">
        <v>22.731249999999999</v>
      </c>
      <c r="C26" s="7">
        <v>22.854166666666664</v>
      </c>
      <c r="D26" s="7">
        <v>9.8625000000000007</v>
      </c>
      <c r="E26" s="7">
        <v>11.1</v>
      </c>
      <c r="F26" s="7">
        <f>SUM(Tabla6[[#This Row],[A]:[D]])</f>
        <v>66.547916666666652</v>
      </c>
      <c r="G26" s="7">
        <v>1.3160243025889713</v>
      </c>
      <c r="H26" s="12">
        <v>0.64946428571428572</v>
      </c>
      <c r="I26" s="12">
        <v>0.65297619047619049</v>
      </c>
      <c r="J26" s="12">
        <v>0.65749999999999997</v>
      </c>
      <c r="K26" s="12">
        <v>0.74</v>
      </c>
      <c r="L26" s="12">
        <f t="shared" si="0"/>
        <v>0.69487351190476188</v>
      </c>
      <c r="M26" s="18">
        <f>_xlfn.STDEV.S(Tabla6[[#This Row],[HEAD_A]:[HEAD_D]])</f>
        <v>4.3467880878689039E-2</v>
      </c>
      <c r="N26" s="7">
        <v>0.22762359230386253</v>
      </c>
      <c r="O26" s="7">
        <v>0.34438211942361496</v>
      </c>
      <c r="P26" s="7">
        <v>0.23735976678160681</v>
      </c>
      <c r="Q26" s="7">
        <v>6.1953973780662197E-2</v>
      </c>
      <c r="R26" s="7">
        <f>AVERAGE(Tabla6[[#This Row],[Z_A]:[Z_D]])</f>
        <v>0.21782986307243662</v>
      </c>
      <c r="S26" s="7">
        <f>_xlfn.STDEV.S(Tabla6[[#This Row],[Z_A]:[Z_D]])</f>
        <v>0.11660488943611216</v>
      </c>
    </row>
    <row r="27" spans="1:19" x14ac:dyDescent="0.25">
      <c r="A27" s="1" t="s">
        <v>1676</v>
      </c>
      <c r="B27" s="7">
        <v>21.552553763440862</v>
      </c>
      <c r="C27" s="7">
        <v>20.423924731182794</v>
      </c>
      <c r="D27" s="7">
        <v>8.8067204301075286</v>
      </c>
      <c r="E27" s="7">
        <v>10.733333333333333</v>
      </c>
      <c r="F27" s="7">
        <f>SUM(Tabla6[[#This Row],[A]:[D]])</f>
        <v>61.516532258064515</v>
      </c>
      <c r="G27" s="7">
        <v>0.97221815740129647</v>
      </c>
      <c r="H27" s="12">
        <v>0.6157872503840246</v>
      </c>
      <c r="I27" s="12">
        <v>0.58354070660522273</v>
      </c>
      <c r="J27" s="12">
        <v>0.58711469534050176</v>
      </c>
      <c r="K27" s="12">
        <v>0.7155555555555555</v>
      </c>
      <c r="L27" s="12">
        <f t="shared" si="0"/>
        <v>0.65024233550947264</v>
      </c>
      <c r="M27" s="18">
        <f>_xlfn.STDEV.S(Tabla6[[#This Row],[HEAD_A]:[HEAD_D]])</f>
        <v>6.1747751664091521E-2</v>
      </c>
      <c r="N27" s="7">
        <v>7.0249748748966862E-3</v>
      </c>
      <c r="O27" s="7">
        <v>-0.12231670163770413</v>
      </c>
      <c r="P27" s="7">
        <v>-0.23391304773893301</v>
      </c>
      <c r="Q27" s="7">
        <v>-9.8278178646110673E-2</v>
      </c>
      <c r="R27" s="7">
        <f>AVERAGE(Tabla6[[#This Row],[Z_A]:[Z_D]])</f>
        <v>-0.11187073828696278</v>
      </c>
      <c r="S27" s="7">
        <f>_xlfn.STDEV.S(Tabla6[[#This Row],[Z_A]:[Z_D]])</f>
        <v>9.8867574280874601E-2</v>
      </c>
    </row>
    <row r="28" spans="1:19" x14ac:dyDescent="0.25">
      <c r="A28" s="1" t="s">
        <v>1677</v>
      </c>
      <c r="B28" s="7">
        <v>23.697916666666664</v>
      </c>
      <c r="C28" s="7">
        <v>24.572916666666664</v>
      </c>
      <c r="D28" s="7">
        <v>10.5625</v>
      </c>
      <c r="E28" s="7"/>
      <c r="F28" s="7">
        <f>SUM(Tabla6[[#This Row],[A]:[D]])</f>
        <v>58.833333333333329</v>
      </c>
      <c r="G28" s="7">
        <v>0.84582154245836028</v>
      </c>
      <c r="H28" s="12">
        <v>0.67708333333333326</v>
      </c>
      <c r="I28" s="12">
        <v>0.70208333333333328</v>
      </c>
      <c r="J28" s="12">
        <v>0.70416666666666672</v>
      </c>
      <c r="K28" s="12"/>
      <c r="L28" s="12">
        <f t="shared" si="0"/>
        <v>0.65504736303123401</v>
      </c>
      <c r="M28" s="18">
        <f>_xlfn.STDEV.S(Tabla6[[#This Row],[HEAD_A]:[HEAD_D]])</f>
        <v>1.5071204454313036E-2</v>
      </c>
      <c r="N28" s="7">
        <v>0.6043965859536341</v>
      </c>
      <c r="O28" s="7">
        <v>0.81273144900892536</v>
      </c>
      <c r="P28" s="7">
        <v>0.7565251256908575</v>
      </c>
      <c r="Q28" s="7"/>
      <c r="R28" s="7">
        <f>AVERAGE(Tabla6[[#This Row],[Z_A]:[Z_D]])</f>
        <v>0.72455105355113902</v>
      </c>
      <c r="S28" s="7">
        <f>_xlfn.STDEV.S(Tabla6[[#This Row],[Z_A]:[Z_D]])</f>
        <v>0.10778501638893763</v>
      </c>
    </row>
    <row r="29" spans="1:19" x14ac:dyDescent="0.25">
      <c r="A29" s="1" t="s">
        <v>1678</v>
      </c>
      <c r="B29" s="7">
        <v>25.682007575757574</v>
      </c>
      <c r="C29" s="7">
        <v>22.117613636363636</v>
      </c>
      <c r="D29" s="7">
        <v>10.361931818181819</v>
      </c>
      <c r="E29" s="7">
        <v>11.133333333333333</v>
      </c>
      <c r="F29" s="7">
        <f>SUM(Tabla6[[#This Row],[A]:[D]])</f>
        <v>69.294886363636351</v>
      </c>
      <c r="G29" s="7">
        <v>1.3401435907163683</v>
      </c>
      <c r="H29" s="12">
        <v>0.73377164502164505</v>
      </c>
      <c r="I29" s="12">
        <v>0.63193181818181809</v>
      </c>
      <c r="J29" s="12">
        <v>0.69079545454545455</v>
      </c>
      <c r="K29" s="12">
        <v>0.74222222222222223</v>
      </c>
      <c r="L29" s="12">
        <f t="shared" si="0"/>
        <v>0.69743635332921028</v>
      </c>
      <c r="M29" s="18">
        <f>_xlfn.STDEV.S(Tabla6[[#This Row],[HEAD_A]:[HEAD_D]])</f>
        <v>5.0467257435441011E-2</v>
      </c>
      <c r="N29" s="7">
        <v>0.77642668841121665</v>
      </c>
      <c r="O29" s="7">
        <v>0.19340531914945558</v>
      </c>
      <c r="P29" s="7">
        <v>0.45787875028391156</v>
      </c>
      <c r="Q29" s="7">
        <v>7.6520533092187024E-2</v>
      </c>
      <c r="R29" s="7">
        <f>AVERAGE(Tabla6[[#This Row],[Z_A]:[Z_D]])</f>
        <v>0.37605782273419269</v>
      </c>
      <c r="S29" s="7">
        <f>_xlfn.STDEV.S(Tabla6[[#This Row],[Z_A]:[Z_D]])</f>
        <v>0.31095252464025996</v>
      </c>
    </row>
    <row r="30" spans="1:19" x14ac:dyDescent="0.25">
      <c r="A30" s="1" t="s">
        <v>1679</v>
      </c>
      <c r="B30" s="7">
        <v>22.202023988005998</v>
      </c>
      <c r="C30" s="7">
        <v>22.671101949025488</v>
      </c>
      <c r="D30" s="7">
        <v>9.6784107946026978</v>
      </c>
      <c r="E30" s="7">
        <v>9.8275862068965516</v>
      </c>
      <c r="F30" s="7">
        <f>SUM(Tabla6[[#This Row],[A]:[D]])</f>
        <v>64.379122938530742</v>
      </c>
      <c r="G30" s="7">
        <v>1.3254558597927393</v>
      </c>
      <c r="H30" s="12">
        <v>0.63434354251445702</v>
      </c>
      <c r="I30" s="12">
        <v>0.64774576997215672</v>
      </c>
      <c r="J30" s="12">
        <v>0.64522738630684651</v>
      </c>
      <c r="K30" s="12">
        <v>0.65517241379310343</v>
      </c>
      <c r="L30" s="12">
        <f t="shared" si="0"/>
        <v>0.67265128156971288</v>
      </c>
      <c r="M30" s="18">
        <f>_xlfn.STDEV.S(Tabla6[[#This Row],[HEAD_A]:[HEAD_D]])</f>
        <v>8.6232268790883866E-3</v>
      </c>
      <c r="N30" s="7">
        <v>0.12191810186925511</v>
      </c>
      <c r="O30" s="7">
        <v>0.29729607891536125</v>
      </c>
      <c r="P30" s="7">
        <v>0.13062135483648385</v>
      </c>
      <c r="Q30" s="7">
        <v>-0.49408675580064676</v>
      </c>
      <c r="R30" s="7">
        <f>AVERAGE(Tabla6[[#This Row],[Z_A]:[Z_D]])</f>
        <v>1.3937194955113363E-2</v>
      </c>
      <c r="S30" s="7">
        <f>_xlfn.STDEV.S(Tabla6[[#This Row],[Z_A]:[Z_D]])</f>
        <v>0.34816454973949218</v>
      </c>
    </row>
    <row r="31" spans="1:19" x14ac:dyDescent="0.25">
      <c r="A31" s="1" t="s">
        <v>1680</v>
      </c>
      <c r="B31" s="7">
        <v>20.250868055555554</v>
      </c>
      <c r="C31" s="7">
        <v>19.239583333333332</v>
      </c>
      <c r="D31" s="7">
        <v>8.6840277777777786</v>
      </c>
      <c r="E31" s="7">
        <v>11.527777777777779</v>
      </c>
      <c r="F31" s="7">
        <f>SUM(Tabla6[[#This Row],[A]:[D]])</f>
        <v>59.702256944444443</v>
      </c>
      <c r="G31" s="7">
        <v>0.73173216568705768</v>
      </c>
      <c r="H31" s="12">
        <v>0.57859623015873018</v>
      </c>
      <c r="I31" s="12">
        <v>0.54970238095238089</v>
      </c>
      <c r="J31" s="12">
        <v>0.57893518518518516</v>
      </c>
      <c r="K31" s="12">
        <v>0.7685185185185186</v>
      </c>
      <c r="L31" s="12">
        <f t="shared" si="0"/>
        <v>0.63228017842517237</v>
      </c>
      <c r="M31" s="18">
        <f>_xlfn.STDEV.S(Tabla6[[#This Row],[HEAD_A]:[HEAD_D]])</f>
        <v>0.10065715085077194</v>
      </c>
      <c r="N31" s="7">
        <v>-0.22532903737712756</v>
      </c>
      <c r="O31" s="7">
        <v>-0.34062477914813677</v>
      </c>
      <c r="P31" s="7">
        <v>-0.26713094495490841</v>
      </c>
      <c r="Q31" s="7">
        <v>0.24889148494523056</v>
      </c>
      <c r="R31" s="7">
        <f>AVERAGE(Tabla6[[#This Row],[Z_A]:[Z_D]])</f>
        <v>-0.14604831913373556</v>
      </c>
      <c r="S31" s="7">
        <f>_xlfn.STDEV.S(Tabla6[[#This Row],[Z_A]:[Z_D]])</f>
        <v>0.26757172384154387</v>
      </c>
    </row>
    <row r="32" spans="1:19" x14ac:dyDescent="0.25">
      <c r="A32" s="1" t="s">
        <v>1681</v>
      </c>
      <c r="B32" s="7">
        <v>21.0625</v>
      </c>
      <c r="C32" s="7">
        <v>20.677083333333332</v>
      </c>
      <c r="D32" s="7">
        <v>7.125</v>
      </c>
      <c r="E32" s="7">
        <v>8.875</v>
      </c>
      <c r="F32" s="7">
        <f>SUM(Tabla6[[#This Row],[A]:[D]])</f>
        <v>57.739583333333329</v>
      </c>
      <c r="G32" s="7">
        <v>1.6250339707308497</v>
      </c>
      <c r="H32" s="12">
        <v>0.60178571428571426</v>
      </c>
      <c r="I32" s="12">
        <v>0.59077380952380953</v>
      </c>
      <c r="J32" s="12">
        <v>0.47499999999999998</v>
      </c>
      <c r="K32" s="12">
        <v>0.59166666666666667</v>
      </c>
      <c r="L32" s="12">
        <f t="shared" si="0"/>
        <v>0.59187231316137567</v>
      </c>
      <c r="M32" s="18">
        <f>_xlfn.STDEV.S(Tabla6[[#This Row],[HEAD_A]:[HEAD_D]])</f>
        <v>6.0078946530644571E-2</v>
      </c>
      <c r="N32" s="7">
        <v>-8.0785545717135185E-2</v>
      </c>
      <c r="O32" s="7">
        <v>-9.8201277789309649E-2</v>
      </c>
      <c r="P32" s="7">
        <v>-0.83995032108042034</v>
      </c>
      <c r="Q32" s="7">
        <v>-0.9103638602636186</v>
      </c>
      <c r="R32" s="7">
        <f>AVERAGE(Tabla6[[#This Row],[Z_A]:[Z_D]])</f>
        <v>-0.48232525121262093</v>
      </c>
      <c r="S32" s="7">
        <f>_xlfn.STDEV.S(Tabla6[[#This Row],[Z_A]:[Z_D]])</f>
        <v>0.45456869795597654</v>
      </c>
    </row>
    <row r="33" spans="1:19" x14ac:dyDescent="0.25">
      <c r="A33" s="1" t="s">
        <v>1682</v>
      </c>
      <c r="B33" s="7">
        <v>18.600378787878789</v>
      </c>
      <c r="C33" s="7">
        <v>18.172348484848484</v>
      </c>
      <c r="D33" s="7">
        <v>7.9561688311688314</v>
      </c>
      <c r="E33" s="7">
        <v>11.090909090909092</v>
      </c>
      <c r="F33" s="7">
        <f>SUM(Tabla6[[#This Row],[A]:[D]])</f>
        <v>55.819805194805198</v>
      </c>
      <c r="G33" s="7">
        <v>0.69833296887203378</v>
      </c>
      <c r="H33" s="12">
        <v>0.53143939393939399</v>
      </c>
      <c r="I33" s="12">
        <v>0.51920995670995673</v>
      </c>
      <c r="J33" s="12">
        <v>0.53041125541125544</v>
      </c>
      <c r="K33" s="12">
        <v>0.73939393939393949</v>
      </c>
      <c r="L33" s="12">
        <f t="shared" si="0"/>
        <v>0.57246009199134207</v>
      </c>
      <c r="M33" s="18">
        <f>_xlfn.STDEV.S(Tabla6[[#This Row],[HEAD_A]:[HEAD_D]])</f>
        <v>0.10633121472815103</v>
      </c>
      <c r="N33" s="7">
        <v>-0.5349870747681994</v>
      </c>
      <c r="O33" s="7">
        <v>-0.55749145353900154</v>
      </c>
      <c r="P33" s="7">
        <v>-0.58932027129078057</v>
      </c>
      <c r="Q33" s="7">
        <v>5.7981275786610005E-2</v>
      </c>
      <c r="R33" s="7">
        <f>AVERAGE(Tabla6[[#This Row],[Z_A]:[Z_D]])</f>
        <v>-0.40595438095284286</v>
      </c>
      <c r="S33" s="7">
        <f>_xlfn.STDEV.S(Tabla6[[#This Row],[Z_A]:[Z_D]])</f>
        <v>0.31009260110216663</v>
      </c>
    </row>
    <row r="34" spans="1:19" x14ac:dyDescent="0.25">
      <c r="A34" s="1" t="s">
        <v>1683</v>
      </c>
      <c r="B34" s="7">
        <v>20.857580236486484</v>
      </c>
      <c r="C34" s="7">
        <v>20.705447635135137</v>
      </c>
      <c r="D34" s="7">
        <v>9.3899915540540544</v>
      </c>
      <c r="E34" s="7">
        <v>10.945945945945946</v>
      </c>
      <c r="F34" s="7">
        <f>SUM(Tabla6[[#This Row],[A]:[D]])</f>
        <v>61.898965371621621</v>
      </c>
      <c r="G34" s="7">
        <v>1.1126189469607604</v>
      </c>
      <c r="H34" s="12">
        <v>0.59593086389961392</v>
      </c>
      <c r="I34" s="12">
        <v>0.59158421814671813</v>
      </c>
      <c r="J34" s="12">
        <v>0.62599943693693694</v>
      </c>
      <c r="K34" s="12">
        <v>0.72972972972972971</v>
      </c>
      <c r="L34" s="12">
        <f t="shared" si="0"/>
        <v>0.60796234927094306</v>
      </c>
      <c r="M34" s="18">
        <f>_xlfn.STDEV.S(Tabla6[[#This Row],[HEAD_A]:[HEAD_D]])</f>
        <v>6.4455224903944272E-2</v>
      </c>
      <c r="N34" s="7">
        <v>-0.11734963869785543</v>
      </c>
      <c r="O34" s="7">
        <v>-5.5388181832240493E-2</v>
      </c>
      <c r="P34" s="7">
        <v>2.7470340789219228E-2</v>
      </c>
      <c r="Q34" s="7">
        <v>-5.3671516861146075E-3</v>
      </c>
      <c r="R34" s="7">
        <f>AVERAGE(Tabla6[[#This Row],[Z_A]:[Z_D]])</f>
        <v>-3.7658657856747824E-2</v>
      </c>
      <c r="S34" s="7">
        <f>_xlfn.STDEV.S(Tabla6[[#This Row],[Z_A]:[Z_D]])</f>
        <v>6.3112376713313989E-2</v>
      </c>
    </row>
    <row r="35" spans="1:19" x14ac:dyDescent="0.25">
      <c r="A35" s="1" t="s">
        <v>1684</v>
      </c>
      <c r="B35" s="7">
        <v>15.25</v>
      </c>
      <c r="C35" s="7">
        <v>17.4375</v>
      </c>
      <c r="D35" s="7">
        <v>7.6607142857142856</v>
      </c>
      <c r="E35" s="7">
        <v>12.75</v>
      </c>
      <c r="F35" s="7">
        <f>SUM(Tabla6[[#This Row],[A]:[D]])</f>
        <v>53.098214285714285</v>
      </c>
      <c r="G35" s="7">
        <v>0.97903004425842499</v>
      </c>
      <c r="H35" s="12">
        <v>0.43571428571428572</v>
      </c>
      <c r="I35" s="12">
        <v>0.49821428571428572</v>
      </c>
      <c r="J35" s="12">
        <v>0.51071428571428568</v>
      </c>
      <c r="K35" s="12">
        <v>0.85</v>
      </c>
      <c r="L35" s="12">
        <f t="shared" si="0"/>
        <v>0.60473588823198199</v>
      </c>
      <c r="M35" s="18">
        <f>_xlfn.STDEV.S(Tabla6[[#This Row],[HEAD_A]:[HEAD_D]])</f>
        <v>0.18712476625572155</v>
      </c>
      <c r="N35" s="7">
        <v>-1.1346404891934014</v>
      </c>
      <c r="O35" s="7">
        <v>-0.66826545618902611</v>
      </c>
      <c r="P35" s="7">
        <v>-0.70021866731367521</v>
      </c>
      <c r="Q35" s="7">
        <v>0.78299865970114002</v>
      </c>
      <c r="R35" s="7">
        <f>AVERAGE(Tabla6[[#This Row],[Z_A]:[Z_D]])</f>
        <v>-0.4300314882487406</v>
      </c>
      <c r="S35" s="7">
        <f>_xlfn.STDEV.S(Tabla6[[#This Row],[Z_A]:[Z_D]])</f>
        <v>0.83619625273400633</v>
      </c>
    </row>
    <row r="36" spans="1:19" x14ac:dyDescent="0.25">
      <c r="A36" s="1" t="s">
        <v>1685</v>
      </c>
      <c r="B36" s="7">
        <v>21.60144927536232</v>
      </c>
      <c r="C36" s="7">
        <v>21.195652173913043</v>
      </c>
      <c r="D36" s="7">
        <v>9.4309006211180115</v>
      </c>
      <c r="E36" s="7">
        <v>10.478260869565217</v>
      </c>
      <c r="F36" s="7">
        <f>SUM(Tabla6[[#This Row],[A]:[D]])</f>
        <v>62.706262939958592</v>
      </c>
      <c r="G36" s="7">
        <v>1.2250427059082052</v>
      </c>
      <c r="H36" s="12">
        <v>0.61718426501035206</v>
      </c>
      <c r="I36" s="12">
        <v>0.60559006211180133</v>
      </c>
      <c r="J36" s="12">
        <v>0.62872670807453412</v>
      </c>
      <c r="K36" s="12">
        <v>0.69855072463768109</v>
      </c>
      <c r="L36" s="12">
        <f t="shared" si="0"/>
        <v>0.60558682712215328</v>
      </c>
      <c r="M36" s="18">
        <f>_xlfn.STDEV.S(Tabla6[[#This Row],[HEAD_A]:[HEAD_D]])</f>
        <v>4.1773732513880037E-2</v>
      </c>
      <c r="N36" s="7">
        <v>2.5055748572404557E-2</v>
      </c>
      <c r="O36" s="7">
        <v>4.6372715827152869E-2</v>
      </c>
      <c r="P36" s="7">
        <v>7.6587668240823886E-2</v>
      </c>
      <c r="Q36" s="7">
        <v>-0.20974402381256133</v>
      </c>
      <c r="R36" s="7">
        <f>AVERAGE(Tabla6[[#This Row],[Z_A]:[Z_D]])</f>
        <v>-1.5431972793045E-2</v>
      </c>
      <c r="S36" s="7">
        <f>_xlfn.STDEV.S(Tabla6[[#This Row],[Z_A]:[Z_D]])</f>
        <v>0.13125530163796445</v>
      </c>
    </row>
    <row r="37" spans="1:19" x14ac:dyDescent="0.25">
      <c r="A37" s="1" t="s">
        <v>1686</v>
      </c>
      <c r="B37" s="7">
        <v>23.03149386845039</v>
      </c>
      <c r="C37" s="7">
        <v>22.700181159420289</v>
      </c>
      <c r="D37" s="7">
        <v>10.275919732441473</v>
      </c>
      <c r="E37" s="7">
        <v>12.782608695652174</v>
      </c>
      <c r="F37" s="7">
        <f>SUM(Tabla6[[#This Row],[A]:[D]])</f>
        <v>68.790203455964331</v>
      </c>
      <c r="G37" s="7">
        <v>0.99091487799569444</v>
      </c>
      <c r="H37" s="12">
        <v>0.65804268195572546</v>
      </c>
      <c r="I37" s="12">
        <v>0.64857660455486543</v>
      </c>
      <c r="J37" s="12">
        <v>0.68506131549609806</v>
      </c>
      <c r="K37" s="12">
        <v>0.85217391304347823</v>
      </c>
      <c r="L37" s="12">
        <f t="shared" si="0"/>
        <v>0.67423828436056699</v>
      </c>
      <c r="M37" s="18">
        <f>_xlfn.STDEV.S(Tabla6[[#This Row],[HEAD_A]:[HEAD_D]])</f>
        <v>9.5400981161402484E-2</v>
      </c>
      <c r="N37" s="7">
        <v>0.28224657772799938</v>
      </c>
      <c r="O37" s="7">
        <v>0.31972648407434512</v>
      </c>
      <c r="P37" s="7">
        <v>0.41964646732675048</v>
      </c>
      <c r="Q37" s="7">
        <v>0.79724855467980571</v>
      </c>
      <c r="R37" s="7">
        <f>AVERAGE(Tabla6[[#This Row],[Z_A]:[Z_D]])</f>
        <v>0.45471702095222521</v>
      </c>
      <c r="S37" s="7">
        <f>_xlfn.STDEV.S(Tabla6[[#This Row],[Z_A]:[Z_D]])</f>
        <v>0.23560298113698597</v>
      </c>
    </row>
    <row r="38" spans="1:19" x14ac:dyDescent="0.25">
      <c r="A38" s="1" t="s">
        <v>1687</v>
      </c>
      <c r="B38" s="7">
        <v>23.078125</v>
      </c>
      <c r="C38" s="7">
        <v>21</v>
      </c>
      <c r="D38" s="7">
        <v>8.15625</v>
      </c>
      <c r="E38" s="7"/>
      <c r="F38" s="7">
        <f>SUM(Tabla6[[#This Row],[A]:[D]])</f>
        <v>52.234375</v>
      </c>
      <c r="G38" s="7">
        <v>2.0834208650793031</v>
      </c>
      <c r="H38" s="12">
        <v>0.65937500000000004</v>
      </c>
      <c r="I38" s="12">
        <v>0.6</v>
      </c>
      <c r="J38" s="12">
        <v>0.54374999999999996</v>
      </c>
      <c r="K38" s="12"/>
      <c r="L38" s="12">
        <f t="shared" si="0"/>
        <v>0.66385421643573816</v>
      </c>
      <c r="M38" s="18">
        <f>_xlfn.STDEV.S(Tabla6[[#This Row],[HEAD_A]:[HEAD_D]])</f>
        <v>5.7819537859908031E-2</v>
      </c>
      <c r="N38" s="7">
        <v>0.49424616331765681</v>
      </c>
      <c r="O38" s="7">
        <v>0.18795668773766958</v>
      </c>
      <c r="P38" s="7">
        <v>-0.15962764707016897</v>
      </c>
      <c r="Q38" s="7"/>
      <c r="R38" s="7">
        <f>AVERAGE(Tabla6[[#This Row],[Z_A]:[Z_D]])</f>
        <v>0.17419173466171914</v>
      </c>
      <c r="S38" s="7">
        <f>_xlfn.STDEV.S(Tabla6[[#This Row],[Z_A]:[Z_D]])</f>
        <v>0.32715416156249782</v>
      </c>
    </row>
    <row r="39" spans="1:19" x14ac:dyDescent="0.25">
      <c r="A39" s="1" t="s">
        <v>1688</v>
      </c>
      <c r="B39" s="7">
        <v>20.99431818181818</v>
      </c>
      <c r="C39" s="7">
        <v>20.503314393939391</v>
      </c>
      <c r="D39" s="7">
        <v>8.7206439393939394</v>
      </c>
      <c r="E39" s="7">
        <v>10.708333333333334</v>
      </c>
      <c r="F39" s="7">
        <f>SUM(Tabla6[[#This Row],[A]:[D]])</f>
        <v>60.926609848484844</v>
      </c>
      <c r="G39" s="7">
        <v>1.2791942181269136</v>
      </c>
      <c r="H39" s="12">
        <v>0.59983766233766234</v>
      </c>
      <c r="I39" s="12">
        <v>0.58580898268398274</v>
      </c>
      <c r="J39" s="12">
        <v>0.58137626262626263</v>
      </c>
      <c r="K39" s="12">
        <v>0.71388888888888891</v>
      </c>
      <c r="L39" s="12">
        <f t="shared" si="0"/>
        <v>0.61200525664811367</v>
      </c>
      <c r="M39" s="18">
        <f>_xlfn.STDEV.S(Tabla6[[#This Row],[HEAD_A]:[HEAD_D]])</f>
        <v>6.2934500944470687E-2</v>
      </c>
      <c r="N39" s="7">
        <v>-8.5505391612896289E-2</v>
      </c>
      <c r="O39" s="7">
        <v>-7.7310560762518285E-2</v>
      </c>
      <c r="P39" s="7">
        <v>-0.2343732713606668</v>
      </c>
      <c r="Q39" s="7">
        <v>-0.10920309812975426</v>
      </c>
      <c r="R39" s="7">
        <f>AVERAGE(Tabla6[[#This Row],[Z_A]:[Z_D]])</f>
        <v>-0.1265980804664589</v>
      </c>
      <c r="S39" s="7">
        <f>_xlfn.STDEV.S(Tabla6[[#This Row],[Z_A]:[Z_D]])</f>
        <v>7.3111663133773847E-2</v>
      </c>
    </row>
  </sheetData>
  <mergeCells count="3">
    <mergeCell ref="B1:G1"/>
    <mergeCell ref="H1:K1"/>
    <mergeCell ref="N1:S1"/>
  </mergeCells>
  <conditionalFormatting sqref="F3:F39">
    <cfRule type="colorScale" priority="5">
      <colorScale>
        <cfvo type="min"/>
        <cfvo type="percentile" val="50"/>
        <cfvo type="max"/>
        <color rgb="FFF8696B"/>
        <color rgb="FFFCFCFF"/>
        <color rgb="FF5A8AC6"/>
      </colorScale>
    </cfRule>
  </conditionalFormatting>
  <conditionalFormatting sqref="R3:R39">
    <cfRule type="colorScale" priority="6">
      <colorScale>
        <cfvo type="min"/>
        <cfvo type="percentile" val="50"/>
        <cfvo type="max"/>
        <color rgb="FFF8696B"/>
        <color rgb="FFFCFCFF"/>
        <color rgb="FF5A8AC6"/>
      </colorScale>
    </cfRule>
  </conditionalFormatting>
  <conditionalFormatting sqref="L3:L39">
    <cfRule type="colorScale" priority="3">
      <colorScale>
        <cfvo type="min"/>
        <cfvo type="percentile" val="50"/>
        <cfvo type="max"/>
        <color rgb="FFF8696B"/>
        <color rgb="FFFCFCFF"/>
        <color rgb="FF5A8AC6"/>
      </colorScale>
    </cfRule>
  </conditionalFormatting>
  <conditionalFormatting sqref="M3:M39">
    <cfRule type="colorScale" priority="1">
      <colorScale>
        <cfvo type="min"/>
        <cfvo type="max"/>
        <color rgb="FFFCFCFF"/>
        <color rgb="FFF8696B"/>
      </colorScale>
    </cfRule>
    <cfRule type="colorScale" priority="2">
      <colorScale>
        <cfvo type="min"/>
        <cfvo type="percentile" val="50"/>
        <cfvo type="max"/>
        <color rgb="FFF8696B"/>
        <color rgb="FFFCFCFF"/>
        <color rgb="FF5A8AC6"/>
      </colorScale>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6BD7E-16AB-4AF3-9C40-8A7CC44BE5F0}">
  <dimension ref="A1:AA789"/>
  <sheetViews>
    <sheetView zoomScale="55" zoomScaleNormal="55" workbookViewId="0">
      <selection activeCell="Q34" sqref="Q34"/>
    </sheetView>
  </sheetViews>
  <sheetFormatPr baseColWidth="10" defaultRowHeight="15" x14ac:dyDescent="0.25"/>
  <cols>
    <col min="1" max="1" width="14.28515625" style="1" customWidth="1"/>
    <col min="2" max="2" width="8" style="1" bestFit="1" customWidth="1"/>
    <col min="3" max="3" width="5.140625" style="1" bestFit="1" customWidth="1"/>
    <col min="4" max="6" width="5.5703125" style="1" bestFit="1" customWidth="1"/>
    <col min="7" max="7" width="5.140625" style="1" bestFit="1" customWidth="1"/>
    <col min="8" max="10" width="5.5703125" style="1" bestFit="1" customWidth="1"/>
    <col min="11" max="11" width="5.140625" style="1" bestFit="1" customWidth="1"/>
    <col min="12" max="12" width="5.5703125" style="1" bestFit="1" customWidth="1"/>
    <col min="13" max="15" width="10.85546875" style="1" bestFit="1" customWidth="1"/>
    <col min="16" max="16" width="10.28515625" style="1" bestFit="1" customWidth="1"/>
    <col min="17" max="17" width="16.7109375" style="1" bestFit="1" customWidth="1"/>
    <col min="18" max="18" width="11" style="1" bestFit="1" customWidth="1"/>
    <col min="19" max="19" width="10.5703125" style="1" bestFit="1" customWidth="1"/>
    <col min="20" max="20" width="11" style="1" bestFit="1" customWidth="1"/>
    <col min="21" max="21" width="10.5703125" style="1" bestFit="1" customWidth="1"/>
    <col min="22" max="22" width="11" style="1" bestFit="1" customWidth="1"/>
    <col min="23" max="23" width="13.5703125" style="1" bestFit="1" customWidth="1"/>
    <col min="24" max="26" width="15.7109375" style="1" bestFit="1" customWidth="1"/>
    <col min="27" max="27" width="19.42578125" style="1" bestFit="1" customWidth="1"/>
    <col min="28" max="16384" width="11.42578125" style="1"/>
  </cols>
  <sheetData>
    <row r="1" spans="1:27" x14ac:dyDescent="0.25">
      <c r="A1" s="9" t="s">
        <v>0</v>
      </c>
      <c r="B1" s="10" t="s">
        <v>2</v>
      </c>
      <c r="C1" s="10" t="s">
        <v>6</v>
      </c>
      <c r="D1" s="10" t="s">
        <v>7</v>
      </c>
      <c r="E1" s="10" t="s">
        <v>8</v>
      </c>
      <c r="F1" s="10" t="s">
        <v>9</v>
      </c>
      <c r="G1" s="10" t="s">
        <v>10</v>
      </c>
      <c r="H1" s="10" t="s">
        <v>11</v>
      </c>
      <c r="I1" s="10" t="s">
        <v>12</v>
      </c>
      <c r="J1" s="10" t="s">
        <v>13</v>
      </c>
      <c r="K1" s="10" t="s">
        <v>14</v>
      </c>
      <c r="L1" s="10" t="s">
        <v>15</v>
      </c>
      <c r="M1" s="10" t="s">
        <v>19</v>
      </c>
      <c r="N1" s="10" t="s">
        <v>21</v>
      </c>
      <c r="O1" s="10" t="s">
        <v>23</v>
      </c>
      <c r="P1" s="10" t="s">
        <v>1689</v>
      </c>
      <c r="Q1" s="10" t="s">
        <v>1692</v>
      </c>
      <c r="R1" s="10" t="s">
        <v>1691</v>
      </c>
      <c r="S1" s="10" t="s">
        <v>20</v>
      </c>
      <c r="T1" s="10" t="s">
        <v>1693</v>
      </c>
      <c r="U1" s="10" t="s">
        <v>22</v>
      </c>
      <c r="V1" s="10" t="s">
        <v>1694</v>
      </c>
      <c r="W1" s="10" t="s">
        <v>24</v>
      </c>
      <c r="X1" s="10" t="s">
        <v>1696</v>
      </c>
      <c r="Y1" s="10" t="s">
        <v>1697</v>
      </c>
      <c r="Z1" s="10" t="s">
        <v>1698</v>
      </c>
      <c r="AA1" s="10" t="s">
        <v>1700</v>
      </c>
    </row>
    <row r="2" spans="1:27" x14ac:dyDescent="0.25">
      <c r="A2" s="1" t="s">
        <v>1652</v>
      </c>
      <c r="B2" s="1" t="s">
        <v>861</v>
      </c>
      <c r="C2" s="1">
        <v>4</v>
      </c>
      <c r="D2" s="1">
        <v>2</v>
      </c>
      <c r="E2" s="1">
        <v>3</v>
      </c>
      <c r="F2" s="1">
        <v>2</v>
      </c>
      <c r="G2" s="1">
        <v>1</v>
      </c>
      <c r="H2" s="1">
        <v>1</v>
      </c>
      <c r="I2" s="1">
        <v>2</v>
      </c>
      <c r="J2" s="1">
        <v>2</v>
      </c>
      <c r="K2" s="1">
        <v>3</v>
      </c>
      <c r="L2" s="1">
        <v>1</v>
      </c>
      <c r="M2" s="1">
        <v>11</v>
      </c>
      <c r="N2" s="1">
        <v>6</v>
      </c>
      <c r="O2" s="1">
        <v>4</v>
      </c>
      <c r="P2" s="1">
        <v>21</v>
      </c>
      <c r="Q2" s="7">
        <v>0.99442892601175314</v>
      </c>
      <c r="R2" s="7">
        <f>AVERAGE(M:M)</f>
        <v>23.196700507614214</v>
      </c>
      <c r="S2" s="7">
        <f>_xlfn.STDEV.S(M:M)</f>
        <v>6.4306002317777482</v>
      </c>
      <c r="T2" s="7">
        <f>AVERAGE(N:N)</f>
        <v>22.771573604060915</v>
      </c>
      <c r="U2" s="7">
        <f>_xlfn.STDEV.S(N:N)</f>
        <v>6.5356886776680962</v>
      </c>
      <c r="V2" s="7">
        <f>AVERAGE(O:O)</f>
        <v>11.434010152284264</v>
      </c>
      <c r="W2" s="7">
        <f>_xlfn.STDEV.S(O:O)</f>
        <v>3.5019632409825281</v>
      </c>
      <c r="X2" s="7">
        <f>STANDARDIZE(M2,R2,S2)</f>
        <v>-1.8966659515456179</v>
      </c>
      <c r="Y2" s="7">
        <f>STANDARDIZE(N2,T2,U2)</f>
        <v>-2.5661524639886819</v>
      </c>
      <c r="Z2" s="7">
        <f>STANDARDIZE(O2,V2,W2)</f>
        <v>-2.1228121601295111</v>
      </c>
      <c r="AA2" s="7">
        <f>AVERAGE(X2:Z2)</f>
        <v>-2.195210191887937</v>
      </c>
    </row>
    <row r="3" spans="1:27" x14ac:dyDescent="0.25">
      <c r="A3" s="1" t="s">
        <v>1652</v>
      </c>
      <c r="B3" s="1" t="s">
        <v>861</v>
      </c>
      <c r="C3" s="1">
        <v>4</v>
      </c>
      <c r="D3" s="1">
        <v>3</v>
      </c>
      <c r="E3" s="1">
        <v>3</v>
      </c>
      <c r="F3" s="1">
        <v>3</v>
      </c>
      <c r="G3" s="1">
        <v>3</v>
      </c>
      <c r="H3" s="1">
        <v>3</v>
      </c>
      <c r="I3" s="1">
        <v>4</v>
      </c>
      <c r="J3" s="1">
        <v>4</v>
      </c>
      <c r="K3" s="1">
        <v>4</v>
      </c>
      <c r="L3" s="1">
        <v>2</v>
      </c>
      <c r="M3" s="1">
        <v>13</v>
      </c>
      <c r="N3" s="1">
        <v>14</v>
      </c>
      <c r="O3" s="1">
        <v>6</v>
      </c>
      <c r="P3" s="1">
        <v>33</v>
      </c>
      <c r="Q3" s="7">
        <v>0.67494855771055284</v>
      </c>
      <c r="R3" s="7">
        <f t="shared" ref="R3:R66" si="0">AVERAGE(M:M)</f>
        <v>23.196700507614214</v>
      </c>
      <c r="S3" s="7">
        <f t="shared" ref="S3:S66" si="1">_xlfn.STDEV.S(M:M)</f>
        <v>6.4306002317777482</v>
      </c>
      <c r="T3" s="7">
        <f t="shared" ref="T3:T66" si="2">AVERAGE(N:N)</f>
        <v>22.771573604060915</v>
      </c>
      <c r="U3" s="7">
        <f t="shared" ref="U3:U66" si="3">_xlfn.STDEV.S(N:N)</f>
        <v>6.5356886776680962</v>
      </c>
      <c r="V3" s="7">
        <f t="shared" ref="V3:V66" si="4">AVERAGE(O:O)</f>
        <v>11.434010152284264</v>
      </c>
      <c r="W3" s="7">
        <f t="shared" ref="W3:W66" si="5">_xlfn.STDEV.S(O:O)</f>
        <v>3.5019632409825281</v>
      </c>
      <c r="X3" s="7">
        <f t="shared" ref="X3:X66" si="6">STANDARDIZE(M3,R3,S3)</f>
        <v>-1.5856529935146229</v>
      </c>
      <c r="Y3" s="7">
        <f t="shared" ref="Y3:Y66" si="7">STANDARDIZE(N3,T3,U3)</f>
        <v>-1.3421039521103035</v>
      </c>
      <c r="Z3" s="7">
        <f t="shared" ref="Z3:Z66" si="8">STANDARDIZE(O3,V3,W3)</f>
        <v>-1.5517039381486115</v>
      </c>
      <c r="AA3" s="7">
        <f t="shared" ref="AA3:AA66" si="9">AVERAGE(X3:Z3)</f>
        <v>-1.4931536279245126</v>
      </c>
    </row>
    <row r="4" spans="1:27" x14ac:dyDescent="0.25">
      <c r="A4" s="1" t="s">
        <v>1652</v>
      </c>
      <c r="B4" s="1" t="s">
        <v>861</v>
      </c>
      <c r="C4" s="1">
        <v>3</v>
      </c>
      <c r="D4" s="1">
        <v>3</v>
      </c>
      <c r="E4" s="1">
        <v>5</v>
      </c>
      <c r="F4" s="1">
        <v>3</v>
      </c>
      <c r="G4" s="1">
        <v>3</v>
      </c>
      <c r="H4" s="1">
        <v>3</v>
      </c>
      <c r="I4" s="1">
        <v>3</v>
      </c>
      <c r="J4" s="1">
        <v>3</v>
      </c>
      <c r="K4" s="1">
        <v>2</v>
      </c>
      <c r="L4" s="1">
        <v>2</v>
      </c>
      <c r="M4" s="1">
        <v>14</v>
      </c>
      <c r="N4" s="1">
        <v>12</v>
      </c>
      <c r="O4" s="1">
        <v>4</v>
      </c>
      <c r="P4" s="1">
        <v>30</v>
      </c>
      <c r="Q4" s="7">
        <v>0.81649658092772603</v>
      </c>
      <c r="R4" s="7">
        <f t="shared" si="0"/>
        <v>23.196700507614214</v>
      </c>
      <c r="S4" s="7">
        <f t="shared" si="1"/>
        <v>6.4306002317777482</v>
      </c>
      <c r="T4" s="7">
        <f t="shared" si="2"/>
        <v>22.771573604060915</v>
      </c>
      <c r="U4" s="7">
        <f t="shared" si="3"/>
        <v>6.5356886776680962</v>
      </c>
      <c r="V4" s="7">
        <f t="shared" si="4"/>
        <v>11.434010152284264</v>
      </c>
      <c r="W4" s="7">
        <f t="shared" si="5"/>
        <v>3.5019632409825281</v>
      </c>
      <c r="X4" s="7">
        <f t="shared" si="6"/>
        <v>-1.4301465144991252</v>
      </c>
      <c r="Y4" s="7">
        <f t="shared" si="7"/>
        <v>-1.648116080079898</v>
      </c>
      <c r="Z4" s="7">
        <f t="shared" si="8"/>
        <v>-2.1228121601295111</v>
      </c>
      <c r="AA4" s="7">
        <f t="shared" si="9"/>
        <v>-1.7336915849028447</v>
      </c>
    </row>
    <row r="5" spans="1:27" x14ac:dyDescent="0.25">
      <c r="A5" s="1" t="s">
        <v>1652</v>
      </c>
      <c r="B5" s="1" t="s">
        <v>861</v>
      </c>
      <c r="C5" s="1">
        <v>5</v>
      </c>
      <c r="D5" s="1">
        <v>5</v>
      </c>
      <c r="E5" s="1">
        <v>5</v>
      </c>
      <c r="F5" s="1">
        <v>5</v>
      </c>
      <c r="G5" s="1">
        <v>5</v>
      </c>
      <c r="H5" s="1">
        <v>5</v>
      </c>
      <c r="I5" s="1">
        <v>5</v>
      </c>
      <c r="J5" s="1">
        <v>4</v>
      </c>
      <c r="K5" s="1">
        <v>5</v>
      </c>
      <c r="L5" s="1">
        <v>5</v>
      </c>
      <c r="M5" s="1">
        <v>20</v>
      </c>
      <c r="N5" s="1">
        <v>19</v>
      </c>
      <c r="O5" s="1">
        <v>10</v>
      </c>
      <c r="P5" s="1">
        <v>49</v>
      </c>
      <c r="Q5" s="7">
        <v>0.31622776601683794</v>
      </c>
      <c r="R5" s="7">
        <f t="shared" si="0"/>
        <v>23.196700507614214</v>
      </c>
      <c r="S5" s="7">
        <f t="shared" si="1"/>
        <v>6.4306002317777482</v>
      </c>
      <c r="T5" s="7">
        <f t="shared" si="2"/>
        <v>22.771573604060915</v>
      </c>
      <c r="U5" s="7">
        <f t="shared" si="3"/>
        <v>6.5356886776680962</v>
      </c>
      <c r="V5" s="7">
        <f t="shared" si="4"/>
        <v>11.434010152284264</v>
      </c>
      <c r="W5" s="7">
        <f t="shared" si="5"/>
        <v>3.5019632409825281</v>
      </c>
      <c r="X5" s="7">
        <f t="shared" si="6"/>
        <v>-0.49710764040614003</v>
      </c>
      <c r="Y5" s="7">
        <f t="shared" si="7"/>
        <v>-0.57707363218631691</v>
      </c>
      <c r="Z5" s="7">
        <f t="shared" si="8"/>
        <v>-0.40948749418681252</v>
      </c>
      <c r="AA5" s="7">
        <f t="shared" si="9"/>
        <v>-0.4945562555930898</v>
      </c>
    </row>
    <row r="6" spans="1:27" x14ac:dyDescent="0.25">
      <c r="A6" s="1" t="s">
        <v>1652</v>
      </c>
      <c r="B6" s="1" t="s">
        <v>861</v>
      </c>
      <c r="C6" s="1">
        <v>4</v>
      </c>
      <c r="D6" s="1">
        <v>4</v>
      </c>
      <c r="E6" s="1">
        <v>4</v>
      </c>
      <c r="F6" s="1">
        <v>5</v>
      </c>
      <c r="G6" s="1">
        <v>3</v>
      </c>
      <c r="H6" s="1">
        <v>3</v>
      </c>
      <c r="I6" s="1">
        <v>4</v>
      </c>
      <c r="J6" s="1">
        <v>3</v>
      </c>
      <c r="K6" s="1">
        <v>3</v>
      </c>
      <c r="L6" s="1">
        <v>3</v>
      </c>
      <c r="M6" s="1">
        <v>17</v>
      </c>
      <c r="N6" s="1">
        <v>13</v>
      </c>
      <c r="O6" s="1">
        <v>6</v>
      </c>
      <c r="P6" s="1">
        <v>36</v>
      </c>
      <c r="Q6" s="7">
        <v>0.69920589878010098</v>
      </c>
      <c r="R6" s="7">
        <f t="shared" si="0"/>
        <v>23.196700507614214</v>
      </c>
      <c r="S6" s="7">
        <f t="shared" si="1"/>
        <v>6.4306002317777482</v>
      </c>
      <c r="T6" s="7">
        <f t="shared" si="2"/>
        <v>22.771573604060915</v>
      </c>
      <c r="U6" s="7">
        <f t="shared" si="3"/>
        <v>6.5356886776680962</v>
      </c>
      <c r="V6" s="7">
        <f t="shared" si="4"/>
        <v>11.434010152284264</v>
      </c>
      <c r="W6" s="7">
        <f t="shared" si="5"/>
        <v>3.5019632409825281</v>
      </c>
      <c r="X6" s="7">
        <f t="shared" si="6"/>
        <v>-0.96362707745263265</v>
      </c>
      <c r="Y6" s="7">
        <f t="shared" si="7"/>
        <v>-1.4951100160951007</v>
      </c>
      <c r="Z6" s="7">
        <f t="shared" si="8"/>
        <v>-1.5517039381486115</v>
      </c>
      <c r="AA6" s="7">
        <f t="shared" si="9"/>
        <v>-1.3368136772321151</v>
      </c>
    </row>
    <row r="7" spans="1:27" x14ac:dyDescent="0.25">
      <c r="A7" s="1" t="s">
        <v>1652</v>
      </c>
      <c r="B7" s="1" t="s">
        <v>861</v>
      </c>
      <c r="C7" s="1">
        <v>5</v>
      </c>
      <c r="D7" s="1">
        <v>4</v>
      </c>
      <c r="E7" s="1">
        <v>4</v>
      </c>
      <c r="F7" s="1">
        <v>5</v>
      </c>
      <c r="G7" s="1">
        <v>6</v>
      </c>
      <c r="H7" s="1">
        <v>5</v>
      </c>
      <c r="I7" s="1">
        <v>5</v>
      </c>
      <c r="J7" s="1">
        <v>4</v>
      </c>
      <c r="K7" s="1">
        <v>4</v>
      </c>
      <c r="L7" s="1">
        <v>5</v>
      </c>
      <c r="M7" s="1">
        <v>18</v>
      </c>
      <c r="N7" s="1">
        <v>20</v>
      </c>
      <c r="O7" s="1">
        <v>9</v>
      </c>
      <c r="P7" s="1">
        <v>47</v>
      </c>
      <c r="Q7" s="7">
        <v>0.67494855771055284</v>
      </c>
      <c r="R7" s="7">
        <f t="shared" si="0"/>
        <v>23.196700507614214</v>
      </c>
      <c r="S7" s="7">
        <f t="shared" si="1"/>
        <v>6.4306002317777482</v>
      </c>
      <c r="T7" s="7">
        <f t="shared" si="2"/>
        <v>22.771573604060915</v>
      </c>
      <c r="U7" s="7">
        <f t="shared" si="3"/>
        <v>6.5356886776680962</v>
      </c>
      <c r="V7" s="7">
        <f t="shared" si="4"/>
        <v>11.434010152284264</v>
      </c>
      <c r="W7" s="7">
        <f t="shared" si="5"/>
        <v>3.5019632409825281</v>
      </c>
      <c r="X7" s="7">
        <f t="shared" si="6"/>
        <v>-0.80812059843713513</v>
      </c>
      <c r="Y7" s="7">
        <f t="shared" si="7"/>
        <v>-0.42406756820151964</v>
      </c>
      <c r="Z7" s="7">
        <f t="shared" si="8"/>
        <v>-0.69504160517726232</v>
      </c>
      <c r="AA7" s="7">
        <f t="shared" si="9"/>
        <v>-0.64240992393863905</v>
      </c>
    </row>
    <row r="8" spans="1:27" x14ac:dyDescent="0.25">
      <c r="A8" s="1" t="s">
        <v>1652</v>
      </c>
      <c r="B8" s="1" t="s">
        <v>861</v>
      </c>
      <c r="C8" s="1">
        <v>5</v>
      </c>
      <c r="D8" s="1">
        <v>5</v>
      </c>
      <c r="E8" s="1">
        <v>4</v>
      </c>
      <c r="F8" s="1">
        <v>5</v>
      </c>
      <c r="G8" s="1">
        <v>5</v>
      </c>
      <c r="H8" s="1">
        <v>5</v>
      </c>
      <c r="I8" s="1">
        <v>6</v>
      </c>
      <c r="J8" s="1">
        <v>5</v>
      </c>
      <c r="K8" s="1">
        <v>5</v>
      </c>
      <c r="L8" s="1">
        <v>5</v>
      </c>
      <c r="M8" s="1">
        <v>19</v>
      </c>
      <c r="N8" s="1">
        <v>21</v>
      </c>
      <c r="O8" s="1">
        <v>10</v>
      </c>
      <c r="P8" s="1">
        <v>50</v>
      </c>
      <c r="Q8" s="7">
        <v>0.47140452079103179</v>
      </c>
      <c r="R8" s="7">
        <f t="shared" si="0"/>
        <v>23.196700507614214</v>
      </c>
      <c r="S8" s="7">
        <f t="shared" si="1"/>
        <v>6.4306002317777482</v>
      </c>
      <c r="T8" s="7">
        <f t="shared" si="2"/>
        <v>22.771573604060915</v>
      </c>
      <c r="U8" s="7">
        <f t="shared" si="3"/>
        <v>6.5356886776680962</v>
      </c>
      <c r="V8" s="7">
        <f t="shared" si="4"/>
        <v>11.434010152284264</v>
      </c>
      <c r="W8" s="7">
        <f t="shared" si="5"/>
        <v>3.5019632409825281</v>
      </c>
      <c r="X8" s="7">
        <f t="shared" si="6"/>
        <v>-0.65261411942163761</v>
      </c>
      <c r="Y8" s="7">
        <f t="shared" si="7"/>
        <v>-0.27106150421672232</v>
      </c>
      <c r="Z8" s="7">
        <f t="shared" si="8"/>
        <v>-0.40948749418681252</v>
      </c>
      <c r="AA8" s="7">
        <f t="shared" si="9"/>
        <v>-0.44438770594172411</v>
      </c>
    </row>
    <row r="9" spans="1:27" x14ac:dyDescent="0.25">
      <c r="A9" s="1" t="s">
        <v>1652</v>
      </c>
      <c r="B9" s="1" t="s">
        <v>861</v>
      </c>
      <c r="C9" s="1">
        <v>3</v>
      </c>
      <c r="D9" s="1">
        <v>3</v>
      </c>
      <c r="E9" s="1">
        <v>2</v>
      </c>
      <c r="F9" s="1">
        <v>2</v>
      </c>
      <c r="G9" s="1">
        <v>3</v>
      </c>
      <c r="H9" s="1">
        <v>2</v>
      </c>
      <c r="I9" s="1">
        <v>2</v>
      </c>
      <c r="J9" s="1">
        <v>2</v>
      </c>
      <c r="K9" s="1">
        <v>2</v>
      </c>
      <c r="L9" s="1">
        <v>2</v>
      </c>
      <c r="M9" s="1">
        <v>10</v>
      </c>
      <c r="N9" s="1">
        <v>9</v>
      </c>
      <c r="O9" s="1">
        <v>4</v>
      </c>
      <c r="P9" s="1">
        <v>23</v>
      </c>
      <c r="Q9" s="7">
        <v>0.48304589153964789</v>
      </c>
      <c r="R9" s="7">
        <f t="shared" si="0"/>
        <v>23.196700507614214</v>
      </c>
      <c r="S9" s="7">
        <f t="shared" si="1"/>
        <v>6.4306002317777482</v>
      </c>
      <c r="T9" s="7">
        <f t="shared" si="2"/>
        <v>22.771573604060915</v>
      </c>
      <c r="U9" s="7">
        <f t="shared" si="3"/>
        <v>6.5356886776680962</v>
      </c>
      <c r="V9" s="7">
        <f t="shared" si="4"/>
        <v>11.434010152284264</v>
      </c>
      <c r="W9" s="7">
        <f t="shared" si="5"/>
        <v>3.5019632409825281</v>
      </c>
      <c r="X9" s="7">
        <f t="shared" si="6"/>
        <v>-2.0521724305611153</v>
      </c>
      <c r="Y9" s="7">
        <f t="shared" si="7"/>
        <v>-2.10713427203429</v>
      </c>
      <c r="Z9" s="7">
        <f t="shared" si="8"/>
        <v>-2.1228121601295111</v>
      </c>
      <c r="AA9" s="7">
        <f t="shared" si="9"/>
        <v>-2.0940396209083052</v>
      </c>
    </row>
    <row r="10" spans="1:27" x14ac:dyDescent="0.25">
      <c r="A10" s="1" t="s">
        <v>1652</v>
      </c>
      <c r="B10" s="1" t="s">
        <v>861</v>
      </c>
      <c r="C10" s="1">
        <v>2</v>
      </c>
      <c r="D10" s="1">
        <v>3</v>
      </c>
      <c r="E10" s="1">
        <v>2</v>
      </c>
      <c r="F10" s="1">
        <v>2</v>
      </c>
      <c r="G10" s="1">
        <v>2</v>
      </c>
      <c r="H10" s="1">
        <v>2</v>
      </c>
      <c r="I10" s="1">
        <v>2</v>
      </c>
      <c r="J10" s="1">
        <v>2</v>
      </c>
      <c r="K10" s="1">
        <v>2</v>
      </c>
      <c r="L10" s="1">
        <v>2</v>
      </c>
      <c r="M10" s="1">
        <v>9</v>
      </c>
      <c r="N10" s="1">
        <v>8</v>
      </c>
      <c r="O10" s="1">
        <v>4</v>
      </c>
      <c r="P10" s="1">
        <v>21</v>
      </c>
      <c r="Q10" s="7">
        <v>0.31622776601683805</v>
      </c>
      <c r="R10" s="7">
        <f t="shared" si="0"/>
        <v>23.196700507614214</v>
      </c>
      <c r="S10" s="7">
        <f t="shared" si="1"/>
        <v>6.4306002317777482</v>
      </c>
      <c r="T10" s="7">
        <f t="shared" si="2"/>
        <v>22.771573604060915</v>
      </c>
      <c r="U10" s="7">
        <f t="shared" si="3"/>
        <v>6.5356886776680962</v>
      </c>
      <c r="V10" s="7">
        <f t="shared" si="4"/>
        <v>11.434010152284264</v>
      </c>
      <c r="W10" s="7">
        <f t="shared" si="5"/>
        <v>3.5019632409825281</v>
      </c>
      <c r="X10" s="7">
        <f t="shared" si="6"/>
        <v>-2.2076789095766132</v>
      </c>
      <c r="Y10" s="7">
        <f t="shared" si="7"/>
        <v>-2.260140336019087</v>
      </c>
      <c r="Z10" s="7">
        <f t="shared" si="8"/>
        <v>-2.1228121601295111</v>
      </c>
      <c r="AA10" s="7">
        <f t="shared" si="9"/>
        <v>-2.1968771352417371</v>
      </c>
    </row>
    <row r="11" spans="1:27" x14ac:dyDescent="0.25">
      <c r="A11" s="1" t="s">
        <v>1652</v>
      </c>
      <c r="B11" s="1" t="s">
        <v>861</v>
      </c>
      <c r="C11" s="1">
        <v>3</v>
      </c>
      <c r="D11" s="1">
        <v>3</v>
      </c>
      <c r="E11" s="1">
        <v>4</v>
      </c>
      <c r="F11" s="1">
        <v>3</v>
      </c>
      <c r="G11" s="1">
        <v>3</v>
      </c>
      <c r="H11" s="1">
        <v>4</v>
      </c>
      <c r="I11" s="1">
        <v>4</v>
      </c>
      <c r="J11" s="1">
        <v>4</v>
      </c>
      <c r="K11" s="1">
        <v>4</v>
      </c>
      <c r="L11" s="1">
        <v>4</v>
      </c>
      <c r="M11" s="1">
        <v>13</v>
      </c>
      <c r="N11" s="1">
        <v>15</v>
      </c>
      <c r="O11" s="1">
        <v>8</v>
      </c>
      <c r="P11" s="1">
        <v>36</v>
      </c>
      <c r="Q11" s="7">
        <v>0.5163977794943222</v>
      </c>
      <c r="R11" s="7">
        <f t="shared" si="0"/>
        <v>23.196700507614214</v>
      </c>
      <c r="S11" s="7">
        <f t="shared" si="1"/>
        <v>6.4306002317777482</v>
      </c>
      <c r="T11" s="7">
        <f t="shared" si="2"/>
        <v>22.771573604060915</v>
      </c>
      <c r="U11" s="7">
        <f t="shared" si="3"/>
        <v>6.5356886776680962</v>
      </c>
      <c r="V11" s="7">
        <f t="shared" si="4"/>
        <v>11.434010152284264</v>
      </c>
      <c r="W11" s="7">
        <f t="shared" si="5"/>
        <v>3.5019632409825281</v>
      </c>
      <c r="X11" s="7">
        <f t="shared" si="6"/>
        <v>-1.5856529935146229</v>
      </c>
      <c r="Y11" s="7">
        <f t="shared" si="7"/>
        <v>-1.1890978881255061</v>
      </c>
      <c r="Z11" s="7">
        <f t="shared" si="8"/>
        <v>-0.98059571616771202</v>
      </c>
      <c r="AA11" s="7">
        <f t="shared" si="9"/>
        <v>-1.2517821992692804</v>
      </c>
    </row>
    <row r="12" spans="1:27" x14ac:dyDescent="0.25">
      <c r="A12" s="1" t="s">
        <v>1652</v>
      </c>
      <c r="B12" s="1" t="s">
        <v>861</v>
      </c>
      <c r="C12" s="1">
        <v>3</v>
      </c>
      <c r="D12" s="1">
        <v>4</v>
      </c>
      <c r="E12" s="1">
        <v>4</v>
      </c>
      <c r="F12" s="1">
        <v>4</v>
      </c>
      <c r="G12" s="1">
        <v>4</v>
      </c>
      <c r="H12" s="1">
        <v>3</v>
      </c>
      <c r="I12" s="1">
        <v>3</v>
      </c>
      <c r="J12" s="1">
        <v>3</v>
      </c>
      <c r="K12" s="1">
        <v>4</v>
      </c>
      <c r="L12" s="1">
        <v>4</v>
      </c>
      <c r="M12" s="1">
        <v>15</v>
      </c>
      <c r="N12" s="1">
        <v>13</v>
      </c>
      <c r="O12" s="1">
        <v>8</v>
      </c>
      <c r="P12" s="1">
        <v>36</v>
      </c>
      <c r="Q12" s="7">
        <v>0.5163977794943222</v>
      </c>
      <c r="R12" s="7">
        <f t="shared" si="0"/>
        <v>23.196700507614214</v>
      </c>
      <c r="S12" s="7">
        <f t="shared" si="1"/>
        <v>6.4306002317777482</v>
      </c>
      <c r="T12" s="7">
        <f t="shared" si="2"/>
        <v>22.771573604060915</v>
      </c>
      <c r="U12" s="7">
        <f t="shared" si="3"/>
        <v>6.5356886776680962</v>
      </c>
      <c r="V12" s="7">
        <f t="shared" si="4"/>
        <v>11.434010152284264</v>
      </c>
      <c r="W12" s="7">
        <f t="shared" si="5"/>
        <v>3.5019632409825281</v>
      </c>
      <c r="X12" s="7">
        <f t="shared" si="6"/>
        <v>-1.2746400354836278</v>
      </c>
      <c r="Y12" s="7">
        <f t="shared" si="7"/>
        <v>-1.4951100160951007</v>
      </c>
      <c r="Z12" s="7">
        <f t="shared" si="8"/>
        <v>-0.98059571616771202</v>
      </c>
      <c r="AA12" s="7">
        <f t="shared" si="9"/>
        <v>-1.2501152559154802</v>
      </c>
    </row>
    <row r="13" spans="1:27" x14ac:dyDescent="0.25">
      <c r="A13" s="1" t="s">
        <v>1652</v>
      </c>
      <c r="B13" s="1" t="s">
        <v>861</v>
      </c>
      <c r="C13" s="1">
        <v>3</v>
      </c>
      <c r="D13" s="1">
        <v>2</v>
      </c>
      <c r="E13" s="1">
        <v>3</v>
      </c>
      <c r="F13" s="1">
        <v>3</v>
      </c>
      <c r="G13" s="1">
        <v>3</v>
      </c>
      <c r="H13" s="1">
        <v>4</v>
      </c>
      <c r="I13" s="1">
        <v>3</v>
      </c>
      <c r="J13" s="1">
        <v>4</v>
      </c>
      <c r="K13" s="1">
        <v>4</v>
      </c>
      <c r="L13" s="1">
        <v>4</v>
      </c>
      <c r="M13" s="1">
        <v>11</v>
      </c>
      <c r="N13" s="1">
        <v>14</v>
      </c>
      <c r="O13" s="1">
        <v>8</v>
      </c>
      <c r="P13" s="1">
        <v>33</v>
      </c>
      <c r="Q13" s="7">
        <v>0.67494855771055284</v>
      </c>
      <c r="R13" s="7">
        <f t="shared" si="0"/>
        <v>23.196700507614214</v>
      </c>
      <c r="S13" s="7">
        <f t="shared" si="1"/>
        <v>6.4306002317777482</v>
      </c>
      <c r="T13" s="7">
        <f t="shared" si="2"/>
        <v>22.771573604060915</v>
      </c>
      <c r="U13" s="7">
        <f t="shared" si="3"/>
        <v>6.5356886776680962</v>
      </c>
      <c r="V13" s="7">
        <f t="shared" si="4"/>
        <v>11.434010152284264</v>
      </c>
      <c r="W13" s="7">
        <f t="shared" si="5"/>
        <v>3.5019632409825281</v>
      </c>
      <c r="X13" s="7">
        <f t="shared" si="6"/>
        <v>-1.8966659515456179</v>
      </c>
      <c r="Y13" s="7">
        <f t="shared" si="7"/>
        <v>-1.3421039521103035</v>
      </c>
      <c r="Z13" s="7">
        <f t="shared" si="8"/>
        <v>-0.98059571616771202</v>
      </c>
      <c r="AA13" s="7">
        <f t="shared" si="9"/>
        <v>-1.4064552066078777</v>
      </c>
    </row>
    <row r="14" spans="1:27" x14ac:dyDescent="0.25">
      <c r="A14" s="1" t="s">
        <v>1652</v>
      </c>
      <c r="B14" s="1" t="s">
        <v>861</v>
      </c>
      <c r="C14" s="1">
        <v>4</v>
      </c>
      <c r="D14" s="1">
        <v>4</v>
      </c>
      <c r="E14" s="1">
        <v>4</v>
      </c>
      <c r="F14" s="1">
        <v>4</v>
      </c>
      <c r="G14" s="1">
        <v>4</v>
      </c>
      <c r="H14" s="1">
        <v>3</v>
      </c>
      <c r="I14" s="1">
        <v>4</v>
      </c>
      <c r="J14" s="1">
        <v>4</v>
      </c>
      <c r="K14" s="1">
        <v>4</v>
      </c>
      <c r="L14" s="1">
        <v>4</v>
      </c>
      <c r="M14" s="1">
        <v>16</v>
      </c>
      <c r="N14" s="1">
        <v>15</v>
      </c>
      <c r="O14" s="1">
        <v>8</v>
      </c>
      <c r="P14" s="1">
        <v>39</v>
      </c>
      <c r="Q14" s="7">
        <v>0.31622776601683794</v>
      </c>
      <c r="R14" s="7">
        <f t="shared" si="0"/>
        <v>23.196700507614214</v>
      </c>
      <c r="S14" s="7">
        <f t="shared" si="1"/>
        <v>6.4306002317777482</v>
      </c>
      <c r="T14" s="7">
        <f t="shared" si="2"/>
        <v>22.771573604060915</v>
      </c>
      <c r="U14" s="7">
        <f t="shared" si="3"/>
        <v>6.5356886776680962</v>
      </c>
      <c r="V14" s="7">
        <f t="shared" si="4"/>
        <v>11.434010152284264</v>
      </c>
      <c r="W14" s="7">
        <f t="shared" si="5"/>
        <v>3.5019632409825281</v>
      </c>
      <c r="X14" s="7">
        <f t="shared" si="6"/>
        <v>-1.1191335564681302</v>
      </c>
      <c r="Y14" s="7">
        <f t="shared" si="7"/>
        <v>-1.1890978881255061</v>
      </c>
      <c r="Z14" s="7">
        <f t="shared" si="8"/>
        <v>-0.98059571616771202</v>
      </c>
      <c r="AA14" s="7">
        <f t="shared" si="9"/>
        <v>-1.0962757202537827</v>
      </c>
    </row>
    <row r="15" spans="1:27" x14ac:dyDescent="0.25">
      <c r="A15" s="1" t="s">
        <v>1652</v>
      </c>
      <c r="B15" s="1" t="s">
        <v>861</v>
      </c>
      <c r="C15" s="1">
        <v>3</v>
      </c>
      <c r="D15" s="1">
        <v>2</v>
      </c>
      <c r="E15" s="1">
        <v>2</v>
      </c>
      <c r="F15" s="1">
        <v>2</v>
      </c>
      <c r="G15" s="1">
        <v>2</v>
      </c>
      <c r="H15" s="1">
        <v>2</v>
      </c>
      <c r="I15" s="1">
        <v>2</v>
      </c>
      <c r="J15" s="1">
        <v>2</v>
      </c>
      <c r="K15" s="1">
        <v>2</v>
      </c>
      <c r="L15" s="1">
        <v>2</v>
      </c>
      <c r="M15" s="1">
        <v>9</v>
      </c>
      <c r="N15" s="1">
        <v>8</v>
      </c>
      <c r="O15" s="1">
        <v>4</v>
      </c>
      <c r="P15" s="1">
        <v>21</v>
      </c>
      <c r="Q15" s="7">
        <v>0.31622776601683805</v>
      </c>
      <c r="R15" s="7">
        <f t="shared" si="0"/>
        <v>23.196700507614214</v>
      </c>
      <c r="S15" s="7">
        <f t="shared" si="1"/>
        <v>6.4306002317777482</v>
      </c>
      <c r="T15" s="7">
        <f t="shared" si="2"/>
        <v>22.771573604060915</v>
      </c>
      <c r="U15" s="7">
        <f t="shared" si="3"/>
        <v>6.5356886776680962</v>
      </c>
      <c r="V15" s="7">
        <f t="shared" si="4"/>
        <v>11.434010152284264</v>
      </c>
      <c r="W15" s="7">
        <f t="shared" si="5"/>
        <v>3.5019632409825281</v>
      </c>
      <c r="X15" s="7">
        <f t="shared" si="6"/>
        <v>-2.2076789095766132</v>
      </c>
      <c r="Y15" s="7">
        <f t="shared" si="7"/>
        <v>-2.260140336019087</v>
      </c>
      <c r="Z15" s="7">
        <f t="shared" si="8"/>
        <v>-2.1228121601295111</v>
      </c>
      <c r="AA15" s="7">
        <f t="shared" si="9"/>
        <v>-2.1968771352417371</v>
      </c>
    </row>
    <row r="16" spans="1:27" x14ac:dyDescent="0.25">
      <c r="A16" s="1" t="s">
        <v>1652</v>
      </c>
      <c r="B16" s="1" t="s">
        <v>861</v>
      </c>
      <c r="C16" s="1">
        <v>4</v>
      </c>
      <c r="D16" s="1">
        <v>4</v>
      </c>
      <c r="E16" s="1">
        <v>4</v>
      </c>
      <c r="F16" s="1">
        <v>4</v>
      </c>
      <c r="G16" s="1">
        <v>4</v>
      </c>
      <c r="H16" s="1">
        <v>5</v>
      </c>
      <c r="I16" s="1">
        <v>4</v>
      </c>
      <c r="J16" s="1">
        <v>4</v>
      </c>
      <c r="K16" s="1">
        <v>4</v>
      </c>
      <c r="L16" s="1">
        <v>4</v>
      </c>
      <c r="M16" s="1">
        <v>16</v>
      </c>
      <c r="N16" s="1">
        <v>17</v>
      </c>
      <c r="O16" s="1">
        <v>8</v>
      </c>
      <c r="P16" s="1">
        <v>41</v>
      </c>
      <c r="Q16" s="7">
        <v>0.31622776601683789</v>
      </c>
      <c r="R16" s="7">
        <f t="shared" si="0"/>
        <v>23.196700507614214</v>
      </c>
      <c r="S16" s="7">
        <f t="shared" si="1"/>
        <v>6.4306002317777482</v>
      </c>
      <c r="T16" s="7">
        <f t="shared" si="2"/>
        <v>22.771573604060915</v>
      </c>
      <c r="U16" s="7">
        <f t="shared" si="3"/>
        <v>6.5356886776680962</v>
      </c>
      <c r="V16" s="7">
        <f t="shared" si="4"/>
        <v>11.434010152284264</v>
      </c>
      <c r="W16" s="7">
        <f t="shared" si="5"/>
        <v>3.5019632409825281</v>
      </c>
      <c r="X16" s="7">
        <f t="shared" si="6"/>
        <v>-1.1191335564681302</v>
      </c>
      <c r="Y16" s="7">
        <f t="shared" si="7"/>
        <v>-0.88308576015591156</v>
      </c>
      <c r="Z16" s="7">
        <f t="shared" si="8"/>
        <v>-0.98059571616771202</v>
      </c>
      <c r="AA16" s="7">
        <f t="shared" si="9"/>
        <v>-0.99427167759725121</v>
      </c>
    </row>
    <row r="17" spans="1:27" x14ac:dyDescent="0.25">
      <c r="A17" s="1" t="s">
        <v>1652</v>
      </c>
      <c r="B17" s="1" t="s">
        <v>861</v>
      </c>
      <c r="C17" s="1">
        <v>4</v>
      </c>
      <c r="D17" s="1">
        <v>3</v>
      </c>
      <c r="E17" s="1">
        <v>3</v>
      </c>
      <c r="F17" s="1">
        <v>3</v>
      </c>
      <c r="G17" s="1">
        <v>3</v>
      </c>
      <c r="H17" s="1">
        <v>3</v>
      </c>
      <c r="I17" s="1">
        <v>3</v>
      </c>
      <c r="J17" s="1">
        <v>3</v>
      </c>
      <c r="K17" s="1">
        <v>4</v>
      </c>
      <c r="L17" s="1">
        <v>4</v>
      </c>
      <c r="M17" s="1">
        <v>13</v>
      </c>
      <c r="N17" s="1">
        <v>12</v>
      </c>
      <c r="O17" s="1">
        <v>8</v>
      </c>
      <c r="P17" s="1">
        <v>33</v>
      </c>
      <c r="Q17" s="7">
        <v>0.48304589153964783</v>
      </c>
      <c r="R17" s="7">
        <f t="shared" si="0"/>
        <v>23.196700507614214</v>
      </c>
      <c r="S17" s="7">
        <f t="shared" si="1"/>
        <v>6.4306002317777482</v>
      </c>
      <c r="T17" s="7">
        <f t="shared" si="2"/>
        <v>22.771573604060915</v>
      </c>
      <c r="U17" s="7">
        <f t="shared" si="3"/>
        <v>6.5356886776680962</v>
      </c>
      <c r="V17" s="7">
        <f t="shared" si="4"/>
        <v>11.434010152284264</v>
      </c>
      <c r="W17" s="7">
        <f t="shared" si="5"/>
        <v>3.5019632409825281</v>
      </c>
      <c r="X17" s="7">
        <f t="shared" si="6"/>
        <v>-1.5856529935146229</v>
      </c>
      <c r="Y17" s="7">
        <f t="shared" si="7"/>
        <v>-1.648116080079898</v>
      </c>
      <c r="Z17" s="7">
        <f t="shared" si="8"/>
        <v>-0.98059571616771202</v>
      </c>
      <c r="AA17" s="7">
        <f t="shared" si="9"/>
        <v>-1.4047882632540778</v>
      </c>
    </row>
    <row r="18" spans="1:27" x14ac:dyDescent="0.25">
      <c r="A18" s="1" t="s">
        <v>1652</v>
      </c>
      <c r="B18" s="1" t="s">
        <v>861</v>
      </c>
      <c r="C18" s="1">
        <v>4</v>
      </c>
      <c r="D18" s="1">
        <v>4</v>
      </c>
      <c r="E18" s="1">
        <v>4</v>
      </c>
      <c r="F18" s="1">
        <v>3</v>
      </c>
      <c r="G18" s="1">
        <v>4</v>
      </c>
      <c r="H18" s="1">
        <v>3</v>
      </c>
      <c r="I18" s="1">
        <v>3</v>
      </c>
      <c r="J18" s="1">
        <v>3</v>
      </c>
      <c r="K18" s="1">
        <v>4</v>
      </c>
      <c r="L18" s="1">
        <v>4</v>
      </c>
      <c r="M18" s="1">
        <v>15</v>
      </c>
      <c r="N18" s="1">
        <v>13</v>
      </c>
      <c r="O18" s="1">
        <v>8</v>
      </c>
      <c r="P18" s="1">
        <v>36</v>
      </c>
      <c r="Q18" s="7">
        <v>0.5163977794943222</v>
      </c>
      <c r="R18" s="7">
        <f t="shared" si="0"/>
        <v>23.196700507614214</v>
      </c>
      <c r="S18" s="7">
        <f t="shared" si="1"/>
        <v>6.4306002317777482</v>
      </c>
      <c r="T18" s="7">
        <f t="shared" si="2"/>
        <v>22.771573604060915</v>
      </c>
      <c r="U18" s="7">
        <f t="shared" si="3"/>
        <v>6.5356886776680962</v>
      </c>
      <c r="V18" s="7">
        <f t="shared" si="4"/>
        <v>11.434010152284264</v>
      </c>
      <c r="W18" s="7">
        <f t="shared" si="5"/>
        <v>3.5019632409825281</v>
      </c>
      <c r="X18" s="7">
        <f t="shared" si="6"/>
        <v>-1.2746400354836278</v>
      </c>
      <c r="Y18" s="7">
        <f t="shared" si="7"/>
        <v>-1.4951100160951007</v>
      </c>
      <c r="Z18" s="7">
        <f t="shared" si="8"/>
        <v>-0.98059571616771202</v>
      </c>
      <c r="AA18" s="7">
        <f t="shared" si="9"/>
        <v>-1.2501152559154802</v>
      </c>
    </row>
    <row r="19" spans="1:27" x14ac:dyDescent="0.25">
      <c r="A19" s="1" t="s">
        <v>1652</v>
      </c>
      <c r="B19" s="1" t="s">
        <v>861</v>
      </c>
      <c r="C19" s="1">
        <v>5</v>
      </c>
      <c r="D19" s="1">
        <v>5</v>
      </c>
      <c r="E19" s="1">
        <v>4</v>
      </c>
      <c r="F19" s="1">
        <v>4</v>
      </c>
      <c r="G19" s="1">
        <v>3</v>
      </c>
      <c r="H19" s="1">
        <v>3</v>
      </c>
      <c r="I19" s="1">
        <v>3</v>
      </c>
      <c r="J19" s="1">
        <v>3</v>
      </c>
      <c r="K19" s="1">
        <v>4</v>
      </c>
      <c r="L19" s="1">
        <v>4</v>
      </c>
      <c r="M19" s="1">
        <v>18</v>
      </c>
      <c r="N19" s="1">
        <v>12</v>
      </c>
      <c r="O19" s="1">
        <v>8</v>
      </c>
      <c r="P19" s="1">
        <v>38</v>
      </c>
      <c r="Q19" s="7">
        <v>0.78881063774661553</v>
      </c>
      <c r="R19" s="7">
        <f t="shared" si="0"/>
        <v>23.196700507614214</v>
      </c>
      <c r="S19" s="7">
        <f t="shared" si="1"/>
        <v>6.4306002317777482</v>
      </c>
      <c r="T19" s="7">
        <f t="shared" si="2"/>
        <v>22.771573604060915</v>
      </c>
      <c r="U19" s="7">
        <f t="shared" si="3"/>
        <v>6.5356886776680962</v>
      </c>
      <c r="V19" s="7">
        <f t="shared" si="4"/>
        <v>11.434010152284264</v>
      </c>
      <c r="W19" s="7">
        <f t="shared" si="5"/>
        <v>3.5019632409825281</v>
      </c>
      <c r="X19" s="7">
        <f t="shared" si="6"/>
        <v>-0.80812059843713513</v>
      </c>
      <c r="Y19" s="7">
        <f t="shared" si="7"/>
        <v>-1.648116080079898</v>
      </c>
      <c r="Z19" s="7">
        <f t="shared" si="8"/>
        <v>-0.98059571616771202</v>
      </c>
      <c r="AA19" s="7">
        <f t="shared" si="9"/>
        <v>-1.1456107982282484</v>
      </c>
    </row>
    <row r="20" spans="1:27" x14ac:dyDescent="0.25">
      <c r="A20" s="1" t="s">
        <v>1652</v>
      </c>
      <c r="B20" s="1" t="s">
        <v>861</v>
      </c>
      <c r="C20" s="1">
        <v>5</v>
      </c>
      <c r="D20" s="1">
        <v>5</v>
      </c>
      <c r="E20" s="1">
        <v>5</v>
      </c>
      <c r="F20" s="1">
        <v>5</v>
      </c>
      <c r="G20" s="1">
        <v>4</v>
      </c>
      <c r="H20" s="1">
        <v>4</v>
      </c>
      <c r="I20" s="1">
        <v>3</v>
      </c>
      <c r="J20" s="1">
        <v>3</v>
      </c>
      <c r="K20" s="1">
        <v>4</v>
      </c>
      <c r="L20" s="1">
        <v>3</v>
      </c>
      <c r="M20" s="1">
        <v>20</v>
      </c>
      <c r="N20" s="1">
        <v>14</v>
      </c>
      <c r="O20" s="1">
        <v>7</v>
      </c>
      <c r="P20" s="1">
        <v>41</v>
      </c>
      <c r="Q20" s="7">
        <v>0.8755950357709128</v>
      </c>
      <c r="R20" s="7">
        <f t="shared" si="0"/>
        <v>23.196700507614214</v>
      </c>
      <c r="S20" s="7">
        <f t="shared" si="1"/>
        <v>6.4306002317777482</v>
      </c>
      <c r="T20" s="7">
        <f t="shared" si="2"/>
        <v>22.771573604060915</v>
      </c>
      <c r="U20" s="7">
        <f t="shared" si="3"/>
        <v>6.5356886776680962</v>
      </c>
      <c r="V20" s="7">
        <f t="shared" si="4"/>
        <v>11.434010152284264</v>
      </c>
      <c r="W20" s="7">
        <f t="shared" si="5"/>
        <v>3.5019632409825281</v>
      </c>
      <c r="X20" s="7">
        <f t="shared" si="6"/>
        <v>-0.49710764040614003</v>
      </c>
      <c r="Y20" s="7">
        <f t="shared" si="7"/>
        <v>-1.3421039521103035</v>
      </c>
      <c r="Z20" s="7">
        <f t="shared" si="8"/>
        <v>-1.2661498271581617</v>
      </c>
      <c r="AA20" s="7">
        <f t="shared" si="9"/>
        <v>-1.0351204732248684</v>
      </c>
    </row>
    <row r="21" spans="1:27" x14ac:dyDescent="0.25">
      <c r="A21" s="1" t="s">
        <v>1652</v>
      </c>
      <c r="B21" s="1" t="s">
        <v>861</v>
      </c>
      <c r="C21" s="1">
        <v>4</v>
      </c>
      <c r="D21" s="1">
        <v>5</v>
      </c>
      <c r="E21" s="1">
        <v>5</v>
      </c>
      <c r="F21" s="1">
        <v>5</v>
      </c>
      <c r="G21" s="1">
        <v>3</v>
      </c>
      <c r="H21" s="1">
        <v>3</v>
      </c>
      <c r="I21" s="1">
        <v>3</v>
      </c>
      <c r="J21" s="1">
        <v>4</v>
      </c>
      <c r="K21" s="1">
        <v>4</v>
      </c>
      <c r="L21" s="1">
        <v>4</v>
      </c>
      <c r="M21" s="1">
        <v>19</v>
      </c>
      <c r="N21" s="1">
        <v>13</v>
      </c>
      <c r="O21" s="1">
        <v>8</v>
      </c>
      <c r="P21" s="1">
        <v>40</v>
      </c>
      <c r="Q21" s="7">
        <v>0.81649658092772603</v>
      </c>
      <c r="R21" s="7">
        <f t="shared" si="0"/>
        <v>23.196700507614214</v>
      </c>
      <c r="S21" s="7">
        <f t="shared" si="1"/>
        <v>6.4306002317777482</v>
      </c>
      <c r="T21" s="7">
        <f t="shared" si="2"/>
        <v>22.771573604060915</v>
      </c>
      <c r="U21" s="7">
        <f t="shared" si="3"/>
        <v>6.5356886776680962</v>
      </c>
      <c r="V21" s="7">
        <f t="shared" si="4"/>
        <v>11.434010152284264</v>
      </c>
      <c r="W21" s="7">
        <f t="shared" si="5"/>
        <v>3.5019632409825281</v>
      </c>
      <c r="X21" s="7">
        <f t="shared" si="6"/>
        <v>-0.65261411942163761</v>
      </c>
      <c r="Y21" s="7">
        <f t="shared" si="7"/>
        <v>-1.4951100160951007</v>
      </c>
      <c r="Z21" s="7">
        <f t="shared" si="8"/>
        <v>-0.98059571616771202</v>
      </c>
      <c r="AA21" s="7">
        <f t="shared" si="9"/>
        <v>-1.0427732838948167</v>
      </c>
    </row>
    <row r="22" spans="1:27" x14ac:dyDescent="0.25">
      <c r="A22" s="1" t="s">
        <v>1652</v>
      </c>
      <c r="B22" s="1" t="s">
        <v>861</v>
      </c>
      <c r="C22" s="1">
        <v>4</v>
      </c>
      <c r="D22" s="1">
        <v>4</v>
      </c>
      <c r="E22" s="1">
        <v>5</v>
      </c>
      <c r="F22" s="1">
        <v>4</v>
      </c>
      <c r="G22" s="1">
        <v>3</v>
      </c>
      <c r="H22" s="1">
        <v>3</v>
      </c>
      <c r="I22" s="1">
        <v>3</v>
      </c>
      <c r="J22" s="1">
        <v>4</v>
      </c>
      <c r="K22" s="1">
        <v>4</v>
      </c>
      <c r="L22" s="1">
        <v>3</v>
      </c>
      <c r="M22" s="1">
        <v>17</v>
      </c>
      <c r="N22" s="1">
        <v>13</v>
      </c>
      <c r="O22" s="1">
        <v>7</v>
      </c>
      <c r="P22" s="1">
        <v>37</v>
      </c>
      <c r="Q22" s="7">
        <v>0.67494855771055284</v>
      </c>
      <c r="R22" s="7">
        <f t="shared" si="0"/>
        <v>23.196700507614214</v>
      </c>
      <c r="S22" s="7">
        <f t="shared" si="1"/>
        <v>6.4306002317777482</v>
      </c>
      <c r="T22" s="7">
        <f t="shared" si="2"/>
        <v>22.771573604060915</v>
      </c>
      <c r="U22" s="7">
        <f t="shared" si="3"/>
        <v>6.5356886776680962</v>
      </c>
      <c r="V22" s="7">
        <f t="shared" si="4"/>
        <v>11.434010152284264</v>
      </c>
      <c r="W22" s="7">
        <f t="shared" si="5"/>
        <v>3.5019632409825281</v>
      </c>
      <c r="X22" s="7">
        <f t="shared" si="6"/>
        <v>-0.96362707745263265</v>
      </c>
      <c r="Y22" s="7">
        <f t="shared" si="7"/>
        <v>-1.4951100160951007</v>
      </c>
      <c r="Z22" s="7">
        <f t="shared" si="8"/>
        <v>-1.2661498271581617</v>
      </c>
      <c r="AA22" s="7">
        <f t="shared" si="9"/>
        <v>-1.2416289735686317</v>
      </c>
    </row>
    <row r="23" spans="1:27" x14ac:dyDescent="0.25">
      <c r="A23" s="1" t="s">
        <v>1652</v>
      </c>
      <c r="B23" s="1" t="s">
        <v>861</v>
      </c>
      <c r="C23" s="1">
        <v>3</v>
      </c>
      <c r="D23" s="1">
        <v>3</v>
      </c>
      <c r="E23" s="1">
        <v>3</v>
      </c>
      <c r="F23" s="1">
        <v>3</v>
      </c>
      <c r="G23" s="1">
        <v>4</v>
      </c>
      <c r="H23" s="1">
        <v>3</v>
      </c>
      <c r="I23" s="1">
        <v>3</v>
      </c>
      <c r="J23" s="1">
        <v>4</v>
      </c>
      <c r="K23" s="1">
        <v>3</v>
      </c>
      <c r="L23" s="1">
        <v>3</v>
      </c>
      <c r="M23" s="1">
        <v>12</v>
      </c>
      <c r="N23" s="1">
        <v>14</v>
      </c>
      <c r="O23" s="1">
        <v>6</v>
      </c>
      <c r="P23" s="1">
        <v>32</v>
      </c>
      <c r="Q23" s="7">
        <v>0.4216370213557839</v>
      </c>
      <c r="R23" s="7">
        <f t="shared" si="0"/>
        <v>23.196700507614214</v>
      </c>
      <c r="S23" s="7">
        <f t="shared" si="1"/>
        <v>6.4306002317777482</v>
      </c>
      <c r="T23" s="7">
        <f t="shared" si="2"/>
        <v>22.771573604060915</v>
      </c>
      <c r="U23" s="7">
        <f t="shared" si="3"/>
        <v>6.5356886776680962</v>
      </c>
      <c r="V23" s="7">
        <f t="shared" si="4"/>
        <v>11.434010152284264</v>
      </c>
      <c r="W23" s="7">
        <f t="shared" si="5"/>
        <v>3.5019632409825281</v>
      </c>
      <c r="X23" s="7">
        <f t="shared" si="6"/>
        <v>-1.7411594725301203</v>
      </c>
      <c r="Y23" s="7">
        <f t="shared" si="7"/>
        <v>-1.3421039521103035</v>
      </c>
      <c r="Z23" s="7">
        <f t="shared" si="8"/>
        <v>-1.5517039381486115</v>
      </c>
      <c r="AA23" s="7">
        <f t="shared" si="9"/>
        <v>-1.5449891209296787</v>
      </c>
    </row>
    <row r="24" spans="1:27" x14ac:dyDescent="0.25">
      <c r="A24" s="1" t="s">
        <v>1652</v>
      </c>
      <c r="B24" s="1" t="s">
        <v>861</v>
      </c>
      <c r="C24" s="1">
        <v>4</v>
      </c>
      <c r="D24" s="1">
        <v>4</v>
      </c>
      <c r="E24" s="1">
        <v>4</v>
      </c>
      <c r="F24" s="1">
        <v>3</v>
      </c>
      <c r="G24" s="1">
        <v>3</v>
      </c>
      <c r="H24" s="1">
        <v>3</v>
      </c>
      <c r="I24" s="1">
        <v>3</v>
      </c>
      <c r="J24" s="1">
        <v>3</v>
      </c>
      <c r="K24" s="1">
        <v>3</v>
      </c>
      <c r="L24" s="1">
        <v>3</v>
      </c>
      <c r="M24" s="1">
        <v>15</v>
      </c>
      <c r="N24" s="1">
        <v>12</v>
      </c>
      <c r="O24" s="1">
        <v>6</v>
      </c>
      <c r="P24" s="1">
        <v>33</v>
      </c>
      <c r="Q24" s="7">
        <v>0.48304589153964794</v>
      </c>
      <c r="R24" s="7">
        <f t="shared" si="0"/>
        <v>23.196700507614214</v>
      </c>
      <c r="S24" s="7">
        <f t="shared" si="1"/>
        <v>6.4306002317777482</v>
      </c>
      <c r="T24" s="7">
        <f t="shared" si="2"/>
        <v>22.771573604060915</v>
      </c>
      <c r="U24" s="7">
        <f t="shared" si="3"/>
        <v>6.5356886776680962</v>
      </c>
      <c r="V24" s="7">
        <f t="shared" si="4"/>
        <v>11.434010152284264</v>
      </c>
      <c r="W24" s="7">
        <f t="shared" si="5"/>
        <v>3.5019632409825281</v>
      </c>
      <c r="X24" s="7">
        <f t="shared" si="6"/>
        <v>-1.2746400354836278</v>
      </c>
      <c r="Y24" s="7">
        <f t="shared" si="7"/>
        <v>-1.648116080079898</v>
      </c>
      <c r="Z24" s="7">
        <f t="shared" si="8"/>
        <v>-1.5517039381486115</v>
      </c>
      <c r="AA24" s="7">
        <f t="shared" si="9"/>
        <v>-1.4914866845707124</v>
      </c>
    </row>
    <row r="25" spans="1:27" x14ac:dyDescent="0.25">
      <c r="A25" s="1" t="s">
        <v>1652</v>
      </c>
      <c r="B25" s="1" t="s">
        <v>861</v>
      </c>
      <c r="C25" s="1">
        <v>4</v>
      </c>
      <c r="D25" s="1">
        <v>4</v>
      </c>
      <c r="E25" s="1">
        <v>4</v>
      </c>
      <c r="F25" s="1">
        <v>4</v>
      </c>
      <c r="G25" s="1">
        <v>4</v>
      </c>
      <c r="H25" s="1">
        <v>4</v>
      </c>
      <c r="I25" s="1">
        <v>4</v>
      </c>
      <c r="J25" s="1">
        <v>4</v>
      </c>
      <c r="K25" s="1">
        <v>4</v>
      </c>
      <c r="L25" s="1">
        <v>5</v>
      </c>
      <c r="M25" s="1">
        <v>16</v>
      </c>
      <c r="N25" s="1">
        <v>16</v>
      </c>
      <c r="O25" s="1">
        <v>9</v>
      </c>
      <c r="P25" s="1">
        <v>41</v>
      </c>
      <c r="Q25" s="7">
        <v>0.316227766016838</v>
      </c>
      <c r="R25" s="7">
        <f t="shared" si="0"/>
        <v>23.196700507614214</v>
      </c>
      <c r="S25" s="7">
        <f t="shared" si="1"/>
        <v>6.4306002317777482</v>
      </c>
      <c r="T25" s="7">
        <f t="shared" si="2"/>
        <v>22.771573604060915</v>
      </c>
      <c r="U25" s="7">
        <f t="shared" si="3"/>
        <v>6.5356886776680962</v>
      </c>
      <c r="V25" s="7">
        <f t="shared" si="4"/>
        <v>11.434010152284264</v>
      </c>
      <c r="W25" s="7">
        <f t="shared" si="5"/>
        <v>3.5019632409825281</v>
      </c>
      <c r="X25" s="7">
        <f t="shared" si="6"/>
        <v>-1.1191335564681302</v>
      </c>
      <c r="Y25" s="7">
        <f t="shared" si="7"/>
        <v>-1.0360918241407089</v>
      </c>
      <c r="Z25" s="7">
        <f t="shared" si="8"/>
        <v>-0.69504160517726232</v>
      </c>
      <c r="AA25" s="7">
        <f t="shared" si="9"/>
        <v>-0.95008899526203383</v>
      </c>
    </row>
    <row r="26" spans="1:27" x14ac:dyDescent="0.25">
      <c r="A26" s="1" t="s">
        <v>1652</v>
      </c>
      <c r="B26" s="1" t="s">
        <v>861</v>
      </c>
      <c r="C26" s="1">
        <v>5</v>
      </c>
      <c r="D26" s="1">
        <v>5</v>
      </c>
      <c r="E26" s="1">
        <v>4</v>
      </c>
      <c r="F26" s="1">
        <v>5</v>
      </c>
      <c r="G26" s="1">
        <v>3</v>
      </c>
      <c r="H26" s="1">
        <v>4</v>
      </c>
      <c r="I26" s="1">
        <v>4</v>
      </c>
      <c r="J26" s="1">
        <v>4</v>
      </c>
      <c r="K26" s="1">
        <v>4</v>
      </c>
      <c r="L26" s="1">
        <v>5</v>
      </c>
      <c r="M26" s="1">
        <v>19</v>
      </c>
      <c r="N26" s="1">
        <v>15</v>
      </c>
      <c r="O26" s="1">
        <v>9</v>
      </c>
      <c r="P26" s="1">
        <v>43</v>
      </c>
      <c r="Q26" s="7">
        <v>0.67494855771055307</v>
      </c>
      <c r="R26" s="7">
        <f t="shared" si="0"/>
        <v>23.196700507614214</v>
      </c>
      <c r="S26" s="7">
        <f t="shared" si="1"/>
        <v>6.4306002317777482</v>
      </c>
      <c r="T26" s="7">
        <f t="shared" si="2"/>
        <v>22.771573604060915</v>
      </c>
      <c r="U26" s="7">
        <f t="shared" si="3"/>
        <v>6.5356886776680962</v>
      </c>
      <c r="V26" s="7">
        <f t="shared" si="4"/>
        <v>11.434010152284264</v>
      </c>
      <c r="W26" s="7">
        <f t="shared" si="5"/>
        <v>3.5019632409825281</v>
      </c>
      <c r="X26" s="7">
        <f t="shared" si="6"/>
        <v>-0.65261411942163761</v>
      </c>
      <c r="Y26" s="7">
        <f t="shared" si="7"/>
        <v>-1.1890978881255061</v>
      </c>
      <c r="Z26" s="7">
        <f t="shared" si="8"/>
        <v>-0.69504160517726232</v>
      </c>
      <c r="AA26" s="7">
        <f t="shared" si="9"/>
        <v>-0.84558453757480201</v>
      </c>
    </row>
    <row r="27" spans="1:27" x14ac:dyDescent="0.25">
      <c r="A27" s="1" t="s">
        <v>1652</v>
      </c>
      <c r="B27" s="1" t="s">
        <v>861</v>
      </c>
      <c r="C27" s="1">
        <v>5</v>
      </c>
      <c r="D27" s="1">
        <v>5</v>
      </c>
      <c r="E27" s="1">
        <v>5</v>
      </c>
      <c r="F27" s="1">
        <v>5</v>
      </c>
      <c r="G27" s="1">
        <v>4</v>
      </c>
      <c r="H27" s="1">
        <v>4</v>
      </c>
      <c r="I27" s="1">
        <v>5</v>
      </c>
      <c r="J27" s="1">
        <v>4</v>
      </c>
      <c r="K27" s="1">
        <v>4</v>
      </c>
      <c r="L27" s="1">
        <v>6</v>
      </c>
      <c r="M27" s="1">
        <v>20</v>
      </c>
      <c r="N27" s="1">
        <v>17</v>
      </c>
      <c r="O27" s="1">
        <v>10</v>
      </c>
      <c r="P27" s="1">
        <v>47</v>
      </c>
      <c r="Q27" s="7">
        <v>0.67494855771055284</v>
      </c>
      <c r="R27" s="7">
        <f t="shared" si="0"/>
        <v>23.196700507614214</v>
      </c>
      <c r="S27" s="7">
        <f t="shared" si="1"/>
        <v>6.4306002317777482</v>
      </c>
      <c r="T27" s="7">
        <f t="shared" si="2"/>
        <v>22.771573604060915</v>
      </c>
      <c r="U27" s="7">
        <f t="shared" si="3"/>
        <v>6.5356886776680962</v>
      </c>
      <c r="V27" s="7">
        <f t="shared" si="4"/>
        <v>11.434010152284264</v>
      </c>
      <c r="W27" s="7">
        <f t="shared" si="5"/>
        <v>3.5019632409825281</v>
      </c>
      <c r="X27" s="7">
        <f t="shared" si="6"/>
        <v>-0.49710764040614003</v>
      </c>
      <c r="Y27" s="7">
        <f t="shared" si="7"/>
        <v>-0.88308576015591156</v>
      </c>
      <c r="Z27" s="7">
        <f t="shared" si="8"/>
        <v>-0.40948749418681252</v>
      </c>
      <c r="AA27" s="7">
        <f t="shared" si="9"/>
        <v>-0.59656029824962131</v>
      </c>
    </row>
    <row r="28" spans="1:27" x14ac:dyDescent="0.25">
      <c r="A28" s="1" t="s">
        <v>1652</v>
      </c>
      <c r="B28" s="1" t="s">
        <v>861</v>
      </c>
      <c r="C28" s="1">
        <v>4</v>
      </c>
      <c r="D28" s="1">
        <v>5</v>
      </c>
      <c r="E28" s="1">
        <v>6</v>
      </c>
      <c r="F28" s="1">
        <v>5</v>
      </c>
      <c r="G28" s="1">
        <v>4</v>
      </c>
      <c r="H28" s="1">
        <v>4</v>
      </c>
      <c r="I28" s="1">
        <v>5</v>
      </c>
      <c r="J28" s="1">
        <v>4</v>
      </c>
      <c r="K28" s="1">
        <v>4</v>
      </c>
      <c r="L28" s="1">
        <v>6</v>
      </c>
      <c r="M28" s="1">
        <v>20</v>
      </c>
      <c r="N28" s="1">
        <v>17</v>
      </c>
      <c r="O28" s="1">
        <v>10</v>
      </c>
      <c r="P28" s="1">
        <v>47</v>
      </c>
      <c r="Q28" s="7">
        <v>0.82327260234856459</v>
      </c>
      <c r="R28" s="7">
        <f t="shared" si="0"/>
        <v>23.196700507614214</v>
      </c>
      <c r="S28" s="7">
        <f t="shared" si="1"/>
        <v>6.4306002317777482</v>
      </c>
      <c r="T28" s="7">
        <f t="shared" si="2"/>
        <v>22.771573604060915</v>
      </c>
      <c r="U28" s="7">
        <f t="shared" si="3"/>
        <v>6.5356886776680962</v>
      </c>
      <c r="V28" s="7">
        <f t="shared" si="4"/>
        <v>11.434010152284264</v>
      </c>
      <c r="W28" s="7">
        <f t="shared" si="5"/>
        <v>3.5019632409825281</v>
      </c>
      <c r="X28" s="7">
        <f t="shared" si="6"/>
        <v>-0.49710764040614003</v>
      </c>
      <c r="Y28" s="7">
        <f t="shared" si="7"/>
        <v>-0.88308576015591156</v>
      </c>
      <c r="Z28" s="7">
        <f t="shared" si="8"/>
        <v>-0.40948749418681252</v>
      </c>
      <c r="AA28" s="7">
        <f t="shared" si="9"/>
        <v>-0.59656029824962131</v>
      </c>
    </row>
    <row r="29" spans="1:27" x14ac:dyDescent="0.25">
      <c r="A29" s="1" t="s">
        <v>1652</v>
      </c>
      <c r="B29" s="1" t="s">
        <v>861</v>
      </c>
      <c r="C29" s="1">
        <v>5</v>
      </c>
      <c r="D29" s="1">
        <v>5</v>
      </c>
      <c r="E29" s="1">
        <v>5</v>
      </c>
      <c r="F29" s="1">
        <v>5</v>
      </c>
      <c r="G29" s="1">
        <v>4</v>
      </c>
      <c r="H29" s="1">
        <v>4</v>
      </c>
      <c r="I29" s="1">
        <v>5</v>
      </c>
      <c r="J29" s="1">
        <v>4</v>
      </c>
      <c r="K29" s="1">
        <v>6</v>
      </c>
      <c r="L29" s="1">
        <v>5</v>
      </c>
      <c r="M29" s="1">
        <v>20</v>
      </c>
      <c r="N29" s="1">
        <v>17</v>
      </c>
      <c r="O29" s="1">
        <v>11</v>
      </c>
      <c r="P29" s="1">
        <v>48</v>
      </c>
      <c r="Q29" s="7">
        <v>0.63245553203367599</v>
      </c>
      <c r="R29" s="7">
        <f t="shared" si="0"/>
        <v>23.196700507614214</v>
      </c>
      <c r="S29" s="7">
        <f t="shared" si="1"/>
        <v>6.4306002317777482</v>
      </c>
      <c r="T29" s="7">
        <f t="shared" si="2"/>
        <v>22.771573604060915</v>
      </c>
      <c r="U29" s="7">
        <f t="shared" si="3"/>
        <v>6.5356886776680962</v>
      </c>
      <c r="V29" s="7">
        <f t="shared" si="4"/>
        <v>11.434010152284264</v>
      </c>
      <c r="W29" s="7">
        <f t="shared" si="5"/>
        <v>3.5019632409825281</v>
      </c>
      <c r="X29" s="7">
        <f t="shared" si="6"/>
        <v>-0.49710764040614003</v>
      </c>
      <c r="Y29" s="7">
        <f t="shared" si="7"/>
        <v>-0.88308576015591156</v>
      </c>
      <c r="Z29" s="7">
        <f t="shared" si="8"/>
        <v>-0.12393338319636275</v>
      </c>
      <c r="AA29" s="7">
        <f t="shared" si="9"/>
        <v>-0.50137559458613812</v>
      </c>
    </row>
    <row r="30" spans="1:27" x14ac:dyDescent="0.25">
      <c r="A30" s="1" t="s">
        <v>1652</v>
      </c>
      <c r="B30" s="1" t="s">
        <v>861</v>
      </c>
      <c r="C30" s="1">
        <v>4</v>
      </c>
      <c r="D30" s="1">
        <v>3</v>
      </c>
      <c r="E30" s="1">
        <v>4</v>
      </c>
      <c r="F30" s="1">
        <v>3</v>
      </c>
      <c r="G30" s="1">
        <v>4</v>
      </c>
      <c r="H30" s="1">
        <v>4</v>
      </c>
      <c r="I30" s="1">
        <v>3</v>
      </c>
      <c r="J30" s="1">
        <v>3</v>
      </c>
      <c r="K30" s="1">
        <v>3</v>
      </c>
      <c r="L30" s="1">
        <v>2</v>
      </c>
      <c r="M30" s="1">
        <v>14</v>
      </c>
      <c r="N30" s="1">
        <v>14</v>
      </c>
      <c r="O30" s="1">
        <v>5</v>
      </c>
      <c r="P30" s="1">
        <v>33</v>
      </c>
      <c r="Q30" s="7">
        <v>0.67494855771055295</v>
      </c>
      <c r="R30" s="7">
        <f t="shared" si="0"/>
        <v>23.196700507614214</v>
      </c>
      <c r="S30" s="7">
        <f t="shared" si="1"/>
        <v>6.4306002317777482</v>
      </c>
      <c r="T30" s="7">
        <f t="shared" si="2"/>
        <v>22.771573604060915</v>
      </c>
      <c r="U30" s="7">
        <f t="shared" si="3"/>
        <v>6.5356886776680962</v>
      </c>
      <c r="V30" s="7">
        <f t="shared" si="4"/>
        <v>11.434010152284264</v>
      </c>
      <c r="W30" s="7">
        <f t="shared" si="5"/>
        <v>3.5019632409825281</v>
      </c>
      <c r="X30" s="7">
        <f t="shared" si="6"/>
        <v>-1.4301465144991252</v>
      </c>
      <c r="Y30" s="7">
        <f t="shared" si="7"/>
        <v>-1.3421039521103035</v>
      </c>
      <c r="Z30" s="7">
        <f t="shared" si="8"/>
        <v>-1.8372580491390613</v>
      </c>
      <c r="AA30" s="7">
        <f t="shared" si="9"/>
        <v>-1.5365028385828301</v>
      </c>
    </row>
    <row r="31" spans="1:27" x14ac:dyDescent="0.25">
      <c r="A31" s="1" t="s">
        <v>1653</v>
      </c>
      <c r="B31" s="1" t="s">
        <v>861</v>
      </c>
      <c r="C31" s="1">
        <v>5</v>
      </c>
      <c r="D31" s="1">
        <v>3</v>
      </c>
      <c r="E31" s="1">
        <v>5</v>
      </c>
      <c r="F31" s="1">
        <v>4</v>
      </c>
      <c r="G31" s="1">
        <v>5</v>
      </c>
      <c r="H31" s="1">
        <v>4</v>
      </c>
      <c r="I31" s="1">
        <v>4</v>
      </c>
      <c r="J31" s="1">
        <v>5</v>
      </c>
      <c r="K31" s="1">
        <v>6</v>
      </c>
      <c r="L31" s="1">
        <v>5</v>
      </c>
      <c r="M31" s="1">
        <v>17</v>
      </c>
      <c r="N31" s="1">
        <v>18</v>
      </c>
      <c r="O31" s="1">
        <v>11</v>
      </c>
      <c r="P31" s="1">
        <v>46</v>
      </c>
      <c r="Q31" s="7">
        <v>0.8432740427115677</v>
      </c>
      <c r="R31" s="7">
        <f t="shared" si="0"/>
        <v>23.196700507614214</v>
      </c>
      <c r="S31" s="7">
        <f t="shared" si="1"/>
        <v>6.4306002317777482</v>
      </c>
      <c r="T31" s="7">
        <f t="shared" si="2"/>
        <v>22.771573604060915</v>
      </c>
      <c r="U31" s="7">
        <f t="shared" si="3"/>
        <v>6.5356886776680962</v>
      </c>
      <c r="V31" s="7">
        <f t="shared" si="4"/>
        <v>11.434010152284264</v>
      </c>
      <c r="W31" s="7">
        <f t="shared" si="5"/>
        <v>3.5019632409825281</v>
      </c>
      <c r="X31" s="7">
        <f t="shared" si="6"/>
        <v>-0.96362707745263265</v>
      </c>
      <c r="Y31" s="7">
        <f t="shared" si="7"/>
        <v>-0.73007969617111423</v>
      </c>
      <c r="Z31" s="7">
        <f t="shared" si="8"/>
        <v>-0.12393338319636275</v>
      </c>
      <c r="AA31" s="7">
        <f t="shared" si="9"/>
        <v>-0.60588005227336994</v>
      </c>
    </row>
    <row r="32" spans="1:27" x14ac:dyDescent="0.25">
      <c r="A32" s="1" t="s">
        <v>1653</v>
      </c>
      <c r="B32" s="1" t="s">
        <v>861</v>
      </c>
      <c r="C32" s="1">
        <v>7</v>
      </c>
      <c r="D32" s="1">
        <v>6</v>
      </c>
      <c r="E32" s="1">
        <v>7</v>
      </c>
      <c r="F32" s="1">
        <v>7</v>
      </c>
      <c r="G32" s="1">
        <v>7</v>
      </c>
      <c r="H32" s="1">
        <v>6</v>
      </c>
      <c r="I32" s="1">
        <v>6</v>
      </c>
      <c r="J32" s="1">
        <v>6</v>
      </c>
      <c r="K32" s="1">
        <v>7</v>
      </c>
      <c r="L32" s="1">
        <v>7</v>
      </c>
      <c r="M32" s="1">
        <v>27</v>
      </c>
      <c r="N32" s="1">
        <v>25</v>
      </c>
      <c r="O32" s="1">
        <v>14</v>
      </c>
      <c r="P32" s="1">
        <v>66</v>
      </c>
      <c r="Q32" s="7">
        <v>0.5163977794943222</v>
      </c>
      <c r="R32" s="7">
        <f t="shared" si="0"/>
        <v>23.196700507614214</v>
      </c>
      <c r="S32" s="7">
        <f t="shared" si="1"/>
        <v>6.4306002317777482</v>
      </c>
      <c r="T32" s="7">
        <f t="shared" si="2"/>
        <v>22.771573604060915</v>
      </c>
      <c r="U32" s="7">
        <f t="shared" si="3"/>
        <v>6.5356886776680962</v>
      </c>
      <c r="V32" s="7">
        <f t="shared" si="4"/>
        <v>11.434010152284264</v>
      </c>
      <c r="W32" s="7">
        <f t="shared" si="5"/>
        <v>3.5019632409825281</v>
      </c>
      <c r="X32" s="7">
        <f t="shared" si="6"/>
        <v>0.59143771270234269</v>
      </c>
      <c r="Y32" s="7">
        <f t="shared" si="7"/>
        <v>0.34096275172246687</v>
      </c>
      <c r="Z32" s="7">
        <f t="shared" si="8"/>
        <v>0.73272894977498659</v>
      </c>
      <c r="AA32" s="7">
        <f t="shared" si="9"/>
        <v>0.55504313806659866</v>
      </c>
    </row>
    <row r="33" spans="1:27" x14ac:dyDescent="0.25">
      <c r="A33" s="1" t="s">
        <v>1653</v>
      </c>
      <c r="B33" s="1" t="s">
        <v>861</v>
      </c>
      <c r="C33" s="1">
        <v>6</v>
      </c>
      <c r="D33" s="1">
        <v>7</v>
      </c>
      <c r="E33" s="1">
        <v>6</v>
      </c>
      <c r="F33" s="1">
        <v>7</v>
      </c>
      <c r="G33" s="1">
        <v>7</v>
      </c>
      <c r="H33" s="1">
        <v>6</v>
      </c>
      <c r="I33" s="1">
        <v>5</v>
      </c>
      <c r="J33" s="1">
        <v>6</v>
      </c>
      <c r="K33" s="1">
        <v>6</v>
      </c>
      <c r="L33" s="1">
        <v>7</v>
      </c>
      <c r="M33" s="1">
        <v>26</v>
      </c>
      <c r="N33" s="1">
        <v>24</v>
      </c>
      <c r="O33" s="1">
        <v>13</v>
      </c>
      <c r="P33" s="1">
        <v>63</v>
      </c>
      <c r="Q33" s="7">
        <v>0.67494855771055284</v>
      </c>
      <c r="R33" s="7">
        <f t="shared" si="0"/>
        <v>23.196700507614214</v>
      </c>
      <c r="S33" s="7">
        <f t="shared" si="1"/>
        <v>6.4306002317777482</v>
      </c>
      <c r="T33" s="7">
        <f t="shared" si="2"/>
        <v>22.771573604060915</v>
      </c>
      <c r="U33" s="7">
        <f t="shared" si="3"/>
        <v>6.5356886776680962</v>
      </c>
      <c r="V33" s="7">
        <f t="shared" si="4"/>
        <v>11.434010152284264</v>
      </c>
      <c r="W33" s="7">
        <f t="shared" si="5"/>
        <v>3.5019632409825281</v>
      </c>
      <c r="X33" s="7">
        <f t="shared" si="6"/>
        <v>0.43593123368684517</v>
      </c>
      <c r="Y33" s="7">
        <f t="shared" si="7"/>
        <v>0.18795668773766958</v>
      </c>
      <c r="Z33" s="7">
        <f t="shared" si="8"/>
        <v>0.44717483878453679</v>
      </c>
      <c r="AA33" s="7">
        <f t="shared" si="9"/>
        <v>0.35702092006968389</v>
      </c>
    </row>
    <row r="34" spans="1:27" x14ac:dyDescent="0.25">
      <c r="A34" s="1" t="s">
        <v>1653</v>
      </c>
      <c r="B34" s="1" t="s">
        <v>861</v>
      </c>
      <c r="C34" s="1">
        <v>5</v>
      </c>
      <c r="D34" s="1">
        <v>6</v>
      </c>
      <c r="E34" s="1">
        <v>5</v>
      </c>
      <c r="F34" s="1">
        <v>5</v>
      </c>
      <c r="G34" s="1">
        <v>5</v>
      </c>
      <c r="H34" s="1">
        <v>5</v>
      </c>
      <c r="I34" s="1">
        <v>5</v>
      </c>
      <c r="J34" s="1">
        <v>6</v>
      </c>
      <c r="K34" s="1">
        <v>6</v>
      </c>
      <c r="L34" s="1">
        <v>6</v>
      </c>
      <c r="M34" s="1">
        <v>21</v>
      </c>
      <c r="N34" s="1">
        <v>21</v>
      </c>
      <c r="O34" s="1">
        <v>12</v>
      </c>
      <c r="P34" s="1">
        <v>54</v>
      </c>
      <c r="Q34" s="7">
        <v>0.51639777949432231</v>
      </c>
      <c r="R34" s="7">
        <f t="shared" si="0"/>
        <v>23.196700507614214</v>
      </c>
      <c r="S34" s="7">
        <f t="shared" si="1"/>
        <v>6.4306002317777482</v>
      </c>
      <c r="T34" s="7">
        <f t="shared" si="2"/>
        <v>22.771573604060915</v>
      </c>
      <c r="U34" s="7">
        <f t="shared" si="3"/>
        <v>6.5356886776680962</v>
      </c>
      <c r="V34" s="7">
        <f t="shared" si="4"/>
        <v>11.434010152284264</v>
      </c>
      <c r="W34" s="7">
        <f t="shared" si="5"/>
        <v>3.5019632409825281</v>
      </c>
      <c r="X34" s="7">
        <f t="shared" si="6"/>
        <v>-0.3416011613906425</v>
      </c>
      <c r="Y34" s="7">
        <f t="shared" si="7"/>
        <v>-0.27106150421672232</v>
      </c>
      <c r="Z34" s="7">
        <f t="shared" si="8"/>
        <v>0.16162072779408701</v>
      </c>
      <c r="AA34" s="7">
        <f t="shared" si="9"/>
        <v>-0.15034731260442594</v>
      </c>
    </row>
    <row r="35" spans="1:27" x14ac:dyDescent="0.25">
      <c r="A35" s="1" t="s">
        <v>1653</v>
      </c>
      <c r="B35" s="1" t="s">
        <v>861</v>
      </c>
      <c r="C35" s="1">
        <v>6</v>
      </c>
      <c r="D35" s="1">
        <v>5</v>
      </c>
      <c r="E35" s="1">
        <v>5</v>
      </c>
      <c r="F35" s="1">
        <v>4</v>
      </c>
      <c r="G35" s="1">
        <v>6</v>
      </c>
      <c r="H35" s="1">
        <v>6</v>
      </c>
      <c r="I35" s="1">
        <v>4</v>
      </c>
      <c r="J35" s="1">
        <v>6</v>
      </c>
      <c r="K35" s="1">
        <v>6</v>
      </c>
      <c r="L35" s="1">
        <v>6</v>
      </c>
      <c r="M35" s="1">
        <v>20</v>
      </c>
      <c r="N35" s="1">
        <v>22</v>
      </c>
      <c r="O35" s="1">
        <v>12</v>
      </c>
      <c r="P35" s="1">
        <v>54</v>
      </c>
      <c r="Q35" s="7">
        <v>0.84327404271156781</v>
      </c>
      <c r="R35" s="7">
        <f t="shared" si="0"/>
        <v>23.196700507614214</v>
      </c>
      <c r="S35" s="7">
        <f t="shared" si="1"/>
        <v>6.4306002317777482</v>
      </c>
      <c r="T35" s="7">
        <f t="shared" si="2"/>
        <v>22.771573604060915</v>
      </c>
      <c r="U35" s="7">
        <f t="shared" si="3"/>
        <v>6.5356886776680962</v>
      </c>
      <c r="V35" s="7">
        <f t="shared" si="4"/>
        <v>11.434010152284264</v>
      </c>
      <c r="W35" s="7">
        <f t="shared" si="5"/>
        <v>3.5019632409825281</v>
      </c>
      <c r="X35" s="7">
        <f t="shared" si="6"/>
        <v>-0.49710764040614003</v>
      </c>
      <c r="Y35" s="7">
        <f t="shared" si="7"/>
        <v>-0.11805544023192505</v>
      </c>
      <c r="Z35" s="7">
        <f t="shared" si="8"/>
        <v>0.16162072779408701</v>
      </c>
      <c r="AA35" s="7">
        <f t="shared" si="9"/>
        <v>-0.151180784281326</v>
      </c>
    </row>
    <row r="36" spans="1:27" x14ac:dyDescent="0.25">
      <c r="A36" s="1" t="s">
        <v>1653</v>
      </c>
      <c r="B36" s="1" t="s">
        <v>861</v>
      </c>
      <c r="C36" s="1">
        <v>4</v>
      </c>
      <c r="D36" s="1">
        <v>3</v>
      </c>
      <c r="E36" s="1">
        <v>4</v>
      </c>
      <c r="F36" s="1">
        <v>4</v>
      </c>
      <c r="G36" s="1">
        <v>3</v>
      </c>
      <c r="H36" s="1">
        <v>3</v>
      </c>
      <c r="I36" s="1">
        <v>4</v>
      </c>
      <c r="J36" s="1">
        <v>4</v>
      </c>
      <c r="K36" s="1">
        <v>5</v>
      </c>
      <c r="L36" s="1">
        <v>3</v>
      </c>
      <c r="M36" s="1">
        <v>15</v>
      </c>
      <c r="N36" s="1">
        <v>14</v>
      </c>
      <c r="O36" s="1">
        <v>8</v>
      </c>
      <c r="P36" s="1">
        <v>37</v>
      </c>
      <c r="Q36" s="7">
        <v>0.67494855771055284</v>
      </c>
      <c r="R36" s="7">
        <f t="shared" si="0"/>
        <v>23.196700507614214</v>
      </c>
      <c r="S36" s="7">
        <f t="shared" si="1"/>
        <v>6.4306002317777482</v>
      </c>
      <c r="T36" s="7">
        <f t="shared" si="2"/>
        <v>22.771573604060915</v>
      </c>
      <c r="U36" s="7">
        <f t="shared" si="3"/>
        <v>6.5356886776680962</v>
      </c>
      <c r="V36" s="7">
        <f t="shared" si="4"/>
        <v>11.434010152284264</v>
      </c>
      <c r="W36" s="7">
        <f t="shared" si="5"/>
        <v>3.5019632409825281</v>
      </c>
      <c r="X36" s="7">
        <f t="shared" si="6"/>
        <v>-1.2746400354836278</v>
      </c>
      <c r="Y36" s="7">
        <f t="shared" si="7"/>
        <v>-1.3421039521103035</v>
      </c>
      <c r="Z36" s="7">
        <f t="shared" si="8"/>
        <v>-0.98059571616771202</v>
      </c>
      <c r="AA36" s="7">
        <f t="shared" si="9"/>
        <v>-1.1991132345872144</v>
      </c>
    </row>
    <row r="37" spans="1:27" x14ac:dyDescent="0.25">
      <c r="A37" s="1" t="s">
        <v>1653</v>
      </c>
      <c r="B37" s="1" t="s">
        <v>861</v>
      </c>
      <c r="C37" s="1">
        <v>6</v>
      </c>
      <c r="D37" s="1">
        <v>5</v>
      </c>
      <c r="E37" s="1">
        <v>5</v>
      </c>
      <c r="F37" s="1">
        <v>5</v>
      </c>
      <c r="G37" s="1">
        <v>5</v>
      </c>
      <c r="H37" s="1">
        <v>4</v>
      </c>
      <c r="I37" s="1">
        <v>4</v>
      </c>
      <c r="J37" s="1">
        <v>5</v>
      </c>
      <c r="K37" s="1">
        <v>6</v>
      </c>
      <c r="L37" s="1">
        <v>3</v>
      </c>
      <c r="M37" s="1">
        <v>21</v>
      </c>
      <c r="N37" s="1">
        <v>18</v>
      </c>
      <c r="O37" s="1">
        <v>9</v>
      </c>
      <c r="P37" s="1">
        <v>48</v>
      </c>
      <c r="Q37" s="7">
        <v>0.91893658347268148</v>
      </c>
      <c r="R37" s="7">
        <f t="shared" si="0"/>
        <v>23.196700507614214</v>
      </c>
      <c r="S37" s="7">
        <f t="shared" si="1"/>
        <v>6.4306002317777482</v>
      </c>
      <c r="T37" s="7">
        <f t="shared" si="2"/>
        <v>22.771573604060915</v>
      </c>
      <c r="U37" s="7">
        <f t="shared" si="3"/>
        <v>6.5356886776680962</v>
      </c>
      <c r="V37" s="7">
        <f t="shared" si="4"/>
        <v>11.434010152284264</v>
      </c>
      <c r="W37" s="7">
        <f t="shared" si="5"/>
        <v>3.5019632409825281</v>
      </c>
      <c r="X37" s="7">
        <f t="shared" si="6"/>
        <v>-0.3416011613906425</v>
      </c>
      <c r="Y37" s="7">
        <f t="shared" si="7"/>
        <v>-0.73007969617111423</v>
      </c>
      <c r="Z37" s="7">
        <f t="shared" si="8"/>
        <v>-0.69504160517726232</v>
      </c>
      <c r="AA37" s="7">
        <f t="shared" si="9"/>
        <v>-0.58890748757967304</v>
      </c>
    </row>
    <row r="38" spans="1:27" x14ac:dyDescent="0.25">
      <c r="A38" s="1" t="s">
        <v>1653</v>
      </c>
      <c r="B38" s="1" t="s">
        <v>861</v>
      </c>
      <c r="C38" s="1">
        <v>6</v>
      </c>
      <c r="D38" s="1">
        <v>7</v>
      </c>
      <c r="E38" s="1">
        <v>6</v>
      </c>
      <c r="F38" s="1">
        <v>6</v>
      </c>
      <c r="G38" s="1">
        <v>6</v>
      </c>
      <c r="H38" s="1">
        <v>6</v>
      </c>
      <c r="I38" s="1">
        <v>6</v>
      </c>
      <c r="J38" s="1">
        <v>6</v>
      </c>
      <c r="K38" s="1">
        <v>6</v>
      </c>
      <c r="L38" s="1">
        <v>6</v>
      </c>
      <c r="M38" s="1">
        <v>25</v>
      </c>
      <c r="N38" s="1">
        <v>24</v>
      </c>
      <c r="O38" s="1">
        <v>12</v>
      </c>
      <c r="P38" s="1">
        <v>61</v>
      </c>
      <c r="Q38" s="7">
        <v>0.31622776601683794</v>
      </c>
      <c r="R38" s="7">
        <f t="shared" si="0"/>
        <v>23.196700507614214</v>
      </c>
      <c r="S38" s="7">
        <f t="shared" si="1"/>
        <v>6.4306002317777482</v>
      </c>
      <c r="T38" s="7">
        <f t="shared" si="2"/>
        <v>22.771573604060915</v>
      </c>
      <c r="U38" s="7">
        <f t="shared" si="3"/>
        <v>6.5356886776680962</v>
      </c>
      <c r="V38" s="7">
        <f t="shared" si="4"/>
        <v>11.434010152284264</v>
      </c>
      <c r="W38" s="7">
        <f t="shared" si="5"/>
        <v>3.5019632409825281</v>
      </c>
      <c r="X38" s="7">
        <f t="shared" si="6"/>
        <v>0.28042475467134764</v>
      </c>
      <c r="Y38" s="7">
        <f t="shared" si="7"/>
        <v>0.18795668773766958</v>
      </c>
      <c r="Z38" s="7">
        <f t="shared" si="8"/>
        <v>0.16162072779408701</v>
      </c>
      <c r="AA38" s="7">
        <f t="shared" si="9"/>
        <v>0.21000072340103473</v>
      </c>
    </row>
    <row r="39" spans="1:27" x14ac:dyDescent="0.25">
      <c r="A39" s="1" t="s">
        <v>1653</v>
      </c>
      <c r="B39" s="1" t="s">
        <v>861</v>
      </c>
      <c r="C39" s="1">
        <v>4</v>
      </c>
      <c r="D39" s="1">
        <v>4</v>
      </c>
      <c r="E39" s="1">
        <v>4</v>
      </c>
      <c r="F39" s="1">
        <v>5</v>
      </c>
      <c r="G39" s="1">
        <v>4</v>
      </c>
      <c r="H39" s="1">
        <v>4</v>
      </c>
      <c r="I39" s="1">
        <v>4</v>
      </c>
      <c r="J39" s="1">
        <v>4</v>
      </c>
      <c r="K39" s="1">
        <v>4</v>
      </c>
      <c r="L39" s="1">
        <v>4</v>
      </c>
      <c r="M39" s="1">
        <v>17</v>
      </c>
      <c r="N39" s="1">
        <v>16</v>
      </c>
      <c r="O39" s="1">
        <v>8</v>
      </c>
      <c r="P39" s="1">
        <v>41</v>
      </c>
      <c r="Q39" s="7">
        <v>0.316227766016838</v>
      </c>
      <c r="R39" s="7">
        <f t="shared" si="0"/>
        <v>23.196700507614214</v>
      </c>
      <c r="S39" s="7">
        <f t="shared" si="1"/>
        <v>6.4306002317777482</v>
      </c>
      <c r="T39" s="7">
        <f t="shared" si="2"/>
        <v>22.771573604060915</v>
      </c>
      <c r="U39" s="7">
        <f t="shared" si="3"/>
        <v>6.5356886776680962</v>
      </c>
      <c r="V39" s="7">
        <f t="shared" si="4"/>
        <v>11.434010152284264</v>
      </c>
      <c r="W39" s="7">
        <f t="shared" si="5"/>
        <v>3.5019632409825281</v>
      </c>
      <c r="X39" s="7">
        <f t="shared" si="6"/>
        <v>-0.96362707745263265</v>
      </c>
      <c r="Y39" s="7">
        <f t="shared" si="7"/>
        <v>-1.0360918241407089</v>
      </c>
      <c r="Z39" s="7">
        <f t="shared" si="8"/>
        <v>-0.98059571616771202</v>
      </c>
      <c r="AA39" s="7">
        <f t="shared" si="9"/>
        <v>-0.99343820592035115</v>
      </c>
    </row>
    <row r="40" spans="1:27" x14ac:dyDescent="0.25">
      <c r="A40" s="1" t="s">
        <v>1653</v>
      </c>
      <c r="B40" s="1" t="s">
        <v>861</v>
      </c>
      <c r="C40" s="1">
        <v>4</v>
      </c>
      <c r="D40" s="1">
        <v>4</v>
      </c>
      <c r="E40" s="1">
        <v>3</v>
      </c>
      <c r="F40" s="1">
        <v>4</v>
      </c>
      <c r="G40" s="1">
        <v>3</v>
      </c>
      <c r="H40" s="1">
        <v>3</v>
      </c>
      <c r="I40" s="1">
        <v>3</v>
      </c>
      <c r="J40" s="1">
        <v>3</v>
      </c>
      <c r="K40" s="1">
        <v>3</v>
      </c>
      <c r="L40" s="1">
        <v>4</v>
      </c>
      <c r="M40" s="1">
        <v>15</v>
      </c>
      <c r="N40" s="1">
        <v>12</v>
      </c>
      <c r="O40" s="1">
        <v>7</v>
      </c>
      <c r="P40" s="1">
        <v>34</v>
      </c>
      <c r="Q40" s="7">
        <v>0.5163977794943222</v>
      </c>
      <c r="R40" s="7">
        <f t="shared" si="0"/>
        <v>23.196700507614214</v>
      </c>
      <c r="S40" s="7">
        <f t="shared" si="1"/>
        <v>6.4306002317777482</v>
      </c>
      <c r="T40" s="7">
        <f t="shared" si="2"/>
        <v>22.771573604060915</v>
      </c>
      <c r="U40" s="7">
        <f t="shared" si="3"/>
        <v>6.5356886776680962</v>
      </c>
      <c r="V40" s="7">
        <f t="shared" si="4"/>
        <v>11.434010152284264</v>
      </c>
      <c r="W40" s="7">
        <f t="shared" si="5"/>
        <v>3.5019632409825281</v>
      </c>
      <c r="X40" s="7">
        <f t="shared" si="6"/>
        <v>-1.2746400354836278</v>
      </c>
      <c r="Y40" s="7">
        <f t="shared" si="7"/>
        <v>-1.648116080079898</v>
      </c>
      <c r="Z40" s="7">
        <f t="shared" si="8"/>
        <v>-1.2661498271581617</v>
      </c>
      <c r="AA40" s="7">
        <f t="shared" si="9"/>
        <v>-1.3963019809072292</v>
      </c>
    </row>
    <row r="41" spans="1:27" x14ac:dyDescent="0.25">
      <c r="A41" s="1" t="s">
        <v>1653</v>
      </c>
      <c r="B41" s="1" t="s">
        <v>861</v>
      </c>
      <c r="C41" s="1">
        <v>5</v>
      </c>
      <c r="D41" s="1">
        <v>6</v>
      </c>
      <c r="E41" s="1">
        <v>5</v>
      </c>
      <c r="F41" s="1">
        <v>6</v>
      </c>
      <c r="G41" s="1">
        <v>6</v>
      </c>
      <c r="H41" s="1">
        <v>6</v>
      </c>
      <c r="I41" s="1">
        <v>5</v>
      </c>
      <c r="J41" s="1">
        <v>6</v>
      </c>
      <c r="K41" s="1">
        <v>6</v>
      </c>
      <c r="L41" s="1">
        <v>5</v>
      </c>
      <c r="M41" s="1">
        <v>22</v>
      </c>
      <c r="N41" s="1">
        <v>23</v>
      </c>
      <c r="O41" s="1">
        <v>11</v>
      </c>
      <c r="P41" s="1">
        <v>56</v>
      </c>
      <c r="Q41" s="7">
        <v>0.51639777949432231</v>
      </c>
      <c r="R41" s="7">
        <f t="shared" si="0"/>
        <v>23.196700507614214</v>
      </c>
      <c r="S41" s="7">
        <f t="shared" si="1"/>
        <v>6.4306002317777482</v>
      </c>
      <c r="T41" s="7">
        <f t="shared" si="2"/>
        <v>22.771573604060915</v>
      </c>
      <c r="U41" s="7">
        <f t="shared" si="3"/>
        <v>6.5356886776680962</v>
      </c>
      <c r="V41" s="7">
        <f t="shared" si="4"/>
        <v>11.434010152284264</v>
      </c>
      <c r="W41" s="7">
        <f t="shared" si="5"/>
        <v>3.5019632409825281</v>
      </c>
      <c r="X41" s="7">
        <f t="shared" si="6"/>
        <v>-0.18609468237514495</v>
      </c>
      <c r="Y41" s="7">
        <f t="shared" si="7"/>
        <v>3.4950623752872265E-2</v>
      </c>
      <c r="Z41" s="7">
        <f t="shared" si="8"/>
        <v>-0.12393338319636275</v>
      </c>
      <c r="AA41" s="7">
        <f t="shared" si="9"/>
        <v>-9.1692480606211824E-2</v>
      </c>
    </row>
    <row r="42" spans="1:27" x14ac:dyDescent="0.25">
      <c r="A42" s="1" t="s">
        <v>1653</v>
      </c>
      <c r="B42" s="1" t="s">
        <v>861</v>
      </c>
      <c r="C42" s="1">
        <v>4</v>
      </c>
      <c r="D42" s="1">
        <v>4</v>
      </c>
      <c r="E42" s="1">
        <v>5</v>
      </c>
      <c r="F42" s="1">
        <v>5</v>
      </c>
      <c r="G42" s="1">
        <v>4</v>
      </c>
      <c r="H42" s="1">
        <v>4</v>
      </c>
      <c r="I42" s="1">
        <v>5</v>
      </c>
      <c r="J42" s="1">
        <v>5</v>
      </c>
      <c r="K42" s="1">
        <v>4</v>
      </c>
      <c r="L42" s="1">
        <v>4</v>
      </c>
      <c r="M42" s="1">
        <v>18</v>
      </c>
      <c r="N42" s="1">
        <v>18</v>
      </c>
      <c r="O42" s="1">
        <v>8</v>
      </c>
      <c r="P42" s="1">
        <v>44</v>
      </c>
      <c r="Q42" s="7">
        <v>0.51639777949432231</v>
      </c>
      <c r="R42" s="7">
        <f t="shared" si="0"/>
        <v>23.196700507614214</v>
      </c>
      <c r="S42" s="7">
        <f t="shared" si="1"/>
        <v>6.4306002317777482</v>
      </c>
      <c r="T42" s="7">
        <f t="shared" si="2"/>
        <v>22.771573604060915</v>
      </c>
      <c r="U42" s="7">
        <f t="shared" si="3"/>
        <v>6.5356886776680962</v>
      </c>
      <c r="V42" s="7">
        <f t="shared" si="4"/>
        <v>11.434010152284264</v>
      </c>
      <c r="W42" s="7">
        <f t="shared" si="5"/>
        <v>3.5019632409825281</v>
      </c>
      <c r="X42" s="7">
        <f t="shared" si="6"/>
        <v>-0.80812059843713513</v>
      </c>
      <c r="Y42" s="7">
        <f t="shared" si="7"/>
        <v>-0.73007969617111423</v>
      </c>
      <c r="Z42" s="7">
        <f t="shared" si="8"/>
        <v>-0.98059571616771202</v>
      </c>
      <c r="AA42" s="7">
        <f t="shared" si="9"/>
        <v>-0.83959867025865387</v>
      </c>
    </row>
    <row r="43" spans="1:27" x14ac:dyDescent="0.25">
      <c r="A43" s="1" t="s">
        <v>1655</v>
      </c>
      <c r="B43" s="1" t="s">
        <v>861</v>
      </c>
      <c r="C43" s="1">
        <v>4</v>
      </c>
      <c r="D43" s="1">
        <v>5</v>
      </c>
      <c r="E43" s="1">
        <v>4</v>
      </c>
      <c r="F43" s="1">
        <v>5</v>
      </c>
      <c r="G43" s="1">
        <v>6</v>
      </c>
      <c r="H43" s="1">
        <v>4</v>
      </c>
      <c r="I43" s="1">
        <v>4</v>
      </c>
      <c r="J43" s="1">
        <v>5</v>
      </c>
      <c r="K43" s="1">
        <v>4</v>
      </c>
      <c r="L43" s="1">
        <v>6</v>
      </c>
      <c r="M43" s="1">
        <v>18</v>
      </c>
      <c r="N43" s="1">
        <v>19</v>
      </c>
      <c r="O43" s="1">
        <v>10</v>
      </c>
      <c r="P43" s="1">
        <v>47</v>
      </c>
      <c r="Q43" s="7">
        <v>0.82327260234856459</v>
      </c>
      <c r="R43" s="7">
        <f t="shared" si="0"/>
        <v>23.196700507614214</v>
      </c>
      <c r="S43" s="7">
        <f t="shared" si="1"/>
        <v>6.4306002317777482</v>
      </c>
      <c r="T43" s="7">
        <f t="shared" si="2"/>
        <v>22.771573604060915</v>
      </c>
      <c r="U43" s="7">
        <f t="shared" si="3"/>
        <v>6.5356886776680962</v>
      </c>
      <c r="V43" s="7">
        <f t="shared" si="4"/>
        <v>11.434010152284264</v>
      </c>
      <c r="W43" s="7">
        <f t="shared" si="5"/>
        <v>3.5019632409825281</v>
      </c>
      <c r="X43" s="7">
        <f t="shared" si="6"/>
        <v>-0.80812059843713513</v>
      </c>
      <c r="Y43" s="7">
        <f t="shared" si="7"/>
        <v>-0.57707363218631691</v>
      </c>
      <c r="Z43" s="7">
        <f t="shared" si="8"/>
        <v>-0.40948749418681252</v>
      </c>
      <c r="AA43" s="7">
        <f t="shared" si="9"/>
        <v>-0.59822724160342156</v>
      </c>
    </row>
    <row r="44" spans="1:27" x14ac:dyDescent="0.25">
      <c r="A44" s="1" t="s">
        <v>1655</v>
      </c>
      <c r="B44" s="1" t="s">
        <v>861</v>
      </c>
      <c r="C44" s="1">
        <v>4</v>
      </c>
      <c r="D44" s="1">
        <v>5</v>
      </c>
      <c r="E44" s="1">
        <v>5</v>
      </c>
      <c r="F44" s="1">
        <v>6</v>
      </c>
      <c r="G44" s="1">
        <v>4</v>
      </c>
      <c r="H44" s="1">
        <v>5</v>
      </c>
      <c r="I44" s="1">
        <v>4</v>
      </c>
      <c r="J44" s="1">
        <v>4</v>
      </c>
      <c r="K44" s="1">
        <v>4</v>
      </c>
      <c r="L44" s="1">
        <v>6</v>
      </c>
      <c r="M44" s="1">
        <v>20</v>
      </c>
      <c r="N44" s="1">
        <v>17</v>
      </c>
      <c r="O44" s="1">
        <v>10</v>
      </c>
      <c r="P44" s="1">
        <v>47</v>
      </c>
      <c r="Q44" s="7">
        <v>0.82327260234856459</v>
      </c>
      <c r="R44" s="7">
        <f t="shared" si="0"/>
        <v>23.196700507614214</v>
      </c>
      <c r="S44" s="7">
        <f t="shared" si="1"/>
        <v>6.4306002317777482</v>
      </c>
      <c r="T44" s="7">
        <f t="shared" si="2"/>
        <v>22.771573604060915</v>
      </c>
      <c r="U44" s="7">
        <f t="shared" si="3"/>
        <v>6.5356886776680962</v>
      </c>
      <c r="V44" s="7">
        <f t="shared" si="4"/>
        <v>11.434010152284264</v>
      </c>
      <c r="W44" s="7">
        <f t="shared" si="5"/>
        <v>3.5019632409825281</v>
      </c>
      <c r="X44" s="7">
        <f t="shared" si="6"/>
        <v>-0.49710764040614003</v>
      </c>
      <c r="Y44" s="7">
        <f t="shared" si="7"/>
        <v>-0.88308576015591156</v>
      </c>
      <c r="Z44" s="7">
        <f t="shared" si="8"/>
        <v>-0.40948749418681252</v>
      </c>
      <c r="AA44" s="7">
        <f t="shared" si="9"/>
        <v>-0.59656029824962131</v>
      </c>
    </row>
    <row r="45" spans="1:27" x14ac:dyDescent="0.25">
      <c r="A45" s="1" t="s">
        <v>1655</v>
      </c>
      <c r="B45" s="1" t="s">
        <v>861</v>
      </c>
      <c r="C45" s="1">
        <v>6</v>
      </c>
      <c r="D45" s="1">
        <v>5</v>
      </c>
      <c r="E45" s="1">
        <v>4</v>
      </c>
      <c r="F45" s="1">
        <v>4</v>
      </c>
      <c r="G45" s="1">
        <v>5</v>
      </c>
      <c r="H45" s="1">
        <v>5</v>
      </c>
      <c r="I45" s="1">
        <v>4</v>
      </c>
      <c r="J45" s="1">
        <v>5</v>
      </c>
      <c r="K45" s="1">
        <v>5</v>
      </c>
      <c r="L45" s="1">
        <v>5</v>
      </c>
      <c r="M45" s="1">
        <v>19</v>
      </c>
      <c r="N45" s="1">
        <v>19</v>
      </c>
      <c r="O45" s="1">
        <v>10</v>
      </c>
      <c r="P45" s="1">
        <v>48</v>
      </c>
      <c r="Q45" s="7">
        <v>0.63245553203367577</v>
      </c>
      <c r="R45" s="7">
        <f t="shared" si="0"/>
        <v>23.196700507614214</v>
      </c>
      <c r="S45" s="7">
        <f t="shared" si="1"/>
        <v>6.4306002317777482</v>
      </c>
      <c r="T45" s="7">
        <f t="shared" si="2"/>
        <v>22.771573604060915</v>
      </c>
      <c r="U45" s="7">
        <f t="shared" si="3"/>
        <v>6.5356886776680962</v>
      </c>
      <c r="V45" s="7">
        <f t="shared" si="4"/>
        <v>11.434010152284264</v>
      </c>
      <c r="W45" s="7">
        <f t="shared" si="5"/>
        <v>3.5019632409825281</v>
      </c>
      <c r="X45" s="7">
        <f t="shared" si="6"/>
        <v>-0.65261411942163761</v>
      </c>
      <c r="Y45" s="7">
        <f t="shared" si="7"/>
        <v>-0.57707363218631691</v>
      </c>
      <c r="Z45" s="7">
        <f t="shared" si="8"/>
        <v>-0.40948749418681252</v>
      </c>
      <c r="AA45" s="7">
        <f t="shared" si="9"/>
        <v>-0.54639174859825568</v>
      </c>
    </row>
    <row r="46" spans="1:27" x14ac:dyDescent="0.25">
      <c r="A46" s="1" t="s">
        <v>1655</v>
      </c>
      <c r="B46" s="1" t="s">
        <v>861</v>
      </c>
      <c r="C46" s="1">
        <v>7</v>
      </c>
      <c r="D46" s="1">
        <v>5</v>
      </c>
      <c r="E46" s="1">
        <v>5</v>
      </c>
      <c r="F46" s="1">
        <v>6</v>
      </c>
      <c r="G46" s="1">
        <v>4</v>
      </c>
      <c r="H46" s="1">
        <v>6</v>
      </c>
      <c r="I46" s="1">
        <v>6</v>
      </c>
      <c r="J46" s="1">
        <v>5</v>
      </c>
      <c r="K46" s="1">
        <v>6</v>
      </c>
      <c r="L46" s="1">
        <v>5</v>
      </c>
      <c r="M46" s="1">
        <v>23</v>
      </c>
      <c r="N46" s="1">
        <v>21</v>
      </c>
      <c r="O46" s="1">
        <v>11</v>
      </c>
      <c r="P46" s="1">
        <v>55</v>
      </c>
      <c r="Q46" s="7">
        <v>0.84983658559879749</v>
      </c>
      <c r="R46" s="7">
        <f t="shared" si="0"/>
        <v>23.196700507614214</v>
      </c>
      <c r="S46" s="7">
        <f t="shared" si="1"/>
        <v>6.4306002317777482</v>
      </c>
      <c r="T46" s="7">
        <f t="shared" si="2"/>
        <v>22.771573604060915</v>
      </c>
      <c r="U46" s="7">
        <f t="shared" si="3"/>
        <v>6.5356886776680962</v>
      </c>
      <c r="V46" s="7">
        <f t="shared" si="4"/>
        <v>11.434010152284264</v>
      </c>
      <c r="W46" s="7">
        <f t="shared" si="5"/>
        <v>3.5019632409825281</v>
      </c>
      <c r="X46" s="7">
        <f t="shared" si="6"/>
        <v>-3.0588203359647428E-2</v>
      </c>
      <c r="Y46" s="7">
        <f t="shared" si="7"/>
        <v>-0.27106150421672232</v>
      </c>
      <c r="Z46" s="7">
        <f t="shared" si="8"/>
        <v>-0.12393338319636275</v>
      </c>
      <c r="AA46" s="7">
        <f t="shared" si="9"/>
        <v>-0.14186103025757749</v>
      </c>
    </row>
    <row r="47" spans="1:27" x14ac:dyDescent="0.25">
      <c r="A47" s="1" t="s">
        <v>1655</v>
      </c>
      <c r="B47" s="1" t="s">
        <v>861</v>
      </c>
      <c r="C47" s="1">
        <v>4</v>
      </c>
      <c r="D47" s="1">
        <v>5</v>
      </c>
      <c r="E47" s="1">
        <v>4</v>
      </c>
      <c r="F47" s="1">
        <v>6</v>
      </c>
      <c r="G47" s="1">
        <v>5</v>
      </c>
      <c r="H47" s="1">
        <v>5</v>
      </c>
      <c r="I47" s="1">
        <v>5</v>
      </c>
      <c r="J47" s="1">
        <v>6</v>
      </c>
      <c r="K47" s="1">
        <v>5</v>
      </c>
      <c r="L47" s="1">
        <v>4</v>
      </c>
      <c r="M47" s="1">
        <v>19</v>
      </c>
      <c r="N47" s="1">
        <v>21</v>
      </c>
      <c r="O47" s="1">
        <v>9</v>
      </c>
      <c r="P47" s="1">
        <v>49</v>
      </c>
      <c r="Q47" s="7">
        <v>0.73786478737262196</v>
      </c>
      <c r="R47" s="7">
        <f t="shared" si="0"/>
        <v>23.196700507614214</v>
      </c>
      <c r="S47" s="7">
        <f t="shared" si="1"/>
        <v>6.4306002317777482</v>
      </c>
      <c r="T47" s="7">
        <f t="shared" si="2"/>
        <v>22.771573604060915</v>
      </c>
      <c r="U47" s="7">
        <f t="shared" si="3"/>
        <v>6.5356886776680962</v>
      </c>
      <c r="V47" s="7">
        <f t="shared" si="4"/>
        <v>11.434010152284264</v>
      </c>
      <c r="W47" s="7">
        <f t="shared" si="5"/>
        <v>3.5019632409825281</v>
      </c>
      <c r="X47" s="7">
        <f t="shared" si="6"/>
        <v>-0.65261411942163761</v>
      </c>
      <c r="Y47" s="7">
        <f t="shared" si="7"/>
        <v>-0.27106150421672232</v>
      </c>
      <c r="Z47" s="7">
        <f t="shared" si="8"/>
        <v>-0.69504160517726232</v>
      </c>
      <c r="AA47" s="7">
        <f t="shared" si="9"/>
        <v>-0.53957240960520736</v>
      </c>
    </row>
    <row r="48" spans="1:27" x14ac:dyDescent="0.25">
      <c r="A48" s="1" t="s">
        <v>1655</v>
      </c>
      <c r="B48" s="1" t="s">
        <v>861</v>
      </c>
      <c r="C48" s="1">
        <v>5</v>
      </c>
      <c r="D48" s="1">
        <v>4</v>
      </c>
      <c r="E48" s="1">
        <v>3</v>
      </c>
      <c r="F48" s="1">
        <v>5</v>
      </c>
      <c r="G48" s="1">
        <v>5</v>
      </c>
      <c r="H48" s="1">
        <v>5</v>
      </c>
      <c r="I48" s="1">
        <v>5</v>
      </c>
      <c r="J48" s="1">
        <v>4</v>
      </c>
      <c r="K48" s="1">
        <v>4</v>
      </c>
      <c r="L48" s="1">
        <v>6</v>
      </c>
      <c r="M48" s="1">
        <v>17</v>
      </c>
      <c r="N48" s="1">
        <v>19</v>
      </c>
      <c r="O48" s="1">
        <v>10</v>
      </c>
      <c r="P48" s="1">
        <v>46</v>
      </c>
      <c r="Q48" s="7">
        <v>0.8432740427115677</v>
      </c>
      <c r="R48" s="7">
        <f t="shared" si="0"/>
        <v>23.196700507614214</v>
      </c>
      <c r="S48" s="7">
        <f t="shared" si="1"/>
        <v>6.4306002317777482</v>
      </c>
      <c r="T48" s="7">
        <f t="shared" si="2"/>
        <v>22.771573604060915</v>
      </c>
      <c r="U48" s="7">
        <f t="shared" si="3"/>
        <v>6.5356886776680962</v>
      </c>
      <c r="V48" s="7">
        <f t="shared" si="4"/>
        <v>11.434010152284264</v>
      </c>
      <c r="W48" s="7">
        <f t="shared" si="5"/>
        <v>3.5019632409825281</v>
      </c>
      <c r="X48" s="7">
        <f t="shared" si="6"/>
        <v>-0.96362707745263265</v>
      </c>
      <c r="Y48" s="7">
        <f t="shared" si="7"/>
        <v>-0.57707363218631691</v>
      </c>
      <c r="Z48" s="7">
        <f t="shared" si="8"/>
        <v>-0.40948749418681252</v>
      </c>
      <c r="AA48" s="7">
        <f t="shared" si="9"/>
        <v>-0.65006273460858732</v>
      </c>
    </row>
    <row r="49" spans="1:27" x14ac:dyDescent="0.25">
      <c r="A49" s="1" t="s">
        <v>1655</v>
      </c>
      <c r="B49" s="1" t="s">
        <v>861</v>
      </c>
      <c r="C49" s="1">
        <v>7</v>
      </c>
      <c r="D49" s="1">
        <v>6</v>
      </c>
      <c r="E49" s="1">
        <v>6</v>
      </c>
      <c r="F49" s="1">
        <v>7</v>
      </c>
      <c r="G49" s="1">
        <v>6</v>
      </c>
      <c r="H49" s="1">
        <v>6</v>
      </c>
      <c r="I49" s="1">
        <v>6</v>
      </c>
      <c r="J49" s="1">
        <v>6</v>
      </c>
      <c r="K49" s="1">
        <v>7</v>
      </c>
      <c r="L49" s="1">
        <v>8</v>
      </c>
      <c r="M49" s="1">
        <v>26</v>
      </c>
      <c r="N49" s="1">
        <v>24</v>
      </c>
      <c r="O49" s="1">
        <v>15</v>
      </c>
      <c r="P49" s="1">
        <v>65</v>
      </c>
      <c r="Q49" s="7">
        <v>0.70710678118654735</v>
      </c>
      <c r="R49" s="7">
        <f t="shared" si="0"/>
        <v>23.196700507614214</v>
      </c>
      <c r="S49" s="7">
        <f t="shared" si="1"/>
        <v>6.4306002317777482</v>
      </c>
      <c r="T49" s="7">
        <f t="shared" si="2"/>
        <v>22.771573604060915</v>
      </c>
      <c r="U49" s="7">
        <f t="shared" si="3"/>
        <v>6.5356886776680962</v>
      </c>
      <c r="V49" s="7">
        <f t="shared" si="4"/>
        <v>11.434010152284264</v>
      </c>
      <c r="W49" s="7">
        <f t="shared" si="5"/>
        <v>3.5019632409825281</v>
      </c>
      <c r="X49" s="7">
        <f t="shared" si="6"/>
        <v>0.43593123368684517</v>
      </c>
      <c r="Y49" s="7">
        <f t="shared" si="7"/>
        <v>0.18795668773766958</v>
      </c>
      <c r="Z49" s="7">
        <f t="shared" si="8"/>
        <v>1.0182830607654363</v>
      </c>
      <c r="AA49" s="7">
        <f t="shared" si="9"/>
        <v>0.54739032739665039</v>
      </c>
    </row>
    <row r="50" spans="1:27" x14ac:dyDescent="0.25">
      <c r="A50" s="1" t="s">
        <v>1655</v>
      </c>
      <c r="B50" s="1" t="s">
        <v>861</v>
      </c>
      <c r="C50" s="1">
        <v>6</v>
      </c>
      <c r="D50" s="1">
        <v>7</v>
      </c>
      <c r="E50" s="1">
        <v>6</v>
      </c>
      <c r="F50" s="1">
        <v>7</v>
      </c>
      <c r="G50" s="1">
        <v>5</v>
      </c>
      <c r="H50" s="1">
        <v>5</v>
      </c>
      <c r="I50" s="1">
        <v>6</v>
      </c>
      <c r="J50" s="1">
        <v>5</v>
      </c>
      <c r="K50" s="1">
        <v>5</v>
      </c>
      <c r="L50" s="1">
        <v>6</v>
      </c>
      <c r="M50" s="1">
        <v>26</v>
      </c>
      <c r="N50" s="1">
        <v>21</v>
      </c>
      <c r="O50" s="1">
        <v>11</v>
      </c>
      <c r="P50" s="1">
        <v>58</v>
      </c>
      <c r="Q50" s="7">
        <v>0.78881063774661553</v>
      </c>
      <c r="R50" s="7">
        <f t="shared" si="0"/>
        <v>23.196700507614214</v>
      </c>
      <c r="S50" s="7">
        <f t="shared" si="1"/>
        <v>6.4306002317777482</v>
      </c>
      <c r="T50" s="7">
        <f t="shared" si="2"/>
        <v>22.771573604060915</v>
      </c>
      <c r="U50" s="7">
        <f t="shared" si="3"/>
        <v>6.5356886776680962</v>
      </c>
      <c r="V50" s="7">
        <f t="shared" si="4"/>
        <v>11.434010152284264</v>
      </c>
      <c r="W50" s="7">
        <f t="shared" si="5"/>
        <v>3.5019632409825281</v>
      </c>
      <c r="X50" s="7">
        <f t="shared" si="6"/>
        <v>0.43593123368684517</v>
      </c>
      <c r="Y50" s="7">
        <f t="shared" si="7"/>
        <v>-0.27106150421672232</v>
      </c>
      <c r="Z50" s="7">
        <f t="shared" si="8"/>
        <v>-0.12393338319636275</v>
      </c>
      <c r="AA50" s="7">
        <f t="shared" si="9"/>
        <v>1.3645448757920032E-2</v>
      </c>
    </row>
    <row r="51" spans="1:27" x14ac:dyDescent="0.25">
      <c r="A51" s="1" t="s">
        <v>1655</v>
      </c>
      <c r="B51" s="1" t="s">
        <v>861</v>
      </c>
      <c r="C51" s="1">
        <v>5</v>
      </c>
      <c r="D51" s="1">
        <v>4</v>
      </c>
      <c r="E51" s="1">
        <v>4</v>
      </c>
      <c r="F51" s="1">
        <v>4</v>
      </c>
      <c r="G51" s="1">
        <v>5</v>
      </c>
      <c r="H51" s="1">
        <v>6</v>
      </c>
      <c r="I51" s="1">
        <v>4</v>
      </c>
      <c r="J51" s="1">
        <v>5</v>
      </c>
      <c r="K51" s="1">
        <v>6</v>
      </c>
      <c r="L51" s="1">
        <v>7</v>
      </c>
      <c r="M51" s="1">
        <v>17</v>
      </c>
      <c r="N51" s="1">
        <v>20</v>
      </c>
      <c r="O51" s="1">
        <v>13</v>
      </c>
      <c r="P51" s="1">
        <v>50</v>
      </c>
      <c r="Q51" s="7">
        <v>1.0540925533894594</v>
      </c>
      <c r="R51" s="7">
        <f t="shared" si="0"/>
        <v>23.196700507614214</v>
      </c>
      <c r="S51" s="7">
        <f t="shared" si="1"/>
        <v>6.4306002317777482</v>
      </c>
      <c r="T51" s="7">
        <f t="shared" si="2"/>
        <v>22.771573604060915</v>
      </c>
      <c r="U51" s="7">
        <f t="shared" si="3"/>
        <v>6.5356886776680962</v>
      </c>
      <c r="V51" s="7">
        <f t="shared" si="4"/>
        <v>11.434010152284264</v>
      </c>
      <c r="W51" s="7">
        <f t="shared" si="5"/>
        <v>3.5019632409825281</v>
      </c>
      <c r="X51" s="7">
        <f t="shared" si="6"/>
        <v>-0.96362707745263265</v>
      </c>
      <c r="Y51" s="7">
        <f t="shared" si="7"/>
        <v>-0.42406756820151964</v>
      </c>
      <c r="Z51" s="7">
        <f t="shared" si="8"/>
        <v>0.44717483878453679</v>
      </c>
      <c r="AA51" s="7">
        <f t="shared" si="9"/>
        <v>-0.31350660228987187</v>
      </c>
    </row>
    <row r="52" spans="1:27" x14ac:dyDescent="0.25">
      <c r="A52" s="1" t="s">
        <v>1655</v>
      </c>
      <c r="B52" s="1" t="s">
        <v>861</v>
      </c>
      <c r="C52" s="1">
        <v>7</v>
      </c>
      <c r="D52" s="1">
        <v>6</v>
      </c>
      <c r="E52" s="1">
        <v>7</v>
      </c>
      <c r="F52" s="1">
        <v>7</v>
      </c>
      <c r="G52" s="1">
        <v>7</v>
      </c>
      <c r="H52" s="1">
        <v>7</v>
      </c>
      <c r="I52" s="1">
        <v>7</v>
      </c>
      <c r="J52" s="1">
        <v>6</v>
      </c>
      <c r="K52" s="1">
        <v>6</v>
      </c>
      <c r="L52" s="1">
        <v>7</v>
      </c>
      <c r="M52" s="1">
        <v>27</v>
      </c>
      <c r="N52" s="1">
        <v>27</v>
      </c>
      <c r="O52" s="1">
        <v>13</v>
      </c>
      <c r="P52" s="1">
        <v>67</v>
      </c>
      <c r="Q52" s="7">
        <v>0.48304589153964789</v>
      </c>
      <c r="R52" s="7">
        <f t="shared" si="0"/>
        <v>23.196700507614214</v>
      </c>
      <c r="S52" s="7">
        <f t="shared" si="1"/>
        <v>6.4306002317777482</v>
      </c>
      <c r="T52" s="7">
        <f t="shared" si="2"/>
        <v>22.771573604060915</v>
      </c>
      <c r="U52" s="7">
        <f t="shared" si="3"/>
        <v>6.5356886776680962</v>
      </c>
      <c r="V52" s="7">
        <f t="shared" si="4"/>
        <v>11.434010152284264</v>
      </c>
      <c r="W52" s="7">
        <f t="shared" si="5"/>
        <v>3.5019632409825281</v>
      </c>
      <c r="X52" s="7">
        <f t="shared" si="6"/>
        <v>0.59143771270234269</v>
      </c>
      <c r="Y52" s="7">
        <f t="shared" si="7"/>
        <v>0.64697487969206147</v>
      </c>
      <c r="Z52" s="7">
        <f t="shared" si="8"/>
        <v>0.44717483878453679</v>
      </c>
      <c r="AA52" s="7">
        <f t="shared" si="9"/>
        <v>0.56186247705964698</v>
      </c>
    </row>
    <row r="53" spans="1:27" x14ac:dyDescent="0.25">
      <c r="A53" s="1" t="s">
        <v>1655</v>
      </c>
      <c r="B53" s="1" t="s">
        <v>861</v>
      </c>
      <c r="C53" s="1">
        <v>7</v>
      </c>
      <c r="D53" s="1">
        <v>8</v>
      </c>
      <c r="E53" s="1">
        <v>7</v>
      </c>
      <c r="F53" s="1">
        <v>8</v>
      </c>
      <c r="G53" s="1">
        <v>6</v>
      </c>
      <c r="H53" s="1">
        <v>5</v>
      </c>
      <c r="I53" s="1">
        <v>7</v>
      </c>
      <c r="J53" s="1">
        <v>6</v>
      </c>
      <c r="K53" s="1">
        <v>7</v>
      </c>
      <c r="L53" s="1">
        <v>7</v>
      </c>
      <c r="M53" s="1">
        <v>30</v>
      </c>
      <c r="N53" s="1">
        <v>24</v>
      </c>
      <c r="O53" s="1">
        <v>14</v>
      </c>
      <c r="P53" s="1">
        <v>68</v>
      </c>
      <c r="Q53" s="7">
        <v>0.91893658347268159</v>
      </c>
      <c r="R53" s="7">
        <f t="shared" si="0"/>
        <v>23.196700507614214</v>
      </c>
      <c r="S53" s="7">
        <f t="shared" si="1"/>
        <v>6.4306002317777482</v>
      </c>
      <c r="T53" s="7">
        <f t="shared" si="2"/>
        <v>22.771573604060915</v>
      </c>
      <c r="U53" s="7">
        <f t="shared" si="3"/>
        <v>6.5356886776680962</v>
      </c>
      <c r="V53" s="7">
        <f t="shared" si="4"/>
        <v>11.434010152284264</v>
      </c>
      <c r="W53" s="7">
        <f t="shared" si="5"/>
        <v>3.5019632409825281</v>
      </c>
      <c r="X53" s="7">
        <f t="shared" si="6"/>
        <v>1.0579571497488354</v>
      </c>
      <c r="Y53" s="7">
        <f t="shared" si="7"/>
        <v>0.18795668773766958</v>
      </c>
      <c r="Z53" s="7">
        <f t="shared" si="8"/>
        <v>0.73272894977498659</v>
      </c>
      <c r="AA53" s="7">
        <f t="shared" si="9"/>
        <v>0.65954759575383048</v>
      </c>
    </row>
    <row r="54" spans="1:27" x14ac:dyDescent="0.25">
      <c r="A54" s="1" t="s">
        <v>1655</v>
      </c>
      <c r="B54" s="1" t="s">
        <v>861</v>
      </c>
      <c r="C54" s="1">
        <v>8</v>
      </c>
      <c r="D54" s="1">
        <v>7</v>
      </c>
      <c r="E54" s="1">
        <v>8</v>
      </c>
      <c r="F54" s="1">
        <v>8</v>
      </c>
      <c r="G54" s="1">
        <v>8</v>
      </c>
      <c r="H54" s="1">
        <v>6</v>
      </c>
      <c r="I54" s="1">
        <v>8</v>
      </c>
      <c r="J54" s="1">
        <v>8</v>
      </c>
      <c r="K54" s="1">
        <v>8</v>
      </c>
      <c r="L54" s="1">
        <v>7</v>
      </c>
      <c r="M54" s="1">
        <v>31</v>
      </c>
      <c r="N54" s="1">
        <v>30</v>
      </c>
      <c r="O54" s="1">
        <v>15</v>
      </c>
      <c r="P54" s="1">
        <v>76</v>
      </c>
      <c r="Q54" s="7">
        <v>0.69920589878010109</v>
      </c>
      <c r="R54" s="7">
        <f t="shared" si="0"/>
        <v>23.196700507614214</v>
      </c>
      <c r="S54" s="7">
        <f t="shared" si="1"/>
        <v>6.4306002317777482</v>
      </c>
      <c r="T54" s="7">
        <f t="shared" si="2"/>
        <v>22.771573604060915</v>
      </c>
      <c r="U54" s="7">
        <f t="shared" si="3"/>
        <v>6.5356886776680962</v>
      </c>
      <c r="V54" s="7">
        <f t="shared" si="4"/>
        <v>11.434010152284264</v>
      </c>
      <c r="W54" s="7">
        <f t="shared" si="5"/>
        <v>3.5019632409825281</v>
      </c>
      <c r="X54" s="7">
        <f t="shared" si="6"/>
        <v>1.2134636287643328</v>
      </c>
      <c r="Y54" s="7">
        <f t="shared" si="7"/>
        <v>1.1059930716464534</v>
      </c>
      <c r="Z54" s="7">
        <f t="shared" si="8"/>
        <v>1.0182830607654363</v>
      </c>
      <c r="AA54" s="7">
        <f t="shared" si="9"/>
        <v>1.1125799203920741</v>
      </c>
    </row>
    <row r="55" spans="1:27" x14ac:dyDescent="0.25">
      <c r="A55" s="1" t="s">
        <v>1655</v>
      </c>
      <c r="B55" s="1" t="s">
        <v>861</v>
      </c>
      <c r="C55" s="1">
        <v>8</v>
      </c>
      <c r="D55" s="1">
        <v>5</v>
      </c>
      <c r="E55" s="1">
        <v>7</v>
      </c>
      <c r="F55" s="1">
        <v>7</v>
      </c>
      <c r="G55" s="1">
        <v>7</v>
      </c>
      <c r="H55" s="1">
        <v>7</v>
      </c>
      <c r="I55" s="1">
        <v>7</v>
      </c>
      <c r="J55" s="1">
        <v>8</v>
      </c>
      <c r="K55" s="1">
        <v>7</v>
      </c>
      <c r="L55" s="1">
        <v>6</v>
      </c>
      <c r="M55" s="1">
        <v>27</v>
      </c>
      <c r="N55" s="1">
        <v>29</v>
      </c>
      <c r="O55" s="1">
        <v>13</v>
      </c>
      <c r="P55" s="1">
        <v>69</v>
      </c>
      <c r="Q55" s="7">
        <v>0.87559503577091313</v>
      </c>
      <c r="R55" s="7">
        <f t="shared" si="0"/>
        <v>23.196700507614214</v>
      </c>
      <c r="S55" s="7">
        <f t="shared" si="1"/>
        <v>6.4306002317777482</v>
      </c>
      <c r="T55" s="7">
        <f t="shared" si="2"/>
        <v>22.771573604060915</v>
      </c>
      <c r="U55" s="7">
        <f t="shared" si="3"/>
        <v>6.5356886776680962</v>
      </c>
      <c r="V55" s="7">
        <f t="shared" si="4"/>
        <v>11.434010152284264</v>
      </c>
      <c r="W55" s="7">
        <f t="shared" si="5"/>
        <v>3.5019632409825281</v>
      </c>
      <c r="X55" s="7">
        <f t="shared" si="6"/>
        <v>0.59143771270234269</v>
      </c>
      <c r="Y55" s="7">
        <f t="shared" si="7"/>
        <v>0.95298700766165612</v>
      </c>
      <c r="Z55" s="7">
        <f t="shared" si="8"/>
        <v>0.44717483878453679</v>
      </c>
      <c r="AA55" s="7">
        <f t="shared" si="9"/>
        <v>0.6638665197161786</v>
      </c>
    </row>
    <row r="56" spans="1:27" x14ac:dyDescent="0.25">
      <c r="A56" s="1" t="s">
        <v>1655</v>
      </c>
      <c r="B56" s="1" t="s">
        <v>861</v>
      </c>
      <c r="C56" s="1">
        <v>9</v>
      </c>
      <c r="D56" s="1">
        <v>8</v>
      </c>
      <c r="E56" s="1">
        <v>8</v>
      </c>
      <c r="F56" s="1">
        <v>8</v>
      </c>
      <c r="G56" s="1">
        <v>7</v>
      </c>
      <c r="H56" s="1">
        <v>7</v>
      </c>
      <c r="I56" s="1">
        <v>8</v>
      </c>
      <c r="J56" s="1">
        <v>8</v>
      </c>
      <c r="K56" s="1">
        <v>7</v>
      </c>
      <c r="L56" s="1">
        <v>7</v>
      </c>
      <c r="M56" s="1">
        <v>33</v>
      </c>
      <c r="N56" s="1">
        <v>30</v>
      </c>
      <c r="O56" s="1">
        <v>14</v>
      </c>
      <c r="P56" s="1">
        <v>77</v>
      </c>
      <c r="Q56" s="7">
        <v>0.67494855771055284</v>
      </c>
      <c r="R56" s="7">
        <f t="shared" si="0"/>
        <v>23.196700507614214</v>
      </c>
      <c r="S56" s="7">
        <f t="shared" si="1"/>
        <v>6.4306002317777482</v>
      </c>
      <c r="T56" s="7">
        <f t="shared" si="2"/>
        <v>22.771573604060915</v>
      </c>
      <c r="U56" s="7">
        <f t="shared" si="3"/>
        <v>6.5356886776680962</v>
      </c>
      <c r="V56" s="7">
        <f t="shared" si="4"/>
        <v>11.434010152284264</v>
      </c>
      <c r="W56" s="7">
        <f t="shared" si="5"/>
        <v>3.5019632409825281</v>
      </c>
      <c r="X56" s="7">
        <f t="shared" si="6"/>
        <v>1.524476586795328</v>
      </c>
      <c r="Y56" s="7">
        <f t="shared" si="7"/>
        <v>1.1059930716464534</v>
      </c>
      <c r="Z56" s="7">
        <f t="shared" si="8"/>
        <v>0.73272894977498659</v>
      </c>
      <c r="AA56" s="7">
        <f t="shared" si="9"/>
        <v>1.1210662027389227</v>
      </c>
    </row>
    <row r="57" spans="1:27" x14ac:dyDescent="0.25">
      <c r="A57" s="1" t="s">
        <v>1655</v>
      </c>
      <c r="B57" s="1" t="s">
        <v>861</v>
      </c>
      <c r="C57" s="1">
        <v>8</v>
      </c>
      <c r="D57" s="1">
        <v>7</v>
      </c>
      <c r="E57" s="1">
        <v>7</v>
      </c>
      <c r="F57" s="1">
        <v>8</v>
      </c>
      <c r="G57" s="1">
        <v>7</v>
      </c>
      <c r="H57" s="1">
        <v>6</v>
      </c>
      <c r="I57" s="1">
        <v>6</v>
      </c>
      <c r="J57" s="1">
        <v>6</v>
      </c>
      <c r="K57" s="1">
        <v>6</v>
      </c>
      <c r="L57" s="1">
        <v>7</v>
      </c>
      <c r="M57" s="1">
        <v>30</v>
      </c>
      <c r="N57" s="1">
        <v>25</v>
      </c>
      <c r="O57" s="1">
        <v>13</v>
      </c>
      <c r="P57" s="1">
        <v>68</v>
      </c>
      <c r="Q57" s="7">
        <v>0.78881063774661553</v>
      </c>
      <c r="R57" s="7">
        <f t="shared" si="0"/>
        <v>23.196700507614214</v>
      </c>
      <c r="S57" s="7">
        <f t="shared" si="1"/>
        <v>6.4306002317777482</v>
      </c>
      <c r="T57" s="7">
        <f t="shared" si="2"/>
        <v>22.771573604060915</v>
      </c>
      <c r="U57" s="7">
        <f t="shared" si="3"/>
        <v>6.5356886776680962</v>
      </c>
      <c r="V57" s="7">
        <f t="shared" si="4"/>
        <v>11.434010152284264</v>
      </c>
      <c r="W57" s="7">
        <f t="shared" si="5"/>
        <v>3.5019632409825281</v>
      </c>
      <c r="X57" s="7">
        <f t="shared" si="6"/>
        <v>1.0579571497488354</v>
      </c>
      <c r="Y57" s="7">
        <f t="shared" si="7"/>
        <v>0.34096275172246687</v>
      </c>
      <c r="Z57" s="7">
        <f t="shared" si="8"/>
        <v>0.44717483878453679</v>
      </c>
      <c r="AA57" s="7">
        <f t="shared" si="9"/>
        <v>0.6153649134186131</v>
      </c>
    </row>
    <row r="58" spans="1:27" x14ac:dyDescent="0.25">
      <c r="A58" s="1" t="s">
        <v>1655</v>
      </c>
      <c r="B58" s="1" t="s">
        <v>861</v>
      </c>
      <c r="C58" s="1">
        <v>5</v>
      </c>
      <c r="D58" s="1">
        <v>5</v>
      </c>
      <c r="E58" s="1">
        <v>4</v>
      </c>
      <c r="F58" s="1">
        <v>4</v>
      </c>
      <c r="G58" s="1">
        <v>2</v>
      </c>
      <c r="H58" s="1">
        <v>2</v>
      </c>
      <c r="I58" s="1">
        <v>2</v>
      </c>
      <c r="J58" s="1">
        <v>2</v>
      </c>
      <c r="K58" s="1">
        <v>3</v>
      </c>
      <c r="L58" s="1">
        <v>2</v>
      </c>
      <c r="M58" s="1">
        <v>18</v>
      </c>
      <c r="N58" s="1">
        <v>8</v>
      </c>
      <c r="O58" s="1">
        <v>5</v>
      </c>
      <c r="P58" s="1">
        <v>31</v>
      </c>
      <c r="Q58" s="7">
        <v>1.2866839377079187</v>
      </c>
      <c r="R58" s="7">
        <f t="shared" si="0"/>
        <v>23.196700507614214</v>
      </c>
      <c r="S58" s="7">
        <f t="shared" si="1"/>
        <v>6.4306002317777482</v>
      </c>
      <c r="T58" s="7">
        <f t="shared" si="2"/>
        <v>22.771573604060915</v>
      </c>
      <c r="U58" s="7">
        <f t="shared" si="3"/>
        <v>6.5356886776680962</v>
      </c>
      <c r="V58" s="7">
        <f t="shared" si="4"/>
        <v>11.434010152284264</v>
      </c>
      <c r="W58" s="7">
        <f t="shared" si="5"/>
        <v>3.5019632409825281</v>
      </c>
      <c r="X58" s="7">
        <f t="shared" si="6"/>
        <v>-0.80812059843713513</v>
      </c>
      <c r="Y58" s="7">
        <f t="shared" si="7"/>
        <v>-2.260140336019087</v>
      </c>
      <c r="Z58" s="7">
        <f t="shared" si="8"/>
        <v>-1.8372580491390613</v>
      </c>
      <c r="AA58" s="7">
        <f t="shared" si="9"/>
        <v>-1.635172994531761</v>
      </c>
    </row>
    <row r="59" spans="1:27" x14ac:dyDescent="0.25">
      <c r="A59" s="1" t="s">
        <v>1656</v>
      </c>
      <c r="B59" s="1" t="s">
        <v>861</v>
      </c>
      <c r="C59" s="1">
        <v>6</v>
      </c>
      <c r="D59" s="1">
        <v>5</v>
      </c>
      <c r="E59" s="1">
        <v>5</v>
      </c>
      <c r="F59" s="1">
        <v>5</v>
      </c>
      <c r="G59" s="1">
        <v>5</v>
      </c>
      <c r="H59" s="1">
        <v>5</v>
      </c>
      <c r="I59" s="1">
        <v>6</v>
      </c>
      <c r="J59" s="1">
        <v>6</v>
      </c>
      <c r="K59" s="1">
        <v>7</v>
      </c>
      <c r="L59" s="1">
        <v>6</v>
      </c>
      <c r="M59" s="1">
        <v>21</v>
      </c>
      <c r="N59" s="1">
        <v>22</v>
      </c>
      <c r="O59" s="1">
        <v>13</v>
      </c>
      <c r="P59" s="1">
        <v>56</v>
      </c>
      <c r="Q59" s="7">
        <v>0.69920589878010109</v>
      </c>
      <c r="R59" s="7">
        <f t="shared" si="0"/>
        <v>23.196700507614214</v>
      </c>
      <c r="S59" s="7">
        <f t="shared" si="1"/>
        <v>6.4306002317777482</v>
      </c>
      <c r="T59" s="7">
        <f t="shared" si="2"/>
        <v>22.771573604060915</v>
      </c>
      <c r="U59" s="7">
        <f t="shared" si="3"/>
        <v>6.5356886776680962</v>
      </c>
      <c r="V59" s="7">
        <f t="shared" si="4"/>
        <v>11.434010152284264</v>
      </c>
      <c r="W59" s="7">
        <f t="shared" si="5"/>
        <v>3.5019632409825281</v>
      </c>
      <c r="X59" s="7">
        <f t="shared" si="6"/>
        <v>-0.3416011613906425</v>
      </c>
      <c r="Y59" s="7">
        <f t="shared" si="7"/>
        <v>-0.11805544023192505</v>
      </c>
      <c r="Z59" s="7">
        <f t="shared" si="8"/>
        <v>0.44717483878453679</v>
      </c>
      <c r="AA59" s="7">
        <f t="shared" si="9"/>
        <v>-4.1605876126769208E-3</v>
      </c>
    </row>
    <row r="60" spans="1:27" x14ac:dyDescent="0.25">
      <c r="A60" s="1" t="s">
        <v>1656</v>
      </c>
      <c r="B60" s="1" t="s">
        <v>861</v>
      </c>
      <c r="C60" s="1">
        <v>6</v>
      </c>
      <c r="D60" s="1">
        <v>4</v>
      </c>
      <c r="E60" s="1">
        <v>4</v>
      </c>
      <c r="F60" s="1">
        <v>5</v>
      </c>
      <c r="G60" s="1">
        <v>5</v>
      </c>
      <c r="H60" s="1">
        <v>5</v>
      </c>
      <c r="I60" s="1">
        <v>5</v>
      </c>
      <c r="J60" s="1">
        <v>5</v>
      </c>
      <c r="K60" s="1">
        <v>6</v>
      </c>
      <c r="L60" s="1">
        <v>6</v>
      </c>
      <c r="M60" s="1">
        <v>19</v>
      </c>
      <c r="N60" s="1">
        <v>20</v>
      </c>
      <c r="O60" s="1">
        <v>12</v>
      </c>
      <c r="P60" s="1">
        <v>51</v>
      </c>
      <c r="Q60" s="7">
        <v>0.73786478737262184</v>
      </c>
      <c r="R60" s="7">
        <f t="shared" si="0"/>
        <v>23.196700507614214</v>
      </c>
      <c r="S60" s="7">
        <f t="shared" si="1"/>
        <v>6.4306002317777482</v>
      </c>
      <c r="T60" s="7">
        <f t="shared" si="2"/>
        <v>22.771573604060915</v>
      </c>
      <c r="U60" s="7">
        <f t="shared" si="3"/>
        <v>6.5356886776680962</v>
      </c>
      <c r="V60" s="7">
        <f t="shared" si="4"/>
        <v>11.434010152284264</v>
      </c>
      <c r="W60" s="7">
        <f t="shared" si="5"/>
        <v>3.5019632409825281</v>
      </c>
      <c r="X60" s="7">
        <f t="shared" si="6"/>
        <v>-0.65261411942163761</v>
      </c>
      <c r="Y60" s="7">
        <f t="shared" si="7"/>
        <v>-0.42406756820151964</v>
      </c>
      <c r="Z60" s="7">
        <f t="shared" si="8"/>
        <v>0.16162072779408701</v>
      </c>
      <c r="AA60" s="7">
        <f t="shared" si="9"/>
        <v>-0.30502031994302342</v>
      </c>
    </row>
    <row r="61" spans="1:27" x14ac:dyDescent="0.25">
      <c r="A61" s="1" t="s">
        <v>1656</v>
      </c>
      <c r="B61" s="1" t="s">
        <v>861</v>
      </c>
      <c r="C61" s="1">
        <v>6</v>
      </c>
      <c r="D61" s="1">
        <v>5</v>
      </c>
      <c r="E61" s="1">
        <v>5</v>
      </c>
      <c r="F61" s="1">
        <v>6</v>
      </c>
      <c r="G61" s="1">
        <v>7</v>
      </c>
      <c r="H61" s="1">
        <v>6</v>
      </c>
      <c r="I61" s="1">
        <v>6</v>
      </c>
      <c r="J61" s="1">
        <v>6</v>
      </c>
      <c r="K61" s="1">
        <v>7</v>
      </c>
      <c r="L61" s="1">
        <v>7</v>
      </c>
      <c r="M61" s="1">
        <v>22</v>
      </c>
      <c r="N61" s="1">
        <v>25</v>
      </c>
      <c r="O61" s="1">
        <v>14</v>
      </c>
      <c r="P61" s="1">
        <v>61</v>
      </c>
      <c r="Q61" s="7">
        <v>0.73786478737262184</v>
      </c>
      <c r="R61" s="7">
        <f t="shared" si="0"/>
        <v>23.196700507614214</v>
      </c>
      <c r="S61" s="7">
        <f t="shared" si="1"/>
        <v>6.4306002317777482</v>
      </c>
      <c r="T61" s="7">
        <f t="shared" si="2"/>
        <v>22.771573604060915</v>
      </c>
      <c r="U61" s="7">
        <f t="shared" si="3"/>
        <v>6.5356886776680962</v>
      </c>
      <c r="V61" s="7">
        <f t="shared" si="4"/>
        <v>11.434010152284264</v>
      </c>
      <c r="W61" s="7">
        <f t="shared" si="5"/>
        <v>3.5019632409825281</v>
      </c>
      <c r="X61" s="7">
        <f t="shared" si="6"/>
        <v>-0.18609468237514495</v>
      </c>
      <c r="Y61" s="7">
        <f t="shared" si="7"/>
        <v>0.34096275172246687</v>
      </c>
      <c r="Z61" s="7">
        <f t="shared" si="8"/>
        <v>0.73272894977498659</v>
      </c>
      <c r="AA61" s="7">
        <f t="shared" si="9"/>
        <v>0.29586567304076949</v>
      </c>
    </row>
    <row r="62" spans="1:27" x14ac:dyDescent="0.25">
      <c r="A62" s="1" t="s">
        <v>1656</v>
      </c>
      <c r="B62" s="1" t="s">
        <v>861</v>
      </c>
      <c r="C62" s="1">
        <v>7</v>
      </c>
      <c r="D62" s="1">
        <v>7</v>
      </c>
      <c r="E62" s="1">
        <v>7</v>
      </c>
      <c r="F62" s="1">
        <v>8</v>
      </c>
      <c r="G62" s="1">
        <v>8</v>
      </c>
      <c r="H62" s="1">
        <v>6</v>
      </c>
      <c r="I62" s="1">
        <v>8</v>
      </c>
      <c r="J62" s="1">
        <v>6</v>
      </c>
      <c r="K62" s="1">
        <v>6</v>
      </c>
      <c r="L62" s="1">
        <v>5</v>
      </c>
      <c r="M62" s="1">
        <v>29</v>
      </c>
      <c r="N62" s="1">
        <v>28</v>
      </c>
      <c r="O62" s="1">
        <v>11</v>
      </c>
      <c r="P62" s="1">
        <v>68</v>
      </c>
      <c r="Q62" s="7">
        <v>1.0327955589886444</v>
      </c>
      <c r="R62" s="7">
        <f t="shared" si="0"/>
        <v>23.196700507614214</v>
      </c>
      <c r="S62" s="7">
        <f t="shared" si="1"/>
        <v>6.4306002317777482</v>
      </c>
      <c r="T62" s="7">
        <f t="shared" si="2"/>
        <v>22.771573604060915</v>
      </c>
      <c r="U62" s="7">
        <f t="shared" si="3"/>
        <v>6.5356886776680962</v>
      </c>
      <c r="V62" s="7">
        <f t="shared" si="4"/>
        <v>11.434010152284264</v>
      </c>
      <c r="W62" s="7">
        <f t="shared" si="5"/>
        <v>3.5019632409825281</v>
      </c>
      <c r="X62" s="7">
        <f t="shared" si="6"/>
        <v>0.90245067073333785</v>
      </c>
      <c r="Y62" s="7">
        <f t="shared" si="7"/>
        <v>0.79998094367685879</v>
      </c>
      <c r="Z62" s="7">
        <f t="shared" si="8"/>
        <v>-0.12393338319636275</v>
      </c>
      <c r="AA62" s="7">
        <f t="shared" si="9"/>
        <v>0.52616607707127805</v>
      </c>
    </row>
    <row r="63" spans="1:27" x14ac:dyDescent="0.25">
      <c r="A63" s="1" t="s">
        <v>1656</v>
      </c>
      <c r="B63" s="1" t="s">
        <v>861</v>
      </c>
      <c r="C63" s="1">
        <v>7</v>
      </c>
      <c r="D63" s="1">
        <v>6</v>
      </c>
      <c r="E63" s="1">
        <v>6</v>
      </c>
      <c r="F63" s="1">
        <v>7</v>
      </c>
      <c r="G63" s="1">
        <v>6</v>
      </c>
      <c r="H63" s="1">
        <v>6</v>
      </c>
      <c r="I63" s="1">
        <v>7</v>
      </c>
      <c r="J63" s="1">
        <v>7</v>
      </c>
      <c r="K63" s="1">
        <v>7</v>
      </c>
      <c r="L63" s="1">
        <v>7</v>
      </c>
      <c r="M63" s="1">
        <v>26</v>
      </c>
      <c r="N63" s="1">
        <v>26</v>
      </c>
      <c r="O63" s="1">
        <v>14</v>
      </c>
      <c r="P63" s="1">
        <v>66</v>
      </c>
      <c r="Q63" s="7">
        <v>0.51639777949432231</v>
      </c>
      <c r="R63" s="7">
        <f t="shared" si="0"/>
        <v>23.196700507614214</v>
      </c>
      <c r="S63" s="7">
        <f t="shared" si="1"/>
        <v>6.4306002317777482</v>
      </c>
      <c r="T63" s="7">
        <f t="shared" si="2"/>
        <v>22.771573604060915</v>
      </c>
      <c r="U63" s="7">
        <f t="shared" si="3"/>
        <v>6.5356886776680962</v>
      </c>
      <c r="V63" s="7">
        <f t="shared" si="4"/>
        <v>11.434010152284264</v>
      </c>
      <c r="W63" s="7">
        <f t="shared" si="5"/>
        <v>3.5019632409825281</v>
      </c>
      <c r="X63" s="7">
        <f t="shared" si="6"/>
        <v>0.43593123368684517</v>
      </c>
      <c r="Y63" s="7">
        <f t="shared" si="7"/>
        <v>0.49396881570726414</v>
      </c>
      <c r="Z63" s="7">
        <f t="shared" si="8"/>
        <v>0.73272894977498659</v>
      </c>
      <c r="AA63" s="7">
        <f t="shared" si="9"/>
        <v>0.5542096663896986</v>
      </c>
    </row>
    <row r="64" spans="1:27" x14ac:dyDescent="0.25">
      <c r="A64" s="1" t="s">
        <v>1656</v>
      </c>
      <c r="B64" s="1" t="s">
        <v>861</v>
      </c>
      <c r="C64" s="1">
        <v>4</v>
      </c>
      <c r="D64" s="1">
        <v>4</v>
      </c>
      <c r="E64" s="1">
        <v>4</v>
      </c>
      <c r="F64" s="1">
        <v>5</v>
      </c>
      <c r="G64" s="1">
        <v>5</v>
      </c>
      <c r="H64" s="1">
        <v>5</v>
      </c>
      <c r="I64" s="1">
        <v>5</v>
      </c>
      <c r="J64" s="1">
        <v>6</v>
      </c>
      <c r="K64" s="1">
        <v>6</v>
      </c>
      <c r="L64" s="1">
        <v>5</v>
      </c>
      <c r="M64" s="1">
        <v>17</v>
      </c>
      <c r="N64" s="1">
        <v>21</v>
      </c>
      <c r="O64" s="1">
        <v>11</v>
      </c>
      <c r="P64" s="1">
        <v>49</v>
      </c>
      <c r="Q64" s="7">
        <v>0.73786478737262184</v>
      </c>
      <c r="R64" s="7">
        <f t="shared" si="0"/>
        <v>23.196700507614214</v>
      </c>
      <c r="S64" s="7">
        <f t="shared" si="1"/>
        <v>6.4306002317777482</v>
      </c>
      <c r="T64" s="7">
        <f t="shared" si="2"/>
        <v>22.771573604060915</v>
      </c>
      <c r="U64" s="7">
        <f t="shared" si="3"/>
        <v>6.5356886776680962</v>
      </c>
      <c r="V64" s="7">
        <f t="shared" si="4"/>
        <v>11.434010152284264</v>
      </c>
      <c r="W64" s="7">
        <f t="shared" si="5"/>
        <v>3.5019632409825281</v>
      </c>
      <c r="X64" s="7">
        <f t="shared" si="6"/>
        <v>-0.96362707745263265</v>
      </c>
      <c r="Y64" s="7">
        <f t="shared" si="7"/>
        <v>-0.27106150421672232</v>
      </c>
      <c r="Z64" s="7">
        <f t="shared" si="8"/>
        <v>-0.12393338319636275</v>
      </c>
      <c r="AA64" s="7">
        <f t="shared" si="9"/>
        <v>-0.45287398828857256</v>
      </c>
    </row>
    <row r="65" spans="1:27" x14ac:dyDescent="0.25">
      <c r="A65" s="1" t="s">
        <v>1656</v>
      </c>
      <c r="B65" s="1" t="s">
        <v>861</v>
      </c>
      <c r="C65" s="1">
        <v>5</v>
      </c>
      <c r="D65" s="1">
        <v>5</v>
      </c>
      <c r="E65" s="1">
        <v>4</v>
      </c>
      <c r="F65" s="1">
        <v>5</v>
      </c>
      <c r="G65" s="1">
        <v>5</v>
      </c>
      <c r="H65" s="1">
        <v>5</v>
      </c>
      <c r="I65" s="1">
        <v>6</v>
      </c>
      <c r="J65" s="1">
        <v>6</v>
      </c>
      <c r="K65" s="1">
        <v>5</v>
      </c>
      <c r="L65" s="1">
        <v>6</v>
      </c>
      <c r="M65" s="1">
        <v>19</v>
      </c>
      <c r="N65" s="1">
        <v>22</v>
      </c>
      <c r="O65" s="1">
        <v>11</v>
      </c>
      <c r="P65" s="1">
        <v>52</v>
      </c>
      <c r="Q65" s="7">
        <v>0.63245553203367599</v>
      </c>
      <c r="R65" s="7">
        <f t="shared" si="0"/>
        <v>23.196700507614214</v>
      </c>
      <c r="S65" s="7">
        <f t="shared" si="1"/>
        <v>6.4306002317777482</v>
      </c>
      <c r="T65" s="7">
        <f t="shared" si="2"/>
        <v>22.771573604060915</v>
      </c>
      <c r="U65" s="7">
        <f t="shared" si="3"/>
        <v>6.5356886776680962</v>
      </c>
      <c r="V65" s="7">
        <f t="shared" si="4"/>
        <v>11.434010152284264</v>
      </c>
      <c r="W65" s="7">
        <f t="shared" si="5"/>
        <v>3.5019632409825281</v>
      </c>
      <c r="X65" s="7">
        <f t="shared" si="6"/>
        <v>-0.65261411942163761</v>
      </c>
      <c r="Y65" s="7">
        <f t="shared" si="7"/>
        <v>-0.11805544023192505</v>
      </c>
      <c r="Z65" s="7">
        <f t="shared" si="8"/>
        <v>-0.12393338319636275</v>
      </c>
      <c r="AA65" s="7">
        <f t="shared" si="9"/>
        <v>-0.2982009809499751</v>
      </c>
    </row>
    <row r="66" spans="1:27" x14ac:dyDescent="0.25">
      <c r="A66" s="1" t="s">
        <v>1656</v>
      </c>
      <c r="B66" s="1" t="s">
        <v>861</v>
      </c>
      <c r="C66" s="1">
        <v>4</v>
      </c>
      <c r="D66" s="1">
        <v>5</v>
      </c>
      <c r="E66" s="1">
        <v>4</v>
      </c>
      <c r="F66" s="1">
        <v>4</v>
      </c>
      <c r="G66" s="1">
        <v>5</v>
      </c>
      <c r="H66" s="1">
        <v>6</v>
      </c>
      <c r="I66" s="1">
        <v>5</v>
      </c>
      <c r="J66" s="1">
        <v>4</v>
      </c>
      <c r="K66" s="1">
        <v>4</v>
      </c>
      <c r="L66" s="1">
        <v>5</v>
      </c>
      <c r="M66" s="1">
        <v>17</v>
      </c>
      <c r="N66" s="1">
        <v>20</v>
      </c>
      <c r="O66" s="1">
        <v>9</v>
      </c>
      <c r="P66" s="1">
        <v>46</v>
      </c>
      <c r="Q66" s="7">
        <v>0.69920589878010087</v>
      </c>
      <c r="R66" s="7">
        <f t="shared" si="0"/>
        <v>23.196700507614214</v>
      </c>
      <c r="S66" s="7">
        <f t="shared" si="1"/>
        <v>6.4306002317777482</v>
      </c>
      <c r="T66" s="7">
        <f t="shared" si="2"/>
        <v>22.771573604060915</v>
      </c>
      <c r="U66" s="7">
        <f t="shared" si="3"/>
        <v>6.5356886776680962</v>
      </c>
      <c r="V66" s="7">
        <f t="shared" si="4"/>
        <v>11.434010152284264</v>
      </c>
      <c r="W66" s="7">
        <f t="shared" si="5"/>
        <v>3.5019632409825281</v>
      </c>
      <c r="X66" s="7">
        <f t="shared" si="6"/>
        <v>-0.96362707745263265</v>
      </c>
      <c r="Y66" s="7">
        <f t="shared" si="7"/>
        <v>-0.42406756820151964</v>
      </c>
      <c r="Z66" s="7">
        <f t="shared" si="8"/>
        <v>-0.69504160517726232</v>
      </c>
      <c r="AA66" s="7">
        <f t="shared" si="9"/>
        <v>-0.69424541694380493</v>
      </c>
    </row>
    <row r="67" spans="1:27" x14ac:dyDescent="0.25">
      <c r="A67" s="1" t="s">
        <v>1656</v>
      </c>
      <c r="B67" s="1" t="s">
        <v>861</v>
      </c>
      <c r="C67" s="1">
        <v>7</v>
      </c>
      <c r="D67" s="1">
        <v>8</v>
      </c>
      <c r="E67" s="1">
        <v>7</v>
      </c>
      <c r="F67" s="1">
        <v>7</v>
      </c>
      <c r="G67" s="1">
        <v>7</v>
      </c>
      <c r="H67" s="1">
        <v>6</v>
      </c>
      <c r="I67" s="1">
        <v>6</v>
      </c>
      <c r="J67" s="1">
        <v>6</v>
      </c>
      <c r="K67" s="1">
        <v>6</v>
      </c>
      <c r="L67" s="1">
        <v>6</v>
      </c>
      <c r="M67" s="1">
        <v>29</v>
      </c>
      <c r="N67" s="1">
        <v>25</v>
      </c>
      <c r="O67" s="1">
        <v>12</v>
      </c>
      <c r="P67" s="1">
        <v>66</v>
      </c>
      <c r="Q67" s="7">
        <v>0.69920589878010098</v>
      </c>
      <c r="R67" s="7">
        <f t="shared" ref="R67:R130" si="10">AVERAGE(M:M)</f>
        <v>23.196700507614214</v>
      </c>
      <c r="S67" s="7">
        <f t="shared" ref="S67:S130" si="11">_xlfn.STDEV.S(M:M)</f>
        <v>6.4306002317777482</v>
      </c>
      <c r="T67" s="7">
        <f t="shared" ref="T67:T130" si="12">AVERAGE(N:N)</f>
        <v>22.771573604060915</v>
      </c>
      <c r="U67" s="7">
        <f t="shared" ref="U67:U130" si="13">_xlfn.STDEV.S(N:N)</f>
        <v>6.5356886776680962</v>
      </c>
      <c r="V67" s="7">
        <f t="shared" ref="V67:V130" si="14">AVERAGE(O:O)</f>
        <v>11.434010152284264</v>
      </c>
      <c r="W67" s="7">
        <f t="shared" ref="W67:W130" si="15">_xlfn.STDEV.S(O:O)</f>
        <v>3.5019632409825281</v>
      </c>
      <c r="X67" s="7">
        <f t="shared" ref="X67:X130" si="16">STANDARDIZE(M67,R67,S67)</f>
        <v>0.90245067073333785</v>
      </c>
      <c r="Y67" s="7">
        <f t="shared" ref="Y67:Y130" si="17">STANDARDIZE(N67,T67,U67)</f>
        <v>0.34096275172246687</v>
      </c>
      <c r="Z67" s="7">
        <f t="shared" ref="Z67:Z130" si="18">STANDARDIZE(O67,V67,W67)</f>
        <v>0.16162072779408701</v>
      </c>
      <c r="AA67" s="7">
        <f t="shared" ref="AA67:AA130" si="19">AVERAGE(X67:Z67)</f>
        <v>0.46834471674996392</v>
      </c>
    </row>
    <row r="68" spans="1:27" x14ac:dyDescent="0.25">
      <c r="A68" s="1" t="s">
        <v>1658</v>
      </c>
      <c r="B68" s="1" t="s">
        <v>861</v>
      </c>
      <c r="C68" s="1">
        <v>6</v>
      </c>
      <c r="D68" s="1">
        <v>4</v>
      </c>
      <c r="E68" s="1">
        <v>4</v>
      </c>
      <c r="F68" s="1">
        <v>3</v>
      </c>
      <c r="G68" s="1">
        <v>4</v>
      </c>
      <c r="H68" s="1">
        <v>4</v>
      </c>
      <c r="I68" s="1">
        <v>4</v>
      </c>
      <c r="J68" s="1">
        <v>4</v>
      </c>
      <c r="K68" s="1">
        <v>5</v>
      </c>
      <c r="L68" s="1">
        <v>4</v>
      </c>
      <c r="M68" s="1">
        <v>17</v>
      </c>
      <c r="N68" s="1">
        <v>16</v>
      </c>
      <c r="O68" s="1">
        <v>9</v>
      </c>
      <c r="P68" s="1">
        <v>42</v>
      </c>
      <c r="Q68" s="7">
        <v>0.78881063774661553</v>
      </c>
      <c r="R68" s="7">
        <f t="shared" si="10"/>
        <v>23.196700507614214</v>
      </c>
      <c r="S68" s="7">
        <f t="shared" si="11"/>
        <v>6.4306002317777482</v>
      </c>
      <c r="T68" s="7">
        <f t="shared" si="12"/>
        <v>22.771573604060915</v>
      </c>
      <c r="U68" s="7">
        <f t="shared" si="13"/>
        <v>6.5356886776680962</v>
      </c>
      <c r="V68" s="7">
        <f t="shared" si="14"/>
        <v>11.434010152284264</v>
      </c>
      <c r="W68" s="7">
        <f t="shared" si="15"/>
        <v>3.5019632409825281</v>
      </c>
      <c r="X68" s="7">
        <f t="shared" si="16"/>
        <v>-0.96362707745263265</v>
      </c>
      <c r="Y68" s="7">
        <f t="shared" si="17"/>
        <v>-1.0360918241407089</v>
      </c>
      <c r="Z68" s="7">
        <f t="shared" si="18"/>
        <v>-0.69504160517726232</v>
      </c>
      <c r="AA68" s="7">
        <f t="shared" si="19"/>
        <v>-0.89825350225686795</v>
      </c>
    </row>
    <row r="69" spans="1:27" x14ac:dyDescent="0.25">
      <c r="A69" s="1" t="s">
        <v>1658</v>
      </c>
      <c r="B69" s="1" t="s">
        <v>861</v>
      </c>
      <c r="C69" s="1">
        <v>7</v>
      </c>
      <c r="D69" s="1">
        <v>7</v>
      </c>
      <c r="E69" s="1">
        <v>7</v>
      </c>
      <c r="F69" s="1">
        <v>6</v>
      </c>
      <c r="G69" s="1">
        <v>6</v>
      </c>
      <c r="H69" s="1">
        <v>7</v>
      </c>
      <c r="I69" s="1">
        <v>6</v>
      </c>
      <c r="J69" s="1">
        <v>5</v>
      </c>
      <c r="K69" s="1">
        <v>5</v>
      </c>
      <c r="L69" s="1">
        <v>5</v>
      </c>
      <c r="M69" s="1">
        <v>27</v>
      </c>
      <c r="N69" s="1">
        <v>24</v>
      </c>
      <c r="O69" s="1">
        <v>10</v>
      </c>
      <c r="P69" s="1">
        <v>61</v>
      </c>
      <c r="Q69" s="7">
        <v>0.87559503577091313</v>
      </c>
      <c r="R69" s="7">
        <f t="shared" si="10"/>
        <v>23.196700507614214</v>
      </c>
      <c r="S69" s="7">
        <f t="shared" si="11"/>
        <v>6.4306002317777482</v>
      </c>
      <c r="T69" s="7">
        <f t="shared" si="12"/>
        <v>22.771573604060915</v>
      </c>
      <c r="U69" s="7">
        <f t="shared" si="13"/>
        <v>6.5356886776680962</v>
      </c>
      <c r="V69" s="7">
        <f t="shared" si="14"/>
        <v>11.434010152284264</v>
      </c>
      <c r="W69" s="7">
        <f t="shared" si="15"/>
        <v>3.5019632409825281</v>
      </c>
      <c r="X69" s="7">
        <f t="shared" si="16"/>
        <v>0.59143771270234269</v>
      </c>
      <c r="Y69" s="7">
        <f t="shared" si="17"/>
        <v>0.18795668773766958</v>
      </c>
      <c r="Z69" s="7">
        <f t="shared" si="18"/>
        <v>-0.40948749418681252</v>
      </c>
      <c r="AA69" s="7">
        <f t="shared" si="19"/>
        <v>0.12330230208439992</v>
      </c>
    </row>
    <row r="70" spans="1:27" x14ac:dyDescent="0.25">
      <c r="A70" s="1" t="s">
        <v>1658</v>
      </c>
      <c r="B70" s="1" t="s">
        <v>861</v>
      </c>
      <c r="C70" s="1">
        <v>3</v>
      </c>
      <c r="D70" s="1">
        <v>3</v>
      </c>
      <c r="E70" s="1">
        <v>3</v>
      </c>
      <c r="F70" s="1">
        <v>2</v>
      </c>
      <c r="G70" s="1">
        <v>3</v>
      </c>
      <c r="H70" s="1">
        <v>3</v>
      </c>
      <c r="I70" s="1">
        <v>2</v>
      </c>
      <c r="J70" s="1">
        <v>3</v>
      </c>
      <c r="K70" s="1">
        <v>3</v>
      </c>
      <c r="L70" s="1">
        <v>2</v>
      </c>
      <c r="M70" s="1">
        <v>11</v>
      </c>
      <c r="N70" s="1">
        <v>11</v>
      </c>
      <c r="O70" s="1">
        <v>5</v>
      </c>
      <c r="P70" s="1">
        <v>27</v>
      </c>
      <c r="Q70" s="7">
        <v>0.48304589153964789</v>
      </c>
      <c r="R70" s="7">
        <f t="shared" si="10"/>
        <v>23.196700507614214</v>
      </c>
      <c r="S70" s="7">
        <f t="shared" si="11"/>
        <v>6.4306002317777482</v>
      </c>
      <c r="T70" s="7">
        <f t="shared" si="12"/>
        <v>22.771573604060915</v>
      </c>
      <c r="U70" s="7">
        <f t="shared" si="13"/>
        <v>6.5356886776680962</v>
      </c>
      <c r="V70" s="7">
        <f t="shared" si="14"/>
        <v>11.434010152284264</v>
      </c>
      <c r="W70" s="7">
        <f t="shared" si="15"/>
        <v>3.5019632409825281</v>
      </c>
      <c r="X70" s="7">
        <f t="shared" si="16"/>
        <v>-1.8966659515456179</v>
      </c>
      <c r="Y70" s="7">
        <f t="shared" si="17"/>
        <v>-1.8011221440646954</v>
      </c>
      <c r="Z70" s="7">
        <f t="shared" si="18"/>
        <v>-1.8372580491390613</v>
      </c>
      <c r="AA70" s="7">
        <f t="shared" si="19"/>
        <v>-1.8450153815831249</v>
      </c>
    </row>
    <row r="71" spans="1:27" x14ac:dyDescent="0.25">
      <c r="A71" s="1" t="s">
        <v>1658</v>
      </c>
      <c r="B71" s="1" t="s">
        <v>861</v>
      </c>
      <c r="C71" s="1">
        <v>7</v>
      </c>
      <c r="D71" s="1">
        <v>6</v>
      </c>
      <c r="E71" s="1">
        <v>6</v>
      </c>
      <c r="F71" s="1">
        <v>6</v>
      </c>
      <c r="G71" s="1">
        <v>6</v>
      </c>
      <c r="H71" s="1">
        <v>5</v>
      </c>
      <c r="I71" s="1">
        <v>5</v>
      </c>
      <c r="J71" s="1">
        <v>5</v>
      </c>
      <c r="K71" s="1">
        <v>6</v>
      </c>
      <c r="L71" s="1">
        <v>7</v>
      </c>
      <c r="M71" s="1">
        <v>25</v>
      </c>
      <c r="N71" s="1">
        <v>21</v>
      </c>
      <c r="O71" s="1">
        <v>13</v>
      </c>
      <c r="P71" s="1">
        <v>59</v>
      </c>
      <c r="Q71" s="7">
        <v>0.73786478737262173</v>
      </c>
      <c r="R71" s="7">
        <f t="shared" si="10"/>
        <v>23.196700507614214</v>
      </c>
      <c r="S71" s="7">
        <f t="shared" si="11"/>
        <v>6.4306002317777482</v>
      </c>
      <c r="T71" s="7">
        <f t="shared" si="12"/>
        <v>22.771573604060915</v>
      </c>
      <c r="U71" s="7">
        <f t="shared" si="13"/>
        <v>6.5356886776680962</v>
      </c>
      <c r="V71" s="7">
        <f t="shared" si="14"/>
        <v>11.434010152284264</v>
      </c>
      <c r="W71" s="7">
        <f t="shared" si="15"/>
        <v>3.5019632409825281</v>
      </c>
      <c r="X71" s="7">
        <f t="shared" si="16"/>
        <v>0.28042475467134764</v>
      </c>
      <c r="Y71" s="7">
        <f t="shared" si="17"/>
        <v>-0.27106150421672232</v>
      </c>
      <c r="Z71" s="7">
        <f t="shared" si="18"/>
        <v>0.44717483878453679</v>
      </c>
      <c r="AA71" s="7">
        <f t="shared" si="19"/>
        <v>0.15217936307972071</v>
      </c>
    </row>
    <row r="72" spans="1:27" x14ac:dyDescent="0.25">
      <c r="A72" s="1" t="s">
        <v>1658</v>
      </c>
      <c r="B72" s="1" t="s">
        <v>861</v>
      </c>
      <c r="C72" s="1">
        <v>5</v>
      </c>
      <c r="D72" s="1">
        <v>4</v>
      </c>
      <c r="E72" s="1">
        <v>4</v>
      </c>
      <c r="F72" s="1">
        <v>3</v>
      </c>
      <c r="G72" s="1">
        <v>4</v>
      </c>
      <c r="H72" s="1">
        <v>3</v>
      </c>
      <c r="I72" s="1">
        <v>3</v>
      </c>
      <c r="J72" s="1">
        <v>2</v>
      </c>
      <c r="K72" s="1">
        <v>3</v>
      </c>
      <c r="L72" s="1">
        <v>5</v>
      </c>
      <c r="M72" s="1">
        <v>16</v>
      </c>
      <c r="N72" s="1">
        <v>12</v>
      </c>
      <c r="O72" s="1">
        <v>8</v>
      </c>
      <c r="P72" s="1">
        <v>36</v>
      </c>
      <c r="Q72" s="7">
        <v>0.96609178307929577</v>
      </c>
      <c r="R72" s="7">
        <f t="shared" si="10"/>
        <v>23.196700507614214</v>
      </c>
      <c r="S72" s="7">
        <f t="shared" si="11"/>
        <v>6.4306002317777482</v>
      </c>
      <c r="T72" s="7">
        <f t="shared" si="12"/>
        <v>22.771573604060915</v>
      </c>
      <c r="U72" s="7">
        <f t="shared" si="13"/>
        <v>6.5356886776680962</v>
      </c>
      <c r="V72" s="7">
        <f t="shared" si="14"/>
        <v>11.434010152284264</v>
      </c>
      <c r="W72" s="7">
        <f t="shared" si="15"/>
        <v>3.5019632409825281</v>
      </c>
      <c r="X72" s="7">
        <f t="shared" si="16"/>
        <v>-1.1191335564681302</v>
      </c>
      <c r="Y72" s="7">
        <f t="shared" si="17"/>
        <v>-1.648116080079898</v>
      </c>
      <c r="Z72" s="7">
        <f t="shared" si="18"/>
        <v>-0.98059571616771202</v>
      </c>
      <c r="AA72" s="7">
        <f t="shared" si="19"/>
        <v>-1.2492817842385799</v>
      </c>
    </row>
    <row r="73" spans="1:27" x14ac:dyDescent="0.25">
      <c r="A73" s="1" t="s">
        <v>1658</v>
      </c>
      <c r="B73" s="1" t="s">
        <v>861</v>
      </c>
      <c r="C73" s="1">
        <v>8</v>
      </c>
      <c r="D73" s="1">
        <v>7</v>
      </c>
      <c r="E73" s="1">
        <v>7</v>
      </c>
      <c r="F73" s="1">
        <v>7</v>
      </c>
      <c r="G73" s="1">
        <v>8</v>
      </c>
      <c r="H73" s="1">
        <v>7</v>
      </c>
      <c r="I73" s="1">
        <v>8</v>
      </c>
      <c r="J73" s="1">
        <v>7</v>
      </c>
      <c r="K73" s="1">
        <v>7</v>
      </c>
      <c r="L73" s="1">
        <v>8</v>
      </c>
      <c r="M73" s="1">
        <v>29</v>
      </c>
      <c r="N73" s="1">
        <v>30</v>
      </c>
      <c r="O73" s="1">
        <v>15</v>
      </c>
      <c r="P73" s="1">
        <v>74</v>
      </c>
      <c r="Q73" s="7">
        <v>0.5163977794943222</v>
      </c>
      <c r="R73" s="7">
        <f t="shared" si="10"/>
        <v>23.196700507614214</v>
      </c>
      <c r="S73" s="7">
        <f t="shared" si="11"/>
        <v>6.4306002317777482</v>
      </c>
      <c r="T73" s="7">
        <f t="shared" si="12"/>
        <v>22.771573604060915</v>
      </c>
      <c r="U73" s="7">
        <f t="shared" si="13"/>
        <v>6.5356886776680962</v>
      </c>
      <c r="V73" s="7">
        <f t="shared" si="14"/>
        <v>11.434010152284264</v>
      </c>
      <c r="W73" s="7">
        <f t="shared" si="15"/>
        <v>3.5019632409825281</v>
      </c>
      <c r="X73" s="7">
        <f t="shared" si="16"/>
        <v>0.90245067073333785</v>
      </c>
      <c r="Y73" s="7">
        <f t="shared" si="17"/>
        <v>1.1059930716464534</v>
      </c>
      <c r="Z73" s="7">
        <f t="shared" si="18"/>
        <v>1.0182830607654363</v>
      </c>
      <c r="AA73" s="7">
        <f t="shared" si="19"/>
        <v>1.0089089343817426</v>
      </c>
    </row>
    <row r="74" spans="1:27" x14ac:dyDescent="0.25">
      <c r="A74" s="1" t="s">
        <v>1658</v>
      </c>
      <c r="B74" s="1" t="s">
        <v>861</v>
      </c>
      <c r="C74" s="1">
        <v>6</v>
      </c>
      <c r="D74" s="1">
        <v>6</v>
      </c>
      <c r="E74" s="1">
        <v>5</v>
      </c>
      <c r="F74" s="1">
        <v>5</v>
      </c>
      <c r="G74" s="1">
        <v>5</v>
      </c>
      <c r="H74" s="1">
        <v>6</v>
      </c>
      <c r="I74" s="1">
        <v>6</v>
      </c>
      <c r="J74" s="1">
        <v>6</v>
      </c>
      <c r="K74" s="1">
        <v>5</v>
      </c>
      <c r="L74" s="1">
        <v>5</v>
      </c>
      <c r="M74" s="1">
        <v>22</v>
      </c>
      <c r="N74" s="1">
        <v>23</v>
      </c>
      <c r="O74" s="1">
        <v>10</v>
      </c>
      <c r="P74" s="1">
        <v>55</v>
      </c>
      <c r="Q74" s="7">
        <v>0.52704627669472992</v>
      </c>
      <c r="R74" s="7">
        <f t="shared" si="10"/>
        <v>23.196700507614214</v>
      </c>
      <c r="S74" s="7">
        <f t="shared" si="11"/>
        <v>6.4306002317777482</v>
      </c>
      <c r="T74" s="7">
        <f t="shared" si="12"/>
        <v>22.771573604060915</v>
      </c>
      <c r="U74" s="7">
        <f t="shared" si="13"/>
        <v>6.5356886776680962</v>
      </c>
      <c r="V74" s="7">
        <f t="shared" si="14"/>
        <v>11.434010152284264</v>
      </c>
      <c r="W74" s="7">
        <f t="shared" si="15"/>
        <v>3.5019632409825281</v>
      </c>
      <c r="X74" s="7">
        <f t="shared" si="16"/>
        <v>-0.18609468237514495</v>
      </c>
      <c r="Y74" s="7">
        <f t="shared" si="17"/>
        <v>3.4950623752872265E-2</v>
      </c>
      <c r="Z74" s="7">
        <f t="shared" si="18"/>
        <v>-0.40948749418681252</v>
      </c>
      <c r="AA74" s="7">
        <f t="shared" si="19"/>
        <v>-0.1868771842696951</v>
      </c>
    </row>
    <row r="75" spans="1:27" x14ac:dyDescent="0.25">
      <c r="A75" s="1" t="s">
        <v>1658</v>
      </c>
      <c r="B75" s="1" t="s">
        <v>861</v>
      </c>
      <c r="C75" s="1">
        <v>5</v>
      </c>
      <c r="D75" s="1">
        <v>5</v>
      </c>
      <c r="E75" s="1">
        <v>4</v>
      </c>
      <c r="F75" s="1">
        <v>4</v>
      </c>
      <c r="G75" s="1">
        <v>4</v>
      </c>
      <c r="H75" s="1">
        <v>3</v>
      </c>
      <c r="I75" s="1">
        <v>4</v>
      </c>
      <c r="J75" s="1">
        <v>4</v>
      </c>
      <c r="K75" s="1">
        <v>5</v>
      </c>
      <c r="L75" s="1">
        <v>5</v>
      </c>
      <c r="M75" s="1">
        <v>18</v>
      </c>
      <c r="N75" s="1">
        <v>15</v>
      </c>
      <c r="O75" s="1">
        <v>10</v>
      </c>
      <c r="P75" s="1">
        <v>43</v>
      </c>
      <c r="Q75" s="7">
        <v>0.67494855771055307</v>
      </c>
      <c r="R75" s="7">
        <f t="shared" si="10"/>
        <v>23.196700507614214</v>
      </c>
      <c r="S75" s="7">
        <f t="shared" si="11"/>
        <v>6.4306002317777482</v>
      </c>
      <c r="T75" s="7">
        <f t="shared" si="12"/>
        <v>22.771573604060915</v>
      </c>
      <c r="U75" s="7">
        <f t="shared" si="13"/>
        <v>6.5356886776680962</v>
      </c>
      <c r="V75" s="7">
        <f t="shared" si="14"/>
        <v>11.434010152284264</v>
      </c>
      <c r="W75" s="7">
        <f t="shared" si="15"/>
        <v>3.5019632409825281</v>
      </c>
      <c r="X75" s="7">
        <f t="shared" si="16"/>
        <v>-0.80812059843713513</v>
      </c>
      <c r="Y75" s="7">
        <f t="shared" si="17"/>
        <v>-1.1890978881255061</v>
      </c>
      <c r="Z75" s="7">
        <f t="shared" si="18"/>
        <v>-0.40948749418681252</v>
      </c>
      <c r="AA75" s="7">
        <f t="shared" si="19"/>
        <v>-0.80223532691648458</v>
      </c>
    </row>
    <row r="76" spans="1:27" x14ac:dyDescent="0.25">
      <c r="A76" s="1" t="s">
        <v>1658</v>
      </c>
      <c r="B76" s="1" t="s">
        <v>861</v>
      </c>
      <c r="C76" s="1">
        <v>6</v>
      </c>
      <c r="D76" s="1">
        <v>5</v>
      </c>
      <c r="E76" s="1">
        <v>5</v>
      </c>
      <c r="F76" s="1">
        <v>4</v>
      </c>
      <c r="G76" s="1">
        <v>5</v>
      </c>
      <c r="H76" s="1">
        <v>5</v>
      </c>
      <c r="I76" s="1">
        <v>6</v>
      </c>
      <c r="J76" s="1">
        <v>5</v>
      </c>
      <c r="K76" s="1">
        <v>6</v>
      </c>
      <c r="L76" s="1">
        <v>5</v>
      </c>
      <c r="M76" s="1">
        <v>20</v>
      </c>
      <c r="N76" s="1">
        <v>21</v>
      </c>
      <c r="O76" s="1">
        <v>11</v>
      </c>
      <c r="P76" s="1">
        <v>52</v>
      </c>
      <c r="Q76" s="7">
        <v>0.63245553203367577</v>
      </c>
      <c r="R76" s="7">
        <f t="shared" si="10"/>
        <v>23.196700507614214</v>
      </c>
      <c r="S76" s="7">
        <f t="shared" si="11"/>
        <v>6.4306002317777482</v>
      </c>
      <c r="T76" s="7">
        <f t="shared" si="12"/>
        <v>22.771573604060915</v>
      </c>
      <c r="U76" s="7">
        <f t="shared" si="13"/>
        <v>6.5356886776680962</v>
      </c>
      <c r="V76" s="7">
        <f t="shared" si="14"/>
        <v>11.434010152284264</v>
      </c>
      <c r="W76" s="7">
        <f t="shared" si="15"/>
        <v>3.5019632409825281</v>
      </c>
      <c r="X76" s="7">
        <f t="shared" si="16"/>
        <v>-0.49710764040614003</v>
      </c>
      <c r="Y76" s="7">
        <f t="shared" si="17"/>
        <v>-0.27106150421672232</v>
      </c>
      <c r="Z76" s="7">
        <f t="shared" si="18"/>
        <v>-0.12393338319636275</v>
      </c>
      <c r="AA76" s="7">
        <f t="shared" si="19"/>
        <v>-0.29736750927307504</v>
      </c>
    </row>
    <row r="77" spans="1:27" x14ac:dyDescent="0.25">
      <c r="A77" s="1" t="s">
        <v>1658</v>
      </c>
      <c r="B77" s="1" t="s">
        <v>861</v>
      </c>
      <c r="C77" s="1">
        <v>6</v>
      </c>
      <c r="D77" s="1">
        <v>6</v>
      </c>
      <c r="E77" s="1">
        <v>6</v>
      </c>
      <c r="F77" s="1">
        <v>7</v>
      </c>
      <c r="G77" s="1">
        <v>7</v>
      </c>
      <c r="H77" s="1">
        <v>7</v>
      </c>
      <c r="I77" s="1">
        <v>5</v>
      </c>
      <c r="J77" s="1">
        <v>6</v>
      </c>
      <c r="K77" s="1">
        <v>6</v>
      </c>
      <c r="L77" s="1">
        <v>7</v>
      </c>
      <c r="M77" s="1">
        <v>25</v>
      </c>
      <c r="N77" s="1">
        <v>25</v>
      </c>
      <c r="O77" s="1">
        <v>13</v>
      </c>
      <c r="P77" s="1">
        <v>63</v>
      </c>
      <c r="Q77" s="7">
        <v>0.67494855771055284</v>
      </c>
      <c r="R77" s="7">
        <f t="shared" si="10"/>
        <v>23.196700507614214</v>
      </c>
      <c r="S77" s="7">
        <f t="shared" si="11"/>
        <v>6.4306002317777482</v>
      </c>
      <c r="T77" s="7">
        <f t="shared" si="12"/>
        <v>22.771573604060915</v>
      </c>
      <c r="U77" s="7">
        <f t="shared" si="13"/>
        <v>6.5356886776680962</v>
      </c>
      <c r="V77" s="7">
        <f t="shared" si="14"/>
        <v>11.434010152284264</v>
      </c>
      <c r="W77" s="7">
        <f t="shared" si="15"/>
        <v>3.5019632409825281</v>
      </c>
      <c r="X77" s="7">
        <f t="shared" si="16"/>
        <v>0.28042475467134764</v>
      </c>
      <c r="Y77" s="7">
        <f t="shared" si="17"/>
        <v>0.34096275172246687</v>
      </c>
      <c r="Z77" s="7">
        <f t="shared" si="18"/>
        <v>0.44717483878453679</v>
      </c>
      <c r="AA77" s="7">
        <f t="shared" si="19"/>
        <v>0.35618744839278377</v>
      </c>
    </row>
    <row r="78" spans="1:27" x14ac:dyDescent="0.25">
      <c r="A78" s="1" t="s">
        <v>1658</v>
      </c>
      <c r="B78" s="1" t="s">
        <v>861</v>
      </c>
      <c r="C78" s="1">
        <v>8</v>
      </c>
      <c r="D78" s="1">
        <v>8</v>
      </c>
      <c r="E78" s="1">
        <v>8</v>
      </c>
      <c r="F78" s="1">
        <v>8</v>
      </c>
      <c r="G78" s="1">
        <v>8</v>
      </c>
      <c r="H78" s="1">
        <v>9</v>
      </c>
      <c r="I78" s="1">
        <v>7</v>
      </c>
      <c r="J78" s="1">
        <v>7</v>
      </c>
      <c r="K78" s="1">
        <v>8</v>
      </c>
      <c r="L78" s="1">
        <v>7</v>
      </c>
      <c r="M78" s="1">
        <v>32</v>
      </c>
      <c r="N78" s="1">
        <v>31</v>
      </c>
      <c r="O78" s="1">
        <v>15</v>
      </c>
      <c r="P78" s="1">
        <v>78</v>
      </c>
      <c r="Q78" s="7">
        <v>0.63245553203367566</v>
      </c>
      <c r="R78" s="7">
        <f t="shared" si="10"/>
        <v>23.196700507614214</v>
      </c>
      <c r="S78" s="7">
        <f t="shared" si="11"/>
        <v>6.4306002317777482</v>
      </c>
      <c r="T78" s="7">
        <f t="shared" si="12"/>
        <v>22.771573604060915</v>
      </c>
      <c r="U78" s="7">
        <f t="shared" si="13"/>
        <v>6.5356886776680962</v>
      </c>
      <c r="V78" s="7">
        <f t="shared" si="14"/>
        <v>11.434010152284264</v>
      </c>
      <c r="W78" s="7">
        <f t="shared" si="15"/>
        <v>3.5019632409825281</v>
      </c>
      <c r="X78" s="7">
        <f t="shared" si="16"/>
        <v>1.3689701077798304</v>
      </c>
      <c r="Y78" s="7">
        <f t="shared" si="17"/>
        <v>1.2589991356312507</v>
      </c>
      <c r="Z78" s="7">
        <f t="shared" si="18"/>
        <v>1.0182830607654363</v>
      </c>
      <c r="AA78" s="7">
        <f t="shared" si="19"/>
        <v>1.2154174347255058</v>
      </c>
    </row>
    <row r="79" spans="1:27" x14ac:dyDescent="0.25">
      <c r="A79" s="1" t="s">
        <v>1658</v>
      </c>
      <c r="B79" s="1" t="s">
        <v>861</v>
      </c>
      <c r="C79" s="1">
        <v>7</v>
      </c>
      <c r="D79" s="1">
        <v>8</v>
      </c>
      <c r="E79" s="1">
        <v>8</v>
      </c>
      <c r="F79" s="1">
        <v>8</v>
      </c>
      <c r="G79" s="1">
        <v>8</v>
      </c>
      <c r="H79" s="1">
        <v>7</v>
      </c>
      <c r="I79" s="1">
        <v>7</v>
      </c>
      <c r="J79" s="1">
        <v>7</v>
      </c>
      <c r="K79" s="1">
        <v>7</v>
      </c>
      <c r="L79" s="1">
        <v>6</v>
      </c>
      <c r="M79" s="1">
        <v>31</v>
      </c>
      <c r="N79" s="1">
        <v>29</v>
      </c>
      <c r="O79" s="1">
        <v>13</v>
      </c>
      <c r="P79" s="1">
        <v>73</v>
      </c>
      <c r="Q79" s="7">
        <v>0.67494855771055284</v>
      </c>
      <c r="R79" s="7">
        <f t="shared" si="10"/>
        <v>23.196700507614214</v>
      </c>
      <c r="S79" s="7">
        <f t="shared" si="11"/>
        <v>6.4306002317777482</v>
      </c>
      <c r="T79" s="7">
        <f t="shared" si="12"/>
        <v>22.771573604060915</v>
      </c>
      <c r="U79" s="7">
        <f t="shared" si="13"/>
        <v>6.5356886776680962</v>
      </c>
      <c r="V79" s="7">
        <f t="shared" si="14"/>
        <v>11.434010152284264</v>
      </c>
      <c r="W79" s="7">
        <f t="shared" si="15"/>
        <v>3.5019632409825281</v>
      </c>
      <c r="X79" s="7">
        <f t="shared" si="16"/>
        <v>1.2134636287643328</v>
      </c>
      <c r="Y79" s="7">
        <f t="shared" si="17"/>
        <v>0.95298700766165612</v>
      </c>
      <c r="Z79" s="7">
        <f t="shared" si="18"/>
        <v>0.44717483878453679</v>
      </c>
      <c r="AA79" s="7">
        <f t="shared" si="19"/>
        <v>0.87120849173684201</v>
      </c>
    </row>
    <row r="80" spans="1:27" x14ac:dyDescent="0.25">
      <c r="A80" s="1" t="s">
        <v>1658</v>
      </c>
      <c r="B80" s="1" t="s">
        <v>861</v>
      </c>
      <c r="C80" s="1">
        <v>8</v>
      </c>
      <c r="D80" s="1">
        <v>8</v>
      </c>
      <c r="E80" s="1">
        <v>8</v>
      </c>
      <c r="F80" s="1">
        <v>9</v>
      </c>
      <c r="G80" s="1">
        <v>8</v>
      </c>
      <c r="H80" s="1">
        <v>8</v>
      </c>
      <c r="I80" s="1">
        <v>8</v>
      </c>
      <c r="J80" s="1">
        <v>8</v>
      </c>
      <c r="K80" s="1">
        <v>9</v>
      </c>
      <c r="L80" s="1">
        <v>9</v>
      </c>
      <c r="M80" s="1">
        <v>33</v>
      </c>
      <c r="N80" s="1">
        <v>32</v>
      </c>
      <c r="O80" s="1">
        <v>18</v>
      </c>
      <c r="P80" s="1">
        <v>83</v>
      </c>
      <c r="Q80" s="7">
        <v>0.48304589153964811</v>
      </c>
      <c r="R80" s="7">
        <f t="shared" si="10"/>
        <v>23.196700507614214</v>
      </c>
      <c r="S80" s="7">
        <f t="shared" si="11"/>
        <v>6.4306002317777482</v>
      </c>
      <c r="T80" s="7">
        <f t="shared" si="12"/>
        <v>22.771573604060915</v>
      </c>
      <c r="U80" s="7">
        <f t="shared" si="13"/>
        <v>6.5356886776680962</v>
      </c>
      <c r="V80" s="7">
        <f t="shared" si="14"/>
        <v>11.434010152284264</v>
      </c>
      <c r="W80" s="7">
        <f t="shared" si="15"/>
        <v>3.5019632409825281</v>
      </c>
      <c r="X80" s="7">
        <f t="shared" si="16"/>
        <v>1.524476586795328</v>
      </c>
      <c r="Y80" s="7">
        <f t="shared" si="17"/>
        <v>1.4120051996160479</v>
      </c>
      <c r="Z80" s="7">
        <f t="shared" si="18"/>
        <v>1.8749453937367857</v>
      </c>
      <c r="AA80" s="7">
        <f t="shared" si="19"/>
        <v>1.6038090600493871</v>
      </c>
    </row>
    <row r="81" spans="1:27" x14ac:dyDescent="0.25">
      <c r="A81" s="1" t="s">
        <v>1658</v>
      </c>
      <c r="B81" s="1" t="s">
        <v>861</v>
      </c>
      <c r="C81" s="1">
        <v>8</v>
      </c>
      <c r="D81" s="1">
        <v>7</v>
      </c>
      <c r="E81" s="1">
        <v>7</v>
      </c>
      <c r="F81" s="1">
        <v>5</v>
      </c>
      <c r="G81" s="1">
        <v>7</v>
      </c>
      <c r="H81" s="1">
        <v>7</v>
      </c>
      <c r="I81" s="1">
        <v>7</v>
      </c>
      <c r="J81" s="1">
        <v>7</v>
      </c>
      <c r="K81" s="1">
        <v>5</v>
      </c>
      <c r="L81" s="1">
        <v>4</v>
      </c>
      <c r="M81" s="1">
        <v>27</v>
      </c>
      <c r="N81" s="1">
        <v>28</v>
      </c>
      <c r="O81" s="1">
        <v>9</v>
      </c>
      <c r="P81" s="1">
        <v>64</v>
      </c>
      <c r="Q81" s="7">
        <v>1.2649110640673518</v>
      </c>
      <c r="R81" s="7">
        <f t="shared" si="10"/>
        <v>23.196700507614214</v>
      </c>
      <c r="S81" s="7">
        <f t="shared" si="11"/>
        <v>6.4306002317777482</v>
      </c>
      <c r="T81" s="7">
        <f t="shared" si="12"/>
        <v>22.771573604060915</v>
      </c>
      <c r="U81" s="7">
        <f t="shared" si="13"/>
        <v>6.5356886776680962</v>
      </c>
      <c r="V81" s="7">
        <f t="shared" si="14"/>
        <v>11.434010152284264</v>
      </c>
      <c r="W81" s="7">
        <f t="shared" si="15"/>
        <v>3.5019632409825281</v>
      </c>
      <c r="X81" s="7">
        <f t="shared" si="16"/>
        <v>0.59143771270234269</v>
      </c>
      <c r="Y81" s="7">
        <f t="shared" si="17"/>
        <v>0.79998094367685879</v>
      </c>
      <c r="Z81" s="7">
        <f t="shared" si="18"/>
        <v>-0.69504160517726232</v>
      </c>
      <c r="AA81" s="7">
        <f t="shared" si="19"/>
        <v>0.23212568373397971</v>
      </c>
    </row>
    <row r="82" spans="1:27" x14ac:dyDescent="0.25">
      <c r="A82" s="1" t="s">
        <v>1658</v>
      </c>
      <c r="B82" s="1" t="s">
        <v>861</v>
      </c>
      <c r="C82" s="1">
        <v>8</v>
      </c>
      <c r="D82" s="1">
        <v>5</v>
      </c>
      <c r="E82" s="1">
        <v>6</v>
      </c>
      <c r="F82" s="1">
        <v>7</v>
      </c>
      <c r="G82" s="1">
        <v>6</v>
      </c>
      <c r="H82" s="1">
        <v>7</v>
      </c>
      <c r="I82" s="1">
        <v>6</v>
      </c>
      <c r="J82" s="1">
        <v>7</v>
      </c>
      <c r="K82" s="1">
        <v>7</v>
      </c>
      <c r="L82" s="1">
        <v>7</v>
      </c>
      <c r="M82" s="1">
        <v>26</v>
      </c>
      <c r="N82" s="1">
        <v>26</v>
      </c>
      <c r="O82" s="1">
        <v>14</v>
      </c>
      <c r="P82" s="1">
        <v>66</v>
      </c>
      <c r="Q82" s="7">
        <v>0.84327404271156781</v>
      </c>
      <c r="R82" s="7">
        <f t="shared" si="10"/>
        <v>23.196700507614214</v>
      </c>
      <c r="S82" s="7">
        <f t="shared" si="11"/>
        <v>6.4306002317777482</v>
      </c>
      <c r="T82" s="7">
        <f t="shared" si="12"/>
        <v>22.771573604060915</v>
      </c>
      <c r="U82" s="7">
        <f t="shared" si="13"/>
        <v>6.5356886776680962</v>
      </c>
      <c r="V82" s="7">
        <f t="shared" si="14"/>
        <v>11.434010152284264</v>
      </c>
      <c r="W82" s="7">
        <f t="shared" si="15"/>
        <v>3.5019632409825281</v>
      </c>
      <c r="X82" s="7">
        <f t="shared" si="16"/>
        <v>0.43593123368684517</v>
      </c>
      <c r="Y82" s="7">
        <f t="shared" si="17"/>
        <v>0.49396881570726414</v>
      </c>
      <c r="Z82" s="7">
        <f t="shared" si="18"/>
        <v>0.73272894977498659</v>
      </c>
      <c r="AA82" s="7">
        <f t="shared" si="19"/>
        <v>0.5542096663896986</v>
      </c>
    </row>
    <row r="83" spans="1:27" x14ac:dyDescent="0.25">
      <c r="A83" s="1" t="s">
        <v>1658</v>
      </c>
      <c r="B83" s="1" t="s">
        <v>861</v>
      </c>
      <c r="C83" s="1">
        <v>8</v>
      </c>
      <c r="D83" s="1">
        <v>7</v>
      </c>
      <c r="E83" s="1">
        <v>8</v>
      </c>
      <c r="F83" s="1">
        <v>8</v>
      </c>
      <c r="G83" s="1">
        <v>7</v>
      </c>
      <c r="H83" s="1">
        <v>6</v>
      </c>
      <c r="I83" s="1">
        <v>6</v>
      </c>
      <c r="J83" s="1">
        <v>7</v>
      </c>
      <c r="K83" s="1">
        <v>7</v>
      </c>
      <c r="L83" s="1">
        <v>8</v>
      </c>
      <c r="M83" s="1">
        <v>31</v>
      </c>
      <c r="N83" s="1">
        <v>26</v>
      </c>
      <c r="O83" s="1">
        <v>15</v>
      </c>
      <c r="P83" s="1">
        <v>72</v>
      </c>
      <c r="Q83" s="7">
        <v>0.78881063774661553</v>
      </c>
      <c r="R83" s="7">
        <f t="shared" si="10"/>
        <v>23.196700507614214</v>
      </c>
      <c r="S83" s="7">
        <f t="shared" si="11"/>
        <v>6.4306002317777482</v>
      </c>
      <c r="T83" s="7">
        <f t="shared" si="12"/>
        <v>22.771573604060915</v>
      </c>
      <c r="U83" s="7">
        <f t="shared" si="13"/>
        <v>6.5356886776680962</v>
      </c>
      <c r="V83" s="7">
        <f t="shared" si="14"/>
        <v>11.434010152284264</v>
      </c>
      <c r="W83" s="7">
        <f t="shared" si="15"/>
        <v>3.5019632409825281</v>
      </c>
      <c r="X83" s="7">
        <f t="shared" si="16"/>
        <v>1.2134636287643328</v>
      </c>
      <c r="Y83" s="7">
        <f t="shared" si="17"/>
        <v>0.49396881570726414</v>
      </c>
      <c r="Z83" s="7">
        <f t="shared" si="18"/>
        <v>1.0182830607654363</v>
      </c>
      <c r="AA83" s="7">
        <f t="shared" si="19"/>
        <v>0.90857183507901107</v>
      </c>
    </row>
    <row r="84" spans="1:27" x14ac:dyDescent="0.25">
      <c r="A84" s="1" t="s">
        <v>1658</v>
      </c>
      <c r="B84" s="1" t="s">
        <v>861</v>
      </c>
      <c r="C84" s="1">
        <v>9</v>
      </c>
      <c r="D84" s="1">
        <v>7</v>
      </c>
      <c r="E84" s="1">
        <v>7</v>
      </c>
      <c r="F84" s="1">
        <v>8</v>
      </c>
      <c r="G84" s="1">
        <v>7</v>
      </c>
      <c r="H84" s="1">
        <v>8</v>
      </c>
      <c r="I84" s="1">
        <v>7</v>
      </c>
      <c r="J84" s="1">
        <v>7</v>
      </c>
      <c r="K84" s="1">
        <v>7</v>
      </c>
      <c r="L84" s="1">
        <v>8</v>
      </c>
      <c r="M84" s="1">
        <v>31</v>
      </c>
      <c r="N84" s="1">
        <v>29</v>
      </c>
      <c r="O84" s="1">
        <v>15</v>
      </c>
      <c r="P84" s="1">
        <v>75</v>
      </c>
      <c r="Q84" s="7">
        <v>0.70710678118654746</v>
      </c>
      <c r="R84" s="7">
        <f t="shared" si="10"/>
        <v>23.196700507614214</v>
      </c>
      <c r="S84" s="7">
        <f t="shared" si="11"/>
        <v>6.4306002317777482</v>
      </c>
      <c r="T84" s="7">
        <f t="shared" si="12"/>
        <v>22.771573604060915</v>
      </c>
      <c r="U84" s="7">
        <f t="shared" si="13"/>
        <v>6.5356886776680962</v>
      </c>
      <c r="V84" s="7">
        <f t="shared" si="14"/>
        <v>11.434010152284264</v>
      </c>
      <c r="W84" s="7">
        <f t="shared" si="15"/>
        <v>3.5019632409825281</v>
      </c>
      <c r="X84" s="7">
        <f t="shared" si="16"/>
        <v>1.2134636287643328</v>
      </c>
      <c r="Y84" s="7">
        <f t="shared" si="17"/>
        <v>0.95298700766165612</v>
      </c>
      <c r="Z84" s="7">
        <f t="shared" si="18"/>
        <v>1.0182830607654363</v>
      </c>
      <c r="AA84" s="7">
        <f t="shared" si="19"/>
        <v>1.0615778990638083</v>
      </c>
    </row>
    <row r="85" spans="1:27" x14ac:dyDescent="0.25">
      <c r="A85" s="1" t="s">
        <v>1658</v>
      </c>
      <c r="B85" s="1" t="s">
        <v>861</v>
      </c>
      <c r="C85" s="1">
        <v>7</v>
      </c>
      <c r="D85" s="1">
        <v>7</v>
      </c>
      <c r="E85" s="1">
        <v>5</v>
      </c>
      <c r="F85" s="1">
        <v>5</v>
      </c>
      <c r="G85" s="1">
        <v>6</v>
      </c>
      <c r="H85" s="1">
        <v>6</v>
      </c>
      <c r="I85" s="1">
        <v>5</v>
      </c>
      <c r="J85" s="1">
        <v>6</v>
      </c>
      <c r="K85" s="1">
        <v>6</v>
      </c>
      <c r="L85" s="1">
        <v>6</v>
      </c>
      <c r="M85" s="1">
        <v>24</v>
      </c>
      <c r="N85" s="1">
        <v>23</v>
      </c>
      <c r="O85" s="1">
        <v>12</v>
      </c>
      <c r="P85" s="1">
        <v>59</v>
      </c>
      <c r="Q85" s="7">
        <v>0.73786478737262173</v>
      </c>
      <c r="R85" s="7">
        <f t="shared" si="10"/>
        <v>23.196700507614214</v>
      </c>
      <c r="S85" s="7">
        <f t="shared" si="11"/>
        <v>6.4306002317777482</v>
      </c>
      <c r="T85" s="7">
        <f t="shared" si="12"/>
        <v>22.771573604060915</v>
      </c>
      <c r="U85" s="7">
        <f t="shared" si="13"/>
        <v>6.5356886776680962</v>
      </c>
      <c r="V85" s="7">
        <f t="shared" si="14"/>
        <v>11.434010152284264</v>
      </c>
      <c r="W85" s="7">
        <f t="shared" si="15"/>
        <v>3.5019632409825281</v>
      </c>
      <c r="X85" s="7">
        <f t="shared" si="16"/>
        <v>0.12491827565585011</v>
      </c>
      <c r="Y85" s="7">
        <f t="shared" si="17"/>
        <v>3.4950623752872265E-2</v>
      </c>
      <c r="Z85" s="7">
        <f t="shared" si="18"/>
        <v>0.16162072779408701</v>
      </c>
      <c r="AA85" s="7">
        <f t="shared" si="19"/>
        <v>0.10716320906760313</v>
      </c>
    </row>
    <row r="86" spans="1:27" x14ac:dyDescent="0.25">
      <c r="A86" s="1" t="s">
        <v>1658</v>
      </c>
      <c r="B86" s="1" t="s">
        <v>861</v>
      </c>
      <c r="C86" s="1">
        <v>6</v>
      </c>
      <c r="D86" s="1">
        <v>6</v>
      </c>
      <c r="E86" s="1">
        <v>5</v>
      </c>
      <c r="F86" s="1">
        <v>5</v>
      </c>
      <c r="G86" s="1">
        <v>4</v>
      </c>
      <c r="H86" s="1">
        <v>4</v>
      </c>
      <c r="I86" s="1">
        <v>5</v>
      </c>
      <c r="J86" s="1">
        <v>5</v>
      </c>
      <c r="K86" s="1">
        <v>4</v>
      </c>
      <c r="L86" s="1">
        <v>4</v>
      </c>
      <c r="M86" s="1">
        <v>22</v>
      </c>
      <c r="N86" s="1">
        <v>18</v>
      </c>
      <c r="O86" s="1">
        <v>8</v>
      </c>
      <c r="P86" s="1">
        <v>48</v>
      </c>
      <c r="Q86" s="7">
        <v>0.78881063774661564</v>
      </c>
      <c r="R86" s="7">
        <f t="shared" si="10"/>
        <v>23.196700507614214</v>
      </c>
      <c r="S86" s="7">
        <f t="shared" si="11"/>
        <v>6.4306002317777482</v>
      </c>
      <c r="T86" s="7">
        <f t="shared" si="12"/>
        <v>22.771573604060915</v>
      </c>
      <c r="U86" s="7">
        <f t="shared" si="13"/>
        <v>6.5356886776680962</v>
      </c>
      <c r="V86" s="7">
        <f t="shared" si="14"/>
        <v>11.434010152284264</v>
      </c>
      <c r="W86" s="7">
        <f t="shared" si="15"/>
        <v>3.5019632409825281</v>
      </c>
      <c r="X86" s="7">
        <f t="shared" si="16"/>
        <v>-0.18609468237514495</v>
      </c>
      <c r="Y86" s="7">
        <f t="shared" si="17"/>
        <v>-0.73007969617111423</v>
      </c>
      <c r="Z86" s="7">
        <f t="shared" si="18"/>
        <v>-0.98059571616771202</v>
      </c>
      <c r="AA86" s="7">
        <f t="shared" si="19"/>
        <v>-0.63225669823799036</v>
      </c>
    </row>
    <row r="87" spans="1:27" x14ac:dyDescent="0.25">
      <c r="A87" s="1" t="s">
        <v>1658</v>
      </c>
      <c r="B87" s="1" t="s">
        <v>861</v>
      </c>
      <c r="C87" s="1">
        <v>8</v>
      </c>
      <c r="D87" s="1">
        <v>7</v>
      </c>
      <c r="E87" s="1">
        <v>8</v>
      </c>
      <c r="F87" s="1">
        <v>7</v>
      </c>
      <c r="G87" s="1">
        <v>8</v>
      </c>
      <c r="H87" s="1">
        <v>7</v>
      </c>
      <c r="I87" s="1">
        <v>8</v>
      </c>
      <c r="J87" s="1">
        <v>8</v>
      </c>
      <c r="K87" s="1">
        <v>7</v>
      </c>
      <c r="L87" s="1">
        <v>8</v>
      </c>
      <c r="M87" s="1">
        <v>30</v>
      </c>
      <c r="N87" s="1">
        <v>31</v>
      </c>
      <c r="O87" s="1">
        <v>15</v>
      </c>
      <c r="P87" s="1">
        <v>76</v>
      </c>
      <c r="Q87" s="7">
        <v>0.51639777949432231</v>
      </c>
      <c r="R87" s="7">
        <f t="shared" si="10"/>
        <v>23.196700507614214</v>
      </c>
      <c r="S87" s="7">
        <f t="shared" si="11"/>
        <v>6.4306002317777482</v>
      </c>
      <c r="T87" s="7">
        <f t="shared" si="12"/>
        <v>22.771573604060915</v>
      </c>
      <c r="U87" s="7">
        <f t="shared" si="13"/>
        <v>6.5356886776680962</v>
      </c>
      <c r="V87" s="7">
        <f t="shared" si="14"/>
        <v>11.434010152284264</v>
      </c>
      <c r="W87" s="7">
        <f t="shared" si="15"/>
        <v>3.5019632409825281</v>
      </c>
      <c r="X87" s="7">
        <f t="shared" si="16"/>
        <v>1.0579571497488354</v>
      </c>
      <c r="Y87" s="7">
        <f t="shared" si="17"/>
        <v>1.2589991356312507</v>
      </c>
      <c r="Z87" s="7">
        <f t="shared" si="18"/>
        <v>1.0182830607654363</v>
      </c>
      <c r="AA87" s="7">
        <f t="shared" si="19"/>
        <v>1.1117464487151743</v>
      </c>
    </row>
    <row r="88" spans="1:27" x14ac:dyDescent="0.25">
      <c r="A88" s="1" t="s">
        <v>1658</v>
      </c>
      <c r="B88" s="1" t="s">
        <v>861</v>
      </c>
      <c r="C88" s="1">
        <v>5</v>
      </c>
      <c r="D88" s="1">
        <v>5</v>
      </c>
      <c r="E88" s="1">
        <v>5</v>
      </c>
      <c r="F88" s="1">
        <v>5</v>
      </c>
      <c r="G88" s="1">
        <v>6</v>
      </c>
      <c r="H88" s="1">
        <v>5</v>
      </c>
      <c r="I88" s="1">
        <v>4</v>
      </c>
      <c r="J88" s="1">
        <v>4</v>
      </c>
      <c r="K88" s="1">
        <v>4</v>
      </c>
      <c r="L88" s="1">
        <v>4</v>
      </c>
      <c r="M88" s="1">
        <v>20</v>
      </c>
      <c r="N88" s="1">
        <v>19</v>
      </c>
      <c r="O88" s="1">
        <v>8</v>
      </c>
      <c r="P88" s="1">
        <v>47</v>
      </c>
      <c r="Q88" s="7">
        <v>0.67494855771055284</v>
      </c>
      <c r="R88" s="7">
        <f t="shared" si="10"/>
        <v>23.196700507614214</v>
      </c>
      <c r="S88" s="7">
        <f t="shared" si="11"/>
        <v>6.4306002317777482</v>
      </c>
      <c r="T88" s="7">
        <f t="shared" si="12"/>
        <v>22.771573604060915</v>
      </c>
      <c r="U88" s="7">
        <f t="shared" si="13"/>
        <v>6.5356886776680962</v>
      </c>
      <c r="V88" s="7">
        <f t="shared" si="14"/>
        <v>11.434010152284264</v>
      </c>
      <c r="W88" s="7">
        <f t="shared" si="15"/>
        <v>3.5019632409825281</v>
      </c>
      <c r="X88" s="7">
        <f t="shared" si="16"/>
        <v>-0.49710764040614003</v>
      </c>
      <c r="Y88" s="7">
        <f t="shared" si="17"/>
        <v>-0.57707363218631691</v>
      </c>
      <c r="Z88" s="7">
        <f t="shared" si="18"/>
        <v>-0.98059571616771202</v>
      </c>
      <c r="AA88" s="7">
        <f t="shared" si="19"/>
        <v>-0.6849256629200563</v>
      </c>
    </row>
    <row r="89" spans="1:27" x14ac:dyDescent="0.25">
      <c r="A89" s="1" t="s">
        <v>1658</v>
      </c>
      <c r="B89" s="1" t="s">
        <v>861</v>
      </c>
      <c r="C89" s="1">
        <v>8</v>
      </c>
      <c r="D89" s="1">
        <v>6</v>
      </c>
      <c r="E89" s="1">
        <v>7</v>
      </c>
      <c r="F89" s="1">
        <v>5</v>
      </c>
      <c r="G89" s="1">
        <v>6</v>
      </c>
      <c r="H89" s="1">
        <v>5</v>
      </c>
      <c r="I89" s="1">
        <v>4</v>
      </c>
      <c r="J89" s="1">
        <v>5</v>
      </c>
      <c r="K89" s="1">
        <v>5</v>
      </c>
      <c r="L89" s="1">
        <v>5</v>
      </c>
      <c r="M89" s="1">
        <v>26</v>
      </c>
      <c r="N89" s="1">
        <v>20</v>
      </c>
      <c r="O89" s="1">
        <v>10</v>
      </c>
      <c r="P89" s="1">
        <v>56</v>
      </c>
      <c r="Q89" s="7">
        <v>1.1737877907772674</v>
      </c>
      <c r="R89" s="7">
        <f t="shared" si="10"/>
        <v>23.196700507614214</v>
      </c>
      <c r="S89" s="7">
        <f t="shared" si="11"/>
        <v>6.4306002317777482</v>
      </c>
      <c r="T89" s="7">
        <f t="shared" si="12"/>
        <v>22.771573604060915</v>
      </c>
      <c r="U89" s="7">
        <f t="shared" si="13"/>
        <v>6.5356886776680962</v>
      </c>
      <c r="V89" s="7">
        <f t="shared" si="14"/>
        <v>11.434010152284264</v>
      </c>
      <c r="W89" s="7">
        <f t="shared" si="15"/>
        <v>3.5019632409825281</v>
      </c>
      <c r="X89" s="7">
        <f t="shared" si="16"/>
        <v>0.43593123368684517</v>
      </c>
      <c r="Y89" s="7">
        <f t="shared" si="17"/>
        <v>-0.42406756820151964</v>
      </c>
      <c r="Z89" s="7">
        <f t="shared" si="18"/>
        <v>-0.40948749418681252</v>
      </c>
      <c r="AA89" s="7">
        <f t="shared" si="19"/>
        <v>-0.132541276233829</v>
      </c>
    </row>
    <row r="90" spans="1:27" x14ac:dyDescent="0.25">
      <c r="A90" s="1" t="s">
        <v>1658</v>
      </c>
      <c r="B90" s="1" t="s">
        <v>861</v>
      </c>
      <c r="C90" s="1">
        <v>9</v>
      </c>
      <c r="D90" s="1">
        <v>8</v>
      </c>
      <c r="E90" s="1">
        <v>8</v>
      </c>
      <c r="F90" s="1">
        <v>8</v>
      </c>
      <c r="G90" s="1">
        <v>6</v>
      </c>
      <c r="H90" s="1">
        <v>7</v>
      </c>
      <c r="I90" s="1">
        <v>8</v>
      </c>
      <c r="J90" s="1">
        <v>8</v>
      </c>
      <c r="K90" s="1">
        <v>5</v>
      </c>
      <c r="L90" s="1">
        <v>5</v>
      </c>
      <c r="M90" s="1">
        <v>33</v>
      </c>
      <c r="N90" s="1">
        <v>29</v>
      </c>
      <c r="O90" s="1">
        <v>10</v>
      </c>
      <c r="P90" s="1">
        <v>72</v>
      </c>
      <c r="Q90" s="7">
        <v>1.3984117975602017</v>
      </c>
      <c r="R90" s="7">
        <f t="shared" si="10"/>
        <v>23.196700507614214</v>
      </c>
      <c r="S90" s="7">
        <f t="shared" si="11"/>
        <v>6.4306002317777482</v>
      </c>
      <c r="T90" s="7">
        <f t="shared" si="12"/>
        <v>22.771573604060915</v>
      </c>
      <c r="U90" s="7">
        <f t="shared" si="13"/>
        <v>6.5356886776680962</v>
      </c>
      <c r="V90" s="7">
        <f t="shared" si="14"/>
        <v>11.434010152284264</v>
      </c>
      <c r="W90" s="7">
        <f t="shared" si="15"/>
        <v>3.5019632409825281</v>
      </c>
      <c r="X90" s="7">
        <f t="shared" si="16"/>
        <v>1.524476586795328</v>
      </c>
      <c r="Y90" s="7">
        <f t="shared" si="17"/>
        <v>0.95298700766165612</v>
      </c>
      <c r="Z90" s="7">
        <f t="shared" si="18"/>
        <v>-0.40948749418681252</v>
      </c>
      <c r="AA90" s="7">
        <f t="shared" si="19"/>
        <v>0.68932536675672385</v>
      </c>
    </row>
    <row r="91" spans="1:27" x14ac:dyDescent="0.25">
      <c r="A91" s="1" t="s">
        <v>1659</v>
      </c>
      <c r="B91" s="1" t="s">
        <v>861</v>
      </c>
      <c r="C91" s="1">
        <v>4</v>
      </c>
      <c r="D91" s="1">
        <v>3</v>
      </c>
      <c r="E91" s="1">
        <v>3</v>
      </c>
      <c r="F91" s="1">
        <v>4</v>
      </c>
      <c r="G91" s="1">
        <v>3</v>
      </c>
      <c r="H91" s="1">
        <v>3</v>
      </c>
      <c r="I91" s="1">
        <v>3</v>
      </c>
      <c r="J91" s="1">
        <v>3</v>
      </c>
      <c r="K91" s="1">
        <v>4</v>
      </c>
      <c r="L91" s="1">
        <v>4</v>
      </c>
      <c r="M91" s="1">
        <v>14</v>
      </c>
      <c r="N91" s="1">
        <v>12</v>
      </c>
      <c r="O91" s="1">
        <v>8</v>
      </c>
      <c r="P91" s="1">
        <v>34</v>
      </c>
      <c r="Q91" s="7">
        <v>0.5163977794943222</v>
      </c>
      <c r="R91" s="7">
        <f t="shared" si="10"/>
        <v>23.196700507614214</v>
      </c>
      <c r="S91" s="7">
        <f t="shared" si="11"/>
        <v>6.4306002317777482</v>
      </c>
      <c r="T91" s="7">
        <f t="shared" si="12"/>
        <v>22.771573604060915</v>
      </c>
      <c r="U91" s="7">
        <f t="shared" si="13"/>
        <v>6.5356886776680962</v>
      </c>
      <c r="V91" s="7">
        <f t="shared" si="14"/>
        <v>11.434010152284264</v>
      </c>
      <c r="W91" s="7">
        <f t="shared" si="15"/>
        <v>3.5019632409825281</v>
      </c>
      <c r="X91" s="7">
        <f t="shared" si="16"/>
        <v>-1.4301465144991252</v>
      </c>
      <c r="Y91" s="7">
        <f t="shared" si="17"/>
        <v>-1.648116080079898</v>
      </c>
      <c r="Z91" s="7">
        <f t="shared" si="18"/>
        <v>-0.98059571616771202</v>
      </c>
      <c r="AA91" s="7">
        <f t="shared" si="19"/>
        <v>-1.3529527702489117</v>
      </c>
    </row>
    <row r="92" spans="1:27" x14ac:dyDescent="0.25">
      <c r="A92" s="1" t="s">
        <v>1659</v>
      </c>
      <c r="B92" s="1" t="s">
        <v>861</v>
      </c>
      <c r="C92" s="1">
        <v>3</v>
      </c>
      <c r="D92" s="1">
        <v>1</v>
      </c>
      <c r="E92" s="1">
        <v>1</v>
      </c>
      <c r="F92" s="1">
        <v>1</v>
      </c>
      <c r="G92" s="1">
        <v>1</v>
      </c>
      <c r="H92" s="1">
        <v>1</v>
      </c>
      <c r="I92" s="1">
        <v>1</v>
      </c>
      <c r="J92" s="1">
        <v>1</v>
      </c>
      <c r="K92" s="1">
        <v>1</v>
      </c>
      <c r="L92" s="1">
        <v>1</v>
      </c>
      <c r="M92" s="1">
        <v>6</v>
      </c>
      <c r="N92" s="1">
        <v>4</v>
      </c>
      <c r="O92" s="1">
        <v>2</v>
      </c>
      <c r="P92" s="1">
        <v>12</v>
      </c>
      <c r="Q92" s="7">
        <v>0.63245553203367588</v>
      </c>
      <c r="R92" s="7">
        <f t="shared" si="10"/>
        <v>23.196700507614214</v>
      </c>
      <c r="S92" s="7">
        <f t="shared" si="11"/>
        <v>6.4306002317777482</v>
      </c>
      <c r="T92" s="7">
        <f t="shared" si="12"/>
        <v>22.771573604060915</v>
      </c>
      <c r="U92" s="7">
        <f t="shared" si="13"/>
        <v>6.5356886776680962</v>
      </c>
      <c r="V92" s="7">
        <f t="shared" si="14"/>
        <v>11.434010152284264</v>
      </c>
      <c r="W92" s="7">
        <f t="shared" si="15"/>
        <v>3.5019632409825281</v>
      </c>
      <c r="X92" s="7">
        <f t="shared" si="16"/>
        <v>-2.6741983466231054</v>
      </c>
      <c r="Y92" s="7">
        <f t="shared" si="17"/>
        <v>-2.8721645919582763</v>
      </c>
      <c r="Z92" s="7">
        <f t="shared" si="18"/>
        <v>-2.6939203821104107</v>
      </c>
      <c r="AA92" s="7">
        <f t="shared" si="19"/>
        <v>-2.7467611068972642</v>
      </c>
    </row>
    <row r="93" spans="1:27" x14ac:dyDescent="0.25">
      <c r="A93" s="1" t="s">
        <v>1659</v>
      </c>
      <c r="B93" s="1" t="s">
        <v>861</v>
      </c>
      <c r="C93" s="1">
        <v>4</v>
      </c>
      <c r="D93" s="1">
        <v>4</v>
      </c>
      <c r="E93" s="1">
        <v>4</v>
      </c>
      <c r="F93" s="1">
        <v>4</v>
      </c>
      <c r="G93" s="1">
        <v>4</v>
      </c>
      <c r="H93" s="1">
        <v>3</v>
      </c>
      <c r="I93" s="1">
        <v>3</v>
      </c>
      <c r="J93" s="1">
        <v>4</v>
      </c>
      <c r="K93" s="1">
        <v>4</v>
      </c>
      <c r="L93" s="1">
        <v>4</v>
      </c>
      <c r="M93" s="1">
        <v>16</v>
      </c>
      <c r="N93" s="1">
        <v>14</v>
      </c>
      <c r="O93" s="1">
        <v>8</v>
      </c>
      <c r="P93" s="1">
        <v>38</v>
      </c>
      <c r="Q93" s="7">
        <v>0.42163702135578396</v>
      </c>
      <c r="R93" s="7">
        <f t="shared" si="10"/>
        <v>23.196700507614214</v>
      </c>
      <c r="S93" s="7">
        <f t="shared" si="11"/>
        <v>6.4306002317777482</v>
      </c>
      <c r="T93" s="7">
        <f t="shared" si="12"/>
        <v>22.771573604060915</v>
      </c>
      <c r="U93" s="7">
        <f t="shared" si="13"/>
        <v>6.5356886776680962</v>
      </c>
      <c r="V93" s="7">
        <f t="shared" si="14"/>
        <v>11.434010152284264</v>
      </c>
      <c r="W93" s="7">
        <f t="shared" si="15"/>
        <v>3.5019632409825281</v>
      </c>
      <c r="X93" s="7">
        <f t="shared" si="16"/>
        <v>-1.1191335564681302</v>
      </c>
      <c r="Y93" s="7">
        <f t="shared" si="17"/>
        <v>-1.3421039521103035</v>
      </c>
      <c r="Z93" s="7">
        <f t="shared" si="18"/>
        <v>-0.98059571616771202</v>
      </c>
      <c r="AA93" s="7">
        <f t="shared" si="19"/>
        <v>-1.1472777415820485</v>
      </c>
    </row>
    <row r="94" spans="1:27" x14ac:dyDescent="0.25">
      <c r="A94" s="1" t="s">
        <v>1659</v>
      </c>
      <c r="B94" s="1" t="s">
        <v>861</v>
      </c>
      <c r="C94" s="1">
        <v>4</v>
      </c>
      <c r="D94" s="1">
        <v>4</v>
      </c>
      <c r="E94" s="1">
        <v>3</v>
      </c>
      <c r="F94" s="1">
        <v>4</v>
      </c>
      <c r="G94" s="1">
        <v>3</v>
      </c>
      <c r="H94" s="1">
        <v>3</v>
      </c>
      <c r="I94" s="1">
        <v>3</v>
      </c>
      <c r="J94" s="1">
        <v>3</v>
      </c>
      <c r="K94" s="1">
        <v>3</v>
      </c>
      <c r="L94" s="1">
        <v>3</v>
      </c>
      <c r="M94" s="1">
        <v>15</v>
      </c>
      <c r="N94" s="1">
        <v>12</v>
      </c>
      <c r="O94" s="1">
        <v>6</v>
      </c>
      <c r="P94" s="1">
        <v>33</v>
      </c>
      <c r="Q94" s="7">
        <v>0.48304589153964794</v>
      </c>
      <c r="R94" s="7">
        <f t="shared" si="10"/>
        <v>23.196700507614214</v>
      </c>
      <c r="S94" s="7">
        <f t="shared" si="11"/>
        <v>6.4306002317777482</v>
      </c>
      <c r="T94" s="7">
        <f t="shared" si="12"/>
        <v>22.771573604060915</v>
      </c>
      <c r="U94" s="7">
        <f t="shared" si="13"/>
        <v>6.5356886776680962</v>
      </c>
      <c r="V94" s="7">
        <f t="shared" si="14"/>
        <v>11.434010152284264</v>
      </c>
      <c r="W94" s="7">
        <f t="shared" si="15"/>
        <v>3.5019632409825281</v>
      </c>
      <c r="X94" s="7">
        <f t="shared" si="16"/>
        <v>-1.2746400354836278</v>
      </c>
      <c r="Y94" s="7">
        <f t="shared" si="17"/>
        <v>-1.648116080079898</v>
      </c>
      <c r="Z94" s="7">
        <f t="shared" si="18"/>
        <v>-1.5517039381486115</v>
      </c>
      <c r="AA94" s="7">
        <f t="shared" si="19"/>
        <v>-1.4914866845707124</v>
      </c>
    </row>
    <row r="95" spans="1:27" x14ac:dyDescent="0.25">
      <c r="A95" s="1" t="s">
        <v>1659</v>
      </c>
      <c r="B95" s="1" t="s">
        <v>861</v>
      </c>
      <c r="C95" s="1">
        <v>3</v>
      </c>
      <c r="D95" s="1">
        <v>4</v>
      </c>
      <c r="E95" s="1">
        <v>3</v>
      </c>
      <c r="F95" s="1">
        <v>4</v>
      </c>
      <c r="G95" s="1">
        <v>4</v>
      </c>
      <c r="H95" s="1">
        <v>3</v>
      </c>
      <c r="I95" s="1">
        <v>3</v>
      </c>
      <c r="J95" s="1">
        <v>4</v>
      </c>
      <c r="K95" s="1">
        <v>3</v>
      </c>
      <c r="L95" s="1">
        <v>3</v>
      </c>
      <c r="M95" s="1">
        <v>14</v>
      </c>
      <c r="N95" s="1">
        <v>14</v>
      </c>
      <c r="O95" s="1">
        <v>6</v>
      </c>
      <c r="P95" s="1">
        <v>34</v>
      </c>
      <c r="Q95" s="7">
        <v>0.51639777949432231</v>
      </c>
      <c r="R95" s="7">
        <f t="shared" si="10"/>
        <v>23.196700507614214</v>
      </c>
      <c r="S95" s="7">
        <f t="shared" si="11"/>
        <v>6.4306002317777482</v>
      </c>
      <c r="T95" s="7">
        <f t="shared" si="12"/>
        <v>22.771573604060915</v>
      </c>
      <c r="U95" s="7">
        <f t="shared" si="13"/>
        <v>6.5356886776680962</v>
      </c>
      <c r="V95" s="7">
        <f t="shared" si="14"/>
        <v>11.434010152284264</v>
      </c>
      <c r="W95" s="7">
        <f t="shared" si="15"/>
        <v>3.5019632409825281</v>
      </c>
      <c r="X95" s="7">
        <f t="shared" si="16"/>
        <v>-1.4301465144991252</v>
      </c>
      <c r="Y95" s="7">
        <f t="shared" si="17"/>
        <v>-1.3421039521103035</v>
      </c>
      <c r="Z95" s="7">
        <f t="shared" si="18"/>
        <v>-1.5517039381486115</v>
      </c>
      <c r="AA95" s="7">
        <f t="shared" si="19"/>
        <v>-1.4413181349193469</v>
      </c>
    </row>
    <row r="96" spans="1:27" x14ac:dyDescent="0.25">
      <c r="A96" s="1" t="s">
        <v>1659</v>
      </c>
      <c r="B96" s="1" t="s">
        <v>861</v>
      </c>
      <c r="C96" s="1">
        <v>4</v>
      </c>
      <c r="D96" s="1">
        <v>4</v>
      </c>
      <c r="E96" s="1">
        <v>4</v>
      </c>
      <c r="F96" s="1">
        <v>4</v>
      </c>
      <c r="G96" s="1">
        <v>3</v>
      </c>
      <c r="H96" s="1">
        <v>4</v>
      </c>
      <c r="I96" s="1">
        <v>4</v>
      </c>
      <c r="J96" s="1">
        <v>4</v>
      </c>
      <c r="K96" s="1">
        <v>4</v>
      </c>
      <c r="L96" s="1">
        <v>5</v>
      </c>
      <c r="M96" s="1">
        <v>16</v>
      </c>
      <c r="N96" s="1">
        <v>15</v>
      </c>
      <c r="O96" s="1">
        <v>9</v>
      </c>
      <c r="P96" s="1">
        <v>40</v>
      </c>
      <c r="Q96" s="7">
        <v>0.47140452079103184</v>
      </c>
      <c r="R96" s="7">
        <f t="shared" si="10"/>
        <v>23.196700507614214</v>
      </c>
      <c r="S96" s="7">
        <f t="shared" si="11"/>
        <v>6.4306002317777482</v>
      </c>
      <c r="T96" s="7">
        <f t="shared" si="12"/>
        <v>22.771573604060915</v>
      </c>
      <c r="U96" s="7">
        <f t="shared" si="13"/>
        <v>6.5356886776680962</v>
      </c>
      <c r="V96" s="7">
        <f t="shared" si="14"/>
        <v>11.434010152284264</v>
      </c>
      <c r="W96" s="7">
        <f t="shared" si="15"/>
        <v>3.5019632409825281</v>
      </c>
      <c r="X96" s="7">
        <f t="shared" si="16"/>
        <v>-1.1191335564681302</v>
      </c>
      <c r="Y96" s="7">
        <f t="shared" si="17"/>
        <v>-1.1890978881255061</v>
      </c>
      <c r="Z96" s="7">
        <f t="shared" si="18"/>
        <v>-0.69504160517726232</v>
      </c>
      <c r="AA96" s="7">
        <f t="shared" si="19"/>
        <v>-1.0010910165902995</v>
      </c>
    </row>
    <row r="97" spans="1:27" x14ac:dyDescent="0.25">
      <c r="A97" s="1" t="s">
        <v>1659</v>
      </c>
      <c r="B97" s="1" t="s">
        <v>861</v>
      </c>
      <c r="C97" s="1">
        <v>4</v>
      </c>
      <c r="D97" s="1">
        <v>2</v>
      </c>
      <c r="E97" s="1">
        <v>2</v>
      </c>
      <c r="F97" s="1">
        <v>3</v>
      </c>
      <c r="G97" s="1">
        <v>4</v>
      </c>
      <c r="H97" s="1">
        <v>3</v>
      </c>
      <c r="I97" s="1">
        <v>3</v>
      </c>
      <c r="J97" s="1">
        <v>4</v>
      </c>
      <c r="K97" s="1">
        <v>4</v>
      </c>
      <c r="L97" s="1">
        <v>4</v>
      </c>
      <c r="M97" s="1">
        <v>11</v>
      </c>
      <c r="N97" s="1">
        <v>14</v>
      </c>
      <c r="O97" s="1">
        <v>8</v>
      </c>
      <c r="P97" s="1">
        <v>33</v>
      </c>
      <c r="Q97" s="7">
        <v>0.82327260234856459</v>
      </c>
      <c r="R97" s="7">
        <f t="shared" si="10"/>
        <v>23.196700507614214</v>
      </c>
      <c r="S97" s="7">
        <f t="shared" si="11"/>
        <v>6.4306002317777482</v>
      </c>
      <c r="T97" s="7">
        <f t="shared" si="12"/>
        <v>22.771573604060915</v>
      </c>
      <c r="U97" s="7">
        <f t="shared" si="13"/>
        <v>6.5356886776680962</v>
      </c>
      <c r="V97" s="7">
        <f t="shared" si="14"/>
        <v>11.434010152284264</v>
      </c>
      <c r="W97" s="7">
        <f t="shared" si="15"/>
        <v>3.5019632409825281</v>
      </c>
      <c r="X97" s="7">
        <f t="shared" si="16"/>
        <v>-1.8966659515456179</v>
      </c>
      <c r="Y97" s="7">
        <f t="shared" si="17"/>
        <v>-1.3421039521103035</v>
      </c>
      <c r="Z97" s="7">
        <f t="shared" si="18"/>
        <v>-0.98059571616771202</v>
      </c>
      <c r="AA97" s="7">
        <f t="shared" si="19"/>
        <v>-1.4064552066078777</v>
      </c>
    </row>
    <row r="98" spans="1:27" x14ac:dyDescent="0.25">
      <c r="A98" s="1" t="s">
        <v>1659</v>
      </c>
      <c r="B98" s="1" t="s">
        <v>861</v>
      </c>
      <c r="C98" s="1">
        <v>2</v>
      </c>
      <c r="D98" s="1">
        <v>2</v>
      </c>
      <c r="E98" s="1">
        <v>2</v>
      </c>
      <c r="F98" s="1">
        <v>3</v>
      </c>
      <c r="G98" s="1">
        <v>3</v>
      </c>
      <c r="H98" s="1">
        <v>2</v>
      </c>
      <c r="I98" s="1">
        <v>2</v>
      </c>
      <c r="J98" s="1">
        <v>2</v>
      </c>
      <c r="K98" s="1">
        <v>2</v>
      </c>
      <c r="L98" s="1">
        <v>1</v>
      </c>
      <c r="M98" s="1">
        <v>9</v>
      </c>
      <c r="N98" s="1">
        <v>9</v>
      </c>
      <c r="O98" s="1">
        <v>3</v>
      </c>
      <c r="P98" s="1">
        <v>21</v>
      </c>
      <c r="Q98" s="7">
        <v>0.56764621219754674</v>
      </c>
      <c r="R98" s="7">
        <f t="shared" si="10"/>
        <v>23.196700507614214</v>
      </c>
      <c r="S98" s="7">
        <f t="shared" si="11"/>
        <v>6.4306002317777482</v>
      </c>
      <c r="T98" s="7">
        <f t="shared" si="12"/>
        <v>22.771573604060915</v>
      </c>
      <c r="U98" s="7">
        <f t="shared" si="13"/>
        <v>6.5356886776680962</v>
      </c>
      <c r="V98" s="7">
        <f t="shared" si="14"/>
        <v>11.434010152284264</v>
      </c>
      <c r="W98" s="7">
        <f t="shared" si="15"/>
        <v>3.5019632409825281</v>
      </c>
      <c r="X98" s="7">
        <f t="shared" si="16"/>
        <v>-2.2076789095766132</v>
      </c>
      <c r="Y98" s="7">
        <f t="shared" si="17"/>
        <v>-2.10713427203429</v>
      </c>
      <c r="Z98" s="7">
        <f t="shared" si="18"/>
        <v>-2.4083662711199607</v>
      </c>
      <c r="AA98" s="7">
        <f t="shared" si="19"/>
        <v>-2.2410598175769549</v>
      </c>
    </row>
    <row r="99" spans="1:27" x14ac:dyDescent="0.25">
      <c r="A99" s="1" t="s">
        <v>1659</v>
      </c>
      <c r="B99" s="1" t="s">
        <v>861</v>
      </c>
      <c r="C99" s="1">
        <v>3</v>
      </c>
      <c r="D99" s="1">
        <v>2</v>
      </c>
      <c r="E99" s="1">
        <v>2</v>
      </c>
      <c r="F99" s="1">
        <v>3</v>
      </c>
      <c r="G99" s="1">
        <v>3</v>
      </c>
      <c r="H99" s="1">
        <v>3</v>
      </c>
      <c r="I99" s="1">
        <v>2</v>
      </c>
      <c r="J99" s="1">
        <v>2</v>
      </c>
      <c r="K99" s="1">
        <v>2</v>
      </c>
      <c r="L99" s="1">
        <v>3</v>
      </c>
      <c r="M99" s="1">
        <v>10</v>
      </c>
      <c r="N99" s="1">
        <v>10</v>
      </c>
      <c r="O99" s="1">
        <v>5</v>
      </c>
      <c r="P99" s="1">
        <v>25</v>
      </c>
      <c r="Q99" s="7">
        <v>0.52704627669472992</v>
      </c>
      <c r="R99" s="7">
        <f t="shared" si="10"/>
        <v>23.196700507614214</v>
      </c>
      <c r="S99" s="7">
        <f t="shared" si="11"/>
        <v>6.4306002317777482</v>
      </c>
      <c r="T99" s="7">
        <f t="shared" si="12"/>
        <v>22.771573604060915</v>
      </c>
      <c r="U99" s="7">
        <f t="shared" si="13"/>
        <v>6.5356886776680962</v>
      </c>
      <c r="V99" s="7">
        <f t="shared" si="14"/>
        <v>11.434010152284264</v>
      </c>
      <c r="W99" s="7">
        <f t="shared" si="15"/>
        <v>3.5019632409825281</v>
      </c>
      <c r="X99" s="7">
        <f t="shared" si="16"/>
        <v>-2.0521724305611153</v>
      </c>
      <c r="Y99" s="7">
        <f t="shared" si="17"/>
        <v>-1.9541282080494926</v>
      </c>
      <c r="Z99" s="7">
        <f t="shared" si="18"/>
        <v>-1.8372580491390613</v>
      </c>
      <c r="AA99" s="7">
        <f t="shared" si="19"/>
        <v>-1.9478528959165562</v>
      </c>
    </row>
    <row r="100" spans="1:27" x14ac:dyDescent="0.25">
      <c r="A100" s="1" t="s">
        <v>1659</v>
      </c>
      <c r="B100" s="1" t="s">
        <v>861</v>
      </c>
      <c r="C100" s="1">
        <v>2</v>
      </c>
      <c r="D100" s="1">
        <v>1</v>
      </c>
      <c r="E100" s="1">
        <v>1</v>
      </c>
      <c r="F100" s="1">
        <v>1</v>
      </c>
      <c r="G100" s="1">
        <v>3</v>
      </c>
      <c r="H100" s="1">
        <v>2</v>
      </c>
      <c r="I100" s="1">
        <v>1</v>
      </c>
      <c r="J100" s="1">
        <v>2</v>
      </c>
      <c r="K100" s="1">
        <v>2</v>
      </c>
      <c r="L100" s="1">
        <v>2</v>
      </c>
      <c r="M100" s="1">
        <v>5</v>
      </c>
      <c r="N100" s="1">
        <v>8</v>
      </c>
      <c r="O100" s="1">
        <v>4</v>
      </c>
      <c r="P100" s="1">
        <v>17</v>
      </c>
      <c r="Q100" s="7">
        <v>0.67494855771055284</v>
      </c>
      <c r="R100" s="7">
        <f t="shared" si="10"/>
        <v>23.196700507614214</v>
      </c>
      <c r="S100" s="7">
        <f t="shared" si="11"/>
        <v>6.4306002317777482</v>
      </c>
      <c r="T100" s="7">
        <f t="shared" si="12"/>
        <v>22.771573604060915</v>
      </c>
      <c r="U100" s="7">
        <f t="shared" si="13"/>
        <v>6.5356886776680962</v>
      </c>
      <c r="V100" s="7">
        <f t="shared" si="14"/>
        <v>11.434010152284264</v>
      </c>
      <c r="W100" s="7">
        <f t="shared" si="15"/>
        <v>3.5019632409825281</v>
      </c>
      <c r="X100" s="7">
        <f t="shared" si="16"/>
        <v>-2.8297048256386033</v>
      </c>
      <c r="Y100" s="7">
        <f t="shared" si="17"/>
        <v>-2.260140336019087</v>
      </c>
      <c r="Z100" s="7">
        <f t="shared" si="18"/>
        <v>-2.1228121601295111</v>
      </c>
      <c r="AA100" s="7">
        <f t="shared" si="19"/>
        <v>-2.4042191072624006</v>
      </c>
    </row>
    <row r="101" spans="1:27" x14ac:dyDescent="0.25">
      <c r="A101" s="1" t="s">
        <v>1659</v>
      </c>
      <c r="B101" s="1" t="s">
        <v>861</v>
      </c>
      <c r="C101" s="1">
        <v>4</v>
      </c>
      <c r="D101" s="1">
        <v>3</v>
      </c>
      <c r="E101" s="1">
        <v>3</v>
      </c>
      <c r="F101" s="1">
        <v>3</v>
      </c>
      <c r="G101" s="1">
        <v>3</v>
      </c>
      <c r="H101" s="1">
        <v>2</v>
      </c>
      <c r="I101" s="1">
        <v>2</v>
      </c>
      <c r="J101" s="1">
        <v>3</v>
      </c>
      <c r="K101" s="1">
        <v>3</v>
      </c>
      <c r="L101" s="1">
        <v>3</v>
      </c>
      <c r="M101" s="1">
        <v>13</v>
      </c>
      <c r="N101" s="1">
        <v>10</v>
      </c>
      <c r="O101" s="1">
        <v>6</v>
      </c>
      <c r="P101" s="1">
        <v>29</v>
      </c>
      <c r="Q101" s="7">
        <v>0.56764621219754674</v>
      </c>
      <c r="R101" s="7">
        <f t="shared" si="10"/>
        <v>23.196700507614214</v>
      </c>
      <c r="S101" s="7">
        <f t="shared" si="11"/>
        <v>6.4306002317777482</v>
      </c>
      <c r="T101" s="7">
        <f t="shared" si="12"/>
        <v>22.771573604060915</v>
      </c>
      <c r="U101" s="7">
        <f t="shared" si="13"/>
        <v>6.5356886776680962</v>
      </c>
      <c r="V101" s="7">
        <f t="shared" si="14"/>
        <v>11.434010152284264</v>
      </c>
      <c r="W101" s="7">
        <f t="shared" si="15"/>
        <v>3.5019632409825281</v>
      </c>
      <c r="X101" s="7">
        <f t="shared" si="16"/>
        <v>-1.5856529935146229</v>
      </c>
      <c r="Y101" s="7">
        <f t="shared" si="17"/>
        <v>-1.9541282080494926</v>
      </c>
      <c r="Z101" s="7">
        <f t="shared" si="18"/>
        <v>-1.5517039381486115</v>
      </c>
      <c r="AA101" s="7">
        <f t="shared" si="19"/>
        <v>-1.6971617132375758</v>
      </c>
    </row>
    <row r="102" spans="1:27" x14ac:dyDescent="0.25">
      <c r="A102" s="1" t="s">
        <v>1659</v>
      </c>
      <c r="B102" s="1" t="s">
        <v>861</v>
      </c>
      <c r="C102" s="1">
        <v>3</v>
      </c>
      <c r="D102" s="1">
        <v>3</v>
      </c>
      <c r="E102" s="1">
        <v>2</v>
      </c>
      <c r="F102" s="1">
        <v>2</v>
      </c>
      <c r="G102" s="1">
        <v>3</v>
      </c>
      <c r="H102" s="1">
        <v>2</v>
      </c>
      <c r="I102" s="1">
        <v>2</v>
      </c>
      <c r="J102" s="1">
        <v>2</v>
      </c>
      <c r="K102" s="1">
        <v>2</v>
      </c>
      <c r="L102" s="1">
        <v>3</v>
      </c>
      <c r="M102" s="1">
        <v>10</v>
      </c>
      <c r="N102" s="1">
        <v>9</v>
      </c>
      <c r="O102" s="1">
        <v>5</v>
      </c>
      <c r="P102" s="1">
        <v>24</v>
      </c>
      <c r="Q102" s="7">
        <v>0.5163977794943222</v>
      </c>
      <c r="R102" s="7">
        <f t="shared" si="10"/>
        <v>23.196700507614214</v>
      </c>
      <c r="S102" s="7">
        <f t="shared" si="11"/>
        <v>6.4306002317777482</v>
      </c>
      <c r="T102" s="7">
        <f t="shared" si="12"/>
        <v>22.771573604060915</v>
      </c>
      <c r="U102" s="7">
        <f t="shared" si="13"/>
        <v>6.5356886776680962</v>
      </c>
      <c r="V102" s="7">
        <f t="shared" si="14"/>
        <v>11.434010152284264</v>
      </c>
      <c r="W102" s="7">
        <f t="shared" si="15"/>
        <v>3.5019632409825281</v>
      </c>
      <c r="X102" s="7">
        <f t="shared" si="16"/>
        <v>-2.0521724305611153</v>
      </c>
      <c r="Y102" s="7">
        <f t="shared" si="17"/>
        <v>-2.10713427203429</v>
      </c>
      <c r="Z102" s="7">
        <f t="shared" si="18"/>
        <v>-1.8372580491390613</v>
      </c>
      <c r="AA102" s="7">
        <f t="shared" si="19"/>
        <v>-1.998854917244822</v>
      </c>
    </row>
    <row r="103" spans="1:27" x14ac:dyDescent="0.25">
      <c r="A103" s="1" t="s">
        <v>1659</v>
      </c>
      <c r="B103" s="1" t="s">
        <v>861</v>
      </c>
      <c r="C103" s="1">
        <v>4</v>
      </c>
      <c r="D103" s="1">
        <v>2</v>
      </c>
      <c r="E103" s="1">
        <v>2</v>
      </c>
      <c r="F103" s="1">
        <v>3</v>
      </c>
      <c r="G103" s="1">
        <v>3</v>
      </c>
      <c r="H103" s="1">
        <v>3</v>
      </c>
      <c r="I103" s="1">
        <v>3</v>
      </c>
      <c r="J103" s="1">
        <v>3</v>
      </c>
      <c r="K103" s="1">
        <v>4</v>
      </c>
      <c r="L103" s="1">
        <v>3</v>
      </c>
      <c r="M103" s="1">
        <v>11</v>
      </c>
      <c r="N103" s="1">
        <v>12</v>
      </c>
      <c r="O103" s="1">
        <v>7</v>
      </c>
      <c r="P103" s="1">
        <v>30</v>
      </c>
      <c r="Q103" s="7">
        <v>0.66666666666666663</v>
      </c>
      <c r="R103" s="7">
        <f t="shared" si="10"/>
        <v>23.196700507614214</v>
      </c>
      <c r="S103" s="7">
        <f t="shared" si="11"/>
        <v>6.4306002317777482</v>
      </c>
      <c r="T103" s="7">
        <f t="shared" si="12"/>
        <v>22.771573604060915</v>
      </c>
      <c r="U103" s="7">
        <f t="shared" si="13"/>
        <v>6.5356886776680962</v>
      </c>
      <c r="V103" s="7">
        <f t="shared" si="14"/>
        <v>11.434010152284264</v>
      </c>
      <c r="W103" s="7">
        <f t="shared" si="15"/>
        <v>3.5019632409825281</v>
      </c>
      <c r="X103" s="7">
        <f t="shared" si="16"/>
        <v>-1.8966659515456179</v>
      </c>
      <c r="Y103" s="7">
        <f t="shared" si="17"/>
        <v>-1.648116080079898</v>
      </c>
      <c r="Z103" s="7">
        <f t="shared" si="18"/>
        <v>-1.2661498271581617</v>
      </c>
      <c r="AA103" s="7">
        <f t="shared" si="19"/>
        <v>-1.6036439529278927</v>
      </c>
    </row>
    <row r="104" spans="1:27" x14ac:dyDescent="0.25">
      <c r="A104" s="1" t="s">
        <v>1659</v>
      </c>
      <c r="B104" s="1" t="s">
        <v>861</v>
      </c>
      <c r="C104" s="1">
        <v>3</v>
      </c>
      <c r="D104" s="1">
        <v>2</v>
      </c>
      <c r="E104" s="1">
        <v>1</v>
      </c>
      <c r="F104" s="1">
        <v>2</v>
      </c>
      <c r="G104" s="1">
        <v>2</v>
      </c>
      <c r="H104" s="1">
        <v>2</v>
      </c>
      <c r="I104" s="1">
        <v>2</v>
      </c>
      <c r="J104" s="1">
        <v>2</v>
      </c>
      <c r="K104" s="1">
        <v>2</v>
      </c>
      <c r="L104" s="1">
        <v>2</v>
      </c>
      <c r="M104" s="1">
        <v>8</v>
      </c>
      <c r="N104" s="1">
        <v>8</v>
      </c>
      <c r="O104" s="1">
        <v>4</v>
      </c>
      <c r="P104" s="1">
        <v>20</v>
      </c>
      <c r="Q104" s="7">
        <v>0.47140452079103168</v>
      </c>
      <c r="R104" s="7">
        <f t="shared" si="10"/>
        <v>23.196700507614214</v>
      </c>
      <c r="S104" s="7">
        <f t="shared" si="11"/>
        <v>6.4306002317777482</v>
      </c>
      <c r="T104" s="7">
        <f t="shared" si="12"/>
        <v>22.771573604060915</v>
      </c>
      <c r="U104" s="7">
        <f t="shared" si="13"/>
        <v>6.5356886776680962</v>
      </c>
      <c r="V104" s="7">
        <f t="shared" si="14"/>
        <v>11.434010152284264</v>
      </c>
      <c r="W104" s="7">
        <f t="shared" si="15"/>
        <v>3.5019632409825281</v>
      </c>
      <c r="X104" s="7">
        <f t="shared" si="16"/>
        <v>-2.3631853885921106</v>
      </c>
      <c r="Y104" s="7">
        <f t="shared" si="17"/>
        <v>-2.260140336019087</v>
      </c>
      <c r="Z104" s="7">
        <f t="shared" si="18"/>
        <v>-2.1228121601295111</v>
      </c>
      <c r="AA104" s="7">
        <f t="shared" si="19"/>
        <v>-2.2487126282469028</v>
      </c>
    </row>
    <row r="105" spans="1:27" x14ac:dyDescent="0.25">
      <c r="A105" s="1" t="s">
        <v>1659</v>
      </c>
      <c r="B105" s="1" t="s">
        <v>861</v>
      </c>
      <c r="C105" s="1">
        <v>3</v>
      </c>
      <c r="D105" s="1">
        <v>3</v>
      </c>
      <c r="E105" s="1">
        <v>2</v>
      </c>
      <c r="F105" s="1">
        <v>3</v>
      </c>
      <c r="G105" s="1">
        <v>2</v>
      </c>
      <c r="H105" s="1">
        <v>2</v>
      </c>
      <c r="I105" s="1">
        <v>1</v>
      </c>
      <c r="J105" s="1">
        <v>2</v>
      </c>
      <c r="K105" s="1">
        <v>2</v>
      </c>
      <c r="L105" s="1">
        <v>1</v>
      </c>
      <c r="M105" s="1">
        <v>11</v>
      </c>
      <c r="N105" s="1">
        <v>7</v>
      </c>
      <c r="O105" s="1">
        <v>3</v>
      </c>
      <c r="P105" s="1">
        <v>21</v>
      </c>
      <c r="Q105" s="7">
        <v>0.73786478737262184</v>
      </c>
      <c r="R105" s="7">
        <f t="shared" si="10"/>
        <v>23.196700507614214</v>
      </c>
      <c r="S105" s="7">
        <f t="shared" si="11"/>
        <v>6.4306002317777482</v>
      </c>
      <c r="T105" s="7">
        <f t="shared" si="12"/>
        <v>22.771573604060915</v>
      </c>
      <c r="U105" s="7">
        <f t="shared" si="13"/>
        <v>6.5356886776680962</v>
      </c>
      <c r="V105" s="7">
        <f t="shared" si="14"/>
        <v>11.434010152284264</v>
      </c>
      <c r="W105" s="7">
        <f t="shared" si="15"/>
        <v>3.5019632409825281</v>
      </c>
      <c r="X105" s="7">
        <f t="shared" si="16"/>
        <v>-1.8966659515456179</v>
      </c>
      <c r="Y105" s="7">
        <f t="shared" si="17"/>
        <v>-2.4131464000038845</v>
      </c>
      <c r="Z105" s="7">
        <f t="shared" si="18"/>
        <v>-2.4083662711199607</v>
      </c>
      <c r="AA105" s="7">
        <f t="shared" si="19"/>
        <v>-2.2393928742231544</v>
      </c>
    </row>
    <row r="106" spans="1:27" x14ac:dyDescent="0.25">
      <c r="A106" s="1" t="s">
        <v>1659</v>
      </c>
      <c r="B106" s="1" t="s">
        <v>861</v>
      </c>
      <c r="C106" s="1">
        <v>7</v>
      </c>
      <c r="D106" s="1">
        <v>6</v>
      </c>
      <c r="E106" s="1">
        <v>5</v>
      </c>
      <c r="F106" s="1">
        <v>5</v>
      </c>
      <c r="G106" s="1">
        <v>5</v>
      </c>
      <c r="H106" s="1">
        <v>4</v>
      </c>
      <c r="I106" s="1">
        <v>4</v>
      </c>
      <c r="J106" s="1">
        <v>5</v>
      </c>
      <c r="K106" s="1">
        <v>5</v>
      </c>
      <c r="L106" s="1">
        <v>7</v>
      </c>
      <c r="M106" s="1">
        <v>23</v>
      </c>
      <c r="N106" s="1">
        <v>18</v>
      </c>
      <c r="O106" s="1">
        <v>12</v>
      </c>
      <c r="P106" s="1">
        <v>53</v>
      </c>
      <c r="Q106" s="7">
        <v>1.0593499054713802</v>
      </c>
      <c r="R106" s="7">
        <f t="shared" si="10"/>
        <v>23.196700507614214</v>
      </c>
      <c r="S106" s="7">
        <f t="shared" si="11"/>
        <v>6.4306002317777482</v>
      </c>
      <c r="T106" s="7">
        <f t="shared" si="12"/>
        <v>22.771573604060915</v>
      </c>
      <c r="U106" s="7">
        <f t="shared" si="13"/>
        <v>6.5356886776680962</v>
      </c>
      <c r="V106" s="7">
        <f t="shared" si="14"/>
        <v>11.434010152284264</v>
      </c>
      <c r="W106" s="7">
        <f t="shared" si="15"/>
        <v>3.5019632409825281</v>
      </c>
      <c r="X106" s="7">
        <f t="shared" si="16"/>
        <v>-3.0588203359647428E-2</v>
      </c>
      <c r="Y106" s="7">
        <f t="shared" si="17"/>
        <v>-0.73007969617111423</v>
      </c>
      <c r="Z106" s="7">
        <f t="shared" si="18"/>
        <v>0.16162072779408701</v>
      </c>
      <c r="AA106" s="7">
        <f t="shared" si="19"/>
        <v>-0.19968239057889156</v>
      </c>
    </row>
    <row r="107" spans="1:27" x14ac:dyDescent="0.25">
      <c r="A107" s="1" t="s">
        <v>1659</v>
      </c>
      <c r="B107" s="1" t="s">
        <v>861</v>
      </c>
      <c r="C107" s="1">
        <v>7</v>
      </c>
      <c r="D107" s="1">
        <v>6</v>
      </c>
      <c r="E107" s="1">
        <v>5</v>
      </c>
      <c r="F107" s="1">
        <v>6</v>
      </c>
      <c r="G107" s="1">
        <v>7</v>
      </c>
      <c r="H107" s="1">
        <v>5</v>
      </c>
      <c r="I107" s="1">
        <v>6</v>
      </c>
      <c r="J107" s="1">
        <v>7</v>
      </c>
      <c r="K107" s="1">
        <v>5</v>
      </c>
      <c r="L107" s="1">
        <v>7</v>
      </c>
      <c r="M107" s="1">
        <v>24</v>
      </c>
      <c r="N107" s="1">
        <v>25</v>
      </c>
      <c r="O107" s="1">
        <v>12</v>
      </c>
      <c r="P107" s="1">
        <v>61</v>
      </c>
      <c r="Q107" s="7">
        <v>0.87559503577091313</v>
      </c>
      <c r="R107" s="7">
        <f t="shared" si="10"/>
        <v>23.196700507614214</v>
      </c>
      <c r="S107" s="7">
        <f t="shared" si="11"/>
        <v>6.4306002317777482</v>
      </c>
      <c r="T107" s="7">
        <f t="shared" si="12"/>
        <v>22.771573604060915</v>
      </c>
      <c r="U107" s="7">
        <f t="shared" si="13"/>
        <v>6.5356886776680962</v>
      </c>
      <c r="V107" s="7">
        <f t="shared" si="14"/>
        <v>11.434010152284264</v>
      </c>
      <c r="W107" s="7">
        <f t="shared" si="15"/>
        <v>3.5019632409825281</v>
      </c>
      <c r="X107" s="7">
        <f t="shared" si="16"/>
        <v>0.12491827565585011</v>
      </c>
      <c r="Y107" s="7">
        <f t="shared" si="17"/>
        <v>0.34096275172246687</v>
      </c>
      <c r="Z107" s="7">
        <f t="shared" si="18"/>
        <v>0.16162072779408701</v>
      </c>
      <c r="AA107" s="7">
        <f t="shared" si="19"/>
        <v>0.20916725172413467</v>
      </c>
    </row>
    <row r="108" spans="1:27" x14ac:dyDescent="0.25">
      <c r="A108" s="1" t="s">
        <v>1659</v>
      </c>
      <c r="B108" s="1" t="s">
        <v>861</v>
      </c>
      <c r="C108" s="1">
        <v>9</v>
      </c>
      <c r="D108" s="1">
        <v>8</v>
      </c>
      <c r="E108" s="1">
        <v>8</v>
      </c>
      <c r="F108" s="1">
        <v>8</v>
      </c>
      <c r="G108" s="1">
        <v>7</v>
      </c>
      <c r="H108" s="1">
        <v>6</v>
      </c>
      <c r="I108" s="1">
        <v>6</v>
      </c>
      <c r="J108" s="1">
        <v>7</v>
      </c>
      <c r="K108" s="1">
        <v>8</v>
      </c>
      <c r="L108" s="1">
        <v>7</v>
      </c>
      <c r="M108" s="1">
        <v>33</v>
      </c>
      <c r="N108" s="1">
        <v>26</v>
      </c>
      <c r="O108" s="1">
        <v>15</v>
      </c>
      <c r="P108" s="1">
        <v>74</v>
      </c>
      <c r="Q108" s="7">
        <v>0.96609178307929588</v>
      </c>
      <c r="R108" s="7">
        <f t="shared" si="10"/>
        <v>23.196700507614214</v>
      </c>
      <c r="S108" s="7">
        <f t="shared" si="11"/>
        <v>6.4306002317777482</v>
      </c>
      <c r="T108" s="7">
        <f t="shared" si="12"/>
        <v>22.771573604060915</v>
      </c>
      <c r="U108" s="7">
        <f t="shared" si="13"/>
        <v>6.5356886776680962</v>
      </c>
      <c r="V108" s="7">
        <f t="shared" si="14"/>
        <v>11.434010152284264</v>
      </c>
      <c r="W108" s="7">
        <f t="shared" si="15"/>
        <v>3.5019632409825281</v>
      </c>
      <c r="X108" s="7">
        <f t="shared" si="16"/>
        <v>1.524476586795328</v>
      </c>
      <c r="Y108" s="7">
        <f t="shared" si="17"/>
        <v>0.49396881570726414</v>
      </c>
      <c r="Z108" s="7">
        <f t="shared" si="18"/>
        <v>1.0182830607654363</v>
      </c>
      <c r="AA108" s="7">
        <f t="shared" si="19"/>
        <v>1.0122428210893428</v>
      </c>
    </row>
    <row r="109" spans="1:27" x14ac:dyDescent="0.25">
      <c r="A109" s="1" t="s">
        <v>1659</v>
      </c>
      <c r="B109" s="1" t="s">
        <v>861</v>
      </c>
      <c r="C109" s="1">
        <v>9</v>
      </c>
      <c r="D109" s="1">
        <v>8</v>
      </c>
      <c r="E109" s="1">
        <v>7</v>
      </c>
      <c r="F109" s="1">
        <v>8</v>
      </c>
      <c r="G109" s="1">
        <v>7</v>
      </c>
      <c r="H109" s="1">
        <v>6</v>
      </c>
      <c r="I109" s="1">
        <v>6</v>
      </c>
      <c r="J109" s="1">
        <v>7</v>
      </c>
      <c r="K109" s="1">
        <v>8</v>
      </c>
      <c r="L109" s="1">
        <v>8</v>
      </c>
      <c r="M109" s="1">
        <v>32</v>
      </c>
      <c r="N109" s="1">
        <v>26</v>
      </c>
      <c r="O109" s="1">
        <v>16</v>
      </c>
      <c r="P109" s="1">
        <v>74</v>
      </c>
      <c r="Q109" s="7">
        <v>0.96609178307929588</v>
      </c>
      <c r="R109" s="7">
        <f t="shared" si="10"/>
        <v>23.196700507614214</v>
      </c>
      <c r="S109" s="7">
        <f t="shared" si="11"/>
        <v>6.4306002317777482</v>
      </c>
      <c r="T109" s="7">
        <f t="shared" si="12"/>
        <v>22.771573604060915</v>
      </c>
      <c r="U109" s="7">
        <f t="shared" si="13"/>
        <v>6.5356886776680962</v>
      </c>
      <c r="V109" s="7">
        <f t="shared" si="14"/>
        <v>11.434010152284264</v>
      </c>
      <c r="W109" s="7">
        <f t="shared" si="15"/>
        <v>3.5019632409825281</v>
      </c>
      <c r="X109" s="7">
        <f t="shared" si="16"/>
        <v>1.3689701077798304</v>
      </c>
      <c r="Y109" s="7">
        <f t="shared" si="17"/>
        <v>0.49396881570726414</v>
      </c>
      <c r="Z109" s="7">
        <f t="shared" si="18"/>
        <v>1.3038371717558861</v>
      </c>
      <c r="AA109" s="7">
        <f t="shared" si="19"/>
        <v>1.0555920317476601</v>
      </c>
    </row>
    <row r="110" spans="1:27" x14ac:dyDescent="0.25">
      <c r="A110" s="1" t="s">
        <v>1659</v>
      </c>
      <c r="B110" s="1" t="s">
        <v>861</v>
      </c>
      <c r="C110" s="1">
        <v>6</v>
      </c>
      <c r="D110" s="1">
        <v>4</v>
      </c>
      <c r="E110" s="1">
        <v>4</v>
      </c>
      <c r="F110" s="1">
        <v>5</v>
      </c>
      <c r="G110" s="1">
        <v>5</v>
      </c>
      <c r="H110" s="1">
        <v>5</v>
      </c>
      <c r="I110" s="1">
        <v>4</v>
      </c>
      <c r="J110" s="1">
        <v>5</v>
      </c>
      <c r="K110" s="1">
        <v>5</v>
      </c>
      <c r="L110" s="1">
        <v>5</v>
      </c>
      <c r="M110" s="1">
        <v>19</v>
      </c>
      <c r="N110" s="1">
        <v>19</v>
      </c>
      <c r="O110" s="1">
        <v>10</v>
      </c>
      <c r="P110" s="1">
        <v>48</v>
      </c>
      <c r="Q110" s="7">
        <v>0.63245553203367577</v>
      </c>
      <c r="R110" s="7">
        <f t="shared" si="10"/>
        <v>23.196700507614214</v>
      </c>
      <c r="S110" s="7">
        <f t="shared" si="11"/>
        <v>6.4306002317777482</v>
      </c>
      <c r="T110" s="7">
        <f t="shared" si="12"/>
        <v>22.771573604060915</v>
      </c>
      <c r="U110" s="7">
        <f t="shared" si="13"/>
        <v>6.5356886776680962</v>
      </c>
      <c r="V110" s="7">
        <f t="shared" si="14"/>
        <v>11.434010152284264</v>
      </c>
      <c r="W110" s="7">
        <f t="shared" si="15"/>
        <v>3.5019632409825281</v>
      </c>
      <c r="X110" s="7">
        <f t="shared" si="16"/>
        <v>-0.65261411942163761</v>
      </c>
      <c r="Y110" s="7">
        <f t="shared" si="17"/>
        <v>-0.57707363218631691</v>
      </c>
      <c r="Z110" s="7">
        <f t="shared" si="18"/>
        <v>-0.40948749418681252</v>
      </c>
      <c r="AA110" s="7">
        <f t="shared" si="19"/>
        <v>-0.54639174859825568</v>
      </c>
    </row>
    <row r="111" spans="1:27" x14ac:dyDescent="0.25">
      <c r="A111" s="1" t="s">
        <v>1659</v>
      </c>
      <c r="B111" s="1" t="s">
        <v>861</v>
      </c>
      <c r="C111" s="1">
        <v>8</v>
      </c>
      <c r="D111" s="1">
        <v>7</v>
      </c>
      <c r="E111" s="1">
        <v>8</v>
      </c>
      <c r="F111" s="1">
        <v>7</v>
      </c>
      <c r="G111" s="1">
        <v>7</v>
      </c>
      <c r="H111" s="1">
        <v>6</v>
      </c>
      <c r="I111" s="1">
        <v>7</v>
      </c>
      <c r="J111" s="1">
        <v>8</v>
      </c>
      <c r="K111" s="1">
        <v>5</v>
      </c>
      <c r="L111" s="1">
        <v>8</v>
      </c>
      <c r="M111" s="1">
        <v>30</v>
      </c>
      <c r="N111" s="1">
        <v>28</v>
      </c>
      <c r="O111" s="1">
        <v>13</v>
      </c>
      <c r="P111" s="1">
        <v>71</v>
      </c>
      <c r="Q111" s="7">
        <v>0.99442892601175326</v>
      </c>
      <c r="R111" s="7">
        <f t="shared" si="10"/>
        <v>23.196700507614214</v>
      </c>
      <c r="S111" s="7">
        <f t="shared" si="11"/>
        <v>6.4306002317777482</v>
      </c>
      <c r="T111" s="7">
        <f t="shared" si="12"/>
        <v>22.771573604060915</v>
      </c>
      <c r="U111" s="7">
        <f t="shared" si="13"/>
        <v>6.5356886776680962</v>
      </c>
      <c r="V111" s="7">
        <f t="shared" si="14"/>
        <v>11.434010152284264</v>
      </c>
      <c r="W111" s="7">
        <f t="shared" si="15"/>
        <v>3.5019632409825281</v>
      </c>
      <c r="X111" s="7">
        <f t="shared" si="16"/>
        <v>1.0579571497488354</v>
      </c>
      <c r="Y111" s="7">
        <f t="shared" si="17"/>
        <v>0.79998094367685879</v>
      </c>
      <c r="Z111" s="7">
        <f t="shared" si="18"/>
        <v>0.44717483878453679</v>
      </c>
      <c r="AA111" s="7">
        <f t="shared" si="19"/>
        <v>0.76837097740341032</v>
      </c>
    </row>
    <row r="112" spans="1:27" x14ac:dyDescent="0.25">
      <c r="A112" s="1" t="s">
        <v>1659</v>
      </c>
      <c r="B112" s="1" t="s">
        <v>861</v>
      </c>
      <c r="C112" s="1">
        <v>6</v>
      </c>
      <c r="D112" s="1">
        <v>5</v>
      </c>
      <c r="E112" s="1">
        <v>6</v>
      </c>
      <c r="F112" s="1">
        <v>5</v>
      </c>
      <c r="G112" s="1">
        <v>7</v>
      </c>
      <c r="H112" s="1">
        <v>5</v>
      </c>
      <c r="I112" s="1">
        <v>5</v>
      </c>
      <c r="J112" s="1">
        <v>6</v>
      </c>
      <c r="K112" s="1">
        <v>7</v>
      </c>
      <c r="L112" s="1">
        <v>7</v>
      </c>
      <c r="M112" s="1">
        <v>22</v>
      </c>
      <c r="N112" s="1">
        <v>23</v>
      </c>
      <c r="O112" s="1">
        <v>14</v>
      </c>
      <c r="P112" s="1">
        <v>59</v>
      </c>
      <c r="Q112" s="7">
        <v>0.87559503577091313</v>
      </c>
      <c r="R112" s="7">
        <f t="shared" si="10"/>
        <v>23.196700507614214</v>
      </c>
      <c r="S112" s="7">
        <f t="shared" si="11"/>
        <v>6.4306002317777482</v>
      </c>
      <c r="T112" s="7">
        <f t="shared" si="12"/>
        <v>22.771573604060915</v>
      </c>
      <c r="U112" s="7">
        <f t="shared" si="13"/>
        <v>6.5356886776680962</v>
      </c>
      <c r="V112" s="7">
        <f t="shared" si="14"/>
        <v>11.434010152284264</v>
      </c>
      <c r="W112" s="7">
        <f t="shared" si="15"/>
        <v>3.5019632409825281</v>
      </c>
      <c r="X112" s="7">
        <f t="shared" si="16"/>
        <v>-0.18609468237514495</v>
      </c>
      <c r="Y112" s="7">
        <f t="shared" si="17"/>
        <v>3.4950623752872265E-2</v>
      </c>
      <c r="Z112" s="7">
        <f t="shared" si="18"/>
        <v>0.73272894977498659</v>
      </c>
      <c r="AA112" s="7">
        <f t="shared" si="19"/>
        <v>0.19386163038423798</v>
      </c>
    </row>
    <row r="113" spans="1:27" x14ac:dyDescent="0.25">
      <c r="A113" s="1" t="s">
        <v>1659</v>
      </c>
      <c r="B113" s="1" t="s">
        <v>861</v>
      </c>
      <c r="C113" s="1">
        <v>6</v>
      </c>
      <c r="D113" s="1">
        <v>4</v>
      </c>
      <c r="E113" s="1">
        <v>6</v>
      </c>
      <c r="F113" s="1">
        <v>6</v>
      </c>
      <c r="G113" s="1">
        <v>4</v>
      </c>
      <c r="H113" s="1">
        <v>4</v>
      </c>
      <c r="I113" s="1">
        <v>5</v>
      </c>
      <c r="J113" s="1">
        <v>5</v>
      </c>
      <c r="K113" s="1">
        <v>5</v>
      </c>
      <c r="L113" s="1">
        <v>4</v>
      </c>
      <c r="M113" s="1">
        <v>22</v>
      </c>
      <c r="N113" s="1">
        <v>18</v>
      </c>
      <c r="O113" s="1">
        <v>9</v>
      </c>
      <c r="P113" s="1">
        <v>49</v>
      </c>
      <c r="Q113" s="7">
        <v>0.87559503577091324</v>
      </c>
      <c r="R113" s="7">
        <f t="shared" si="10"/>
        <v>23.196700507614214</v>
      </c>
      <c r="S113" s="7">
        <f t="shared" si="11"/>
        <v>6.4306002317777482</v>
      </c>
      <c r="T113" s="7">
        <f t="shared" si="12"/>
        <v>22.771573604060915</v>
      </c>
      <c r="U113" s="7">
        <f t="shared" si="13"/>
        <v>6.5356886776680962</v>
      </c>
      <c r="V113" s="7">
        <f t="shared" si="14"/>
        <v>11.434010152284264</v>
      </c>
      <c r="W113" s="7">
        <f t="shared" si="15"/>
        <v>3.5019632409825281</v>
      </c>
      <c r="X113" s="7">
        <f t="shared" si="16"/>
        <v>-0.18609468237514495</v>
      </c>
      <c r="Y113" s="7">
        <f t="shared" si="17"/>
        <v>-0.73007969617111423</v>
      </c>
      <c r="Z113" s="7">
        <f t="shared" si="18"/>
        <v>-0.69504160517726232</v>
      </c>
      <c r="AA113" s="7">
        <f t="shared" si="19"/>
        <v>-0.53707199457450716</v>
      </c>
    </row>
    <row r="114" spans="1:27" x14ac:dyDescent="0.25">
      <c r="A114" s="1" t="s">
        <v>1659</v>
      </c>
      <c r="B114" s="1" t="s">
        <v>861</v>
      </c>
      <c r="C114" s="1">
        <v>8</v>
      </c>
      <c r="D114" s="1">
        <v>8</v>
      </c>
      <c r="E114" s="1">
        <v>7</v>
      </c>
      <c r="F114" s="1">
        <v>8</v>
      </c>
      <c r="G114" s="1">
        <v>5</v>
      </c>
      <c r="H114" s="1">
        <v>6</v>
      </c>
      <c r="I114" s="1">
        <v>7</v>
      </c>
      <c r="J114" s="1">
        <v>7</v>
      </c>
      <c r="K114" s="1">
        <v>7</v>
      </c>
      <c r="L114" s="1">
        <v>7</v>
      </c>
      <c r="M114" s="1">
        <v>31</v>
      </c>
      <c r="N114" s="1">
        <v>25</v>
      </c>
      <c r="O114" s="1">
        <v>14</v>
      </c>
      <c r="P114" s="1">
        <v>70</v>
      </c>
      <c r="Q114" s="7">
        <v>0.94280904158206336</v>
      </c>
      <c r="R114" s="7">
        <f t="shared" si="10"/>
        <v>23.196700507614214</v>
      </c>
      <c r="S114" s="7">
        <f t="shared" si="11"/>
        <v>6.4306002317777482</v>
      </c>
      <c r="T114" s="7">
        <f t="shared" si="12"/>
        <v>22.771573604060915</v>
      </c>
      <c r="U114" s="7">
        <f t="shared" si="13"/>
        <v>6.5356886776680962</v>
      </c>
      <c r="V114" s="7">
        <f t="shared" si="14"/>
        <v>11.434010152284264</v>
      </c>
      <c r="W114" s="7">
        <f t="shared" si="15"/>
        <v>3.5019632409825281</v>
      </c>
      <c r="X114" s="7">
        <f t="shared" si="16"/>
        <v>1.2134636287643328</v>
      </c>
      <c r="Y114" s="7">
        <f t="shared" si="17"/>
        <v>0.34096275172246687</v>
      </c>
      <c r="Z114" s="7">
        <f t="shared" si="18"/>
        <v>0.73272894977498659</v>
      </c>
      <c r="AA114" s="7">
        <f t="shared" si="19"/>
        <v>0.76238511008726206</v>
      </c>
    </row>
    <row r="115" spans="1:27" x14ac:dyDescent="0.25">
      <c r="A115" s="1" t="s">
        <v>1659</v>
      </c>
      <c r="B115" s="1" t="s">
        <v>861</v>
      </c>
      <c r="C115" s="1">
        <v>7</v>
      </c>
      <c r="D115" s="1">
        <v>6</v>
      </c>
      <c r="E115" s="1">
        <v>7</v>
      </c>
      <c r="F115" s="1">
        <v>7</v>
      </c>
      <c r="G115" s="1">
        <v>5</v>
      </c>
      <c r="H115" s="1">
        <v>6</v>
      </c>
      <c r="I115" s="1">
        <v>6</v>
      </c>
      <c r="J115" s="1">
        <v>6</v>
      </c>
      <c r="K115" s="1">
        <v>6</v>
      </c>
      <c r="L115" s="1">
        <v>6</v>
      </c>
      <c r="M115" s="1">
        <v>27</v>
      </c>
      <c r="N115" s="1">
        <v>23</v>
      </c>
      <c r="O115" s="1">
        <v>12</v>
      </c>
      <c r="P115" s="1">
        <v>62</v>
      </c>
      <c r="Q115" s="7">
        <v>0.6324555320336761</v>
      </c>
      <c r="R115" s="7">
        <f t="shared" si="10"/>
        <v>23.196700507614214</v>
      </c>
      <c r="S115" s="7">
        <f t="shared" si="11"/>
        <v>6.4306002317777482</v>
      </c>
      <c r="T115" s="7">
        <f t="shared" si="12"/>
        <v>22.771573604060915</v>
      </c>
      <c r="U115" s="7">
        <f t="shared" si="13"/>
        <v>6.5356886776680962</v>
      </c>
      <c r="V115" s="7">
        <f t="shared" si="14"/>
        <v>11.434010152284264</v>
      </c>
      <c r="W115" s="7">
        <f t="shared" si="15"/>
        <v>3.5019632409825281</v>
      </c>
      <c r="X115" s="7">
        <f t="shared" si="16"/>
        <v>0.59143771270234269</v>
      </c>
      <c r="Y115" s="7">
        <f t="shared" si="17"/>
        <v>3.4950623752872265E-2</v>
      </c>
      <c r="Z115" s="7">
        <f t="shared" si="18"/>
        <v>0.16162072779408701</v>
      </c>
      <c r="AA115" s="7">
        <f t="shared" si="19"/>
        <v>0.26266968808310065</v>
      </c>
    </row>
    <row r="116" spans="1:27" x14ac:dyDescent="0.25">
      <c r="A116" s="1" t="s">
        <v>1659</v>
      </c>
      <c r="B116" s="1" t="s">
        <v>861</v>
      </c>
      <c r="C116" s="1">
        <v>8</v>
      </c>
      <c r="D116" s="1">
        <v>7</v>
      </c>
      <c r="E116" s="1">
        <v>7</v>
      </c>
      <c r="F116" s="1">
        <v>8</v>
      </c>
      <c r="G116" s="1">
        <v>5</v>
      </c>
      <c r="H116" s="1">
        <v>7</v>
      </c>
      <c r="I116" s="1">
        <v>7</v>
      </c>
      <c r="J116" s="1">
        <v>8</v>
      </c>
      <c r="K116" s="1">
        <v>8</v>
      </c>
      <c r="L116" s="1">
        <v>8</v>
      </c>
      <c r="M116" s="1">
        <v>30</v>
      </c>
      <c r="N116" s="1">
        <v>27</v>
      </c>
      <c r="O116" s="1">
        <v>16</v>
      </c>
      <c r="P116" s="1">
        <v>73</v>
      </c>
      <c r="Q116" s="7">
        <v>0.94868329805051377</v>
      </c>
      <c r="R116" s="7">
        <f t="shared" si="10"/>
        <v>23.196700507614214</v>
      </c>
      <c r="S116" s="7">
        <f t="shared" si="11"/>
        <v>6.4306002317777482</v>
      </c>
      <c r="T116" s="7">
        <f t="shared" si="12"/>
        <v>22.771573604060915</v>
      </c>
      <c r="U116" s="7">
        <f t="shared" si="13"/>
        <v>6.5356886776680962</v>
      </c>
      <c r="V116" s="7">
        <f t="shared" si="14"/>
        <v>11.434010152284264</v>
      </c>
      <c r="W116" s="7">
        <f t="shared" si="15"/>
        <v>3.5019632409825281</v>
      </c>
      <c r="X116" s="7">
        <f t="shared" si="16"/>
        <v>1.0579571497488354</v>
      </c>
      <c r="Y116" s="7">
        <f t="shared" si="17"/>
        <v>0.64697487969206147</v>
      </c>
      <c r="Z116" s="7">
        <f t="shared" si="18"/>
        <v>1.3038371717558861</v>
      </c>
      <c r="AA116" s="7">
        <f t="shared" si="19"/>
        <v>1.0029230670655942</v>
      </c>
    </row>
    <row r="117" spans="1:27" x14ac:dyDescent="0.25">
      <c r="A117" s="1" t="s">
        <v>1659</v>
      </c>
      <c r="B117" s="1" t="s">
        <v>861</v>
      </c>
      <c r="C117" s="1">
        <v>7</v>
      </c>
      <c r="D117" s="1">
        <v>6</v>
      </c>
      <c r="E117" s="1">
        <v>7</v>
      </c>
      <c r="F117" s="1">
        <v>7</v>
      </c>
      <c r="G117" s="1">
        <v>5</v>
      </c>
      <c r="H117" s="1">
        <v>6</v>
      </c>
      <c r="I117" s="1">
        <v>6</v>
      </c>
      <c r="J117" s="1">
        <v>8</v>
      </c>
      <c r="K117" s="1">
        <v>8</v>
      </c>
      <c r="L117" s="1">
        <v>8</v>
      </c>
      <c r="M117" s="1">
        <v>27</v>
      </c>
      <c r="N117" s="1">
        <v>25</v>
      </c>
      <c r="O117" s="1">
        <v>16</v>
      </c>
      <c r="P117" s="1">
        <v>68</v>
      </c>
      <c r="Q117" s="7">
        <v>1.0327955589886442</v>
      </c>
      <c r="R117" s="7">
        <f t="shared" si="10"/>
        <v>23.196700507614214</v>
      </c>
      <c r="S117" s="7">
        <f t="shared" si="11"/>
        <v>6.4306002317777482</v>
      </c>
      <c r="T117" s="7">
        <f t="shared" si="12"/>
        <v>22.771573604060915</v>
      </c>
      <c r="U117" s="7">
        <f t="shared" si="13"/>
        <v>6.5356886776680962</v>
      </c>
      <c r="V117" s="7">
        <f t="shared" si="14"/>
        <v>11.434010152284264</v>
      </c>
      <c r="W117" s="7">
        <f t="shared" si="15"/>
        <v>3.5019632409825281</v>
      </c>
      <c r="X117" s="7">
        <f t="shared" si="16"/>
        <v>0.59143771270234269</v>
      </c>
      <c r="Y117" s="7">
        <f t="shared" si="17"/>
        <v>0.34096275172246687</v>
      </c>
      <c r="Z117" s="7">
        <f t="shared" si="18"/>
        <v>1.3038371717558861</v>
      </c>
      <c r="AA117" s="7">
        <f t="shared" si="19"/>
        <v>0.74541254539356527</v>
      </c>
    </row>
    <row r="118" spans="1:27" x14ac:dyDescent="0.25">
      <c r="A118" s="1" t="s">
        <v>1659</v>
      </c>
      <c r="B118" s="1" t="s">
        <v>861</v>
      </c>
      <c r="C118" s="1">
        <v>8</v>
      </c>
      <c r="D118" s="1">
        <v>7</v>
      </c>
      <c r="E118" s="1">
        <v>8</v>
      </c>
      <c r="F118" s="1">
        <v>8</v>
      </c>
      <c r="G118" s="1">
        <v>7</v>
      </c>
      <c r="H118" s="1">
        <v>7</v>
      </c>
      <c r="I118" s="1">
        <v>7</v>
      </c>
      <c r="J118" s="1">
        <v>8</v>
      </c>
      <c r="K118" s="1">
        <v>8</v>
      </c>
      <c r="L118" s="1">
        <v>8</v>
      </c>
      <c r="M118" s="1">
        <v>31</v>
      </c>
      <c r="N118" s="1">
        <v>29</v>
      </c>
      <c r="O118" s="1">
        <v>16</v>
      </c>
      <c r="P118" s="1">
        <v>76</v>
      </c>
      <c r="Q118" s="7">
        <v>0.5163977794943222</v>
      </c>
      <c r="R118" s="7">
        <f t="shared" si="10"/>
        <v>23.196700507614214</v>
      </c>
      <c r="S118" s="7">
        <f t="shared" si="11"/>
        <v>6.4306002317777482</v>
      </c>
      <c r="T118" s="7">
        <f t="shared" si="12"/>
        <v>22.771573604060915</v>
      </c>
      <c r="U118" s="7">
        <f t="shared" si="13"/>
        <v>6.5356886776680962</v>
      </c>
      <c r="V118" s="7">
        <f t="shared" si="14"/>
        <v>11.434010152284264</v>
      </c>
      <c r="W118" s="7">
        <f t="shared" si="15"/>
        <v>3.5019632409825281</v>
      </c>
      <c r="X118" s="7">
        <f t="shared" si="16"/>
        <v>1.2134636287643328</v>
      </c>
      <c r="Y118" s="7">
        <f t="shared" si="17"/>
        <v>0.95298700766165612</v>
      </c>
      <c r="Z118" s="7">
        <f t="shared" si="18"/>
        <v>1.3038371717558861</v>
      </c>
      <c r="AA118" s="7">
        <f t="shared" si="19"/>
        <v>1.1567626027272917</v>
      </c>
    </row>
    <row r="119" spans="1:27" x14ac:dyDescent="0.25">
      <c r="A119" s="1" t="s">
        <v>1659</v>
      </c>
      <c r="B119" s="1" t="s">
        <v>861</v>
      </c>
      <c r="C119" s="1">
        <v>8</v>
      </c>
      <c r="D119" s="1">
        <v>7</v>
      </c>
      <c r="E119" s="1">
        <v>8</v>
      </c>
      <c r="F119" s="1">
        <v>8</v>
      </c>
      <c r="G119" s="1">
        <v>7</v>
      </c>
      <c r="H119" s="1">
        <v>7</v>
      </c>
      <c r="I119" s="1">
        <v>7</v>
      </c>
      <c r="J119" s="1">
        <v>8</v>
      </c>
      <c r="K119" s="1">
        <v>8</v>
      </c>
      <c r="L119" s="1">
        <v>7</v>
      </c>
      <c r="M119" s="1">
        <v>31</v>
      </c>
      <c r="N119" s="1">
        <v>29</v>
      </c>
      <c r="O119" s="1">
        <v>15</v>
      </c>
      <c r="P119" s="1">
        <v>75</v>
      </c>
      <c r="Q119" s="7">
        <v>0.52704627669472981</v>
      </c>
      <c r="R119" s="7">
        <f t="shared" si="10"/>
        <v>23.196700507614214</v>
      </c>
      <c r="S119" s="7">
        <f t="shared" si="11"/>
        <v>6.4306002317777482</v>
      </c>
      <c r="T119" s="7">
        <f t="shared" si="12"/>
        <v>22.771573604060915</v>
      </c>
      <c r="U119" s="7">
        <f t="shared" si="13"/>
        <v>6.5356886776680962</v>
      </c>
      <c r="V119" s="7">
        <f t="shared" si="14"/>
        <v>11.434010152284264</v>
      </c>
      <c r="W119" s="7">
        <f t="shared" si="15"/>
        <v>3.5019632409825281</v>
      </c>
      <c r="X119" s="7">
        <f t="shared" si="16"/>
        <v>1.2134636287643328</v>
      </c>
      <c r="Y119" s="7">
        <f t="shared" si="17"/>
        <v>0.95298700766165612</v>
      </c>
      <c r="Z119" s="7">
        <f t="shared" si="18"/>
        <v>1.0182830607654363</v>
      </c>
      <c r="AA119" s="7">
        <f t="shared" si="19"/>
        <v>1.0615778990638083</v>
      </c>
    </row>
    <row r="120" spans="1:27" x14ac:dyDescent="0.25">
      <c r="A120" s="1" t="s">
        <v>1659</v>
      </c>
      <c r="B120" s="1" t="s">
        <v>861</v>
      </c>
      <c r="C120" s="1">
        <v>8</v>
      </c>
      <c r="D120" s="1">
        <v>7</v>
      </c>
      <c r="E120" s="1">
        <v>7</v>
      </c>
      <c r="F120" s="1">
        <v>8</v>
      </c>
      <c r="G120" s="1">
        <v>7</v>
      </c>
      <c r="H120" s="1">
        <v>7</v>
      </c>
      <c r="I120" s="1">
        <v>8</v>
      </c>
      <c r="J120" s="1">
        <v>8</v>
      </c>
      <c r="K120" s="1">
        <v>8</v>
      </c>
      <c r="L120" s="1">
        <v>8</v>
      </c>
      <c r="M120" s="1">
        <v>30</v>
      </c>
      <c r="N120" s="1">
        <v>30</v>
      </c>
      <c r="O120" s="1">
        <v>16</v>
      </c>
      <c r="P120" s="1">
        <v>76</v>
      </c>
      <c r="Q120" s="7">
        <v>0.51639777949432231</v>
      </c>
      <c r="R120" s="7">
        <f t="shared" si="10"/>
        <v>23.196700507614214</v>
      </c>
      <c r="S120" s="7">
        <f t="shared" si="11"/>
        <v>6.4306002317777482</v>
      </c>
      <c r="T120" s="7">
        <f t="shared" si="12"/>
        <v>22.771573604060915</v>
      </c>
      <c r="U120" s="7">
        <f t="shared" si="13"/>
        <v>6.5356886776680962</v>
      </c>
      <c r="V120" s="7">
        <f t="shared" si="14"/>
        <v>11.434010152284264</v>
      </c>
      <c r="W120" s="7">
        <f t="shared" si="15"/>
        <v>3.5019632409825281</v>
      </c>
      <c r="X120" s="7">
        <f t="shared" si="16"/>
        <v>1.0579571497488354</v>
      </c>
      <c r="Y120" s="7">
        <f t="shared" si="17"/>
        <v>1.1059930716464534</v>
      </c>
      <c r="Z120" s="7">
        <f t="shared" si="18"/>
        <v>1.3038371717558861</v>
      </c>
      <c r="AA120" s="7">
        <f t="shared" si="19"/>
        <v>1.1559291310503916</v>
      </c>
    </row>
    <row r="121" spans="1:27" x14ac:dyDescent="0.25">
      <c r="A121" s="1" t="s">
        <v>1660</v>
      </c>
      <c r="B121" s="1" t="s">
        <v>861</v>
      </c>
      <c r="C121" s="1">
        <v>5</v>
      </c>
      <c r="D121" s="1">
        <v>5</v>
      </c>
      <c r="E121" s="1">
        <v>2</v>
      </c>
      <c r="F121" s="1">
        <v>5</v>
      </c>
      <c r="G121" s="1">
        <v>5</v>
      </c>
      <c r="H121" s="1">
        <v>5</v>
      </c>
      <c r="I121" s="1">
        <v>3</v>
      </c>
      <c r="J121" s="1">
        <v>5</v>
      </c>
      <c r="K121" s="1">
        <v>5</v>
      </c>
      <c r="L121" s="1">
        <v>5</v>
      </c>
      <c r="M121" s="1">
        <v>17</v>
      </c>
      <c r="N121" s="1">
        <v>18</v>
      </c>
      <c r="O121" s="1">
        <v>10</v>
      </c>
      <c r="P121" s="1">
        <v>45</v>
      </c>
      <c r="Q121" s="7">
        <v>1.0801234497346432</v>
      </c>
      <c r="R121" s="7">
        <f t="shared" si="10"/>
        <v>23.196700507614214</v>
      </c>
      <c r="S121" s="7">
        <f t="shared" si="11"/>
        <v>6.4306002317777482</v>
      </c>
      <c r="T121" s="7">
        <f t="shared" si="12"/>
        <v>22.771573604060915</v>
      </c>
      <c r="U121" s="7">
        <f t="shared" si="13"/>
        <v>6.5356886776680962</v>
      </c>
      <c r="V121" s="7">
        <f t="shared" si="14"/>
        <v>11.434010152284264</v>
      </c>
      <c r="W121" s="7">
        <f t="shared" si="15"/>
        <v>3.5019632409825281</v>
      </c>
      <c r="X121" s="7">
        <f t="shared" si="16"/>
        <v>-0.96362707745263265</v>
      </c>
      <c r="Y121" s="7">
        <f t="shared" si="17"/>
        <v>-0.73007969617111423</v>
      </c>
      <c r="Z121" s="7">
        <f t="shared" si="18"/>
        <v>-0.40948749418681252</v>
      </c>
      <c r="AA121" s="7">
        <f t="shared" si="19"/>
        <v>-0.70106475593685325</v>
      </c>
    </row>
    <row r="122" spans="1:27" x14ac:dyDescent="0.25">
      <c r="A122" s="1" t="s">
        <v>1660</v>
      </c>
      <c r="B122" s="1" t="s">
        <v>861</v>
      </c>
      <c r="C122" s="1">
        <v>8</v>
      </c>
      <c r="D122" s="1">
        <v>7</v>
      </c>
      <c r="E122" s="1">
        <v>8</v>
      </c>
      <c r="F122" s="1">
        <v>8</v>
      </c>
      <c r="G122" s="1">
        <v>8</v>
      </c>
      <c r="H122" s="1">
        <v>8</v>
      </c>
      <c r="I122" s="1">
        <v>8</v>
      </c>
      <c r="J122" s="1">
        <v>9</v>
      </c>
      <c r="K122" s="1">
        <v>8</v>
      </c>
      <c r="L122" s="1">
        <v>9</v>
      </c>
      <c r="M122" s="1">
        <v>31</v>
      </c>
      <c r="N122" s="1">
        <v>33</v>
      </c>
      <c r="O122" s="1">
        <v>17</v>
      </c>
      <c r="P122" s="1">
        <v>81</v>
      </c>
      <c r="Q122" s="7">
        <v>0.56764621219754674</v>
      </c>
      <c r="R122" s="7">
        <f t="shared" si="10"/>
        <v>23.196700507614214</v>
      </c>
      <c r="S122" s="7">
        <f t="shared" si="11"/>
        <v>6.4306002317777482</v>
      </c>
      <c r="T122" s="7">
        <f t="shared" si="12"/>
        <v>22.771573604060915</v>
      </c>
      <c r="U122" s="7">
        <f t="shared" si="13"/>
        <v>6.5356886776680962</v>
      </c>
      <c r="V122" s="7">
        <f t="shared" si="14"/>
        <v>11.434010152284264</v>
      </c>
      <c r="W122" s="7">
        <f t="shared" si="15"/>
        <v>3.5019632409825281</v>
      </c>
      <c r="X122" s="7">
        <f t="shared" si="16"/>
        <v>1.2134636287643328</v>
      </c>
      <c r="Y122" s="7">
        <f t="shared" si="17"/>
        <v>1.5650112636008453</v>
      </c>
      <c r="Z122" s="7">
        <f t="shared" si="18"/>
        <v>1.5893912827463359</v>
      </c>
      <c r="AA122" s="7">
        <f t="shared" si="19"/>
        <v>1.4559553917038379</v>
      </c>
    </row>
    <row r="123" spans="1:27" x14ac:dyDescent="0.25">
      <c r="A123" s="1" t="s">
        <v>1660</v>
      </c>
      <c r="B123" s="1" t="s">
        <v>861</v>
      </c>
      <c r="C123" s="1">
        <v>5</v>
      </c>
      <c r="D123" s="1">
        <v>5</v>
      </c>
      <c r="E123" s="1">
        <v>3</v>
      </c>
      <c r="F123" s="1">
        <v>5</v>
      </c>
      <c r="G123" s="1">
        <v>5</v>
      </c>
      <c r="H123" s="1">
        <v>5</v>
      </c>
      <c r="I123" s="1">
        <v>3</v>
      </c>
      <c r="J123" s="1">
        <v>5</v>
      </c>
      <c r="K123" s="1">
        <v>4</v>
      </c>
      <c r="L123" s="1">
        <v>4</v>
      </c>
      <c r="M123" s="1">
        <v>18</v>
      </c>
      <c r="N123" s="1">
        <v>18</v>
      </c>
      <c r="O123" s="1">
        <v>8</v>
      </c>
      <c r="P123" s="1">
        <v>44</v>
      </c>
      <c r="Q123" s="7">
        <v>0.8432740427115677</v>
      </c>
      <c r="R123" s="7">
        <f t="shared" si="10"/>
        <v>23.196700507614214</v>
      </c>
      <c r="S123" s="7">
        <f t="shared" si="11"/>
        <v>6.4306002317777482</v>
      </c>
      <c r="T123" s="7">
        <f t="shared" si="12"/>
        <v>22.771573604060915</v>
      </c>
      <c r="U123" s="7">
        <f t="shared" si="13"/>
        <v>6.5356886776680962</v>
      </c>
      <c r="V123" s="7">
        <f t="shared" si="14"/>
        <v>11.434010152284264</v>
      </c>
      <c r="W123" s="7">
        <f t="shared" si="15"/>
        <v>3.5019632409825281</v>
      </c>
      <c r="X123" s="7">
        <f t="shared" si="16"/>
        <v>-0.80812059843713513</v>
      </c>
      <c r="Y123" s="7">
        <f t="shared" si="17"/>
        <v>-0.73007969617111423</v>
      </c>
      <c r="Z123" s="7">
        <f t="shared" si="18"/>
        <v>-0.98059571616771202</v>
      </c>
      <c r="AA123" s="7">
        <f t="shared" si="19"/>
        <v>-0.83959867025865387</v>
      </c>
    </row>
    <row r="124" spans="1:27" x14ac:dyDescent="0.25">
      <c r="A124" s="1" t="s">
        <v>1660</v>
      </c>
      <c r="B124" s="1" t="s">
        <v>861</v>
      </c>
      <c r="C124" s="1">
        <v>7</v>
      </c>
      <c r="D124" s="1">
        <v>6</v>
      </c>
      <c r="E124" s="1">
        <v>6</v>
      </c>
      <c r="F124" s="1">
        <v>6</v>
      </c>
      <c r="G124" s="1">
        <v>8</v>
      </c>
      <c r="H124" s="1">
        <v>8</v>
      </c>
      <c r="I124" s="1">
        <v>8</v>
      </c>
      <c r="J124" s="1">
        <v>8</v>
      </c>
      <c r="K124" s="1">
        <v>7</v>
      </c>
      <c r="L124" s="1">
        <v>7</v>
      </c>
      <c r="M124" s="1">
        <v>25</v>
      </c>
      <c r="N124" s="1">
        <v>32</v>
      </c>
      <c r="O124" s="1">
        <v>14</v>
      </c>
      <c r="P124" s="1">
        <v>71</v>
      </c>
      <c r="Q124" s="7">
        <v>0.87559503577091313</v>
      </c>
      <c r="R124" s="7">
        <f t="shared" si="10"/>
        <v>23.196700507614214</v>
      </c>
      <c r="S124" s="7">
        <f t="shared" si="11"/>
        <v>6.4306002317777482</v>
      </c>
      <c r="T124" s="7">
        <f t="shared" si="12"/>
        <v>22.771573604060915</v>
      </c>
      <c r="U124" s="7">
        <f t="shared" si="13"/>
        <v>6.5356886776680962</v>
      </c>
      <c r="V124" s="7">
        <f t="shared" si="14"/>
        <v>11.434010152284264</v>
      </c>
      <c r="W124" s="7">
        <f t="shared" si="15"/>
        <v>3.5019632409825281</v>
      </c>
      <c r="X124" s="7">
        <f t="shared" si="16"/>
        <v>0.28042475467134764</v>
      </c>
      <c r="Y124" s="7">
        <f t="shared" si="17"/>
        <v>1.4120051996160479</v>
      </c>
      <c r="Z124" s="7">
        <f t="shared" si="18"/>
        <v>0.73272894977498659</v>
      </c>
      <c r="AA124" s="7">
        <f t="shared" si="19"/>
        <v>0.80838630135412737</v>
      </c>
    </row>
    <row r="125" spans="1:27" x14ac:dyDescent="0.25">
      <c r="A125" s="1" t="s">
        <v>1660</v>
      </c>
      <c r="B125" s="1" t="s">
        <v>861</v>
      </c>
      <c r="C125" s="1">
        <v>8</v>
      </c>
      <c r="D125" s="1">
        <v>8</v>
      </c>
      <c r="E125" s="1">
        <v>8</v>
      </c>
      <c r="F125" s="1">
        <v>7</v>
      </c>
      <c r="G125" s="1">
        <v>8</v>
      </c>
      <c r="H125" s="1">
        <v>9</v>
      </c>
      <c r="I125" s="1">
        <v>9</v>
      </c>
      <c r="J125" s="1">
        <v>7</v>
      </c>
      <c r="K125" s="1">
        <v>8</v>
      </c>
      <c r="L125" s="1">
        <v>8</v>
      </c>
      <c r="M125" s="1">
        <v>31</v>
      </c>
      <c r="N125" s="1">
        <v>33</v>
      </c>
      <c r="O125" s="1">
        <v>16</v>
      </c>
      <c r="P125" s="1">
        <v>80</v>
      </c>
      <c r="Q125" s="7">
        <v>0.66666666666666663</v>
      </c>
      <c r="R125" s="7">
        <f t="shared" si="10"/>
        <v>23.196700507614214</v>
      </c>
      <c r="S125" s="7">
        <f t="shared" si="11"/>
        <v>6.4306002317777482</v>
      </c>
      <c r="T125" s="7">
        <f t="shared" si="12"/>
        <v>22.771573604060915</v>
      </c>
      <c r="U125" s="7">
        <f t="shared" si="13"/>
        <v>6.5356886776680962</v>
      </c>
      <c r="V125" s="7">
        <f t="shared" si="14"/>
        <v>11.434010152284264</v>
      </c>
      <c r="W125" s="7">
        <f t="shared" si="15"/>
        <v>3.5019632409825281</v>
      </c>
      <c r="X125" s="7">
        <f t="shared" si="16"/>
        <v>1.2134636287643328</v>
      </c>
      <c r="Y125" s="7">
        <f t="shared" si="17"/>
        <v>1.5650112636008453</v>
      </c>
      <c r="Z125" s="7">
        <f t="shared" si="18"/>
        <v>1.3038371717558861</v>
      </c>
      <c r="AA125" s="7">
        <f t="shared" si="19"/>
        <v>1.3607706880403547</v>
      </c>
    </row>
    <row r="126" spans="1:27" x14ac:dyDescent="0.25">
      <c r="A126" s="1" t="s">
        <v>1660</v>
      </c>
      <c r="B126" s="1" t="s">
        <v>861</v>
      </c>
      <c r="C126" s="1">
        <v>6</v>
      </c>
      <c r="D126" s="1">
        <v>6</v>
      </c>
      <c r="E126" s="1">
        <v>5</v>
      </c>
      <c r="F126" s="1">
        <v>6</v>
      </c>
      <c r="G126" s="1">
        <v>8</v>
      </c>
      <c r="H126" s="1">
        <v>7</v>
      </c>
      <c r="I126" s="1">
        <v>7</v>
      </c>
      <c r="J126" s="1">
        <v>6</v>
      </c>
      <c r="K126" s="1">
        <v>8</v>
      </c>
      <c r="L126" s="1">
        <v>6</v>
      </c>
      <c r="M126" s="1">
        <v>23</v>
      </c>
      <c r="N126" s="1">
        <v>28</v>
      </c>
      <c r="O126" s="1">
        <v>14</v>
      </c>
      <c r="P126" s="1">
        <v>65</v>
      </c>
      <c r="Q126" s="7">
        <v>0.97182531580755005</v>
      </c>
      <c r="R126" s="7">
        <f t="shared" si="10"/>
        <v>23.196700507614214</v>
      </c>
      <c r="S126" s="7">
        <f t="shared" si="11"/>
        <v>6.4306002317777482</v>
      </c>
      <c r="T126" s="7">
        <f t="shared" si="12"/>
        <v>22.771573604060915</v>
      </c>
      <c r="U126" s="7">
        <f t="shared" si="13"/>
        <v>6.5356886776680962</v>
      </c>
      <c r="V126" s="7">
        <f t="shared" si="14"/>
        <v>11.434010152284264</v>
      </c>
      <c r="W126" s="7">
        <f t="shared" si="15"/>
        <v>3.5019632409825281</v>
      </c>
      <c r="X126" s="7">
        <f t="shared" si="16"/>
        <v>-3.0588203359647428E-2</v>
      </c>
      <c r="Y126" s="7">
        <f t="shared" si="17"/>
        <v>0.79998094367685879</v>
      </c>
      <c r="Z126" s="7">
        <f t="shared" si="18"/>
        <v>0.73272894977498659</v>
      </c>
      <c r="AA126" s="7">
        <f t="shared" si="19"/>
        <v>0.50070723003073259</v>
      </c>
    </row>
    <row r="127" spans="1:27" x14ac:dyDescent="0.25">
      <c r="A127" s="1" t="s">
        <v>1660</v>
      </c>
      <c r="B127" s="1" t="s">
        <v>861</v>
      </c>
      <c r="C127" s="1">
        <v>8</v>
      </c>
      <c r="D127" s="1">
        <v>7</v>
      </c>
      <c r="E127" s="1">
        <v>7</v>
      </c>
      <c r="F127" s="1">
        <v>7</v>
      </c>
      <c r="G127" s="1">
        <v>8</v>
      </c>
      <c r="H127" s="1">
        <v>8</v>
      </c>
      <c r="I127" s="1">
        <v>6</v>
      </c>
      <c r="J127" s="1">
        <v>8</v>
      </c>
      <c r="K127" s="1">
        <v>7</v>
      </c>
      <c r="L127" s="1">
        <v>6</v>
      </c>
      <c r="M127" s="1">
        <v>29</v>
      </c>
      <c r="N127" s="1">
        <v>30</v>
      </c>
      <c r="O127" s="1">
        <v>13</v>
      </c>
      <c r="P127" s="1">
        <v>72</v>
      </c>
      <c r="Q127" s="7">
        <v>0.78881063774661531</v>
      </c>
      <c r="R127" s="7">
        <f t="shared" si="10"/>
        <v>23.196700507614214</v>
      </c>
      <c r="S127" s="7">
        <f t="shared" si="11"/>
        <v>6.4306002317777482</v>
      </c>
      <c r="T127" s="7">
        <f t="shared" si="12"/>
        <v>22.771573604060915</v>
      </c>
      <c r="U127" s="7">
        <f t="shared" si="13"/>
        <v>6.5356886776680962</v>
      </c>
      <c r="V127" s="7">
        <f t="shared" si="14"/>
        <v>11.434010152284264</v>
      </c>
      <c r="W127" s="7">
        <f t="shared" si="15"/>
        <v>3.5019632409825281</v>
      </c>
      <c r="X127" s="7">
        <f t="shared" si="16"/>
        <v>0.90245067073333785</v>
      </c>
      <c r="Y127" s="7">
        <f t="shared" si="17"/>
        <v>1.1059930716464534</v>
      </c>
      <c r="Z127" s="7">
        <f t="shared" si="18"/>
        <v>0.44717483878453679</v>
      </c>
      <c r="AA127" s="7">
        <f t="shared" si="19"/>
        <v>0.81853952705477606</v>
      </c>
    </row>
    <row r="128" spans="1:27" x14ac:dyDescent="0.25">
      <c r="A128" s="1" t="s">
        <v>1660</v>
      </c>
      <c r="B128" s="1" t="s">
        <v>861</v>
      </c>
      <c r="C128" s="1">
        <v>7</v>
      </c>
      <c r="D128" s="1">
        <v>4</v>
      </c>
      <c r="E128" s="1">
        <v>5</v>
      </c>
      <c r="F128" s="1">
        <v>4</v>
      </c>
      <c r="G128" s="1">
        <v>7</v>
      </c>
      <c r="H128" s="1">
        <v>5</v>
      </c>
      <c r="I128" s="1">
        <v>5</v>
      </c>
      <c r="J128" s="1">
        <v>4</v>
      </c>
      <c r="K128" s="1">
        <v>6</v>
      </c>
      <c r="L128" s="1">
        <v>3</v>
      </c>
      <c r="M128" s="1">
        <v>20</v>
      </c>
      <c r="N128" s="1">
        <v>21</v>
      </c>
      <c r="O128" s="1">
        <v>9</v>
      </c>
      <c r="P128" s="1">
        <v>50</v>
      </c>
      <c r="Q128" s="7">
        <v>1.3333333333333333</v>
      </c>
      <c r="R128" s="7">
        <f t="shared" si="10"/>
        <v>23.196700507614214</v>
      </c>
      <c r="S128" s="7">
        <f t="shared" si="11"/>
        <v>6.4306002317777482</v>
      </c>
      <c r="T128" s="7">
        <f t="shared" si="12"/>
        <v>22.771573604060915</v>
      </c>
      <c r="U128" s="7">
        <f t="shared" si="13"/>
        <v>6.5356886776680962</v>
      </c>
      <c r="V128" s="7">
        <f t="shared" si="14"/>
        <v>11.434010152284264</v>
      </c>
      <c r="W128" s="7">
        <f t="shared" si="15"/>
        <v>3.5019632409825281</v>
      </c>
      <c r="X128" s="7">
        <f t="shared" si="16"/>
        <v>-0.49710764040614003</v>
      </c>
      <c r="Y128" s="7">
        <f t="shared" si="17"/>
        <v>-0.27106150421672232</v>
      </c>
      <c r="Z128" s="7">
        <f t="shared" si="18"/>
        <v>-0.69504160517726232</v>
      </c>
      <c r="AA128" s="7">
        <f t="shared" si="19"/>
        <v>-0.48773691660004159</v>
      </c>
    </row>
    <row r="129" spans="1:27" x14ac:dyDescent="0.25">
      <c r="A129" s="1" t="s">
        <v>1660</v>
      </c>
      <c r="B129" s="1" t="s">
        <v>861</v>
      </c>
      <c r="C129" s="1">
        <v>7</v>
      </c>
      <c r="D129" s="1">
        <v>7</v>
      </c>
      <c r="E129" s="1">
        <v>6</v>
      </c>
      <c r="F129" s="1">
        <v>6</v>
      </c>
      <c r="G129" s="1">
        <v>6</v>
      </c>
      <c r="H129" s="1">
        <v>6</v>
      </c>
      <c r="I129" s="1">
        <v>6</v>
      </c>
      <c r="J129" s="1">
        <v>6</v>
      </c>
      <c r="K129" s="1">
        <v>6</v>
      </c>
      <c r="L129" s="1">
        <v>6</v>
      </c>
      <c r="M129" s="1">
        <v>26</v>
      </c>
      <c r="N129" s="1">
        <v>24</v>
      </c>
      <c r="O129" s="1">
        <v>12</v>
      </c>
      <c r="P129" s="1">
        <v>62</v>
      </c>
      <c r="Q129" s="7">
        <v>0.42163702135578429</v>
      </c>
      <c r="R129" s="7">
        <f t="shared" si="10"/>
        <v>23.196700507614214</v>
      </c>
      <c r="S129" s="7">
        <f t="shared" si="11"/>
        <v>6.4306002317777482</v>
      </c>
      <c r="T129" s="7">
        <f t="shared" si="12"/>
        <v>22.771573604060915</v>
      </c>
      <c r="U129" s="7">
        <f t="shared" si="13"/>
        <v>6.5356886776680962</v>
      </c>
      <c r="V129" s="7">
        <f t="shared" si="14"/>
        <v>11.434010152284264</v>
      </c>
      <c r="W129" s="7">
        <f t="shared" si="15"/>
        <v>3.5019632409825281</v>
      </c>
      <c r="X129" s="7">
        <f t="shared" si="16"/>
        <v>0.43593123368684517</v>
      </c>
      <c r="Y129" s="7">
        <f t="shared" si="17"/>
        <v>0.18795668773766958</v>
      </c>
      <c r="Z129" s="7">
        <f t="shared" si="18"/>
        <v>0.16162072779408701</v>
      </c>
      <c r="AA129" s="7">
        <f t="shared" si="19"/>
        <v>0.26183621640620058</v>
      </c>
    </row>
    <row r="130" spans="1:27" x14ac:dyDescent="0.25">
      <c r="A130" s="1" t="s">
        <v>1660</v>
      </c>
      <c r="B130" s="1" t="s">
        <v>861</v>
      </c>
      <c r="C130" s="1">
        <v>5</v>
      </c>
      <c r="D130" s="1">
        <v>7</v>
      </c>
      <c r="E130" s="1">
        <v>6</v>
      </c>
      <c r="F130" s="1">
        <v>6</v>
      </c>
      <c r="G130" s="1">
        <v>6</v>
      </c>
      <c r="H130" s="1">
        <v>6</v>
      </c>
      <c r="I130" s="1">
        <v>6</v>
      </c>
      <c r="J130" s="1">
        <v>5</v>
      </c>
      <c r="K130" s="1">
        <v>5</v>
      </c>
      <c r="L130" s="1">
        <v>4</v>
      </c>
      <c r="M130" s="1">
        <v>24</v>
      </c>
      <c r="N130" s="1">
        <v>23</v>
      </c>
      <c r="O130" s="1">
        <v>9</v>
      </c>
      <c r="P130" s="1">
        <v>56</v>
      </c>
      <c r="Q130" s="7">
        <v>0.8432740427115677</v>
      </c>
      <c r="R130" s="7">
        <f t="shared" si="10"/>
        <v>23.196700507614214</v>
      </c>
      <c r="S130" s="7">
        <f t="shared" si="11"/>
        <v>6.4306002317777482</v>
      </c>
      <c r="T130" s="7">
        <f t="shared" si="12"/>
        <v>22.771573604060915</v>
      </c>
      <c r="U130" s="7">
        <f t="shared" si="13"/>
        <v>6.5356886776680962</v>
      </c>
      <c r="V130" s="7">
        <f t="shared" si="14"/>
        <v>11.434010152284264</v>
      </c>
      <c r="W130" s="7">
        <f t="shared" si="15"/>
        <v>3.5019632409825281</v>
      </c>
      <c r="X130" s="7">
        <f t="shared" si="16"/>
        <v>0.12491827565585011</v>
      </c>
      <c r="Y130" s="7">
        <f t="shared" si="17"/>
        <v>3.4950623752872265E-2</v>
      </c>
      <c r="Z130" s="7">
        <f t="shared" si="18"/>
        <v>-0.69504160517726232</v>
      </c>
      <c r="AA130" s="7">
        <f t="shared" si="19"/>
        <v>-0.17839090192284665</v>
      </c>
    </row>
    <row r="131" spans="1:27" x14ac:dyDescent="0.25">
      <c r="A131" s="1" t="s">
        <v>1660</v>
      </c>
      <c r="B131" s="1" t="s">
        <v>861</v>
      </c>
      <c r="C131" s="1">
        <v>7</v>
      </c>
      <c r="D131" s="1">
        <v>6</v>
      </c>
      <c r="E131" s="1">
        <v>7</v>
      </c>
      <c r="F131" s="1">
        <v>7</v>
      </c>
      <c r="G131" s="1">
        <v>7</v>
      </c>
      <c r="H131" s="1">
        <v>7</v>
      </c>
      <c r="I131" s="1">
        <v>7</v>
      </c>
      <c r="J131" s="1">
        <v>7</v>
      </c>
      <c r="K131" s="1">
        <v>4</v>
      </c>
      <c r="L131" s="1">
        <v>6</v>
      </c>
      <c r="M131" s="1">
        <v>27</v>
      </c>
      <c r="N131" s="1">
        <v>28</v>
      </c>
      <c r="O131" s="1">
        <v>10</v>
      </c>
      <c r="P131" s="1">
        <v>65</v>
      </c>
      <c r="Q131" s="7">
        <v>0.97182531580755005</v>
      </c>
      <c r="R131" s="7">
        <f t="shared" ref="R131:R194" si="20">AVERAGE(M:M)</f>
        <v>23.196700507614214</v>
      </c>
      <c r="S131" s="7">
        <f t="shared" ref="S131:S194" si="21">_xlfn.STDEV.S(M:M)</f>
        <v>6.4306002317777482</v>
      </c>
      <c r="T131" s="7">
        <f t="shared" ref="T131:T194" si="22">AVERAGE(N:N)</f>
        <v>22.771573604060915</v>
      </c>
      <c r="U131" s="7">
        <f t="shared" ref="U131:U194" si="23">_xlfn.STDEV.S(N:N)</f>
        <v>6.5356886776680962</v>
      </c>
      <c r="V131" s="7">
        <f t="shared" ref="V131:V194" si="24">AVERAGE(O:O)</f>
        <v>11.434010152284264</v>
      </c>
      <c r="W131" s="7">
        <f t="shared" ref="W131:W194" si="25">_xlfn.STDEV.S(O:O)</f>
        <v>3.5019632409825281</v>
      </c>
      <c r="X131" s="7">
        <f t="shared" ref="X131:X194" si="26">STANDARDIZE(M131,R131,S131)</f>
        <v>0.59143771270234269</v>
      </c>
      <c r="Y131" s="7">
        <f t="shared" ref="Y131:Y194" si="27">STANDARDIZE(N131,T131,U131)</f>
        <v>0.79998094367685879</v>
      </c>
      <c r="Z131" s="7">
        <f t="shared" ref="Z131:Z194" si="28">STANDARDIZE(O131,V131,W131)</f>
        <v>-0.40948749418681252</v>
      </c>
      <c r="AA131" s="7">
        <f t="shared" ref="AA131:AA194" si="29">AVERAGE(X131:Z131)</f>
        <v>0.32731038739746299</v>
      </c>
    </row>
    <row r="132" spans="1:27" x14ac:dyDescent="0.25">
      <c r="A132" s="1" t="s">
        <v>1660</v>
      </c>
      <c r="B132" s="1" t="s">
        <v>861</v>
      </c>
      <c r="C132" s="1">
        <v>9</v>
      </c>
      <c r="D132" s="1">
        <v>9</v>
      </c>
      <c r="E132" s="1">
        <v>8</v>
      </c>
      <c r="F132" s="1">
        <v>8</v>
      </c>
      <c r="G132" s="1">
        <v>8</v>
      </c>
      <c r="H132" s="1">
        <v>8</v>
      </c>
      <c r="I132" s="1">
        <v>7</v>
      </c>
      <c r="J132" s="1">
        <v>8</v>
      </c>
      <c r="K132" s="1">
        <v>8</v>
      </c>
      <c r="L132" s="1">
        <v>9</v>
      </c>
      <c r="M132" s="1">
        <v>34</v>
      </c>
      <c r="N132" s="1">
        <v>31</v>
      </c>
      <c r="O132" s="1">
        <v>17</v>
      </c>
      <c r="P132" s="1">
        <v>82</v>
      </c>
      <c r="Q132" s="7">
        <v>0.63245553203367599</v>
      </c>
      <c r="R132" s="7">
        <f t="shared" si="20"/>
        <v>23.196700507614214</v>
      </c>
      <c r="S132" s="7">
        <f t="shared" si="21"/>
        <v>6.4306002317777482</v>
      </c>
      <c r="T132" s="7">
        <f t="shared" si="22"/>
        <v>22.771573604060915</v>
      </c>
      <c r="U132" s="7">
        <f t="shared" si="23"/>
        <v>6.5356886776680962</v>
      </c>
      <c r="V132" s="7">
        <f t="shared" si="24"/>
        <v>11.434010152284264</v>
      </c>
      <c r="W132" s="7">
        <f t="shared" si="25"/>
        <v>3.5019632409825281</v>
      </c>
      <c r="X132" s="7">
        <f t="shared" si="26"/>
        <v>1.6799830658108255</v>
      </c>
      <c r="Y132" s="7">
        <f t="shared" si="27"/>
        <v>1.2589991356312507</v>
      </c>
      <c r="Z132" s="7">
        <f t="shared" si="28"/>
        <v>1.5893912827463359</v>
      </c>
      <c r="AA132" s="7">
        <f t="shared" si="29"/>
        <v>1.5094578280628042</v>
      </c>
    </row>
    <row r="133" spans="1:27" x14ac:dyDescent="0.25">
      <c r="A133" s="1" t="s">
        <v>1660</v>
      </c>
      <c r="B133" s="1" t="s">
        <v>861</v>
      </c>
      <c r="C133" s="1">
        <v>6</v>
      </c>
      <c r="D133" s="1">
        <v>5</v>
      </c>
      <c r="E133" s="1">
        <v>6</v>
      </c>
      <c r="F133" s="1">
        <v>5</v>
      </c>
      <c r="G133" s="1">
        <v>6</v>
      </c>
      <c r="H133" s="1">
        <v>6</v>
      </c>
      <c r="I133" s="1">
        <v>6</v>
      </c>
      <c r="J133" s="1">
        <v>6</v>
      </c>
      <c r="K133" s="1">
        <v>5</v>
      </c>
      <c r="L133" s="1">
        <v>6</v>
      </c>
      <c r="M133" s="1">
        <v>22</v>
      </c>
      <c r="N133" s="1">
        <v>24</v>
      </c>
      <c r="O133" s="1">
        <v>11</v>
      </c>
      <c r="P133" s="1">
        <v>57</v>
      </c>
      <c r="Q133" s="7">
        <v>0.48304589153964805</v>
      </c>
      <c r="R133" s="7">
        <f t="shared" si="20"/>
        <v>23.196700507614214</v>
      </c>
      <c r="S133" s="7">
        <f t="shared" si="21"/>
        <v>6.4306002317777482</v>
      </c>
      <c r="T133" s="7">
        <f t="shared" si="22"/>
        <v>22.771573604060915</v>
      </c>
      <c r="U133" s="7">
        <f t="shared" si="23"/>
        <v>6.5356886776680962</v>
      </c>
      <c r="V133" s="7">
        <f t="shared" si="24"/>
        <v>11.434010152284264</v>
      </c>
      <c r="W133" s="7">
        <f t="shared" si="25"/>
        <v>3.5019632409825281</v>
      </c>
      <c r="X133" s="7">
        <f t="shared" si="26"/>
        <v>-0.18609468237514495</v>
      </c>
      <c r="Y133" s="7">
        <f t="shared" si="27"/>
        <v>0.18795668773766958</v>
      </c>
      <c r="Z133" s="7">
        <f t="shared" si="28"/>
        <v>-0.12393338319636275</v>
      </c>
      <c r="AA133" s="7">
        <f t="shared" si="29"/>
        <v>-4.0690459277946046E-2</v>
      </c>
    </row>
    <row r="134" spans="1:27" x14ac:dyDescent="0.25">
      <c r="A134" s="1" t="s">
        <v>1660</v>
      </c>
      <c r="B134" s="1" t="s">
        <v>861</v>
      </c>
      <c r="C134" s="1">
        <v>5</v>
      </c>
      <c r="D134" s="1">
        <v>5</v>
      </c>
      <c r="E134" s="1">
        <v>5</v>
      </c>
      <c r="F134" s="1">
        <v>5</v>
      </c>
      <c r="G134" s="1">
        <v>5</v>
      </c>
      <c r="H134" s="1">
        <v>5</v>
      </c>
      <c r="I134" s="1">
        <v>4</v>
      </c>
      <c r="J134" s="1">
        <v>5</v>
      </c>
      <c r="K134" s="1">
        <v>5</v>
      </c>
      <c r="L134" s="1">
        <v>4</v>
      </c>
      <c r="M134" s="1">
        <v>20</v>
      </c>
      <c r="N134" s="1">
        <v>19</v>
      </c>
      <c r="O134" s="1">
        <v>9</v>
      </c>
      <c r="P134" s="1">
        <v>48</v>
      </c>
      <c r="Q134" s="7">
        <v>0.42163702135578396</v>
      </c>
      <c r="R134" s="7">
        <f t="shared" si="20"/>
        <v>23.196700507614214</v>
      </c>
      <c r="S134" s="7">
        <f t="shared" si="21"/>
        <v>6.4306002317777482</v>
      </c>
      <c r="T134" s="7">
        <f t="shared" si="22"/>
        <v>22.771573604060915</v>
      </c>
      <c r="U134" s="7">
        <f t="shared" si="23"/>
        <v>6.5356886776680962</v>
      </c>
      <c r="V134" s="7">
        <f t="shared" si="24"/>
        <v>11.434010152284264</v>
      </c>
      <c r="W134" s="7">
        <f t="shared" si="25"/>
        <v>3.5019632409825281</v>
      </c>
      <c r="X134" s="7">
        <f t="shared" si="26"/>
        <v>-0.49710764040614003</v>
      </c>
      <c r="Y134" s="7">
        <f t="shared" si="27"/>
        <v>-0.57707363218631691</v>
      </c>
      <c r="Z134" s="7">
        <f t="shared" si="28"/>
        <v>-0.69504160517726232</v>
      </c>
      <c r="AA134" s="7">
        <f t="shared" si="29"/>
        <v>-0.58974095925657311</v>
      </c>
    </row>
    <row r="135" spans="1:27" x14ac:dyDescent="0.25">
      <c r="A135" s="1" t="s">
        <v>1660</v>
      </c>
      <c r="B135" s="1" t="s">
        <v>861</v>
      </c>
      <c r="C135" s="1">
        <v>5</v>
      </c>
      <c r="D135" s="1">
        <v>5</v>
      </c>
      <c r="E135" s="1">
        <v>5</v>
      </c>
      <c r="F135" s="1">
        <v>4</v>
      </c>
      <c r="G135" s="1">
        <v>5</v>
      </c>
      <c r="H135" s="1">
        <v>5</v>
      </c>
      <c r="I135" s="1">
        <v>5</v>
      </c>
      <c r="J135" s="1">
        <v>5</v>
      </c>
      <c r="K135" s="1">
        <v>6</v>
      </c>
      <c r="L135" s="1">
        <v>6</v>
      </c>
      <c r="M135" s="1">
        <v>19</v>
      </c>
      <c r="N135" s="1">
        <v>20</v>
      </c>
      <c r="O135" s="1">
        <v>12</v>
      </c>
      <c r="P135" s="1">
        <v>51</v>
      </c>
      <c r="Q135" s="7">
        <v>0.56764621219754674</v>
      </c>
      <c r="R135" s="7">
        <f t="shared" si="20"/>
        <v>23.196700507614214</v>
      </c>
      <c r="S135" s="7">
        <f t="shared" si="21"/>
        <v>6.4306002317777482</v>
      </c>
      <c r="T135" s="7">
        <f t="shared" si="22"/>
        <v>22.771573604060915</v>
      </c>
      <c r="U135" s="7">
        <f t="shared" si="23"/>
        <v>6.5356886776680962</v>
      </c>
      <c r="V135" s="7">
        <f t="shared" si="24"/>
        <v>11.434010152284264</v>
      </c>
      <c r="W135" s="7">
        <f t="shared" si="25"/>
        <v>3.5019632409825281</v>
      </c>
      <c r="X135" s="7">
        <f t="shared" si="26"/>
        <v>-0.65261411942163761</v>
      </c>
      <c r="Y135" s="7">
        <f t="shared" si="27"/>
        <v>-0.42406756820151964</v>
      </c>
      <c r="Z135" s="7">
        <f t="shared" si="28"/>
        <v>0.16162072779408701</v>
      </c>
      <c r="AA135" s="7">
        <f t="shared" si="29"/>
        <v>-0.30502031994302342</v>
      </c>
    </row>
    <row r="136" spans="1:27" x14ac:dyDescent="0.25">
      <c r="A136" s="1" t="s">
        <v>1660</v>
      </c>
      <c r="B136" s="1" t="s">
        <v>861</v>
      </c>
      <c r="C136" s="1">
        <v>6</v>
      </c>
      <c r="D136" s="1">
        <v>6</v>
      </c>
      <c r="E136" s="1">
        <v>6</v>
      </c>
      <c r="F136" s="1">
        <v>6</v>
      </c>
      <c r="G136" s="1">
        <v>6</v>
      </c>
      <c r="H136" s="1">
        <v>5</v>
      </c>
      <c r="I136" s="1">
        <v>5</v>
      </c>
      <c r="J136" s="1">
        <v>6</v>
      </c>
      <c r="K136" s="1">
        <v>6</v>
      </c>
      <c r="L136" s="1">
        <v>5</v>
      </c>
      <c r="M136" s="1">
        <v>24</v>
      </c>
      <c r="N136" s="1">
        <v>22</v>
      </c>
      <c r="O136" s="1">
        <v>11</v>
      </c>
      <c r="P136" s="1">
        <v>57</v>
      </c>
      <c r="Q136" s="7">
        <v>0.48304589153964789</v>
      </c>
      <c r="R136" s="7">
        <f t="shared" si="20"/>
        <v>23.196700507614214</v>
      </c>
      <c r="S136" s="7">
        <f t="shared" si="21"/>
        <v>6.4306002317777482</v>
      </c>
      <c r="T136" s="7">
        <f t="shared" si="22"/>
        <v>22.771573604060915</v>
      </c>
      <c r="U136" s="7">
        <f t="shared" si="23"/>
        <v>6.5356886776680962</v>
      </c>
      <c r="V136" s="7">
        <f t="shared" si="24"/>
        <v>11.434010152284264</v>
      </c>
      <c r="W136" s="7">
        <f t="shared" si="25"/>
        <v>3.5019632409825281</v>
      </c>
      <c r="X136" s="7">
        <f t="shared" si="26"/>
        <v>0.12491827565585011</v>
      </c>
      <c r="Y136" s="7">
        <f t="shared" si="27"/>
        <v>-0.11805544023192505</v>
      </c>
      <c r="Z136" s="7">
        <f t="shared" si="28"/>
        <v>-0.12393338319636275</v>
      </c>
      <c r="AA136" s="7">
        <f t="shared" si="29"/>
        <v>-3.90235159241459E-2</v>
      </c>
    </row>
    <row r="137" spans="1:27" x14ac:dyDescent="0.25">
      <c r="A137" s="1" t="s">
        <v>1660</v>
      </c>
      <c r="B137" s="1" t="s">
        <v>861</v>
      </c>
      <c r="C137" s="1">
        <v>7</v>
      </c>
      <c r="D137" s="1">
        <v>7</v>
      </c>
      <c r="E137" s="1">
        <v>6</v>
      </c>
      <c r="F137" s="1">
        <v>7</v>
      </c>
      <c r="G137" s="1">
        <v>6</v>
      </c>
      <c r="H137" s="1">
        <v>4</v>
      </c>
      <c r="I137" s="1">
        <v>5</v>
      </c>
      <c r="J137" s="1">
        <v>6</v>
      </c>
      <c r="K137" s="1">
        <v>6</v>
      </c>
      <c r="L137" s="1">
        <v>6</v>
      </c>
      <c r="M137" s="1">
        <v>27</v>
      </c>
      <c r="N137" s="1">
        <v>21</v>
      </c>
      <c r="O137" s="1">
        <v>12</v>
      </c>
      <c r="P137" s="1">
        <v>60</v>
      </c>
      <c r="Q137" s="7">
        <v>0.94280904158206313</v>
      </c>
      <c r="R137" s="7">
        <f t="shared" si="20"/>
        <v>23.196700507614214</v>
      </c>
      <c r="S137" s="7">
        <f t="shared" si="21"/>
        <v>6.4306002317777482</v>
      </c>
      <c r="T137" s="7">
        <f t="shared" si="22"/>
        <v>22.771573604060915</v>
      </c>
      <c r="U137" s="7">
        <f t="shared" si="23"/>
        <v>6.5356886776680962</v>
      </c>
      <c r="V137" s="7">
        <f t="shared" si="24"/>
        <v>11.434010152284264</v>
      </c>
      <c r="W137" s="7">
        <f t="shared" si="25"/>
        <v>3.5019632409825281</v>
      </c>
      <c r="X137" s="7">
        <f t="shared" si="26"/>
        <v>0.59143771270234269</v>
      </c>
      <c r="Y137" s="7">
        <f t="shared" si="27"/>
        <v>-0.27106150421672232</v>
      </c>
      <c r="Z137" s="7">
        <f t="shared" si="28"/>
        <v>0.16162072779408701</v>
      </c>
      <c r="AA137" s="7">
        <f t="shared" si="29"/>
        <v>0.16066564542656914</v>
      </c>
    </row>
    <row r="138" spans="1:27" x14ac:dyDescent="0.25">
      <c r="A138" s="1" t="s">
        <v>1660</v>
      </c>
      <c r="B138" s="1" t="s">
        <v>861</v>
      </c>
      <c r="C138" s="1">
        <v>5</v>
      </c>
      <c r="D138" s="1">
        <v>5</v>
      </c>
      <c r="E138" s="1">
        <v>5</v>
      </c>
      <c r="F138" s="1">
        <v>5</v>
      </c>
      <c r="G138" s="1">
        <v>6</v>
      </c>
      <c r="H138" s="1">
        <v>6</v>
      </c>
      <c r="I138" s="1">
        <v>6</v>
      </c>
      <c r="J138" s="1">
        <v>7</v>
      </c>
      <c r="K138" s="1">
        <v>6</v>
      </c>
      <c r="L138" s="1">
        <v>7</v>
      </c>
      <c r="M138" s="1">
        <v>20</v>
      </c>
      <c r="N138" s="1">
        <v>25</v>
      </c>
      <c r="O138" s="1">
        <v>13</v>
      </c>
      <c r="P138" s="1">
        <v>58</v>
      </c>
      <c r="Q138" s="7">
        <v>0.78881063774661531</v>
      </c>
      <c r="R138" s="7">
        <f t="shared" si="20"/>
        <v>23.196700507614214</v>
      </c>
      <c r="S138" s="7">
        <f t="shared" si="21"/>
        <v>6.4306002317777482</v>
      </c>
      <c r="T138" s="7">
        <f t="shared" si="22"/>
        <v>22.771573604060915</v>
      </c>
      <c r="U138" s="7">
        <f t="shared" si="23"/>
        <v>6.5356886776680962</v>
      </c>
      <c r="V138" s="7">
        <f t="shared" si="24"/>
        <v>11.434010152284264</v>
      </c>
      <c r="W138" s="7">
        <f t="shared" si="25"/>
        <v>3.5019632409825281</v>
      </c>
      <c r="X138" s="7">
        <f t="shared" si="26"/>
        <v>-0.49710764040614003</v>
      </c>
      <c r="Y138" s="7">
        <f t="shared" si="27"/>
        <v>0.34096275172246687</v>
      </c>
      <c r="Z138" s="7">
        <f t="shared" si="28"/>
        <v>0.44717483878453679</v>
      </c>
      <c r="AA138" s="7">
        <f t="shared" si="29"/>
        <v>9.7009983366954544E-2</v>
      </c>
    </row>
    <row r="139" spans="1:27" x14ac:dyDescent="0.25">
      <c r="A139" s="1" t="s">
        <v>1660</v>
      </c>
      <c r="B139" s="1" t="s">
        <v>861</v>
      </c>
      <c r="C139" s="1">
        <v>5</v>
      </c>
      <c r="D139" s="1">
        <v>4</v>
      </c>
      <c r="E139" s="1">
        <v>5</v>
      </c>
      <c r="F139" s="1">
        <v>5</v>
      </c>
      <c r="G139" s="1">
        <v>6</v>
      </c>
      <c r="H139" s="1">
        <v>5</v>
      </c>
      <c r="I139" s="1">
        <v>6</v>
      </c>
      <c r="J139" s="1">
        <v>6</v>
      </c>
      <c r="K139" s="1">
        <v>6</v>
      </c>
      <c r="L139" s="1">
        <v>5</v>
      </c>
      <c r="M139" s="1">
        <v>19</v>
      </c>
      <c r="N139" s="1">
        <v>23</v>
      </c>
      <c r="O139" s="1">
        <v>11</v>
      </c>
      <c r="P139" s="1">
        <v>53</v>
      </c>
      <c r="Q139" s="7">
        <v>0.67494855771055284</v>
      </c>
      <c r="R139" s="7">
        <f t="shared" si="20"/>
        <v>23.196700507614214</v>
      </c>
      <c r="S139" s="7">
        <f t="shared" si="21"/>
        <v>6.4306002317777482</v>
      </c>
      <c r="T139" s="7">
        <f t="shared" si="22"/>
        <v>22.771573604060915</v>
      </c>
      <c r="U139" s="7">
        <f t="shared" si="23"/>
        <v>6.5356886776680962</v>
      </c>
      <c r="V139" s="7">
        <f t="shared" si="24"/>
        <v>11.434010152284264</v>
      </c>
      <c r="W139" s="7">
        <f t="shared" si="25"/>
        <v>3.5019632409825281</v>
      </c>
      <c r="X139" s="7">
        <f t="shared" si="26"/>
        <v>-0.65261411942163761</v>
      </c>
      <c r="Y139" s="7">
        <f t="shared" si="27"/>
        <v>3.4950623752872265E-2</v>
      </c>
      <c r="Z139" s="7">
        <f t="shared" si="28"/>
        <v>-0.12393338319636275</v>
      </c>
      <c r="AA139" s="7">
        <f t="shared" si="29"/>
        <v>-0.24719895962170935</v>
      </c>
    </row>
    <row r="140" spans="1:27" x14ac:dyDescent="0.25">
      <c r="A140" s="1" t="s">
        <v>1660</v>
      </c>
      <c r="B140" s="1" t="s">
        <v>861</v>
      </c>
      <c r="C140" s="1">
        <v>6</v>
      </c>
      <c r="D140" s="1">
        <v>5</v>
      </c>
      <c r="E140" s="1">
        <v>5</v>
      </c>
      <c r="F140" s="1">
        <v>6</v>
      </c>
      <c r="G140" s="1">
        <v>5</v>
      </c>
      <c r="H140" s="1">
        <v>4</v>
      </c>
      <c r="I140" s="1">
        <v>5</v>
      </c>
      <c r="J140" s="1">
        <v>5</v>
      </c>
      <c r="K140" s="1">
        <v>6</v>
      </c>
      <c r="L140" s="1">
        <v>5</v>
      </c>
      <c r="M140" s="1">
        <v>22</v>
      </c>
      <c r="N140" s="1">
        <v>19</v>
      </c>
      <c r="O140" s="1">
        <v>11</v>
      </c>
      <c r="P140" s="1">
        <v>52</v>
      </c>
      <c r="Q140" s="7">
        <v>0.63245553203367588</v>
      </c>
      <c r="R140" s="7">
        <f t="shared" si="20"/>
        <v>23.196700507614214</v>
      </c>
      <c r="S140" s="7">
        <f t="shared" si="21"/>
        <v>6.4306002317777482</v>
      </c>
      <c r="T140" s="7">
        <f t="shared" si="22"/>
        <v>22.771573604060915</v>
      </c>
      <c r="U140" s="7">
        <f t="shared" si="23"/>
        <v>6.5356886776680962</v>
      </c>
      <c r="V140" s="7">
        <f t="shared" si="24"/>
        <v>11.434010152284264</v>
      </c>
      <c r="W140" s="7">
        <f t="shared" si="25"/>
        <v>3.5019632409825281</v>
      </c>
      <c r="X140" s="7">
        <f t="shared" si="26"/>
        <v>-0.18609468237514495</v>
      </c>
      <c r="Y140" s="7">
        <f t="shared" si="27"/>
        <v>-0.57707363218631691</v>
      </c>
      <c r="Z140" s="7">
        <f t="shared" si="28"/>
        <v>-0.12393338319636275</v>
      </c>
      <c r="AA140" s="7">
        <f t="shared" si="29"/>
        <v>-0.29570056591927485</v>
      </c>
    </row>
    <row r="141" spans="1:27" x14ac:dyDescent="0.25">
      <c r="A141" s="1" t="s">
        <v>1660</v>
      </c>
      <c r="B141" s="1" t="s">
        <v>861</v>
      </c>
      <c r="C141" s="1">
        <v>7</v>
      </c>
      <c r="D141" s="1">
        <v>7</v>
      </c>
      <c r="E141" s="1">
        <v>6</v>
      </c>
      <c r="F141" s="1">
        <v>6</v>
      </c>
      <c r="G141" s="1">
        <v>5</v>
      </c>
      <c r="H141" s="1">
        <v>5</v>
      </c>
      <c r="I141" s="1">
        <v>6</v>
      </c>
      <c r="J141" s="1">
        <v>5</v>
      </c>
      <c r="K141" s="1">
        <v>6</v>
      </c>
      <c r="L141" s="1">
        <v>6</v>
      </c>
      <c r="M141" s="1">
        <v>26</v>
      </c>
      <c r="N141" s="1">
        <v>21</v>
      </c>
      <c r="O141" s="1">
        <v>12</v>
      </c>
      <c r="P141" s="1">
        <v>59</v>
      </c>
      <c r="Q141" s="7">
        <v>0.73786478737262184</v>
      </c>
      <c r="R141" s="7">
        <f t="shared" si="20"/>
        <v>23.196700507614214</v>
      </c>
      <c r="S141" s="7">
        <f t="shared" si="21"/>
        <v>6.4306002317777482</v>
      </c>
      <c r="T141" s="7">
        <f t="shared" si="22"/>
        <v>22.771573604060915</v>
      </c>
      <c r="U141" s="7">
        <f t="shared" si="23"/>
        <v>6.5356886776680962</v>
      </c>
      <c r="V141" s="7">
        <f t="shared" si="24"/>
        <v>11.434010152284264</v>
      </c>
      <c r="W141" s="7">
        <f t="shared" si="25"/>
        <v>3.5019632409825281</v>
      </c>
      <c r="X141" s="7">
        <f t="shared" si="26"/>
        <v>0.43593123368684517</v>
      </c>
      <c r="Y141" s="7">
        <f t="shared" si="27"/>
        <v>-0.27106150421672232</v>
      </c>
      <c r="Z141" s="7">
        <f t="shared" si="28"/>
        <v>0.16162072779408701</v>
      </c>
      <c r="AA141" s="7">
        <f t="shared" si="29"/>
        <v>0.1088301524214033</v>
      </c>
    </row>
    <row r="142" spans="1:27" x14ac:dyDescent="0.25">
      <c r="A142" s="1" t="s">
        <v>1660</v>
      </c>
      <c r="B142" s="1" t="s">
        <v>861</v>
      </c>
      <c r="C142" s="1">
        <v>7</v>
      </c>
      <c r="D142" s="1">
        <v>7</v>
      </c>
      <c r="E142" s="1">
        <v>6</v>
      </c>
      <c r="F142" s="1">
        <v>7</v>
      </c>
      <c r="G142" s="1">
        <v>6</v>
      </c>
      <c r="H142" s="1">
        <v>5</v>
      </c>
      <c r="I142" s="1">
        <v>5</v>
      </c>
      <c r="J142" s="1">
        <v>6</v>
      </c>
      <c r="K142" s="1">
        <v>6</v>
      </c>
      <c r="L142" s="1">
        <v>6</v>
      </c>
      <c r="M142" s="1">
        <v>27</v>
      </c>
      <c r="N142" s="1">
        <v>22</v>
      </c>
      <c r="O142" s="1">
        <v>12</v>
      </c>
      <c r="P142" s="1">
        <v>61</v>
      </c>
      <c r="Q142" s="7">
        <v>0.73786478737262173</v>
      </c>
      <c r="R142" s="7">
        <f t="shared" si="20"/>
        <v>23.196700507614214</v>
      </c>
      <c r="S142" s="7">
        <f t="shared" si="21"/>
        <v>6.4306002317777482</v>
      </c>
      <c r="T142" s="7">
        <f t="shared" si="22"/>
        <v>22.771573604060915</v>
      </c>
      <c r="U142" s="7">
        <f t="shared" si="23"/>
        <v>6.5356886776680962</v>
      </c>
      <c r="V142" s="7">
        <f t="shared" si="24"/>
        <v>11.434010152284264</v>
      </c>
      <c r="W142" s="7">
        <f t="shared" si="25"/>
        <v>3.5019632409825281</v>
      </c>
      <c r="X142" s="7">
        <f t="shared" si="26"/>
        <v>0.59143771270234269</v>
      </c>
      <c r="Y142" s="7">
        <f t="shared" si="27"/>
        <v>-0.11805544023192505</v>
      </c>
      <c r="Z142" s="7">
        <f t="shared" si="28"/>
        <v>0.16162072779408701</v>
      </c>
      <c r="AA142" s="7">
        <f t="shared" si="29"/>
        <v>0.21166766675483487</v>
      </c>
    </row>
    <row r="143" spans="1:27" x14ac:dyDescent="0.25">
      <c r="A143" s="1" t="s">
        <v>1660</v>
      </c>
      <c r="B143" s="1" t="s">
        <v>861</v>
      </c>
      <c r="C143" s="1">
        <v>7</v>
      </c>
      <c r="D143" s="1">
        <v>7</v>
      </c>
      <c r="E143" s="1">
        <v>7</v>
      </c>
      <c r="F143" s="1">
        <v>7</v>
      </c>
      <c r="G143" s="1">
        <v>7</v>
      </c>
      <c r="H143" s="1">
        <v>7</v>
      </c>
      <c r="I143" s="1">
        <v>6</v>
      </c>
      <c r="J143" s="1">
        <v>7</v>
      </c>
      <c r="K143" s="1">
        <v>7</v>
      </c>
      <c r="L143" s="1">
        <v>7</v>
      </c>
      <c r="M143" s="1">
        <v>28</v>
      </c>
      <c r="N143" s="1">
        <v>27</v>
      </c>
      <c r="O143" s="1">
        <v>14</v>
      </c>
      <c r="P143" s="1">
        <v>69</v>
      </c>
      <c r="Q143" s="7">
        <v>0.31622776601683783</v>
      </c>
      <c r="R143" s="7">
        <f t="shared" si="20"/>
        <v>23.196700507614214</v>
      </c>
      <c r="S143" s="7">
        <f t="shared" si="21"/>
        <v>6.4306002317777482</v>
      </c>
      <c r="T143" s="7">
        <f t="shared" si="22"/>
        <v>22.771573604060915</v>
      </c>
      <c r="U143" s="7">
        <f t="shared" si="23"/>
        <v>6.5356886776680962</v>
      </c>
      <c r="V143" s="7">
        <f t="shared" si="24"/>
        <v>11.434010152284264</v>
      </c>
      <c r="W143" s="7">
        <f t="shared" si="25"/>
        <v>3.5019632409825281</v>
      </c>
      <c r="X143" s="7">
        <f t="shared" si="26"/>
        <v>0.74694419171784021</v>
      </c>
      <c r="Y143" s="7">
        <f t="shared" si="27"/>
        <v>0.64697487969206147</v>
      </c>
      <c r="Z143" s="7">
        <f t="shared" si="28"/>
        <v>0.73272894977498659</v>
      </c>
      <c r="AA143" s="7">
        <f t="shared" si="29"/>
        <v>0.70888267372829616</v>
      </c>
    </row>
    <row r="144" spans="1:27" x14ac:dyDescent="0.25">
      <c r="A144" s="1" t="s">
        <v>1660</v>
      </c>
      <c r="B144" s="1" t="s">
        <v>861</v>
      </c>
      <c r="C144" s="1">
        <v>8</v>
      </c>
      <c r="D144" s="1">
        <v>8</v>
      </c>
      <c r="E144" s="1">
        <v>7</v>
      </c>
      <c r="F144" s="1">
        <v>7</v>
      </c>
      <c r="G144" s="1">
        <v>7</v>
      </c>
      <c r="H144" s="1">
        <v>7</v>
      </c>
      <c r="I144" s="1">
        <v>7</v>
      </c>
      <c r="J144" s="1">
        <v>7</v>
      </c>
      <c r="K144" s="1">
        <v>8</v>
      </c>
      <c r="L144" s="1">
        <v>8</v>
      </c>
      <c r="M144" s="1">
        <v>30</v>
      </c>
      <c r="N144" s="1">
        <v>28</v>
      </c>
      <c r="O144" s="1">
        <v>16</v>
      </c>
      <c r="P144" s="1">
        <v>74</v>
      </c>
      <c r="Q144" s="7">
        <v>0.51639777949432231</v>
      </c>
      <c r="R144" s="7">
        <f t="shared" si="20"/>
        <v>23.196700507614214</v>
      </c>
      <c r="S144" s="7">
        <f t="shared" si="21"/>
        <v>6.4306002317777482</v>
      </c>
      <c r="T144" s="7">
        <f t="shared" si="22"/>
        <v>22.771573604060915</v>
      </c>
      <c r="U144" s="7">
        <f t="shared" si="23"/>
        <v>6.5356886776680962</v>
      </c>
      <c r="V144" s="7">
        <f t="shared" si="24"/>
        <v>11.434010152284264</v>
      </c>
      <c r="W144" s="7">
        <f t="shared" si="25"/>
        <v>3.5019632409825281</v>
      </c>
      <c r="X144" s="7">
        <f t="shared" si="26"/>
        <v>1.0579571497488354</v>
      </c>
      <c r="Y144" s="7">
        <f t="shared" si="27"/>
        <v>0.79998094367685879</v>
      </c>
      <c r="Z144" s="7">
        <f t="shared" si="28"/>
        <v>1.3038371717558861</v>
      </c>
      <c r="AA144" s="7">
        <f t="shared" si="29"/>
        <v>1.05392508839386</v>
      </c>
    </row>
    <row r="145" spans="1:27" x14ac:dyDescent="0.25">
      <c r="A145" s="1" t="s">
        <v>1660</v>
      </c>
      <c r="B145" s="1" t="s">
        <v>861</v>
      </c>
      <c r="C145" s="1">
        <v>6</v>
      </c>
      <c r="D145" s="1">
        <v>5</v>
      </c>
      <c r="E145" s="1">
        <v>5</v>
      </c>
      <c r="F145" s="1">
        <v>5</v>
      </c>
      <c r="G145" s="1">
        <v>6</v>
      </c>
      <c r="H145" s="1">
        <v>5</v>
      </c>
      <c r="I145" s="1">
        <v>5</v>
      </c>
      <c r="J145" s="1">
        <v>5</v>
      </c>
      <c r="K145" s="1">
        <v>6</v>
      </c>
      <c r="L145" s="1">
        <v>6</v>
      </c>
      <c r="M145" s="1">
        <v>21</v>
      </c>
      <c r="N145" s="1">
        <v>21</v>
      </c>
      <c r="O145" s="1">
        <v>12</v>
      </c>
      <c r="P145" s="1">
        <v>54</v>
      </c>
      <c r="Q145" s="7">
        <v>0.5163977794943222</v>
      </c>
      <c r="R145" s="7">
        <f t="shared" si="20"/>
        <v>23.196700507614214</v>
      </c>
      <c r="S145" s="7">
        <f t="shared" si="21"/>
        <v>6.4306002317777482</v>
      </c>
      <c r="T145" s="7">
        <f t="shared" si="22"/>
        <v>22.771573604060915</v>
      </c>
      <c r="U145" s="7">
        <f t="shared" si="23"/>
        <v>6.5356886776680962</v>
      </c>
      <c r="V145" s="7">
        <f t="shared" si="24"/>
        <v>11.434010152284264</v>
      </c>
      <c r="W145" s="7">
        <f t="shared" si="25"/>
        <v>3.5019632409825281</v>
      </c>
      <c r="X145" s="7">
        <f t="shared" si="26"/>
        <v>-0.3416011613906425</v>
      </c>
      <c r="Y145" s="7">
        <f t="shared" si="27"/>
        <v>-0.27106150421672232</v>
      </c>
      <c r="Z145" s="7">
        <f t="shared" si="28"/>
        <v>0.16162072779408701</v>
      </c>
      <c r="AA145" s="7">
        <f t="shared" si="29"/>
        <v>-0.15034731260442594</v>
      </c>
    </row>
    <row r="146" spans="1:27" x14ac:dyDescent="0.25">
      <c r="A146" s="1" t="s">
        <v>1661</v>
      </c>
      <c r="B146" s="1" t="s">
        <v>861</v>
      </c>
      <c r="C146" s="1">
        <v>7</v>
      </c>
      <c r="D146" s="1">
        <v>7</v>
      </c>
      <c r="E146" s="1">
        <v>7</v>
      </c>
      <c r="F146" s="1">
        <v>7</v>
      </c>
      <c r="G146" s="1">
        <v>7</v>
      </c>
      <c r="H146" s="1">
        <v>6</v>
      </c>
      <c r="I146" s="1">
        <v>6</v>
      </c>
      <c r="J146" s="1">
        <v>8</v>
      </c>
      <c r="K146" s="1">
        <v>7</v>
      </c>
      <c r="L146" s="1">
        <v>8</v>
      </c>
      <c r="M146" s="1">
        <v>28</v>
      </c>
      <c r="N146" s="1">
        <v>27</v>
      </c>
      <c r="O146" s="1">
        <v>15</v>
      </c>
      <c r="P146" s="1">
        <v>70</v>
      </c>
      <c r="Q146" s="7">
        <v>0.66666666666666652</v>
      </c>
      <c r="R146" s="7">
        <f t="shared" si="20"/>
        <v>23.196700507614214</v>
      </c>
      <c r="S146" s="7">
        <f t="shared" si="21"/>
        <v>6.4306002317777482</v>
      </c>
      <c r="T146" s="7">
        <f t="shared" si="22"/>
        <v>22.771573604060915</v>
      </c>
      <c r="U146" s="7">
        <f t="shared" si="23"/>
        <v>6.5356886776680962</v>
      </c>
      <c r="V146" s="7">
        <f t="shared" si="24"/>
        <v>11.434010152284264</v>
      </c>
      <c r="W146" s="7">
        <f t="shared" si="25"/>
        <v>3.5019632409825281</v>
      </c>
      <c r="X146" s="7">
        <f t="shared" si="26"/>
        <v>0.74694419171784021</v>
      </c>
      <c r="Y146" s="7">
        <f t="shared" si="27"/>
        <v>0.64697487969206147</v>
      </c>
      <c r="Z146" s="7">
        <f t="shared" si="28"/>
        <v>1.0182830607654363</v>
      </c>
      <c r="AA146" s="7">
        <f t="shared" si="29"/>
        <v>0.80406737739177936</v>
      </c>
    </row>
    <row r="147" spans="1:27" x14ac:dyDescent="0.25">
      <c r="A147" s="1" t="s">
        <v>1661</v>
      </c>
      <c r="B147" s="1" t="s">
        <v>861</v>
      </c>
      <c r="C147" s="1">
        <v>9</v>
      </c>
      <c r="D147" s="1">
        <v>8</v>
      </c>
      <c r="E147" s="1">
        <v>7</v>
      </c>
      <c r="F147" s="1">
        <v>8</v>
      </c>
      <c r="G147" s="1">
        <v>9</v>
      </c>
      <c r="H147" s="1">
        <v>8</v>
      </c>
      <c r="I147" s="1">
        <v>8</v>
      </c>
      <c r="J147" s="1">
        <v>9</v>
      </c>
      <c r="K147" s="1">
        <v>9</v>
      </c>
      <c r="L147" s="1">
        <v>10</v>
      </c>
      <c r="M147" s="1">
        <v>32</v>
      </c>
      <c r="N147" s="1">
        <v>34</v>
      </c>
      <c r="O147" s="1">
        <v>19</v>
      </c>
      <c r="P147" s="1">
        <v>85</v>
      </c>
      <c r="Q147" s="7">
        <v>0.84983658559879738</v>
      </c>
      <c r="R147" s="7">
        <f t="shared" si="20"/>
        <v>23.196700507614214</v>
      </c>
      <c r="S147" s="7">
        <f t="shared" si="21"/>
        <v>6.4306002317777482</v>
      </c>
      <c r="T147" s="7">
        <f t="shared" si="22"/>
        <v>22.771573604060915</v>
      </c>
      <c r="U147" s="7">
        <f t="shared" si="23"/>
        <v>6.5356886776680962</v>
      </c>
      <c r="V147" s="7">
        <f t="shared" si="24"/>
        <v>11.434010152284264</v>
      </c>
      <c r="W147" s="7">
        <f t="shared" si="25"/>
        <v>3.5019632409825281</v>
      </c>
      <c r="X147" s="7">
        <f t="shared" si="26"/>
        <v>1.3689701077798304</v>
      </c>
      <c r="Y147" s="7">
        <f t="shared" si="27"/>
        <v>1.7180173275856425</v>
      </c>
      <c r="Z147" s="7">
        <f t="shared" si="28"/>
        <v>2.1604995047272353</v>
      </c>
      <c r="AA147" s="7">
        <f t="shared" si="29"/>
        <v>1.749162313364236</v>
      </c>
    </row>
    <row r="148" spans="1:27" x14ac:dyDescent="0.25">
      <c r="A148" s="1" t="s">
        <v>1661</v>
      </c>
      <c r="B148" s="1" t="s">
        <v>861</v>
      </c>
      <c r="C148" s="1">
        <v>8</v>
      </c>
      <c r="D148" s="1">
        <v>7</v>
      </c>
      <c r="E148" s="1">
        <v>6</v>
      </c>
      <c r="F148" s="1">
        <v>7</v>
      </c>
      <c r="G148" s="1">
        <v>7</v>
      </c>
      <c r="H148" s="1">
        <v>7</v>
      </c>
      <c r="I148" s="1">
        <v>7</v>
      </c>
      <c r="J148" s="1">
        <v>8</v>
      </c>
      <c r="K148" s="1">
        <v>8</v>
      </c>
      <c r="L148" s="1">
        <v>7</v>
      </c>
      <c r="M148" s="1">
        <v>28</v>
      </c>
      <c r="N148" s="1">
        <v>29</v>
      </c>
      <c r="O148" s="1">
        <v>15</v>
      </c>
      <c r="P148" s="1">
        <v>72</v>
      </c>
      <c r="Q148" s="7">
        <v>0.63245553203367588</v>
      </c>
      <c r="R148" s="7">
        <f t="shared" si="20"/>
        <v>23.196700507614214</v>
      </c>
      <c r="S148" s="7">
        <f t="shared" si="21"/>
        <v>6.4306002317777482</v>
      </c>
      <c r="T148" s="7">
        <f t="shared" si="22"/>
        <v>22.771573604060915</v>
      </c>
      <c r="U148" s="7">
        <f t="shared" si="23"/>
        <v>6.5356886776680962</v>
      </c>
      <c r="V148" s="7">
        <f t="shared" si="24"/>
        <v>11.434010152284264</v>
      </c>
      <c r="W148" s="7">
        <f t="shared" si="25"/>
        <v>3.5019632409825281</v>
      </c>
      <c r="X148" s="7">
        <f t="shared" si="26"/>
        <v>0.74694419171784021</v>
      </c>
      <c r="Y148" s="7">
        <f t="shared" si="27"/>
        <v>0.95298700766165612</v>
      </c>
      <c r="Z148" s="7">
        <f t="shared" si="28"/>
        <v>1.0182830607654363</v>
      </c>
      <c r="AA148" s="7">
        <f t="shared" si="29"/>
        <v>0.90607142004831098</v>
      </c>
    </row>
    <row r="149" spans="1:27" x14ac:dyDescent="0.25">
      <c r="A149" s="1" t="s">
        <v>1661</v>
      </c>
      <c r="B149" s="1" t="s">
        <v>861</v>
      </c>
      <c r="C149" s="1">
        <v>8</v>
      </c>
      <c r="D149" s="1">
        <v>8</v>
      </c>
      <c r="E149" s="1">
        <v>9</v>
      </c>
      <c r="F149" s="1">
        <v>9</v>
      </c>
      <c r="G149" s="1">
        <v>8</v>
      </c>
      <c r="H149" s="1">
        <v>9</v>
      </c>
      <c r="I149" s="1">
        <v>9</v>
      </c>
      <c r="J149" s="1">
        <v>9</v>
      </c>
      <c r="K149" s="1">
        <v>9</v>
      </c>
      <c r="L149" s="1">
        <v>8</v>
      </c>
      <c r="M149" s="1">
        <v>34</v>
      </c>
      <c r="N149" s="1">
        <v>35</v>
      </c>
      <c r="O149" s="1">
        <v>17</v>
      </c>
      <c r="P149" s="1">
        <v>86</v>
      </c>
      <c r="Q149" s="7">
        <v>0.5163977794943222</v>
      </c>
      <c r="R149" s="7">
        <f t="shared" si="20"/>
        <v>23.196700507614214</v>
      </c>
      <c r="S149" s="7">
        <f t="shared" si="21"/>
        <v>6.4306002317777482</v>
      </c>
      <c r="T149" s="7">
        <f t="shared" si="22"/>
        <v>22.771573604060915</v>
      </c>
      <c r="U149" s="7">
        <f t="shared" si="23"/>
        <v>6.5356886776680962</v>
      </c>
      <c r="V149" s="7">
        <f t="shared" si="24"/>
        <v>11.434010152284264</v>
      </c>
      <c r="W149" s="7">
        <f t="shared" si="25"/>
        <v>3.5019632409825281</v>
      </c>
      <c r="X149" s="7">
        <f t="shared" si="26"/>
        <v>1.6799830658108255</v>
      </c>
      <c r="Y149" s="7">
        <f t="shared" si="27"/>
        <v>1.87102339157044</v>
      </c>
      <c r="Z149" s="7">
        <f t="shared" si="28"/>
        <v>1.5893912827463359</v>
      </c>
      <c r="AA149" s="7">
        <f t="shared" si="29"/>
        <v>1.713465913375867</v>
      </c>
    </row>
    <row r="150" spans="1:27" x14ac:dyDescent="0.25">
      <c r="A150" s="1" t="s">
        <v>1661</v>
      </c>
      <c r="B150" s="1" t="s">
        <v>861</v>
      </c>
      <c r="C150" s="1">
        <v>6</v>
      </c>
      <c r="D150" s="1">
        <v>7</v>
      </c>
      <c r="E150" s="1">
        <v>6</v>
      </c>
      <c r="F150" s="1">
        <v>7</v>
      </c>
      <c r="G150" s="1">
        <v>8</v>
      </c>
      <c r="H150" s="1">
        <v>8</v>
      </c>
      <c r="I150" s="1">
        <v>8</v>
      </c>
      <c r="J150" s="1">
        <v>7</v>
      </c>
      <c r="K150" s="1">
        <v>6</v>
      </c>
      <c r="L150" s="1">
        <v>7</v>
      </c>
      <c r="M150" s="1">
        <v>26</v>
      </c>
      <c r="N150" s="1">
        <v>31</v>
      </c>
      <c r="O150" s="1">
        <v>13</v>
      </c>
      <c r="P150" s="1">
        <v>70</v>
      </c>
      <c r="Q150" s="7">
        <v>0.81649658092772603</v>
      </c>
      <c r="R150" s="7">
        <f t="shared" si="20"/>
        <v>23.196700507614214</v>
      </c>
      <c r="S150" s="7">
        <f t="shared" si="21"/>
        <v>6.4306002317777482</v>
      </c>
      <c r="T150" s="7">
        <f t="shared" si="22"/>
        <v>22.771573604060915</v>
      </c>
      <c r="U150" s="7">
        <f t="shared" si="23"/>
        <v>6.5356886776680962</v>
      </c>
      <c r="V150" s="7">
        <f t="shared" si="24"/>
        <v>11.434010152284264</v>
      </c>
      <c r="W150" s="7">
        <f t="shared" si="25"/>
        <v>3.5019632409825281</v>
      </c>
      <c r="X150" s="7">
        <f t="shared" si="26"/>
        <v>0.43593123368684517</v>
      </c>
      <c r="Y150" s="7">
        <f t="shared" si="27"/>
        <v>1.2589991356312507</v>
      </c>
      <c r="Z150" s="7">
        <f t="shared" si="28"/>
        <v>0.44717483878453679</v>
      </c>
      <c r="AA150" s="7">
        <f t="shared" si="29"/>
        <v>0.71403506936754424</v>
      </c>
    </row>
    <row r="151" spans="1:27" x14ac:dyDescent="0.25">
      <c r="A151" s="1" t="s">
        <v>1661</v>
      </c>
      <c r="B151" s="1" t="s">
        <v>861</v>
      </c>
      <c r="C151" s="1">
        <v>7</v>
      </c>
      <c r="D151" s="1">
        <v>7</v>
      </c>
      <c r="E151" s="1">
        <v>6</v>
      </c>
      <c r="F151" s="1">
        <v>7</v>
      </c>
      <c r="G151" s="1">
        <v>7</v>
      </c>
      <c r="H151" s="1">
        <v>9</v>
      </c>
      <c r="I151" s="1">
        <v>8</v>
      </c>
      <c r="J151" s="1">
        <v>8</v>
      </c>
      <c r="K151" s="1">
        <v>8</v>
      </c>
      <c r="L151" s="1">
        <v>9</v>
      </c>
      <c r="M151" s="1">
        <v>27</v>
      </c>
      <c r="N151" s="1">
        <v>32</v>
      </c>
      <c r="O151" s="1">
        <v>17</v>
      </c>
      <c r="P151" s="1">
        <v>76</v>
      </c>
      <c r="Q151" s="7">
        <v>0.966091783079296</v>
      </c>
      <c r="R151" s="7">
        <f t="shared" si="20"/>
        <v>23.196700507614214</v>
      </c>
      <c r="S151" s="7">
        <f t="shared" si="21"/>
        <v>6.4306002317777482</v>
      </c>
      <c r="T151" s="7">
        <f t="shared" si="22"/>
        <v>22.771573604060915</v>
      </c>
      <c r="U151" s="7">
        <f t="shared" si="23"/>
        <v>6.5356886776680962</v>
      </c>
      <c r="V151" s="7">
        <f t="shared" si="24"/>
        <v>11.434010152284264</v>
      </c>
      <c r="W151" s="7">
        <f t="shared" si="25"/>
        <v>3.5019632409825281</v>
      </c>
      <c r="X151" s="7">
        <f t="shared" si="26"/>
        <v>0.59143771270234269</v>
      </c>
      <c r="Y151" s="7">
        <f t="shared" si="27"/>
        <v>1.4120051996160479</v>
      </c>
      <c r="Z151" s="7">
        <f t="shared" si="28"/>
        <v>1.5893912827463359</v>
      </c>
      <c r="AA151" s="7">
        <f t="shared" si="29"/>
        <v>1.1976113983549086</v>
      </c>
    </row>
    <row r="152" spans="1:27" x14ac:dyDescent="0.25">
      <c r="A152" s="1" t="s">
        <v>1661</v>
      </c>
      <c r="B152" s="1" t="s">
        <v>861</v>
      </c>
      <c r="C152" s="1">
        <v>7</v>
      </c>
      <c r="D152" s="1">
        <v>7</v>
      </c>
      <c r="E152" s="1">
        <v>6</v>
      </c>
      <c r="F152" s="1">
        <v>8</v>
      </c>
      <c r="G152" s="1">
        <v>7</v>
      </c>
      <c r="H152" s="1">
        <v>8</v>
      </c>
      <c r="I152" s="1">
        <v>9</v>
      </c>
      <c r="J152" s="1">
        <v>8</v>
      </c>
      <c r="K152" s="1">
        <v>7</v>
      </c>
      <c r="L152" s="1">
        <v>7</v>
      </c>
      <c r="M152" s="1">
        <v>28</v>
      </c>
      <c r="N152" s="1">
        <v>32</v>
      </c>
      <c r="O152" s="1">
        <v>14</v>
      </c>
      <c r="P152" s="1">
        <v>74</v>
      </c>
      <c r="Q152" s="7">
        <v>0.84327404271156781</v>
      </c>
      <c r="R152" s="7">
        <f t="shared" si="20"/>
        <v>23.196700507614214</v>
      </c>
      <c r="S152" s="7">
        <f t="shared" si="21"/>
        <v>6.4306002317777482</v>
      </c>
      <c r="T152" s="7">
        <f t="shared" si="22"/>
        <v>22.771573604060915</v>
      </c>
      <c r="U152" s="7">
        <f t="shared" si="23"/>
        <v>6.5356886776680962</v>
      </c>
      <c r="V152" s="7">
        <f t="shared" si="24"/>
        <v>11.434010152284264</v>
      </c>
      <c r="W152" s="7">
        <f t="shared" si="25"/>
        <v>3.5019632409825281</v>
      </c>
      <c r="X152" s="7">
        <f t="shared" si="26"/>
        <v>0.74694419171784021</v>
      </c>
      <c r="Y152" s="7">
        <f t="shared" si="27"/>
        <v>1.4120051996160479</v>
      </c>
      <c r="Z152" s="7">
        <f t="shared" si="28"/>
        <v>0.73272894977498659</v>
      </c>
      <c r="AA152" s="7">
        <f t="shared" si="29"/>
        <v>0.96389278036962489</v>
      </c>
    </row>
    <row r="153" spans="1:27" x14ac:dyDescent="0.25">
      <c r="A153" s="1" t="s">
        <v>1661</v>
      </c>
      <c r="B153" s="1" t="s">
        <v>861</v>
      </c>
      <c r="C153" s="1">
        <v>9</v>
      </c>
      <c r="D153" s="1">
        <v>9</v>
      </c>
      <c r="E153" s="1">
        <v>9</v>
      </c>
      <c r="F153" s="1">
        <v>9</v>
      </c>
      <c r="G153" s="1">
        <v>9</v>
      </c>
      <c r="H153" s="1">
        <v>9</v>
      </c>
      <c r="I153" s="1">
        <v>10</v>
      </c>
      <c r="J153" s="1">
        <v>9</v>
      </c>
      <c r="K153" s="1">
        <v>7</v>
      </c>
      <c r="L153" s="1">
        <v>9</v>
      </c>
      <c r="M153" s="1">
        <v>36</v>
      </c>
      <c r="N153" s="1">
        <v>37</v>
      </c>
      <c r="O153" s="1">
        <v>16</v>
      </c>
      <c r="P153" s="1">
        <v>89</v>
      </c>
      <c r="Q153" s="7">
        <v>0.73786478737262184</v>
      </c>
      <c r="R153" s="7">
        <f t="shared" si="20"/>
        <v>23.196700507614214</v>
      </c>
      <c r="S153" s="7">
        <f t="shared" si="21"/>
        <v>6.4306002317777482</v>
      </c>
      <c r="T153" s="7">
        <f t="shared" si="22"/>
        <v>22.771573604060915</v>
      </c>
      <c r="U153" s="7">
        <f t="shared" si="23"/>
        <v>6.5356886776680962</v>
      </c>
      <c r="V153" s="7">
        <f t="shared" si="24"/>
        <v>11.434010152284264</v>
      </c>
      <c r="W153" s="7">
        <f t="shared" si="25"/>
        <v>3.5019632409825281</v>
      </c>
      <c r="X153" s="7">
        <f t="shared" si="26"/>
        <v>1.9909960238418205</v>
      </c>
      <c r="Y153" s="7">
        <f t="shared" si="27"/>
        <v>2.1770355195400346</v>
      </c>
      <c r="Z153" s="7">
        <f t="shared" si="28"/>
        <v>1.3038371717558861</v>
      </c>
      <c r="AA153" s="7">
        <f t="shared" si="29"/>
        <v>1.8239562383792471</v>
      </c>
    </row>
    <row r="154" spans="1:27" x14ac:dyDescent="0.25">
      <c r="A154" s="1" t="s">
        <v>1661</v>
      </c>
      <c r="B154" s="1" t="s">
        <v>861</v>
      </c>
      <c r="C154" s="1">
        <v>9</v>
      </c>
      <c r="D154" s="1">
        <v>8</v>
      </c>
      <c r="E154" s="1">
        <v>9</v>
      </c>
      <c r="F154" s="1">
        <v>8</v>
      </c>
      <c r="G154" s="1">
        <v>9</v>
      </c>
      <c r="H154" s="1">
        <v>9</v>
      </c>
      <c r="I154" s="1">
        <v>10</v>
      </c>
      <c r="J154" s="1">
        <v>9</v>
      </c>
      <c r="K154" s="1">
        <v>9</v>
      </c>
      <c r="L154" s="1">
        <v>9</v>
      </c>
      <c r="M154" s="1">
        <v>34</v>
      </c>
      <c r="N154" s="1">
        <v>37</v>
      </c>
      <c r="O154" s="1">
        <v>18</v>
      </c>
      <c r="P154" s="1">
        <v>89</v>
      </c>
      <c r="Q154" s="7">
        <v>0.56764621219754707</v>
      </c>
      <c r="R154" s="7">
        <f t="shared" si="20"/>
        <v>23.196700507614214</v>
      </c>
      <c r="S154" s="7">
        <f t="shared" si="21"/>
        <v>6.4306002317777482</v>
      </c>
      <c r="T154" s="7">
        <f t="shared" si="22"/>
        <v>22.771573604060915</v>
      </c>
      <c r="U154" s="7">
        <f t="shared" si="23"/>
        <v>6.5356886776680962</v>
      </c>
      <c r="V154" s="7">
        <f t="shared" si="24"/>
        <v>11.434010152284264</v>
      </c>
      <c r="W154" s="7">
        <f t="shared" si="25"/>
        <v>3.5019632409825281</v>
      </c>
      <c r="X154" s="7">
        <f t="shared" si="26"/>
        <v>1.6799830658108255</v>
      </c>
      <c r="Y154" s="7">
        <f t="shared" si="27"/>
        <v>2.1770355195400346</v>
      </c>
      <c r="Z154" s="7">
        <f t="shared" si="28"/>
        <v>1.8749453937367857</v>
      </c>
      <c r="AA154" s="7">
        <f t="shared" si="29"/>
        <v>1.910654659695882</v>
      </c>
    </row>
    <row r="155" spans="1:27" x14ac:dyDescent="0.25">
      <c r="A155" s="1" t="s">
        <v>1661</v>
      </c>
      <c r="B155" s="1" t="s">
        <v>861</v>
      </c>
      <c r="C155" s="1">
        <v>10</v>
      </c>
      <c r="D155" s="1">
        <v>9</v>
      </c>
      <c r="E155" s="1">
        <v>9</v>
      </c>
      <c r="F155" s="1">
        <v>9</v>
      </c>
      <c r="G155" s="1">
        <v>10</v>
      </c>
      <c r="H155" s="1">
        <v>9</v>
      </c>
      <c r="I155" s="1">
        <v>10</v>
      </c>
      <c r="J155" s="1">
        <v>9</v>
      </c>
      <c r="K155" s="1">
        <v>9</v>
      </c>
      <c r="L155" s="1">
        <v>9</v>
      </c>
      <c r="M155" s="1">
        <v>37</v>
      </c>
      <c r="N155" s="1">
        <v>38</v>
      </c>
      <c r="O155" s="1">
        <v>18</v>
      </c>
      <c r="P155" s="1">
        <v>93</v>
      </c>
      <c r="Q155" s="7">
        <v>0.48304589153964805</v>
      </c>
      <c r="R155" s="7">
        <f t="shared" si="20"/>
        <v>23.196700507614214</v>
      </c>
      <c r="S155" s="7">
        <f t="shared" si="21"/>
        <v>6.4306002317777482</v>
      </c>
      <c r="T155" s="7">
        <f t="shared" si="22"/>
        <v>22.771573604060915</v>
      </c>
      <c r="U155" s="7">
        <f t="shared" si="23"/>
        <v>6.5356886776680962</v>
      </c>
      <c r="V155" s="7">
        <f t="shared" si="24"/>
        <v>11.434010152284264</v>
      </c>
      <c r="W155" s="7">
        <f t="shared" si="25"/>
        <v>3.5019632409825281</v>
      </c>
      <c r="X155" s="7">
        <f t="shared" si="26"/>
        <v>2.1465025028573179</v>
      </c>
      <c r="Y155" s="7">
        <f t="shared" si="27"/>
        <v>2.3300415835248316</v>
      </c>
      <c r="Z155" s="7">
        <f t="shared" si="28"/>
        <v>1.8749453937367857</v>
      </c>
      <c r="AA155" s="7">
        <f t="shared" si="29"/>
        <v>2.1171631600396452</v>
      </c>
    </row>
    <row r="156" spans="1:27" x14ac:dyDescent="0.25">
      <c r="A156" s="1" t="s">
        <v>1661</v>
      </c>
      <c r="B156" s="1" t="s">
        <v>861</v>
      </c>
      <c r="C156" s="1">
        <v>9</v>
      </c>
      <c r="D156" s="1">
        <v>10</v>
      </c>
      <c r="E156" s="1">
        <v>9</v>
      </c>
      <c r="F156" s="1">
        <v>10</v>
      </c>
      <c r="G156" s="1">
        <v>8</v>
      </c>
      <c r="H156" s="1">
        <v>9</v>
      </c>
      <c r="I156" s="1">
        <v>9</v>
      </c>
      <c r="J156" s="1">
        <v>8</v>
      </c>
      <c r="K156" s="1">
        <v>8</v>
      </c>
      <c r="L156" s="1">
        <v>9</v>
      </c>
      <c r="M156" s="1">
        <v>38</v>
      </c>
      <c r="N156" s="1">
        <v>34</v>
      </c>
      <c r="O156" s="1">
        <v>17</v>
      </c>
      <c r="P156" s="1">
        <v>89</v>
      </c>
      <c r="Q156" s="7">
        <v>0.73786478737262173</v>
      </c>
      <c r="R156" s="7">
        <f t="shared" si="20"/>
        <v>23.196700507614214</v>
      </c>
      <c r="S156" s="7">
        <f t="shared" si="21"/>
        <v>6.4306002317777482</v>
      </c>
      <c r="T156" s="7">
        <f t="shared" si="22"/>
        <v>22.771573604060915</v>
      </c>
      <c r="U156" s="7">
        <f t="shared" si="23"/>
        <v>6.5356886776680962</v>
      </c>
      <c r="V156" s="7">
        <f t="shared" si="24"/>
        <v>11.434010152284264</v>
      </c>
      <c r="W156" s="7">
        <f t="shared" si="25"/>
        <v>3.5019632409825281</v>
      </c>
      <c r="X156" s="7">
        <f t="shared" si="26"/>
        <v>2.3020089818728158</v>
      </c>
      <c r="Y156" s="7">
        <f t="shared" si="27"/>
        <v>1.7180173275856425</v>
      </c>
      <c r="Z156" s="7">
        <f t="shared" si="28"/>
        <v>1.5893912827463359</v>
      </c>
      <c r="AA156" s="7">
        <f t="shared" si="29"/>
        <v>1.8698058640682647</v>
      </c>
    </row>
    <row r="157" spans="1:27" x14ac:dyDescent="0.25">
      <c r="A157" s="1" t="s">
        <v>1661</v>
      </c>
      <c r="B157" s="1" t="s">
        <v>861</v>
      </c>
      <c r="C157" s="1">
        <v>8</v>
      </c>
      <c r="D157" s="1">
        <v>7</v>
      </c>
      <c r="E157" s="1">
        <v>8</v>
      </c>
      <c r="F157" s="1">
        <v>9</v>
      </c>
      <c r="G157" s="1">
        <v>9</v>
      </c>
      <c r="H157" s="1">
        <v>8</v>
      </c>
      <c r="I157" s="1">
        <v>8</v>
      </c>
      <c r="J157" s="1">
        <v>9</v>
      </c>
      <c r="K157" s="1">
        <v>9</v>
      </c>
      <c r="L157" s="1">
        <v>9</v>
      </c>
      <c r="M157" s="1">
        <v>32</v>
      </c>
      <c r="N157" s="1">
        <v>34</v>
      </c>
      <c r="O157" s="1">
        <v>18</v>
      </c>
      <c r="P157" s="1">
        <v>84</v>
      </c>
      <c r="Q157" s="7">
        <v>0.69920589878010098</v>
      </c>
      <c r="R157" s="7">
        <f t="shared" si="20"/>
        <v>23.196700507614214</v>
      </c>
      <c r="S157" s="7">
        <f t="shared" si="21"/>
        <v>6.4306002317777482</v>
      </c>
      <c r="T157" s="7">
        <f t="shared" si="22"/>
        <v>22.771573604060915</v>
      </c>
      <c r="U157" s="7">
        <f t="shared" si="23"/>
        <v>6.5356886776680962</v>
      </c>
      <c r="V157" s="7">
        <f t="shared" si="24"/>
        <v>11.434010152284264</v>
      </c>
      <c r="W157" s="7">
        <f t="shared" si="25"/>
        <v>3.5019632409825281</v>
      </c>
      <c r="X157" s="7">
        <f t="shared" si="26"/>
        <v>1.3689701077798304</v>
      </c>
      <c r="Y157" s="7">
        <f t="shared" si="27"/>
        <v>1.7180173275856425</v>
      </c>
      <c r="Z157" s="7">
        <f t="shared" si="28"/>
        <v>1.8749453937367857</v>
      </c>
      <c r="AA157" s="7">
        <f t="shared" si="29"/>
        <v>1.653977609700753</v>
      </c>
    </row>
    <row r="158" spans="1:27" x14ac:dyDescent="0.25">
      <c r="A158" s="1" t="s">
        <v>1661</v>
      </c>
      <c r="B158" s="1" t="s">
        <v>861</v>
      </c>
      <c r="C158" s="1">
        <v>10</v>
      </c>
      <c r="D158" s="1">
        <v>8</v>
      </c>
      <c r="E158" s="1">
        <v>9</v>
      </c>
      <c r="F158" s="1">
        <v>9</v>
      </c>
      <c r="G158" s="1">
        <v>9</v>
      </c>
      <c r="H158" s="1">
        <v>8</v>
      </c>
      <c r="I158" s="1">
        <v>9</v>
      </c>
      <c r="J158" s="1">
        <v>9</v>
      </c>
      <c r="K158" s="1">
        <v>10</v>
      </c>
      <c r="L158" s="1">
        <v>9</v>
      </c>
      <c r="M158" s="1">
        <v>36</v>
      </c>
      <c r="N158" s="1">
        <v>35</v>
      </c>
      <c r="O158" s="1">
        <v>19</v>
      </c>
      <c r="P158" s="1">
        <v>90</v>
      </c>
      <c r="Q158" s="7">
        <v>0.66666666666666663</v>
      </c>
      <c r="R158" s="7">
        <f t="shared" si="20"/>
        <v>23.196700507614214</v>
      </c>
      <c r="S158" s="7">
        <f t="shared" si="21"/>
        <v>6.4306002317777482</v>
      </c>
      <c r="T158" s="7">
        <f t="shared" si="22"/>
        <v>22.771573604060915</v>
      </c>
      <c r="U158" s="7">
        <f t="shared" si="23"/>
        <v>6.5356886776680962</v>
      </c>
      <c r="V158" s="7">
        <f t="shared" si="24"/>
        <v>11.434010152284264</v>
      </c>
      <c r="W158" s="7">
        <f t="shared" si="25"/>
        <v>3.5019632409825281</v>
      </c>
      <c r="X158" s="7">
        <f t="shared" si="26"/>
        <v>1.9909960238418205</v>
      </c>
      <c r="Y158" s="7">
        <f t="shared" si="27"/>
        <v>1.87102339157044</v>
      </c>
      <c r="Z158" s="7">
        <f t="shared" si="28"/>
        <v>2.1604995047272353</v>
      </c>
      <c r="AA158" s="7">
        <f t="shared" si="29"/>
        <v>2.0075063067131649</v>
      </c>
    </row>
    <row r="159" spans="1:27" x14ac:dyDescent="0.25">
      <c r="A159" s="1" t="s">
        <v>1661</v>
      </c>
      <c r="B159" s="1" t="s">
        <v>861</v>
      </c>
      <c r="C159" s="1">
        <v>9</v>
      </c>
      <c r="D159" s="1">
        <v>7</v>
      </c>
      <c r="E159" s="1">
        <v>8</v>
      </c>
      <c r="F159" s="1">
        <v>8</v>
      </c>
      <c r="G159" s="1">
        <v>9</v>
      </c>
      <c r="H159" s="1">
        <v>9</v>
      </c>
      <c r="I159" s="1">
        <v>8</v>
      </c>
      <c r="J159" s="1">
        <v>9</v>
      </c>
      <c r="K159" s="1">
        <v>8</v>
      </c>
      <c r="L159" s="1">
        <v>9</v>
      </c>
      <c r="M159" s="1">
        <v>32</v>
      </c>
      <c r="N159" s="1">
        <v>35</v>
      </c>
      <c r="O159" s="1">
        <v>17</v>
      </c>
      <c r="P159" s="1">
        <v>84</v>
      </c>
      <c r="Q159" s="7">
        <v>0.6992058987801012</v>
      </c>
      <c r="R159" s="7">
        <f t="shared" si="20"/>
        <v>23.196700507614214</v>
      </c>
      <c r="S159" s="7">
        <f t="shared" si="21"/>
        <v>6.4306002317777482</v>
      </c>
      <c r="T159" s="7">
        <f t="shared" si="22"/>
        <v>22.771573604060915</v>
      </c>
      <c r="U159" s="7">
        <f t="shared" si="23"/>
        <v>6.5356886776680962</v>
      </c>
      <c r="V159" s="7">
        <f t="shared" si="24"/>
        <v>11.434010152284264</v>
      </c>
      <c r="W159" s="7">
        <f t="shared" si="25"/>
        <v>3.5019632409825281</v>
      </c>
      <c r="X159" s="7">
        <f t="shared" si="26"/>
        <v>1.3689701077798304</v>
      </c>
      <c r="Y159" s="7">
        <f t="shared" si="27"/>
        <v>1.87102339157044</v>
      </c>
      <c r="Z159" s="7">
        <f t="shared" si="28"/>
        <v>1.5893912827463359</v>
      </c>
      <c r="AA159" s="7">
        <f t="shared" si="29"/>
        <v>1.6097949273655354</v>
      </c>
    </row>
    <row r="160" spans="1:27" x14ac:dyDescent="0.25">
      <c r="A160" s="1" t="s">
        <v>1666</v>
      </c>
      <c r="B160" s="1" t="s">
        <v>861</v>
      </c>
      <c r="C160" s="1">
        <v>9</v>
      </c>
      <c r="D160" s="1">
        <v>8</v>
      </c>
      <c r="E160" s="1">
        <v>9</v>
      </c>
      <c r="F160" s="1">
        <v>8</v>
      </c>
      <c r="G160" s="1">
        <v>8</v>
      </c>
      <c r="H160" s="1">
        <v>8</v>
      </c>
      <c r="I160" s="1">
        <v>9</v>
      </c>
      <c r="J160" s="1">
        <v>8</v>
      </c>
      <c r="K160" s="1">
        <v>9</v>
      </c>
      <c r="L160" s="1">
        <v>8</v>
      </c>
      <c r="M160" s="1">
        <v>34</v>
      </c>
      <c r="N160" s="1">
        <v>33</v>
      </c>
      <c r="O160" s="1">
        <v>17</v>
      </c>
      <c r="P160" s="1">
        <v>84</v>
      </c>
      <c r="Q160" s="7">
        <v>0.51639777949432231</v>
      </c>
      <c r="R160" s="7">
        <f t="shared" si="20"/>
        <v>23.196700507614214</v>
      </c>
      <c r="S160" s="7">
        <f t="shared" si="21"/>
        <v>6.4306002317777482</v>
      </c>
      <c r="T160" s="7">
        <f t="shared" si="22"/>
        <v>22.771573604060915</v>
      </c>
      <c r="U160" s="7">
        <f t="shared" si="23"/>
        <v>6.5356886776680962</v>
      </c>
      <c r="V160" s="7">
        <f t="shared" si="24"/>
        <v>11.434010152284264</v>
      </c>
      <c r="W160" s="7">
        <f t="shared" si="25"/>
        <v>3.5019632409825281</v>
      </c>
      <c r="X160" s="7">
        <f t="shared" si="26"/>
        <v>1.6799830658108255</v>
      </c>
      <c r="Y160" s="7">
        <f t="shared" si="27"/>
        <v>1.5650112636008453</v>
      </c>
      <c r="Z160" s="7">
        <f t="shared" si="28"/>
        <v>1.5893912827463359</v>
      </c>
      <c r="AA160" s="7">
        <f t="shared" si="29"/>
        <v>1.6114618707193353</v>
      </c>
    </row>
    <row r="161" spans="1:27" x14ac:dyDescent="0.25">
      <c r="A161" s="1" t="s">
        <v>1666</v>
      </c>
      <c r="B161" s="1" t="s">
        <v>861</v>
      </c>
      <c r="C161" s="1">
        <v>7</v>
      </c>
      <c r="D161" s="1">
        <v>8</v>
      </c>
      <c r="E161" s="1">
        <v>7</v>
      </c>
      <c r="F161" s="1">
        <v>8</v>
      </c>
      <c r="G161" s="1">
        <v>8</v>
      </c>
      <c r="H161" s="1">
        <v>7</v>
      </c>
      <c r="I161" s="1">
        <v>7</v>
      </c>
      <c r="J161" s="1">
        <v>7</v>
      </c>
      <c r="K161" s="1">
        <v>6</v>
      </c>
      <c r="L161" s="1">
        <v>9</v>
      </c>
      <c r="M161" s="1">
        <v>30</v>
      </c>
      <c r="N161" s="1">
        <v>29</v>
      </c>
      <c r="O161" s="1">
        <v>15</v>
      </c>
      <c r="P161" s="1">
        <v>74</v>
      </c>
      <c r="Q161" s="7">
        <v>0.84327404271156781</v>
      </c>
      <c r="R161" s="7">
        <f t="shared" si="20"/>
        <v>23.196700507614214</v>
      </c>
      <c r="S161" s="7">
        <f t="shared" si="21"/>
        <v>6.4306002317777482</v>
      </c>
      <c r="T161" s="7">
        <f t="shared" si="22"/>
        <v>22.771573604060915</v>
      </c>
      <c r="U161" s="7">
        <f t="shared" si="23"/>
        <v>6.5356886776680962</v>
      </c>
      <c r="V161" s="7">
        <f t="shared" si="24"/>
        <v>11.434010152284264</v>
      </c>
      <c r="W161" s="7">
        <f t="shared" si="25"/>
        <v>3.5019632409825281</v>
      </c>
      <c r="X161" s="7">
        <f t="shared" si="26"/>
        <v>1.0579571497488354</v>
      </c>
      <c r="Y161" s="7">
        <f t="shared" si="27"/>
        <v>0.95298700766165612</v>
      </c>
      <c r="Z161" s="7">
        <f t="shared" si="28"/>
        <v>1.0182830607654363</v>
      </c>
      <c r="AA161" s="7">
        <f t="shared" si="29"/>
        <v>1.0097424060586426</v>
      </c>
    </row>
    <row r="162" spans="1:27" x14ac:dyDescent="0.25">
      <c r="A162" s="1" t="s">
        <v>1666</v>
      </c>
      <c r="B162" s="1" t="s">
        <v>861</v>
      </c>
      <c r="C162" s="1">
        <v>4</v>
      </c>
      <c r="D162" s="1">
        <v>5</v>
      </c>
      <c r="E162" s="1">
        <v>4</v>
      </c>
      <c r="F162" s="1">
        <v>3</v>
      </c>
      <c r="G162" s="1">
        <v>6</v>
      </c>
      <c r="H162" s="1">
        <v>4</v>
      </c>
      <c r="I162" s="1">
        <v>3</v>
      </c>
      <c r="J162" s="1">
        <v>4</v>
      </c>
      <c r="K162" s="1">
        <v>3</v>
      </c>
      <c r="L162" s="1">
        <v>3</v>
      </c>
      <c r="M162" s="1">
        <v>16</v>
      </c>
      <c r="N162" s="1">
        <v>17</v>
      </c>
      <c r="O162" s="1">
        <v>6</v>
      </c>
      <c r="P162" s="1">
        <v>39</v>
      </c>
      <c r="Q162" s="7">
        <v>0.99442892601175326</v>
      </c>
      <c r="R162" s="7">
        <f t="shared" si="20"/>
        <v>23.196700507614214</v>
      </c>
      <c r="S162" s="7">
        <f t="shared" si="21"/>
        <v>6.4306002317777482</v>
      </c>
      <c r="T162" s="7">
        <f t="shared" si="22"/>
        <v>22.771573604060915</v>
      </c>
      <c r="U162" s="7">
        <f t="shared" si="23"/>
        <v>6.5356886776680962</v>
      </c>
      <c r="V162" s="7">
        <f t="shared" si="24"/>
        <v>11.434010152284264</v>
      </c>
      <c r="W162" s="7">
        <f t="shared" si="25"/>
        <v>3.5019632409825281</v>
      </c>
      <c r="X162" s="7">
        <f t="shared" si="26"/>
        <v>-1.1191335564681302</v>
      </c>
      <c r="Y162" s="7">
        <f t="shared" si="27"/>
        <v>-0.88308576015591156</v>
      </c>
      <c r="Z162" s="7">
        <f t="shared" si="28"/>
        <v>-1.5517039381486115</v>
      </c>
      <c r="AA162" s="7">
        <f t="shared" si="29"/>
        <v>-1.1846410849242177</v>
      </c>
    </row>
    <row r="163" spans="1:27" x14ac:dyDescent="0.25">
      <c r="A163" s="1" t="s">
        <v>1666</v>
      </c>
      <c r="B163" s="1" t="s">
        <v>861</v>
      </c>
      <c r="C163" s="1">
        <v>7</v>
      </c>
      <c r="D163" s="1">
        <v>6</v>
      </c>
      <c r="E163" s="1">
        <v>5</v>
      </c>
      <c r="F163" s="1">
        <v>6</v>
      </c>
      <c r="G163" s="1">
        <v>5</v>
      </c>
      <c r="H163" s="1">
        <v>5</v>
      </c>
      <c r="I163" s="1">
        <v>4</v>
      </c>
      <c r="J163" s="1">
        <v>5</v>
      </c>
      <c r="K163" s="1">
        <v>4</v>
      </c>
      <c r="L163" s="1">
        <v>5</v>
      </c>
      <c r="M163" s="1">
        <v>24</v>
      </c>
      <c r="N163" s="1">
        <v>19</v>
      </c>
      <c r="O163" s="1">
        <v>9</v>
      </c>
      <c r="P163" s="1">
        <v>52</v>
      </c>
      <c r="Q163" s="7">
        <v>0.91893658347268103</v>
      </c>
      <c r="R163" s="7">
        <f t="shared" si="20"/>
        <v>23.196700507614214</v>
      </c>
      <c r="S163" s="7">
        <f t="shared" si="21"/>
        <v>6.4306002317777482</v>
      </c>
      <c r="T163" s="7">
        <f t="shared" si="22"/>
        <v>22.771573604060915</v>
      </c>
      <c r="U163" s="7">
        <f t="shared" si="23"/>
        <v>6.5356886776680962</v>
      </c>
      <c r="V163" s="7">
        <f t="shared" si="24"/>
        <v>11.434010152284264</v>
      </c>
      <c r="W163" s="7">
        <f t="shared" si="25"/>
        <v>3.5019632409825281</v>
      </c>
      <c r="X163" s="7">
        <f t="shared" si="26"/>
        <v>0.12491827565585011</v>
      </c>
      <c r="Y163" s="7">
        <f t="shared" si="27"/>
        <v>-0.57707363218631691</v>
      </c>
      <c r="Z163" s="7">
        <f t="shared" si="28"/>
        <v>-0.69504160517726232</v>
      </c>
      <c r="AA163" s="7">
        <f t="shared" si="29"/>
        <v>-0.3823989872359097</v>
      </c>
    </row>
    <row r="164" spans="1:27" x14ac:dyDescent="0.25">
      <c r="A164" s="1" t="s">
        <v>1666</v>
      </c>
      <c r="B164" s="1" t="s">
        <v>861</v>
      </c>
      <c r="C164" s="1">
        <v>8</v>
      </c>
      <c r="D164" s="1">
        <v>8</v>
      </c>
      <c r="E164" s="1">
        <v>7</v>
      </c>
      <c r="F164" s="1">
        <v>7</v>
      </c>
      <c r="G164" s="1">
        <v>8</v>
      </c>
      <c r="H164" s="1">
        <v>7</v>
      </c>
      <c r="I164" s="1">
        <v>7</v>
      </c>
      <c r="J164" s="1">
        <v>7</v>
      </c>
      <c r="K164" s="1">
        <v>8</v>
      </c>
      <c r="L164" s="1">
        <v>9</v>
      </c>
      <c r="M164" s="1">
        <v>30</v>
      </c>
      <c r="N164" s="1">
        <v>29</v>
      </c>
      <c r="O164" s="1">
        <v>17</v>
      </c>
      <c r="P164" s="1">
        <v>76</v>
      </c>
      <c r="Q164" s="7">
        <v>0.69920589878010098</v>
      </c>
      <c r="R164" s="7">
        <f t="shared" si="20"/>
        <v>23.196700507614214</v>
      </c>
      <c r="S164" s="7">
        <f t="shared" si="21"/>
        <v>6.4306002317777482</v>
      </c>
      <c r="T164" s="7">
        <f t="shared" si="22"/>
        <v>22.771573604060915</v>
      </c>
      <c r="U164" s="7">
        <f t="shared" si="23"/>
        <v>6.5356886776680962</v>
      </c>
      <c r="V164" s="7">
        <f t="shared" si="24"/>
        <v>11.434010152284264</v>
      </c>
      <c r="W164" s="7">
        <f t="shared" si="25"/>
        <v>3.5019632409825281</v>
      </c>
      <c r="X164" s="7">
        <f t="shared" si="26"/>
        <v>1.0579571497488354</v>
      </c>
      <c r="Y164" s="7">
        <f t="shared" si="27"/>
        <v>0.95298700766165612</v>
      </c>
      <c r="Z164" s="7">
        <f t="shared" si="28"/>
        <v>1.5893912827463359</v>
      </c>
      <c r="AA164" s="7">
        <f t="shared" si="29"/>
        <v>1.2001118133856092</v>
      </c>
    </row>
    <row r="165" spans="1:27" x14ac:dyDescent="0.25">
      <c r="A165" s="1" t="s">
        <v>1666</v>
      </c>
      <c r="B165" s="1" t="s">
        <v>861</v>
      </c>
      <c r="C165" s="1">
        <v>7</v>
      </c>
      <c r="D165" s="1">
        <v>4</v>
      </c>
      <c r="E165" s="1">
        <v>4</v>
      </c>
      <c r="F165" s="1">
        <v>5</v>
      </c>
      <c r="G165" s="1">
        <v>6</v>
      </c>
      <c r="H165" s="1">
        <v>6</v>
      </c>
      <c r="I165" s="1">
        <v>5</v>
      </c>
      <c r="J165" s="1">
        <v>6</v>
      </c>
      <c r="K165" s="1">
        <v>6</v>
      </c>
      <c r="L165" s="1">
        <v>4</v>
      </c>
      <c r="M165" s="1">
        <v>20</v>
      </c>
      <c r="N165" s="1">
        <v>23</v>
      </c>
      <c r="O165" s="1">
        <v>10</v>
      </c>
      <c r="P165" s="1">
        <v>53</v>
      </c>
      <c r="Q165" s="7">
        <v>1.0593499054713802</v>
      </c>
      <c r="R165" s="7">
        <f t="shared" si="20"/>
        <v>23.196700507614214</v>
      </c>
      <c r="S165" s="7">
        <f t="shared" si="21"/>
        <v>6.4306002317777482</v>
      </c>
      <c r="T165" s="7">
        <f t="shared" si="22"/>
        <v>22.771573604060915</v>
      </c>
      <c r="U165" s="7">
        <f t="shared" si="23"/>
        <v>6.5356886776680962</v>
      </c>
      <c r="V165" s="7">
        <f t="shared" si="24"/>
        <v>11.434010152284264</v>
      </c>
      <c r="W165" s="7">
        <f t="shared" si="25"/>
        <v>3.5019632409825281</v>
      </c>
      <c r="X165" s="7">
        <f t="shared" si="26"/>
        <v>-0.49710764040614003</v>
      </c>
      <c r="Y165" s="7">
        <f t="shared" si="27"/>
        <v>3.4950623752872265E-2</v>
      </c>
      <c r="Z165" s="7">
        <f t="shared" si="28"/>
        <v>-0.40948749418681252</v>
      </c>
      <c r="AA165" s="7">
        <f t="shared" si="29"/>
        <v>-0.29054817028002677</v>
      </c>
    </row>
    <row r="166" spans="1:27" x14ac:dyDescent="0.25">
      <c r="A166" s="1" t="s">
        <v>1666</v>
      </c>
      <c r="B166" s="1" t="s">
        <v>861</v>
      </c>
      <c r="C166" s="1">
        <v>6</v>
      </c>
      <c r="D166" s="1">
        <v>7</v>
      </c>
      <c r="E166" s="1">
        <v>4</v>
      </c>
      <c r="F166" s="1">
        <v>7</v>
      </c>
      <c r="G166" s="1">
        <v>7</v>
      </c>
      <c r="H166" s="1">
        <v>6</v>
      </c>
      <c r="I166" s="1">
        <v>4</v>
      </c>
      <c r="J166" s="1">
        <v>4</v>
      </c>
      <c r="K166" s="1">
        <v>5</v>
      </c>
      <c r="L166" s="1">
        <v>6</v>
      </c>
      <c r="M166" s="1">
        <v>24</v>
      </c>
      <c r="N166" s="1">
        <v>21</v>
      </c>
      <c r="O166" s="1">
        <v>11</v>
      </c>
      <c r="P166" s="1">
        <v>56</v>
      </c>
      <c r="Q166" s="7">
        <v>1.2649110640673518</v>
      </c>
      <c r="R166" s="7">
        <f t="shared" si="20"/>
        <v>23.196700507614214</v>
      </c>
      <c r="S166" s="7">
        <f t="shared" si="21"/>
        <v>6.4306002317777482</v>
      </c>
      <c r="T166" s="7">
        <f t="shared" si="22"/>
        <v>22.771573604060915</v>
      </c>
      <c r="U166" s="7">
        <f t="shared" si="23"/>
        <v>6.5356886776680962</v>
      </c>
      <c r="V166" s="7">
        <f t="shared" si="24"/>
        <v>11.434010152284264</v>
      </c>
      <c r="W166" s="7">
        <f t="shared" si="25"/>
        <v>3.5019632409825281</v>
      </c>
      <c r="X166" s="7">
        <f t="shared" si="26"/>
        <v>0.12491827565585011</v>
      </c>
      <c r="Y166" s="7">
        <f t="shared" si="27"/>
        <v>-0.27106150421672232</v>
      </c>
      <c r="Z166" s="7">
        <f t="shared" si="28"/>
        <v>-0.12393338319636275</v>
      </c>
      <c r="AA166" s="7">
        <f t="shared" si="29"/>
        <v>-9.002553725241165E-2</v>
      </c>
    </row>
    <row r="167" spans="1:27" x14ac:dyDescent="0.25">
      <c r="A167" s="1" t="s">
        <v>1666</v>
      </c>
      <c r="B167" s="1" t="s">
        <v>861</v>
      </c>
      <c r="C167" s="1">
        <v>5</v>
      </c>
      <c r="D167" s="1">
        <v>4</v>
      </c>
      <c r="E167" s="1">
        <v>4</v>
      </c>
      <c r="F167" s="1">
        <v>6</v>
      </c>
      <c r="G167" s="1">
        <v>7</v>
      </c>
      <c r="H167" s="1">
        <v>6</v>
      </c>
      <c r="I167" s="1">
        <v>5</v>
      </c>
      <c r="J167" s="1">
        <v>5</v>
      </c>
      <c r="K167" s="1">
        <v>5</v>
      </c>
      <c r="L167" s="1">
        <v>4</v>
      </c>
      <c r="M167" s="1">
        <v>19</v>
      </c>
      <c r="N167" s="1">
        <v>23</v>
      </c>
      <c r="O167" s="1">
        <v>9</v>
      </c>
      <c r="P167" s="1">
        <v>51</v>
      </c>
      <c r="Q167" s="7">
        <v>0.99442892601175348</v>
      </c>
      <c r="R167" s="7">
        <f t="shared" si="20"/>
        <v>23.196700507614214</v>
      </c>
      <c r="S167" s="7">
        <f t="shared" si="21"/>
        <v>6.4306002317777482</v>
      </c>
      <c r="T167" s="7">
        <f t="shared" si="22"/>
        <v>22.771573604060915</v>
      </c>
      <c r="U167" s="7">
        <f t="shared" si="23"/>
        <v>6.5356886776680962</v>
      </c>
      <c r="V167" s="7">
        <f t="shared" si="24"/>
        <v>11.434010152284264</v>
      </c>
      <c r="W167" s="7">
        <f t="shared" si="25"/>
        <v>3.5019632409825281</v>
      </c>
      <c r="X167" s="7">
        <f t="shared" si="26"/>
        <v>-0.65261411942163761</v>
      </c>
      <c r="Y167" s="7">
        <f t="shared" si="27"/>
        <v>3.4950623752872265E-2</v>
      </c>
      <c r="Z167" s="7">
        <f t="shared" si="28"/>
        <v>-0.69504160517726232</v>
      </c>
      <c r="AA167" s="7">
        <f t="shared" si="29"/>
        <v>-0.4375683669486759</v>
      </c>
    </row>
    <row r="168" spans="1:27" x14ac:dyDescent="0.25">
      <c r="A168" s="1" t="s">
        <v>1666</v>
      </c>
      <c r="B168" s="1" t="s">
        <v>861</v>
      </c>
      <c r="C168" s="1">
        <v>8</v>
      </c>
      <c r="D168" s="1">
        <v>7</v>
      </c>
      <c r="E168" s="1">
        <v>8</v>
      </c>
      <c r="F168" s="1">
        <v>8</v>
      </c>
      <c r="G168" s="1">
        <v>7</v>
      </c>
      <c r="H168" s="1">
        <v>7</v>
      </c>
      <c r="I168" s="1">
        <v>7</v>
      </c>
      <c r="J168" s="1">
        <v>8</v>
      </c>
      <c r="K168" s="1">
        <v>8</v>
      </c>
      <c r="L168" s="1">
        <v>9</v>
      </c>
      <c r="M168" s="1">
        <v>31</v>
      </c>
      <c r="N168" s="1">
        <v>29</v>
      </c>
      <c r="O168" s="1">
        <v>17</v>
      </c>
      <c r="P168" s="1">
        <v>77</v>
      </c>
      <c r="Q168" s="7">
        <v>0.67494855771055284</v>
      </c>
      <c r="R168" s="7">
        <f t="shared" si="20"/>
        <v>23.196700507614214</v>
      </c>
      <c r="S168" s="7">
        <f t="shared" si="21"/>
        <v>6.4306002317777482</v>
      </c>
      <c r="T168" s="7">
        <f t="shared" si="22"/>
        <v>22.771573604060915</v>
      </c>
      <c r="U168" s="7">
        <f t="shared" si="23"/>
        <v>6.5356886776680962</v>
      </c>
      <c r="V168" s="7">
        <f t="shared" si="24"/>
        <v>11.434010152284264</v>
      </c>
      <c r="W168" s="7">
        <f t="shared" si="25"/>
        <v>3.5019632409825281</v>
      </c>
      <c r="X168" s="7">
        <f t="shared" si="26"/>
        <v>1.2134636287643328</v>
      </c>
      <c r="Y168" s="7">
        <f t="shared" si="27"/>
        <v>0.95298700766165612</v>
      </c>
      <c r="Z168" s="7">
        <f t="shared" si="28"/>
        <v>1.5893912827463359</v>
      </c>
      <c r="AA168" s="7">
        <f t="shared" si="29"/>
        <v>1.2519473063907751</v>
      </c>
    </row>
    <row r="169" spans="1:27" x14ac:dyDescent="0.25">
      <c r="A169" s="1" t="s">
        <v>1666</v>
      </c>
      <c r="B169" s="1" t="s">
        <v>861</v>
      </c>
      <c r="C169" s="1">
        <v>4</v>
      </c>
      <c r="D169" s="1">
        <v>4</v>
      </c>
      <c r="E169" s="1">
        <v>4</v>
      </c>
      <c r="F169" s="1">
        <v>3</v>
      </c>
      <c r="G169" s="1">
        <v>3</v>
      </c>
      <c r="H169" s="1">
        <v>3</v>
      </c>
      <c r="I169" s="1">
        <v>3</v>
      </c>
      <c r="J169" s="1">
        <v>4</v>
      </c>
      <c r="K169" s="1">
        <v>3</v>
      </c>
      <c r="L169" s="1">
        <v>4</v>
      </c>
      <c r="M169" s="1">
        <v>15</v>
      </c>
      <c r="N169" s="1">
        <v>13</v>
      </c>
      <c r="O169" s="1">
        <v>7</v>
      </c>
      <c r="P169" s="1">
        <v>35</v>
      </c>
      <c r="Q169" s="7">
        <v>0.52704627669472992</v>
      </c>
      <c r="R169" s="7">
        <f t="shared" si="20"/>
        <v>23.196700507614214</v>
      </c>
      <c r="S169" s="7">
        <f t="shared" si="21"/>
        <v>6.4306002317777482</v>
      </c>
      <c r="T169" s="7">
        <f t="shared" si="22"/>
        <v>22.771573604060915</v>
      </c>
      <c r="U169" s="7">
        <f t="shared" si="23"/>
        <v>6.5356886776680962</v>
      </c>
      <c r="V169" s="7">
        <f t="shared" si="24"/>
        <v>11.434010152284264</v>
      </c>
      <c r="W169" s="7">
        <f t="shared" si="25"/>
        <v>3.5019632409825281</v>
      </c>
      <c r="X169" s="7">
        <f t="shared" si="26"/>
        <v>-1.2746400354836278</v>
      </c>
      <c r="Y169" s="7">
        <f t="shared" si="27"/>
        <v>-1.4951100160951007</v>
      </c>
      <c r="Z169" s="7">
        <f t="shared" si="28"/>
        <v>-1.2661498271581617</v>
      </c>
      <c r="AA169" s="7">
        <f t="shared" si="29"/>
        <v>-1.3452999595789634</v>
      </c>
    </row>
    <row r="170" spans="1:27" x14ac:dyDescent="0.25">
      <c r="A170" s="1" t="s">
        <v>1666</v>
      </c>
      <c r="B170" s="1" t="s">
        <v>861</v>
      </c>
      <c r="C170" s="1">
        <v>7</v>
      </c>
      <c r="D170" s="1">
        <v>7</v>
      </c>
      <c r="E170" s="1">
        <v>7</v>
      </c>
      <c r="F170" s="1">
        <v>6</v>
      </c>
      <c r="G170" s="1">
        <v>7</v>
      </c>
      <c r="H170" s="1">
        <v>6</v>
      </c>
      <c r="I170" s="1">
        <v>6</v>
      </c>
      <c r="J170" s="1">
        <v>7</v>
      </c>
      <c r="K170" s="1">
        <v>7</v>
      </c>
      <c r="L170" s="1">
        <v>7</v>
      </c>
      <c r="M170" s="1">
        <v>27</v>
      </c>
      <c r="N170" s="1">
        <v>26</v>
      </c>
      <c r="O170" s="1">
        <v>14</v>
      </c>
      <c r="P170" s="1">
        <v>67</v>
      </c>
      <c r="Q170" s="7">
        <v>0.48304589153964783</v>
      </c>
      <c r="R170" s="7">
        <f t="shared" si="20"/>
        <v>23.196700507614214</v>
      </c>
      <c r="S170" s="7">
        <f t="shared" si="21"/>
        <v>6.4306002317777482</v>
      </c>
      <c r="T170" s="7">
        <f t="shared" si="22"/>
        <v>22.771573604060915</v>
      </c>
      <c r="U170" s="7">
        <f t="shared" si="23"/>
        <v>6.5356886776680962</v>
      </c>
      <c r="V170" s="7">
        <f t="shared" si="24"/>
        <v>11.434010152284264</v>
      </c>
      <c r="W170" s="7">
        <f t="shared" si="25"/>
        <v>3.5019632409825281</v>
      </c>
      <c r="X170" s="7">
        <f t="shared" si="26"/>
        <v>0.59143771270234269</v>
      </c>
      <c r="Y170" s="7">
        <f t="shared" si="27"/>
        <v>0.49396881570726414</v>
      </c>
      <c r="Z170" s="7">
        <f t="shared" si="28"/>
        <v>0.73272894977498659</v>
      </c>
      <c r="AA170" s="7">
        <f t="shared" si="29"/>
        <v>0.60604515939486447</v>
      </c>
    </row>
    <row r="171" spans="1:27" x14ac:dyDescent="0.25">
      <c r="A171" s="1" t="s">
        <v>1666</v>
      </c>
      <c r="B171" s="1" t="s">
        <v>861</v>
      </c>
      <c r="C171" s="1">
        <v>4</v>
      </c>
      <c r="D171" s="1">
        <v>4</v>
      </c>
      <c r="E171" s="1">
        <v>4</v>
      </c>
      <c r="F171" s="1">
        <v>3</v>
      </c>
      <c r="G171" s="1">
        <v>4</v>
      </c>
      <c r="H171" s="1">
        <v>4</v>
      </c>
      <c r="I171" s="1">
        <v>4</v>
      </c>
      <c r="J171" s="1">
        <v>3</v>
      </c>
      <c r="K171" s="1">
        <v>3</v>
      </c>
      <c r="L171" s="1">
        <v>3</v>
      </c>
      <c r="M171" s="1">
        <v>15</v>
      </c>
      <c r="N171" s="1">
        <v>15</v>
      </c>
      <c r="O171" s="1">
        <v>6</v>
      </c>
      <c r="P171" s="1">
        <v>36</v>
      </c>
      <c r="Q171" s="7">
        <v>0.51639777949432208</v>
      </c>
      <c r="R171" s="7">
        <f t="shared" si="20"/>
        <v>23.196700507614214</v>
      </c>
      <c r="S171" s="7">
        <f t="shared" si="21"/>
        <v>6.4306002317777482</v>
      </c>
      <c r="T171" s="7">
        <f t="shared" si="22"/>
        <v>22.771573604060915</v>
      </c>
      <c r="U171" s="7">
        <f t="shared" si="23"/>
        <v>6.5356886776680962</v>
      </c>
      <c r="V171" s="7">
        <f t="shared" si="24"/>
        <v>11.434010152284264</v>
      </c>
      <c r="W171" s="7">
        <f t="shared" si="25"/>
        <v>3.5019632409825281</v>
      </c>
      <c r="X171" s="7">
        <f t="shared" si="26"/>
        <v>-1.2746400354836278</v>
      </c>
      <c r="Y171" s="7">
        <f t="shared" si="27"/>
        <v>-1.1890978881255061</v>
      </c>
      <c r="Z171" s="7">
        <f t="shared" si="28"/>
        <v>-1.5517039381486115</v>
      </c>
      <c r="AA171" s="7">
        <f t="shared" si="29"/>
        <v>-1.338480620585915</v>
      </c>
    </row>
    <row r="172" spans="1:27" x14ac:dyDescent="0.25">
      <c r="A172" s="1" t="s">
        <v>1666</v>
      </c>
      <c r="B172" s="1" t="s">
        <v>861</v>
      </c>
      <c r="C172" s="1">
        <v>7</v>
      </c>
      <c r="D172" s="1">
        <v>7</v>
      </c>
      <c r="E172" s="1">
        <v>6</v>
      </c>
      <c r="F172" s="1">
        <v>7</v>
      </c>
      <c r="G172" s="1">
        <v>7</v>
      </c>
      <c r="H172" s="1">
        <v>7</v>
      </c>
      <c r="I172" s="1">
        <v>7</v>
      </c>
      <c r="J172" s="1">
        <v>7</v>
      </c>
      <c r="K172" s="1">
        <v>8</v>
      </c>
      <c r="L172" s="1">
        <v>7</v>
      </c>
      <c r="M172" s="1">
        <v>27</v>
      </c>
      <c r="N172" s="1">
        <v>28</v>
      </c>
      <c r="O172" s="1">
        <v>15</v>
      </c>
      <c r="P172" s="1">
        <v>70</v>
      </c>
      <c r="Q172" s="7">
        <v>0.47140452079103173</v>
      </c>
      <c r="R172" s="7">
        <f t="shared" si="20"/>
        <v>23.196700507614214</v>
      </c>
      <c r="S172" s="7">
        <f t="shared" si="21"/>
        <v>6.4306002317777482</v>
      </c>
      <c r="T172" s="7">
        <f t="shared" si="22"/>
        <v>22.771573604060915</v>
      </c>
      <c r="U172" s="7">
        <f t="shared" si="23"/>
        <v>6.5356886776680962</v>
      </c>
      <c r="V172" s="7">
        <f t="shared" si="24"/>
        <v>11.434010152284264</v>
      </c>
      <c r="W172" s="7">
        <f t="shared" si="25"/>
        <v>3.5019632409825281</v>
      </c>
      <c r="X172" s="7">
        <f t="shared" si="26"/>
        <v>0.59143771270234269</v>
      </c>
      <c r="Y172" s="7">
        <f t="shared" si="27"/>
        <v>0.79998094367685879</v>
      </c>
      <c r="Z172" s="7">
        <f t="shared" si="28"/>
        <v>1.0182830607654363</v>
      </c>
      <c r="AA172" s="7">
        <f t="shared" si="29"/>
        <v>0.80323390571487929</v>
      </c>
    </row>
    <row r="173" spans="1:27" x14ac:dyDescent="0.25">
      <c r="A173" s="1" t="s">
        <v>1666</v>
      </c>
      <c r="B173" s="1" t="s">
        <v>861</v>
      </c>
      <c r="C173" s="1">
        <v>7</v>
      </c>
      <c r="D173" s="1">
        <v>4</v>
      </c>
      <c r="E173" s="1">
        <v>5</v>
      </c>
      <c r="F173" s="1">
        <v>4</v>
      </c>
      <c r="G173" s="1">
        <v>5</v>
      </c>
      <c r="H173" s="1">
        <v>5</v>
      </c>
      <c r="I173" s="1">
        <v>4</v>
      </c>
      <c r="J173" s="1">
        <v>5</v>
      </c>
      <c r="K173" s="1">
        <v>6</v>
      </c>
      <c r="L173" s="1">
        <v>5</v>
      </c>
      <c r="M173" s="1">
        <v>20</v>
      </c>
      <c r="N173" s="1">
        <v>19</v>
      </c>
      <c r="O173" s="1">
        <v>11</v>
      </c>
      <c r="P173" s="1">
        <v>50</v>
      </c>
      <c r="Q173" s="7">
        <v>0.94280904158206336</v>
      </c>
      <c r="R173" s="7">
        <f t="shared" si="20"/>
        <v>23.196700507614214</v>
      </c>
      <c r="S173" s="7">
        <f t="shared" si="21"/>
        <v>6.4306002317777482</v>
      </c>
      <c r="T173" s="7">
        <f t="shared" si="22"/>
        <v>22.771573604060915</v>
      </c>
      <c r="U173" s="7">
        <f t="shared" si="23"/>
        <v>6.5356886776680962</v>
      </c>
      <c r="V173" s="7">
        <f t="shared" si="24"/>
        <v>11.434010152284264</v>
      </c>
      <c r="W173" s="7">
        <f t="shared" si="25"/>
        <v>3.5019632409825281</v>
      </c>
      <c r="X173" s="7">
        <f t="shared" si="26"/>
        <v>-0.49710764040614003</v>
      </c>
      <c r="Y173" s="7">
        <f t="shared" si="27"/>
        <v>-0.57707363218631691</v>
      </c>
      <c r="Z173" s="7">
        <f t="shared" si="28"/>
        <v>-0.12393338319636275</v>
      </c>
      <c r="AA173" s="7">
        <f t="shared" si="29"/>
        <v>-0.39937155192960655</v>
      </c>
    </row>
    <row r="174" spans="1:27" x14ac:dyDescent="0.25">
      <c r="A174" s="1" t="s">
        <v>1666</v>
      </c>
      <c r="B174" s="1" t="s">
        <v>861</v>
      </c>
      <c r="C174" s="1">
        <v>6</v>
      </c>
      <c r="D174" s="1">
        <v>4</v>
      </c>
      <c r="E174" s="1">
        <v>4</v>
      </c>
      <c r="F174" s="1">
        <v>4</v>
      </c>
      <c r="G174" s="1">
        <v>7</v>
      </c>
      <c r="H174" s="1">
        <v>7</v>
      </c>
      <c r="I174" s="1">
        <v>5</v>
      </c>
      <c r="J174" s="1">
        <v>4</v>
      </c>
      <c r="K174" s="1">
        <v>7</v>
      </c>
      <c r="L174" s="1">
        <v>8</v>
      </c>
      <c r="M174" s="1">
        <v>18</v>
      </c>
      <c r="N174" s="1">
        <v>23</v>
      </c>
      <c r="O174" s="1">
        <v>15</v>
      </c>
      <c r="P174" s="1">
        <v>56</v>
      </c>
      <c r="Q174" s="7">
        <v>1.5776212754932311</v>
      </c>
      <c r="R174" s="7">
        <f t="shared" si="20"/>
        <v>23.196700507614214</v>
      </c>
      <c r="S174" s="7">
        <f t="shared" si="21"/>
        <v>6.4306002317777482</v>
      </c>
      <c r="T174" s="7">
        <f t="shared" si="22"/>
        <v>22.771573604060915</v>
      </c>
      <c r="U174" s="7">
        <f t="shared" si="23"/>
        <v>6.5356886776680962</v>
      </c>
      <c r="V174" s="7">
        <f t="shared" si="24"/>
        <v>11.434010152284264</v>
      </c>
      <c r="W174" s="7">
        <f t="shared" si="25"/>
        <v>3.5019632409825281</v>
      </c>
      <c r="X174" s="7">
        <f t="shared" si="26"/>
        <v>-0.80812059843713513</v>
      </c>
      <c r="Y174" s="7">
        <f t="shared" si="27"/>
        <v>3.4950623752872265E-2</v>
      </c>
      <c r="Z174" s="7">
        <f t="shared" si="28"/>
        <v>1.0182830607654363</v>
      </c>
      <c r="AA174" s="7">
        <f t="shared" si="29"/>
        <v>8.1704362027057817E-2</v>
      </c>
    </row>
    <row r="175" spans="1:27" x14ac:dyDescent="0.25">
      <c r="A175" s="1" t="s">
        <v>1666</v>
      </c>
      <c r="B175" s="1" t="s">
        <v>861</v>
      </c>
      <c r="C175" s="1">
        <v>8</v>
      </c>
      <c r="D175" s="1">
        <v>7</v>
      </c>
      <c r="E175" s="1">
        <v>7</v>
      </c>
      <c r="F175" s="1">
        <v>6</v>
      </c>
      <c r="G175" s="1">
        <v>8</v>
      </c>
      <c r="H175" s="1">
        <v>8</v>
      </c>
      <c r="I175" s="1">
        <v>6</v>
      </c>
      <c r="J175" s="1">
        <v>6</v>
      </c>
      <c r="K175" s="1">
        <v>6</v>
      </c>
      <c r="L175" s="1">
        <v>7</v>
      </c>
      <c r="M175" s="1">
        <v>28</v>
      </c>
      <c r="N175" s="1">
        <v>28</v>
      </c>
      <c r="O175" s="1">
        <v>13</v>
      </c>
      <c r="P175" s="1">
        <v>69</v>
      </c>
      <c r="Q175" s="7">
        <v>0.87559503577091324</v>
      </c>
      <c r="R175" s="7">
        <f t="shared" si="20"/>
        <v>23.196700507614214</v>
      </c>
      <c r="S175" s="7">
        <f t="shared" si="21"/>
        <v>6.4306002317777482</v>
      </c>
      <c r="T175" s="7">
        <f t="shared" si="22"/>
        <v>22.771573604060915</v>
      </c>
      <c r="U175" s="7">
        <f t="shared" si="23"/>
        <v>6.5356886776680962</v>
      </c>
      <c r="V175" s="7">
        <f t="shared" si="24"/>
        <v>11.434010152284264</v>
      </c>
      <c r="W175" s="7">
        <f t="shared" si="25"/>
        <v>3.5019632409825281</v>
      </c>
      <c r="X175" s="7">
        <f t="shared" si="26"/>
        <v>0.74694419171784021</v>
      </c>
      <c r="Y175" s="7">
        <f t="shared" si="27"/>
        <v>0.79998094367685879</v>
      </c>
      <c r="Z175" s="7">
        <f t="shared" si="28"/>
        <v>0.44717483878453679</v>
      </c>
      <c r="AA175" s="7">
        <f t="shared" si="29"/>
        <v>0.66469999139307856</v>
      </c>
    </row>
    <row r="176" spans="1:27" x14ac:dyDescent="0.25">
      <c r="A176" s="1" t="s">
        <v>1666</v>
      </c>
      <c r="B176" s="1" t="s">
        <v>861</v>
      </c>
      <c r="C176" s="1">
        <v>7</v>
      </c>
      <c r="D176" s="1">
        <v>7</v>
      </c>
      <c r="E176" s="1">
        <v>6</v>
      </c>
      <c r="F176" s="1">
        <v>5</v>
      </c>
      <c r="G176" s="1">
        <v>6</v>
      </c>
      <c r="H176" s="1">
        <v>5</v>
      </c>
      <c r="I176" s="1">
        <v>5</v>
      </c>
      <c r="J176" s="1">
        <v>5</v>
      </c>
      <c r="K176" s="1">
        <v>6</v>
      </c>
      <c r="L176" s="1">
        <v>5</v>
      </c>
      <c r="M176" s="1">
        <v>25</v>
      </c>
      <c r="N176" s="1">
        <v>21</v>
      </c>
      <c r="O176" s="1">
        <v>11</v>
      </c>
      <c r="P176" s="1">
        <v>57</v>
      </c>
      <c r="Q176" s="7">
        <v>0.82327260234856459</v>
      </c>
      <c r="R176" s="7">
        <f t="shared" si="20"/>
        <v>23.196700507614214</v>
      </c>
      <c r="S176" s="7">
        <f t="shared" si="21"/>
        <v>6.4306002317777482</v>
      </c>
      <c r="T176" s="7">
        <f t="shared" si="22"/>
        <v>22.771573604060915</v>
      </c>
      <c r="U176" s="7">
        <f t="shared" si="23"/>
        <v>6.5356886776680962</v>
      </c>
      <c r="V176" s="7">
        <f t="shared" si="24"/>
        <v>11.434010152284264</v>
      </c>
      <c r="W176" s="7">
        <f t="shared" si="25"/>
        <v>3.5019632409825281</v>
      </c>
      <c r="X176" s="7">
        <f t="shared" si="26"/>
        <v>0.28042475467134764</v>
      </c>
      <c r="Y176" s="7">
        <f t="shared" si="27"/>
        <v>-0.27106150421672232</v>
      </c>
      <c r="Z176" s="7">
        <f t="shared" si="28"/>
        <v>-0.12393338319636275</v>
      </c>
      <c r="AA176" s="7">
        <f t="shared" si="29"/>
        <v>-3.8190044247245807E-2</v>
      </c>
    </row>
    <row r="177" spans="1:27" x14ac:dyDescent="0.25">
      <c r="A177" s="1" t="s">
        <v>1666</v>
      </c>
      <c r="B177" s="1" t="s">
        <v>861</v>
      </c>
      <c r="C177" s="1">
        <v>8</v>
      </c>
      <c r="D177" s="1">
        <v>8</v>
      </c>
      <c r="E177" s="1">
        <v>7</v>
      </c>
      <c r="F177" s="1">
        <v>8</v>
      </c>
      <c r="G177" s="1">
        <v>9</v>
      </c>
      <c r="H177" s="1">
        <v>8</v>
      </c>
      <c r="I177" s="1">
        <v>8</v>
      </c>
      <c r="J177" s="1">
        <v>8</v>
      </c>
      <c r="K177" s="1">
        <v>8</v>
      </c>
      <c r="L177" s="1">
        <v>8</v>
      </c>
      <c r="M177" s="1">
        <v>31</v>
      </c>
      <c r="N177" s="1">
        <v>33</v>
      </c>
      <c r="O177" s="1">
        <v>16</v>
      </c>
      <c r="P177" s="1">
        <v>80</v>
      </c>
      <c r="Q177" s="7">
        <v>0.47140452079103168</v>
      </c>
      <c r="R177" s="7">
        <f t="shared" si="20"/>
        <v>23.196700507614214</v>
      </c>
      <c r="S177" s="7">
        <f t="shared" si="21"/>
        <v>6.4306002317777482</v>
      </c>
      <c r="T177" s="7">
        <f t="shared" si="22"/>
        <v>22.771573604060915</v>
      </c>
      <c r="U177" s="7">
        <f t="shared" si="23"/>
        <v>6.5356886776680962</v>
      </c>
      <c r="V177" s="7">
        <f t="shared" si="24"/>
        <v>11.434010152284264</v>
      </c>
      <c r="W177" s="7">
        <f t="shared" si="25"/>
        <v>3.5019632409825281</v>
      </c>
      <c r="X177" s="7">
        <f t="shared" si="26"/>
        <v>1.2134636287643328</v>
      </c>
      <c r="Y177" s="7">
        <f t="shared" si="27"/>
        <v>1.5650112636008453</v>
      </c>
      <c r="Z177" s="7">
        <f t="shared" si="28"/>
        <v>1.3038371717558861</v>
      </c>
      <c r="AA177" s="7">
        <f t="shared" si="29"/>
        <v>1.3607706880403547</v>
      </c>
    </row>
    <row r="178" spans="1:27" x14ac:dyDescent="0.25">
      <c r="A178" s="1" t="s">
        <v>1666</v>
      </c>
      <c r="B178" s="1" t="s">
        <v>861</v>
      </c>
      <c r="C178" s="1">
        <v>8</v>
      </c>
      <c r="D178" s="1">
        <v>7</v>
      </c>
      <c r="E178" s="1">
        <v>7</v>
      </c>
      <c r="F178" s="1">
        <v>9</v>
      </c>
      <c r="G178" s="1">
        <v>7</v>
      </c>
      <c r="H178" s="1">
        <v>6</v>
      </c>
      <c r="I178" s="1">
        <v>6</v>
      </c>
      <c r="J178" s="1">
        <v>8</v>
      </c>
      <c r="K178" s="1">
        <v>9</v>
      </c>
      <c r="L178" s="1">
        <v>9</v>
      </c>
      <c r="M178" s="1">
        <v>31</v>
      </c>
      <c r="N178" s="1">
        <v>27</v>
      </c>
      <c r="O178" s="1">
        <v>18</v>
      </c>
      <c r="P178" s="1">
        <v>76</v>
      </c>
      <c r="Q178" s="7">
        <v>1.1737877907772671</v>
      </c>
      <c r="R178" s="7">
        <f t="shared" si="20"/>
        <v>23.196700507614214</v>
      </c>
      <c r="S178" s="7">
        <f t="shared" si="21"/>
        <v>6.4306002317777482</v>
      </c>
      <c r="T178" s="7">
        <f t="shared" si="22"/>
        <v>22.771573604060915</v>
      </c>
      <c r="U178" s="7">
        <f t="shared" si="23"/>
        <v>6.5356886776680962</v>
      </c>
      <c r="V178" s="7">
        <f t="shared" si="24"/>
        <v>11.434010152284264</v>
      </c>
      <c r="W178" s="7">
        <f t="shared" si="25"/>
        <v>3.5019632409825281</v>
      </c>
      <c r="X178" s="7">
        <f t="shared" si="26"/>
        <v>1.2134636287643328</v>
      </c>
      <c r="Y178" s="7">
        <f t="shared" si="27"/>
        <v>0.64697487969206147</v>
      </c>
      <c r="Z178" s="7">
        <f t="shared" si="28"/>
        <v>1.8749453937367857</v>
      </c>
      <c r="AA178" s="7">
        <f t="shared" si="29"/>
        <v>1.2451279673977267</v>
      </c>
    </row>
    <row r="179" spans="1:27" x14ac:dyDescent="0.25">
      <c r="A179" s="1" t="s">
        <v>1666</v>
      </c>
      <c r="B179" s="1" t="s">
        <v>861</v>
      </c>
      <c r="C179" s="1">
        <v>9</v>
      </c>
      <c r="D179" s="1">
        <v>8</v>
      </c>
      <c r="E179" s="1">
        <v>8</v>
      </c>
      <c r="F179" s="1">
        <v>9</v>
      </c>
      <c r="G179" s="1">
        <v>9</v>
      </c>
      <c r="H179" s="1">
        <v>8</v>
      </c>
      <c r="I179" s="1">
        <v>8</v>
      </c>
      <c r="J179" s="1">
        <v>9</v>
      </c>
      <c r="K179" s="1">
        <v>8</v>
      </c>
      <c r="L179" s="1">
        <v>9</v>
      </c>
      <c r="M179" s="1">
        <v>34</v>
      </c>
      <c r="N179" s="1">
        <v>34</v>
      </c>
      <c r="O179" s="1">
        <v>17</v>
      </c>
      <c r="P179" s="1">
        <v>85</v>
      </c>
      <c r="Q179" s="7">
        <v>0.52704627669472992</v>
      </c>
      <c r="R179" s="7">
        <f t="shared" si="20"/>
        <v>23.196700507614214</v>
      </c>
      <c r="S179" s="7">
        <f t="shared" si="21"/>
        <v>6.4306002317777482</v>
      </c>
      <c r="T179" s="7">
        <f t="shared" si="22"/>
        <v>22.771573604060915</v>
      </c>
      <c r="U179" s="7">
        <f t="shared" si="23"/>
        <v>6.5356886776680962</v>
      </c>
      <c r="V179" s="7">
        <f t="shared" si="24"/>
        <v>11.434010152284264</v>
      </c>
      <c r="W179" s="7">
        <f t="shared" si="25"/>
        <v>3.5019632409825281</v>
      </c>
      <c r="X179" s="7">
        <f t="shared" si="26"/>
        <v>1.6799830658108255</v>
      </c>
      <c r="Y179" s="7">
        <f t="shared" si="27"/>
        <v>1.7180173275856425</v>
      </c>
      <c r="Z179" s="7">
        <f t="shared" si="28"/>
        <v>1.5893912827463359</v>
      </c>
      <c r="AA179" s="7">
        <f t="shared" si="29"/>
        <v>1.6624638920476011</v>
      </c>
    </row>
    <row r="180" spans="1:27" x14ac:dyDescent="0.25">
      <c r="A180" s="1" t="s">
        <v>1666</v>
      </c>
      <c r="B180" s="1" t="s">
        <v>861</v>
      </c>
      <c r="C180" s="1">
        <v>7</v>
      </c>
      <c r="D180" s="1">
        <v>7</v>
      </c>
      <c r="E180" s="1">
        <v>7</v>
      </c>
      <c r="F180" s="1">
        <v>8</v>
      </c>
      <c r="G180" s="1">
        <v>8</v>
      </c>
      <c r="H180" s="1">
        <v>7</v>
      </c>
      <c r="I180" s="1">
        <v>6</v>
      </c>
      <c r="J180" s="1">
        <v>8</v>
      </c>
      <c r="K180" s="1">
        <v>8</v>
      </c>
      <c r="L180" s="1">
        <v>8</v>
      </c>
      <c r="M180" s="1">
        <v>29</v>
      </c>
      <c r="N180" s="1">
        <v>29</v>
      </c>
      <c r="O180" s="1">
        <v>16</v>
      </c>
      <c r="P180" s="1">
        <v>74</v>
      </c>
      <c r="Q180" s="7">
        <v>0.69920589878010109</v>
      </c>
      <c r="R180" s="7">
        <f t="shared" si="20"/>
        <v>23.196700507614214</v>
      </c>
      <c r="S180" s="7">
        <f t="shared" si="21"/>
        <v>6.4306002317777482</v>
      </c>
      <c r="T180" s="7">
        <f t="shared" si="22"/>
        <v>22.771573604060915</v>
      </c>
      <c r="U180" s="7">
        <f t="shared" si="23"/>
        <v>6.5356886776680962</v>
      </c>
      <c r="V180" s="7">
        <f t="shared" si="24"/>
        <v>11.434010152284264</v>
      </c>
      <c r="W180" s="7">
        <f t="shared" si="25"/>
        <v>3.5019632409825281</v>
      </c>
      <c r="X180" s="7">
        <f t="shared" si="26"/>
        <v>0.90245067073333785</v>
      </c>
      <c r="Y180" s="7">
        <f t="shared" si="27"/>
        <v>0.95298700766165612</v>
      </c>
      <c r="Z180" s="7">
        <f t="shared" si="28"/>
        <v>1.3038371717558861</v>
      </c>
      <c r="AA180" s="7">
        <f t="shared" si="29"/>
        <v>1.0530916167169602</v>
      </c>
    </row>
    <row r="181" spans="1:27" x14ac:dyDescent="0.25">
      <c r="A181" s="1" t="s">
        <v>1666</v>
      </c>
      <c r="B181" s="1" t="s">
        <v>861</v>
      </c>
      <c r="C181" s="1">
        <v>8</v>
      </c>
      <c r="D181" s="1">
        <v>7</v>
      </c>
      <c r="E181" s="1">
        <v>7</v>
      </c>
      <c r="F181" s="1">
        <v>8</v>
      </c>
      <c r="G181" s="1">
        <v>7</v>
      </c>
      <c r="H181" s="1">
        <v>7</v>
      </c>
      <c r="I181" s="1">
        <v>6</v>
      </c>
      <c r="J181" s="1">
        <v>7</v>
      </c>
      <c r="K181" s="1">
        <v>6</v>
      </c>
      <c r="L181" s="1">
        <v>7</v>
      </c>
      <c r="M181" s="1">
        <v>30</v>
      </c>
      <c r="N181" s="1">
        <v>27</v>
      </c>
      <c r="O181" s="1">
        <v>13</v>
      </c>
      <c r="P181" s="1">
        <v>70</v>
      </c>
      <c r="Q181" s="7">
        <v>0.66666666666666685</v>
      </c>
      <c r="R181" s="7">
        <f t="shared" si="20"/>
        <v>23.196700507614214</v>
      </c>
      <c r="S181" s="7">
        <f t="shared" si="21"/>
        <v>6.4306002317777482</v>
      </c>
      <c r="T181" s="7">
        <f t="shared" si="22"/>
        <v>22.771573604060915</v>
      </c>
      <c r="U181" s="7">
        <f t="shared" si="23"/>
        <v>6.5356886776680962</v>
      </c>
      <c r="V181" s="7">
        <f t="shared" si="24"/>
        <v>11.434010152284264</v>
      </c>
      <c r="W181" s="7">
        <f t="shared" si="25"/>
        <v>3.5019632409825281</v>
      </c>
      <c r="X181" s="7">
        <f t="shared" si="26"/>
        <v>1.0579571497488354</v>
      </c>
      <c r="Y181" s="7">
        <f t="shared" si="27"/>
        <v>0.64697487969206147</v>
      </c>
      <c r="Z181" s="7">
        <f t="shared" si="28"/>
        <v>0.44717483878453679</v>
      </c>
      <c r="AA181" s="7">
        <f t="shared" si="29"/>
        <v>0.7173689560751445</v>
      </c>
    </row>
    <row r="182" spans="1:27" x14ac:dyDescent="0.25">
      <c r="A182" s="1" t="s">
        <v>1666</v>
      </c>
      <c r="B182" s="1" t="s">
        <v>861</v>
      </c>
      <c r="C182" s="1">
        <v>8</v>
      </c>
      <c r="D182" s="1">
        <v>8</v>
      </c>
      <c r="E182" s="1">
        <v>7</v>
      </c>
      <c r="F182" s="1">
        <v>7</v>
      </c>
      <c r="G182" s="1">
        <v>8</v>
      </c>
      <c r="H182" s="1">
        <v>6</v>
      </c>
      <c r="I182" s="1">
        <v>6</v>
      </c>
      <c r="J182" s="1">
        <v>8</v>
      </c>
      <c r="K182" s="1">
        <v>8</v>
      </c>
      <c r="L182" s="1">
        <v>6</v>
      </c>
      <c r="M182" s="1">
        <v>30</v>
      </c>
      <c r="N182" s="1">
        <v>28</v>
      </c>
      <c r="O182" s="1">
        <v>14</v>
      </c>
      <c r="P182" s="1">
        <v>72</v>
      </c>
      <c r="Q182" s="7">
        <v>0.91893658347268137</v>
      </c>
      <c r="R182" s="7">
        <f t="shared" si="20"/>
        <v>23.196700507614214</v>
      </c>
      <c r="S182" s="7">
        <f t="shared" si="21"/>
        <v>6.4306002317777482</v>
      </c>
      <c r="T182" s="7">
        <f t="shared" si="22"/>
        <v>22.771573604060915</v>
      </c>
      <c r="U182" s="7">
        <f t="shared" si="23"/>
        <v>6.5356886776680962</v>
      </c>
      <c r="V182" s="7">
        <f t="shared" si="24"/>
        <v>11.434010152284264</v>
      </c>
      <c r="W182" s="7">
        <f t="shared" si="25"/>
        <v>3.5019632409825281</v>
      </c>
      <c r="X182" s="7">
        <f t="shared" si="26"/>
        <v>1.0579571497488354</v>
      </c>
      <c r="Y182" s="7">
        <f t="shared" si="27"/>
        <v>0.79998094367685879</v>
      </c>
      <c r="Z182" s="7">
        <f t="shared" si="28"/>
        <v>0.73272894977498659</v>
      </c>
      <c r="AA182" s="7">
        <f t="shared" si="29"/>
        <v>0.86355568106689351</v>
      </c>
    </row>
    <row r="183" spans="1:27" x14ac:dyDescent="0.25">
      <c r="A183" s="1" t="s">
        <v>1666</v>
      </c>
      <c r="B183" s="1" t="s">
        <v>861</v>
      </c>
      <c r="C183" s="1">
        <v>7</v>
      </c>
      <c r="D183" s="1">
        <v>6</v>
      </c>
      <c r="E183" s="1">
        <v>5</v>
      </c>
      <c r="F183" s="1">
        <v>5</v>
      </c>
      <c r="G183" s="1">
        <v>7</v>
      </c>
      <c r="H183" s="1">
        <v>6</v>
      </c>
      <c r="I183" s="1">
        <v>6</v>
      </c>
      <c r="J183" s="1">
        <v>7</v>
      </c>
      <c r="K183" s="1">
        <v>6</v>
      </c>
      <c r="L183" s="1">
        <v>7</v>
      </c>
      <c r="M183" s="1">
        <v>23</v>
      </c>
      <c r="N183" s="1">
        <v>26</v>
      </c>
      <c r="O183" s="1">
        <v>13</v>
      </c>
      <c r="P183" s="1">
        <v>62</v>
      </c>
      <c r="Q183" s="7">
        <v>0.78881063774661553</v>
      </c>
      <c r="R183" s="7">
        <f t="shared" si="20"/>
        <v>23.196700507614214</v>
      </c>
      <c r="S183" s="7">
        <f t="shared" si="21"/>
        <v>6.4306002317777482</v>
      </c>
      <c r="T183" s="7">
        <f t="shared" si="22"/>
        <v>22.771573604060915</v>
      </c>
      <c r="U183" s="7">
        <f t="shared" si="23"/>
        <v>6.5356886776680962</v>
      </c>
      <c r="V183" s="7">
        <f t="shared" si="24"/>
        <v>11.434010152284264</v>
      </c>
      <c r="W183" s="7">
        <f t="shared" si="25"/>
        <v>3.5019632409825281</v>
      </c>
      <c r="X183" s="7">
        <f t="shared" si="26"/>
        <v>-3.0588203359647428E-2</v>
      </c>
      <c r="Y183" s="7">
        <f t="shared" si="27"/>
        <v>0.49396881570726414</v>
      </c>
      <c r="Z183" s="7">
        <f t="shared" si="28"/>
        <v>0.44717483878453679</v>
      </c>
      <c r="AA183" s="7">
        <f t="shared" si="29"/>
        <v>0.30351848371071782</v>
      </c>
    </row>
    <row r="184" spans="1:27" x14ac:dyDescent="0.25">
      <c r="A184" s="1" t="s">
        <v>1666</v>
      </c>
      <c r="B184" s="1" t="s">
        <v>861</v>
      </c>
      <c r="C184" s="1">
        <v>8</v>
      </c>
      <c r="D184" s="1">
        <v>8</v>
      </c>
      <c r="E184" s="1">
        <v>8</v>
      </c>
      <c r="F184" s="1">
        <v>8</v>
      </c>
      <c r="G184" s="1">
        <v>9</v>
      </c>
      <c r="H184" s="1">
        <v>9</v>
      </c>
      <c r="I184" s="1">
        <v>7</v>
      </c>
      <c r="J184" s="1">
        <v>8</v>
      </c>
      <c r="K184" s="1">
        <v>7</v>
      </c>
      <c r="L184" s="1">
        <v>7</v>
      </c>
      <c r="M184" s="1">
        <v>32</v>
      </c>
      <c r="N184" s="1">
        <v>33</v>
      </c>
      <c r="O184" s="1">
        <v>14</v>
      </c>
      <c r="P184" s="1">
        <v>79</v>
      </c>
      <c r="Q184" s="7">
        <v>0.73786478737262184</v>
      </c>
      <c r="R184" s="7">
        <f t="shared" si="20"/>
        <v>23.196700507614214</v>
      </c>
      <c r="S184" s="7">
        <f t="shared" si="21"/>
        <v>6.4306002317777482</v>
      </c>
      <c r="T184" s="7">
        <f t="shared" si="22"/>
        <v>22.771573604060915</v>
      </c>
      <c r="U184" s="7">
        <f t="shared" si="23"/>
        <v>6.5356886776680962</v>
      </c>
      <c r="V184" s="7">
        <f t="shared" si="24"/>
        <v>11.434010152284264</v>
      </c>
      <c r="W184" s="7">
        <f t="shared" si="25"/>
        <v>3.5019632409825281</v>
      </c>
      <c r="X184" s="7">
        <f t="shared" si="26"/>
        <v>1.3689701077798304</v>
      </c>
      <c r="Y184" s="7">
        <f t="shared" si="27"/>
        <v>1.5650112636008453</v>
      </c>
      <c r="Z184" s="7">
        <f t="shared" si="28"/>
        <v>0.73272894977498659</v>
      </c>
      <c r="AA184" s="7">
        <f t="shared" si="29"/>
        <v>1.222236773718554</v>
      </c>
    </row>
    <row r="185" spans="1:27" x14ac:dyDescent="0.25">
      <c r="A185" s="1" t="s">
        <v>1666</v>
      </c>
      <c r="B185" s="1" t="s">
        <v>861</v>
      </c>
      <c r="C185" s="1">
        <v>8</v>
      </c>
      <c r="D185" s="1">
        <v>6</v>
      </c>
      <c r="E185" s="1">
        <v>7</v>
      </c>
      <c r="F185" s="1">
        <v>4</v>
      </c>
      <c r="G185" s="1">
        <v>6</v>
      </c>
      <c r="H185" s="1">
        <v>5</v>
      </c>
      <c r="I185" s="1">
        <v>4</v>
      </c>
      <c r="J185" s="1">
        <v>5</v>
      </c>
      <c r="K185" s="1">
        <v>5</v>
      </c>
      <c r="L185" s="1">
        <v>5</v>
      </c>
      <c r="M185" s="1">
        <v>25</v>
      </c>
      <c r="N185" s="1">
        <v>20</v>
      </c>
      <c r="O185" s="1">
        <v>10</v>
      </c>
      <c r="P185" s="1">
        <v>55</v>
      </c>
      <c r="Q185" s="7">
        <v>1.2692955176439846</v>
      </c>
      <c r="R185" s="7">
        <f t="shared" si="20"/>
        <v>23.196700507614214</v>
      </c>
      <c r="S185" s="7">
        <f t="shared" si="21"/>
        <v>6.4306002317777482</v>
      </c>
      <c r="T185" s="7">
        <f t="shared" si="22"/>
        <v>22.771573604060915</v>
      </c>
      <c r="U185" s="7">
        <f t="shared" si="23"/>
        <v>6.5356886776680962</v>
      </c>
      <c r="V185" s="7">
        <f t="shared" si="24"/>
        <v>11.434010152284264</v>
      </c>
      <c r="W185" s="7">
        <f t="shared" si="25"/>
        <v>3.5019632409825281</v>
      </c>
      <c r="X185" s="7">
        <f t="shared" si="26"/>
        <v>0.28042475467134764</v>
      </c>
      <c r="Y185" s="7">
        <f t="shared" si="27"/>
        <v>-0.42406756820151964</v>
      </c>
      <c r="Z185" s="7">
        <f t="shared" si="28"/>
        <v>-0.40948749418681252</v>
      </c>
      <c r="AA185" s="7">
        <f t="shared" si="29"/>
        <v>-0.18437676923899482</v>
      </c>
    </row>
    <row r="186" spans="1:27" x14ac:dyDescent="0.25">
      <c r="A186" s="1" t="s">
        <v>1666</v>
      </c>
      <c r="B186" s="1" t="s">
        <v>861</v>
      </c>
      <c r="C186" s="1">
        <v>6</v>
      </c>
      <c r="D186" s="1">
        <v>5</v>
      </c>
      <c r="E186" s="1">
        <v>5</v>
      </c>
      <c r="F186" s="1">
        <v>5</v>
      </c>
      <c r="G186" s="1">
        <v>6</v>
      </c>
      <c r="H186" s="1">
        <v>6</v>
      </c>
      <c r="I186" s="1">
        <v>4</v>
      </c>
      <c r="J186" s="1">
        <v>6</v>
      </c>
      <c r="K186" s="1">
        <v>7</v>
      </c>
      <c r="L186" s="1">
        <v>5</v>
      </c>
      <c r="M186" s="1">
        <v>21</v>
      </c>
      <c r="N186" s="1">
        <v>22</v>
      </c>
      <c r="O186" s="1">
        <v>12</v>
      </c>
      <c r="P186" s="1">
        <v>55</v>
      </c>
      <c r="Q186" s="7">
        <v>0.84983658559879738</v>
      </c>
      <c r="R186" s="7">
        <f t="shared" si="20"/>
        <v>23.196700507614214</v>
      </c>
      <c r="S186" s="7">
        <f t="shared" si="21"/>
        <v>6.4306002317777482</v>
      </c>
      <c r="T186" s="7">
        <f t="shared" si="22"/>
        <v>22.771573604060915</v>
      </c>
      <c r="U186" s="7">
        <f t="shared" si="23"/>
        <v>6.5356886776680962</v>
      </c>
      <c r="V186" s="7">
        <f t="shared" si="24"/>
        <v>11.434010152284264</v>
      </c>
      <c r="W186" s="7">
        <f t="shared" si="25"/>
        <v>3.5019632409825281</v>
      </c>
      <c r="X186" s="7">
        <f t="shared" si="26"/>
        <v>-0.3416011613906425</v>
      </c>
      <c r="Y186" s="7">
        <f t="shared" si="27"/>
        <v>-0.11805544023192505</v>
      </c>
      <c r="Z186" s="7">
        <f t="shared" si="28"/>
        <v>0.16162072779408701</v>
      </c>
      <c r="AA186" s="7">
        <f t="shared" si="29"/>
        <v>-9.9345291276160166E-2</v>
      </c>
    </row>
    <row r="187" spans="1:27" x14ac:dyDescent="0.25">
      <c r="A187" s="1" t="s">
        <v>1666</v>
      </c>
      <c r="B187" s="1" t="s">
        <v>861</v>
      </c>
      <c r="C187" s="1">
        <v>9</v>
      </c>
      <c r="D187" s="1">
        <v>8</v>
      </c>
      <c r="E187" s="1">
        <v>7</v>
      </c>
      <c r="F187" s="1">
        <v>7</v>
      </c>
      <c r="G187" s="1">
        <v>9</v>
      </c>
      <c r="H187" s="1">
        <v>9</v>
      </c>
      <c r="I187" s="1">
        <v>8</v>
      </c>
      <c r="J187" s="1">
        <v>8</v>
      </c>
      <c r="K187" s="1">
        <v>7</v>
      </c>
      <c r="L187" s="1">
        <v>6</v>
      </c>
      <c r="M187" s="1">
        <v>31</v>
      </c>
      <c r="N187" s="1">
        <v>34</v>
      </c>
      <c r="O187" s="1">
        <v>13</v>
      </c>
      <c r="P187" s="1">
        <v>78</v>
      </c>
      <c r="Q187" s="7">
        <v>1.0327955589886444</v>
      </c>
      <c r="R187" s="7">
        <f t="shared" si="20"/>
        <v>23.196700507614214</v>
      </c>
      <c r="S187" s="7">
        <f t="shared" si="21"/>
        <v>6.4306002317777482</v>
      </c>
      <c r="T187" s="7">
        <f t="shared" si="22"/>
        <v>22.771573604060915</v>
      </c>
      <c r="U187" s="7">
        <f t="shared" si="23"/>
        <v>6.5356886776680962</v>
      </c>
      <c r="V187" s="7">
        <f t="shared" si="24"/>
        <v>11.434010152284264</v>
      </c>
      <c r="W187" s="7">
        <f t="shared" si="25"/>
        <v>3.5019632409825281</v>
      </c>
      <c r="X187" s="7">
        <f t="shared" si="26"/>
        <v>1.2134636287643328</v>
      </c>
      <c r="Y187" s="7">
        <f t="shared" si="27"/>
        <v>1.7180173275856425</v>
      </c>
      <c r="Z187" s="7">
        <f t="shared" si="28"/>
        <v>0.44717483878453679</v>
      </c>
      <c r="AA187" s="7">
        <f t="shared" si="29"/>
        <v>1.1262185983781707</v>
      </c>
    </row>
    <row r="188" spans="1:27" x14ac:dyDescent="0.25">
      <c r="A188" s="1" t="s">
        <v>1666</v>
      </c>
      <c r="B188" s="1" t="s">
        <v>861</v>
      </c>
      <c r="C188" s="1">
        <v>9</v>
      </c>
      <c r="D188" s="1">
        <v>8</v>
      </c>
      <c r="E188" s="1">
        <v>7</v>
      </c>
      <c r="F188" s="1">
        <v>8</v>
      </c>
      <c r="G188" s="1">
        <v>7</v>
      </c>
      <c r="H188" s="1">
        <v>7</v>
      </c>
      <c r="I188" s="1">
        <v>7</v>
      </c>
      <c r="J188" s="1">
        <v>8</v>
      </c>
      <c r="K188" s="1">
        <v>8</v>
      </c>
      <c r="L188" s="1">
        <v>9</v>
      </c>
      <c r="M188" s="1">
        <v>32</v>
      </c>
      <c r="N188" s="1">
        <v>29</v>
      </c>
      <c r="O188" s="1">
        <v>17</v>
      </c>
      <c r="P188" s="1">
        <v>78</v>
      </c>
      <c r="Q188" s="7">
        <v>0.78881063774661531</v>
      </c>
      <c r="R188" s="7">
        <f t="shared" si="20"/>
        <v>23.196700507614214</v>
      </c>
      <c r="S188" s="7">
        <f t="shared" si="21"/>
        <v>6.4306002317777482</v>
      </c>
      <c r="T188" s="7">
        <f t="shared" si="22"/>
        <v>22.771573604060915</v>
      </c>
      <c r="U188" s="7">
        <f t="shared" si="23"/>
        <v>6.5356886776680962</v>
      </c>
      <c r="V188" s="7">
        <f t="shared" si="24"/>
        <v>11.434010152284264</v>
      </c>
      <c r="W188" s="7">
        <f t="shared" si="25"/>
        <v>3.5019632409825281</v>
      </c>
      <c r="X188" s="7">
        <f t="shared" si="26"/>
        <v>1.3689701077798304</v>
      </c>
      <c r="Y188" s="7">
        <f t="shared" si="27"/>
        <v>0.95298700766165612</v>
      </c>
      <c r="Z188" s="7">
        <f t="shared" si="28"/>
        <v>1.5893912827463359</v>
      </c>
      <c r="AA188" s="7">
        <f t="shared" si="29"/>
        <v>1.3037827993959408</v>
      </c>
    </row>
    <row r="189" spans="1:27" x14ac:dyDescent="0.25">
      <c r="A189" s="1" t="s">
        <v>1667</v>
      </c>
      <c r="B189" s="1" t="s">
        <v>861</v>
      </c>
      <c r="C189" s="1">
        <v>7</v>
      </c>
      <c r="D189" s="1">
        <v>7</v>
      </c>
      <c r="E189" s="1">
        <v>7</v>
      </c>
      <c r="F189" s="1">
        <v>6</v>
      </c>
      <c r="G189" s="1">
        <v>6</v>
      </c>
      <c r="H189" s="1">
        <v>4</v>
      </c>
      <c r="I189" s="1">
        <v>6</v>
      </c>
      <c r="J189" s="1">
        <v>5</v>
      </c>
      <c r="K189" s="1">
        <v>6</v>
      </c>
      <c r="L189" s="1">
        <v>6</v>
      </c>
      <c r="M189" s="1">
        <v>27</v>
      </c>
      <c r="N189" s="1">
        <v>21</v>
      </c>
      <c r="O189" s="1">
        <v>12</v>
      </c>
      <c r="P189" s="1">
        <v>60</v>
      </c>
      <c r="Q189" s="7">
        <v>0.94280904158206313</v>
      </c>
      <c r="R189" s="7">
        <f t="shared" si="20"/>
        <v>23.196700507614214</v>
      </c>
      <c r="S189" s="7">
        <f t="shared" si="21"/>
        <v>6.4306002317777482</v>
      </c>
      <c r="T189" s="7">
        <f t="shared" si="22"/>
        <v>22.771573604060915</v>
      </c>
      <c r="U189" s="7">
        <f t="shared" si="23"/>
        <v>6.5356886776680962</v>
      </c>
      <c r="V189" s="7">
        <f t="shared" si="24"/>
        <v>11.434010152284264</v>
      </c>
      <c r="W189" s="7">
        <f t="shared" si="25"/>
        <v>3.5019632409825281</v>
      </c>
      <c r="X189" s="7">
        <f t="shared" si="26"/>
        <v>0.59143771270234269</v>
      </c>
      <c r="Y189" s="7">
        <f t="shared" si="27"/>
        <v>-0.27106150421672232</v>
      </c>
      <c r="Z189" s="7">
        <f t="shared" si="28"/>
        <v>0.16162072779408701</v>
      </c>
      <c r="AA189" s="7">
        <f t="shared" si="29"/>
        <v>0.16066564542656914</v>
      </c>
    </row>
    <row r="190" spans="1:27" x14ac:dyDescent="0.25">
      <c r="A190" s="1" t="s">
        <v>1667</v>
      </c>
      <c r="B190" s="1" t="s">
        <v>861</v>
      </c>
      <c r="C190" s="1">
        <v>6</v>
      </c>
      <c r="D190" s="1">
        <v>3</v>
      </c>
      <c r="E190" s="1">
        <v>3</v>
      </c>
      <c r="F190" s="1">
        <v>4</v>
      </c>
      <c r="G190" s="1">
        <v>4</v>
      </c>
      <c r="H190" s="1">
        <v>3</v>
      </c>
      <c r="I190" s="1">
        <v>3</v>
      </c>
      <c r="J190" s="1">
        <v>3</v>
      </c>
      <c r="K190" s="1">
        <v>3</v>
      </c>
      <c r="L190" s="1">
        <v>3</v>
      </c>
      <c r="M190" s="1">
        <v>16</v>
      </c>
      <c r="N190" s="1">
        <v>13</v>
      </c>
      <c r="O190" s="1">
        <v>6</v>
      </c>
      <c r="P190" s="1">
        <v>35</v>
      </c>
      <c r="Q190" s="7">
        <v>0.97182531580755005</v>
      </c>
      <c r="R190" s="7">
        <f t="shared" si="20"/>
        <v>23.196700507614214</v>
      </c>
      <c r="S190" s="7">
        <f t="shared" si="21"/>
        <v>6.4306002317777482</v>
      </c>
      <c r="T190" s="7">
        <f t="shared" si="22"/>
        <v>22.771573604060915</v>
      </c>
      <c r="U190" s="7">
        <f t="shared" si="23"/>
        <v>6.5356886776680962</v>
      </c>
      <c r="V190" s="7">
        <f t="shared" si="24"/>
        <v>11.434010152284264</v>
      </c>
      <c r="W190" s="7">
        <f t="shared" si="25"/>
        <v>3.5019632409825281</v>
      </c>
      <c r="X190" s="7">
        <f t="shared" si="26"/>
        <v>-1.1191335564681302</v>
      </c>
      <c r="Y190" s="7">
        <f t="shared" si="27"/>
        <v>-1.4951100160951007</v>
      </c>
      <c r="Z190" s="7">
        <f t="shared" si="28"/>
        <v>-1.5517039381486115</v>
      </c>
      <c r="AA190" s="7">
        <f t="shared" si="29"/>
        <v>-1.3886491702372805</v>
      </c>
    </row>
    <row r="191" spans="1:27" x14ac:dyDescent="0.25">
      <c r="A191" s="1" t="s">
        <v>1667</v>
      </c>
      <c r="B191" s="1" t="s">
        <v>861</v>
      </c>
      <c r="C191" s="1">
        <v>4</v>
      </c>
      <c r="D191" s="1">
        <v>4</v>
      </c>
      <c r="E191" s="1">
        <v>4</v>
      </c>
      <c r="F191" s="1">
        <v>3</v>
      </c>
      <c r="G191" s="1">
        <v>6</v>
      </c>
      <c r="H191" s="1">
        <v>5</v>
      </c>
      <c r="I191" s="1">
        <v>5</v>
      </c>
      <c r="J191" s="1">
        <v>5</v>
      </c>
      <c r="K191" s="1">
        <v>5</v>
      </c>
      <c r="L191" s="1">
        <v>5</v>
      </c>
      <c r="M191" s="1">
        <v>15</v>
      </c>
      <c r="N191" s="1">
        <v>21</v>
      </c>
      <c r="O191" s="1">
        <v>10</v>
      </c>
      <c r="P191" s="1">
        <v>46</v>
      </c>
      <c r="Q191" s="7">
        <v>0.8432740427115677</v>
      </c>
      <c r="R191" s="7">
        <f t="shared" si="20"/>
        <v>23.196700507614214</v>
      </c>
      <c r="S191" s="7">
        <f t="shared" si="21"/>
        <v>6.4306002317777482</v>
      </c>
      <c r="T191" s="7">
        <f t="shared" si="22"/>
        <v>22.771573604060915</v>
      </c>
      <c r="U191" s="7">
        <f t="shared" si="23"/>
        <v>6.5356886776680962</v>
      </c>
      <c r="V191" s="7">
        <f t="shared" si="24"/>
        <v>11.434010152284264</v>
      </c>
      <c r="W191" s="7">
        <f t="shared" si="25"/>
        <v>3.5019632409825281</v>
      </c>
      <c r="X191" s="7">
        <f t="shared" si="26"/>
        <v>-1.2746400354836278</v>
      </c>
      <c r="Y191" s="7">
        <f t="shared" si="27"/>
        <v>-0.27106150421672232</v>
      </c>
      <c r="Z191" s="7">
        <f t="shared" si="28"/>
        <v>-0.40948749418681252</v>
      </c>
      <c r="AA191" s="7">
        <f t="shared" si="29"/>
        <v>-0.65172967796238757</v>
      </c>
    </row>
    <row r="192" spans="1:27" x14ac:dyDescent="0.25">
      <c r="A192" s="1" t="s">
        <v>1667</v>
      </c>
      <c r="B192" s="1" t="s">
        <v>861</v>
      </c>
      <c r="C192" s="1">
        <v>3</v>
      </c>
      <c r="D192" s="1">
        <v>3</v>
      </c>
      <c r="E192" s="1">
        <v>3</v>
      </c>
      <c r="F192" s="1">
        <v>3</v>
      </c>
      <c r="G192" s="1">
        <v>3</v>
      </c>
      <c r="H192" s="1">
        <v>3</v>
      </c>
      <c r="I192" s="1">
        <v>3</v>
      </c>
      <c r="J192" s="1">
        <v>3</v>
      </c>
      <c r="K192" s="1">
        <v>3</v>
      </c>
      <c r="L192" s="1">
        <v>2</v>
      </c>
      <c r="M192" s="1">
        <v>12</v>
      </c>
      <c r="N192" s="1">
        <v>12</v>
      </c>
      <c r="O192" s="1">
        <v>5</v>
      </c>
      <c r="P192" s="1">
        <v>29</v>
      </c>
      <c r="Q192" s="7">
        <v>0.31622776601683794</v>
      </c>
      <c r="R192" s="7">
        <f t="shared" si="20"/>
        <v>23.196700507614214</v>
      </c>
      <c r="S192" s="7">
        <f t="shared" si="21"/>
        <v>6.4306002317777482</v>
      </c>
      <c r="T192" s="7">
        <f t="shared" si="22"/>
        <v>22.771573604060915</v>
      </c>
      <c r="U192" s="7">
        <f t="shared" si="23"/>
        <v>6.5356886776680962</v>
      </c>
      <c r="V192" s="7">
        <f t="shared" si="24"/>
        <v>11.434010152284264</v>
      </c>
      <c r="W192" s="7">
        <f t="shared" si="25"/>
        <v>3.5019632409825281</v>
      </c>
      <c r="X192" s="7">
        <f t="shared" si="26"/>
        <v>-1.7411594725301203</v>
      </c>
      <c r="Y192" s="7">
        <f t="shared" si="27"/>
        <v>-1.648116080079898</v>
      </c>
      <c r="Z192" s="7">
        <f t="shared" si="28"/>
        <v>-1.8372580491390613</v>
      </c>
      <c r="AA192" s="7">
        <f t="shared" si="29"/>
        <v>-1.7421778672496933</v>
      </c>
    </row>
    <row r="193" spans="1:27" x14ac:dyDescent="0.25">
      <c r="A193" s="1" t="s">
        <v>1667</v>
      </c>
      <c r="B193" s="1" t="s">
        <v>861</v>
      </c>
      <c r="C193" s="1">
        <v>5</v>
      </c>
      <c r="D193" s="1">
        <v>4</v>
      </c>
      <c r="E193" s="1">
        <v>4</v>
      </c>
      <c r="F193" s="1">
        <v>4</v>
      </c>
      <c r="G193" s="1">
        <v>6</v>
      </c>
      <c r="H193" s="1">
        <v>5</v>
      </c>
      <c r="I193" s="1">
        <v>5</v>
      </c>
      <c r="J193" s="1">
        <v>4</v>
      </c>
      <c r="K193" s="1">
        <v>5</v>
      </c>
      <c r="L193" s="1">
        <v>5</v>
      </c>
      <c r="M193" s="1">
        <v>17</v>
      </c>
      <c r="N193" s="1">
        <v>20</v>
      </c>
      <c r="O193" s="1">
        <v>10</v>
      </c>
      <c r="P193" s="1">
        <v>47</v>
      </c>
      <c r="Q193" s="7">
        <v>0.67494855771055307</v>
      </c>
      <c r="R193" s="7">
        <f t="shared" si="20"/>
        <v>23.196700507614214</v>
      </c>
      <c r="S193" s="7">
        <f t="shared" si="21"/>
        <v>6.4306002317777482</v>
      </c>
      <c r="T193" s="7">
        <f t="shared" si="22"/>
        <v>22.771573604060915</v>
      </c>
      <c r="U193" s="7">
        <f t="shared" si="23"/>
        <v>6.5356886776680962</v>
      </c>
      <c r="V193" s="7">
        <f t="shared" si="24"/>
        <v>11.434010152284264</v>
      </c>
      <c r="W193" s="7">
        <f t="shared" si="25"/>
        <v>3.5019632409825281</v>
      </c>
      <c r="X193" s="7">
        <f t="shared" si="26"/>
        <v>-0.96362707745263265</v>
      </c>
      <c r="Y193" s="7">
        <f t="shared" si="27"/>
        <v>-0.42406756820151964</v>
      </c>
      <c r="Z193" s="7">
        <f t="shared" si="28"/>
        <v>-0.40948749418681252</v>
      </c>
      <c r="AA193" s="7">
        <f t="shared" si="29"/>
        <v>-0.59906071328032162</v>
      </c>
    </row>
    <row r="194" spans="1:27" x14ac:dyDescent="0.25">
      <c r="A194" s="1" t="s">
        <v>1667</v>
      </c>
      <c r="B194" s="1" t="s">
        <v>861</v>
      </c>
      <c r="C194" s="1">
        <v>3</v>
      </c>
      <c r="D194" s="1">
        <v>2</v>
      </c>
      <c r="E194" s="1">
        <v>3</v>
      </c>
      <c r="F194" s="1">
        <v>2</v>
      </c>
      <c r="G194" s="1">
        <v>5</v>
      </c>
      <c r="H194" s="1">
        <v>4</v>
      </c>
      <c r="I194" s="1">
        <v>3</v>
      </c>
      <c r="J194" s="1">
        <v>5</v>
      </c>
      <c r="K194" s="1">
        <v>4</v>
      </c>
      <c r="L194" s="1">
        <v>4</v>
      </c>
      <c r="M194" s="1">
        <v>10</v>
      </c>
      <c r="N194" s="1">
        <v>17</v>
      </c>
      <c r="O194" s="1">
        <v>8</v>
      </c>
      <c r="P194" s="1">
        <v>35</v>
      </c>
      <c r="Q194" s="7">
        <v>1.0801234497346435</v>
      </c>
      <c r="R194" s="7">
        <f t="shared" si="20"/>
        <v>23.196700507614214</v>
      </c>
      <c r="S194" s="7">
        <f t="shared" si="21"/>
        <v>6.4306002317777482</v>
      </c>
      <c r="T194" s="7">
        <f t="shared" si="22"/>
        <v>22.771573604060915</v>
      </c>
      <c r="U194" s="7">
        <f t="shared" si="23"/>
        <v>6.5356886776680962</v>
      </c>
      <c r="V194" s="7">
        <f t="shared" si="24"/>
        <v>11.434010152284264</v>
      </c>
      <c r="W194" s="7">
        <f t="shared" si="25"/>
        <v>3.5019632409825281</v>
      </c>
      <c r="X194" s="7">
        <f t="shared" si="26"/>
        <v>-2.0521724305611153</v>
      </c>
      <c r="Y194" s="7">
        <f t="shared" si="27"/>
        <v>-0.88308576015591156</v>
      </c>
      <c r="Z194" s="7">
        <f t="shared" si="28"/>
        <v>-0.98059571616771202</v>
      </c>
      <c r="AA194" s="7">
        <f t="shared" si="29"/>
        <v>-1.3052846356282461</v>
      </c>
    </row>
    <row r="195" spans="1:27" x14ac:dyDescent="0.25">
      <c r="A195" s="1" t="s">
        <v>1667</v>
      </c>
      <c r="B195" s="1" t="s">
        <v>861</v>
      </c>
      <c r="C195" s="1">
        <v>6</v>
      </c>
      <c r="D195" s="1">
        <v>4</v>
      </c>
      <c r="E195" s="1">
        <v>4</v>
      </c>
      <c r="F195" s="1">
        <v>6</v>
      </c>
      <c r="G195" s="1">
        <v>6</v>
      </c>
      <c r="H195" s="1">
        <v>6</v>
      </c>
      <c r="I195" s="1">
        <v>6</v>
      </c>
      <c r="J195" s="1">
        <v>5</v>
      </c>
      <c r="K195" s="1">
        <v>5</v>
      </c>
      <c r="L195" s="1">
        <v>6</v>
      </c>
      <c r="M195" s="1">
        <v>20</v>
      </c>
      <c r="N195" s="1">
        <v>23</v>
      </c>
      <c r="O195" s="1">
        <v>11</v>
      </c>
      <c r="P195" s="1">
        <v>54</v>
      </c>
      <c r="Q195" s="7">
        <v>0.8432740427115677</v>
      </c>
      <c r="R195" s="7">
        <f t="shared" ref="R195:R258" si="30">AVERAGE(M:M)</f>
        <v>23.196700507614214</v>
      </c>
      <c r="S195" s="7">
        <f t="shared" ref="S195:S258" si="31">_xlfn.STDEV.S(M:M)</f>
        <v>6.4306002317777482</v>
      </c>
      <c r="T195" s="7">
        <f t="shared" ref="T195:T258" si="32">AVERAGE(N:N)</f>
        <v>22.771573604060915</v>
      </c>
      <c r="U195" s="7">
        <f t="shared" ref="U195:U258" si="33">_xlfn.STDEV.S(N:N)</f>
        <v>6.5356886776680962</v>
      </c>
      <c r="V195" s="7">
        <f t="shared" ref="V195:V258" si="34">AVERAGE(O:O)</f>
        <v>11.434010152284264</v>
      </c>
      <c r="W195" s="7">
        <f t="shared" ref="W195:W258" si="35">_xlfn.STDEV.S(O:O)</f>
        <v>3.5019632409825281</v>
      </c>
      <c r="X195" s="7">
        <f t="shared" ref="X195:X258" si="36">STANDARDIZE(M195,R195,S195)</f>
        <v>-0.49710764040614003</v>
      </c>
      <c r="Y195" s="7">
        <f t="shared" ref="Y195:Y258" si="37">STANDARDIZE(N195,T195,U195)</f>
        <v>3.4950623752872265E-2</v>
      </c>
      <c r="Z195" s="7">
        <f t="shared" ref="Z195:Z258" si="38">STANDARDIZE(O195,V195,W195)</f>
        <v>-0.12393338319636275</v>
      </c>
      <c r="AA195" s="7">
        <f t="shared" ref="AA195:AA258" si="39">AVERAGE(X195:Z195)</f>
        <v>-0.1953634666165435</v>
      </c>
    </row>
    <row r="196" spans="1:27" x14ac:dyDescent="0.25">
      <c r="A196" s="1" t="s">
        <v>1667</v>
      </c>
      <c r="B196" s="1" t="s">
        <v>861</v>
      </c>
      <c r="C196" s="1">
        <v>6</v>
      </c>
      <c r="D196" s="1">
        <v>6</v>
      </c>
      <c r="E196" s="1">
        <v>7</v>
      </c>
      <c r="F196" s="1">
        <v>7</v>
      </c>
      <c r="G196" s="1">
        <v>8</v>
      </c>
      <c r="H196" s="1">
        <v>7</v>
      </c>
      <c r="I196" s="1">
        <v>7</v>
      </c>
      <c r="J196" s="1">
        <v>7</v>
      </c>
      <c r="K196" s="1">
        <v>7</v>
      </c>
      <c r="L196" s="1">
        <v>8</v>
      </c>
      <c r="M196" s="1">
        <v>26</v>
      </c>
      <c r="N196" s="1">
        <v>29</v>
      </c>
      <c r="O196" s="1">
        <v>15</v>
      </c>
      <c r="P196" s="1">
        <v>70</v>
      </c>
      <c r="Q196" s="7">
        <v>0.66666666666666663</v>
      </c>
      <c r="R196" s="7">
        <f t="shared" si="30"/>
        <v>23.196700507614214</v>
      </c>
      <c r="S196" s="7">
        <f t="shared" si="31"/>
        <v>6.4306002317777482</v>
      </c>
      <c r="T196" s="7">
        <f t="shared" si="32"/>
        <v>22.771573604060915</v>
      </c>
      <c r="U196" s="7">
        <f t="shared" si="33"/>
        <v>6.5356886776680962</v>
      </c>
      <c r="V196" s="7">
        <f t="shared" si="34"/>
        <v>11.434010152284264</v>
      </c>
      <c r="W196" s="7">
        <f t="shared" si="35"/>
        <v>3.5019632409825281</v>
      </c>
      <c r="X196" s="7">
        <f t="shared" si="36"/>
        <v>0.43593123368684517</v>
      </c>
      <c r="Y196" s="7">
        <f t="shared" si="37"/>
        <v>0.95298700766165612</v>
      </c>
      <c r="Z196" s="7">
        <f t="shared" si="38"/>
        <v>1.0182830607654363</v>
      </c>
      <c r="AA196" s="7">
        <f t="shared" si="39"/>
        <v>0.80240043403797923</v>
      </c>
    </row>
    <row r="197" spans="1:27" x14ac:dyDescent="0.25">
      <c r="A197" s="1" t="s">
        <v>1667</v>
      </c>
      <c r="B197" s="1" t="s">
        <v>861</v>
      </c>
      <c r="C197" s="1">
        <v>4</v>
      </c>
      <c r="D197" s="1">
        <v>3</v>
      </c>
      <c r="E197" s="1">
        <v>4</v>
      </c>
      <c r="F197" s="1">
        <v>4</v>
      </c>
      <c r="G197" s="1">
        <v>4</v>
      </c>
      <c r="H197" s="1">
        <v>3</v>
      </c>
      <c r="I197" s="1">
        <v>3</v>
      </c>
      <c r="J197" s="1">
        <v>3</v>
      </c>
      <c r="K197" s="1">
        <v>4</v>
      </c>
      <c r="L197" s="1">
        <v>3</v>
      </c>
      <c r="M197" s="1">
        <v>15</v>
      </c>
      <c r="N197" s="1">
        <v>13</v>
      </c>
      <c r="O197" s="1">
        <v>7</v>
      </c>
      <c r="P197" s="1">
        <v>35</v>
      </c>
      <c r="Q197" s="7">
        <v>0.52704627669472981</v>
      </c>
      <c r="R197" s="7">
        <f t="shared" si="30"/>
        <v>23.196700507614214</v>
      </c>
      <c r="S197" s="7">
        <f t="shared" si="31"/>
        <v>6.4306002317777482</v>
      </c>
      <c r="T197" s="7">
        <f t="shared" si="32"/>
        <v>22.771573604060915</v>
      </c>
      <c r="U197" s="7">
        <f t="shared" si="33"/>
        <v>6.5356886776680962</v>
      </c>
      <c r="V197" s="7">
        <f t="shared" si="34"/>
        <v>11.434010152284264</v>
      </c>
      <c r="W197" s="7">
        <f t="shared" si="35"/>
        <v>3.5019632409825281</v>
      </c>
      <c r="X197" s="7">
        <f t="shared" si="36"/>
        <v>-1.2746400354836278</v>
      </c>
      <c r="Y197" s="7">
        <f t="shared" si="37"/>
        <v>-1.4951100160951007</v>
      </c>
      <c r="Z197" s="7">
        <f t="shared" si="38"/>
        <v>-1.2661498271581617</v>
      </c>
      <c r="AA197" s="7">
        <f t="shared" si="39"/>
        <v>-1.3452999595789634</v>
      </c>
    </row>
    <row r="198" spans="1:27" x14ac:dyDescent="0.25">
      <c r="A198" s="1" t="s">
        <v>1667</v>
      </c>
      <c r="B198" s="1" t="s">
        <v>861</v>
      </c>
      <c r="C198" s="1">
        <v>3</v>
      </c>
      <c r="D198" s="1">
        <v>3</v>
      </c>
      <c r="E198" s="1">
        <v>4</v>
      </c>
      <c r="F198" s="1">
        <v>4</v>
      </c>
      <c r="G198" s="1">
        <v>3</v>
      </c>
      <c r="H198" s="1">
        <v>3</v>
      </c>
      <c r="I198" s="1">
        <v>3</v>
      </c>
      <c r="J198" s="1">
        <v>3</v>
      </c>
      <c r="K198" s="1">
        <v>4</v>
      </c>
      <c r="L198" s="1">
        <v>2</v>
      </c>
      <c r="M198" s="1">
        <v>14</v>
      </c>
      <c r="N198" s="1">
        <v>12</v>
      </c>
      <c r="O198" s="1">
        <v>6</v>
      </c>
      <c r="P198" s="1">
        <v>32</v>
      </c>
      <c r="Q198" s="7">
        <v>0.63245553203367588</v>
      </c>
      <c r="R198" s="7">
        <f t="shared" si="30"/>
        <v>23.196700507614214</v>
      </c>
      <c r="S198" s="7">
        <f t="shared" si="31"/>
        <v>6.4306002317777482</v>
      </c>
      <c r="T198" s="7">
        <f t="shared" si="32"/>
        <v>22.771573604060915</v>
      </c>
      <c r="U198" s="7">
        <f t="shared" si="33"/>
        <v>6.5356886776680962</v>
      </c>
      <c r="V198" s="7">
        <f t="shared" si="34"/>
        <v>11.434010152284264</v>
      </c>
      <c r="W198" s="7">
        <f t="shared" si="35"/>
        <v>3.5019632409825281</v>
      </c>
      <c r="X198" s="7">
        <f t="shared" si="36"/>
        <v>-1.4301465144991252</v>
      </c>
      <c r="Y198" s="7">
        <f t="shared" si="37"/>
        <v>-1.648116080079898</v>
      </c>
      <c r="Z198" s="7">
        <f t="shared" si="38"/>
        <v>-1.5517039381486115</v>
      </c>
      <c r="AA198" s="7">
        <f t="shared" si="39"/>
        <v>-1.5433221775758781</v>
      </c>
    </row>
    <row r="199" spans="1:27" x14ac:dyDescent="0.25">
      <c r="A199" s="1" t="s">
        <v>1667</v>
      </c>
      <c r="B199" s="1" t="s">
        <v>861</v>
      </c>
      <c r="C199" s="1">
        <v>4</v>
      </c>
      <c r="D199" s="1">
        <v>4</v>
      </c>
      <c r="E199" s="1">
        <v>4</v>
      </c>
      <c r="F199" s="1">
        <v>4</v>
      </c>
      <c r="G199" s="1">
        <v>5</v>
      </c>
      <c r="H199" s="1">
        <v>4</v>
      </c>
      <c r="I199" s="1">
        <v>4</v>
      </c>
      <c r="J199" s="1">
        <v>4</v>
      </c>
      <c r="K199" s="1">
        <v>3</v>
      </c>
      <c r="L199" s="1">
        <v>3</v>
      </c>
      <c r="M199" s="1">
        <v>16</v>
      </c>
      <c r="N199" s="1">
        <v>17</v>
      </c>
      <c r="O199" s="1">
        <v>6</v>
      </c>
      <c r="P199" s="1">
        <v>39</v>
      </c>
      <c r="Q199" s="7">
        <v>0.56764621219754663</v>
      </c>
      <c r="R199" s="7">
        <f t="shared" si="30"/>
        <v>23.196700507614214</v>
      </c>
      <c r="S199" s="7">
        <f t="shared" si="31"/>
        <v>6.4306002317777482</v>
      </c>
      <c r="T199" s="7">
        <f t="shared" si="32"/>
        <v>22.771573604060915</v>
      </c>
      <c r="U199" s="7">
        <f t="shared" si="33"/>
        <v>6.5356886776680962</v>
      </c>
      <c r="V199" s="7">
        <f t="shared" si="34"/>
        <v>11.434010152284264</v>
      </c>
      <c r="W199" s="7">
        <f t="shared" si="35"/>
        <v>3.5019632409825281</v>
      </c>
      <c r="X199" s="7">
        <f t="shared" si="36"/>
        <v>-1.1191335564681302</v>
      </c>
      <c r="Y199" s="7">
        <f t="shared" si="37"/>
        <v>-0.88308576015591156</v>
      </c>
      <c r="Z199" s="7">
        <f t="shared" si="38"/>
        <v>-1.5517039381486115</v>
      </c>
      <c r="AA199" s="7">
        <f t="shared" si="39"/>
        <v>-1.1846410849242177</v>
      </c>
    </row>
    <row r="200" spans="1:27" x14ac:dyDescent="0.25">
      <c r="A200" s="1" t="s">
        <v>1667</v>
      </c>
      <c r="B200" s="1" t="s">
        <v>861</v>
      </c>
      <c r="C200" s="1">
        <v>4</v>
      </c>
      <c r="D200" s="1">
        <v>4</v>
      </c>
      <c r="E200" s="1">
        <v>4</v>
      </c>
      <c r="F200" s="1">
        <v>4</v>
      </c>
      <c r="G200" s="1">
        <v>6</v>
      </c>
      <c r="H200" s="1">
        <v>5</v>
      </c>
      <c r="I200" s="1">
        <v>4</v>
      </c>
      <c r="J200" s="1">
        <v>3</v>
      </c>
      <c r="K200" s="1">
        <v>4</v>
      </c>
      <c r="L200" s="1">
        <v>5</v>
      </c>
      <c r="M200" s="1">
        <v>16</v>
      </c>
      <c r="N200" s="1">
        <v>18</v>
      </c>
      <c r="O200" s="1">
        <v>9</v>
      </c>
      <c r="P200" s="1">
        <v>43</v>
      </c>
      <c r="Q200" s="7">
        <v>0.82327260234856459</v>
      </c>
      <c r="R200" s="7">
        <f t="shared" si="30"/>
        <v>23.196700507614214</v>
      </c>
      <c r="S200" s="7">
        <f t="shared" si="31"/>
        <v>6.4306002317777482</v>
      </c>
      <c r="T200" s="7">
        <f t="shared" si="32"/>
        <v>22.771573604060915</v>
      </c>
      <c r="U200" s="7">
        <f t="shared" si="33"/>
        <v>6.5356886776680962</v>
      </c>
      <c r="V200" s="7">
        <f t="shared" si="34"/>
        <v>11.434010152284264</v>
      </c>
      <c r="W200" s="7">
        <f t="shared" si="35"/>
        <v>3.5019632409825281</v>
      </c>
      <c r="X200" s="7">
        <f t="shared" si="36"/>
        <v>-1.1191335564681302</v>
      </c>
      <c r="Y200" s="7">
        <f t="shared" si="37"/>
        <v>-0.73007969617111423</v>
      </c>
      <c r="Z200" s="7">
        <f t="shared" si="38"/>
        <v>-0.69504160517726232</v>
      </c>
      <c r="AA200" s="7">
        <f t="shared" si="39"/>
        <v>-0.84808495260550221</v>
      </c>
    </row>
    <row r="201" spans="1:27" x14ac:dyDescent="0.25">
      <c r="A201" s="1" t="s">
        <v>1667</v>
      </c>
      <c r="B201" s="1" t="s">
        <v>861</v>
      </c>
      <c r="C201" s="1">
        <v>4</v>
      </c>
      <c r="D201" s="1">
        <v>3</v>
      </c>
      <c r="E201" s="1">
        <v>4</v>
      </c>
      <c r="F201" s="1">
        <v>3</v>
      </c>
      <c r="G201" s="1">
        <v>4</v>
      </c>
      <c r="H201" s="1">
        <v>4</v>
      </c>
      <c r="I201" s="1">
        <v>3</v>
      </c>
      <c r="J201" s="1">
        <v>3</v>
      </c>
      <c r="K201" s="1">
        <v>3</v>
      </c>
      <c r="L201" s="1">
        <v>4</v>
      </c>
      <c r="M201" s="1">
        <v>14</v>
      </c>
      <c r="N201" s="1">
        <v>14</v>
      </c>
      <c r="O201" s="1">
        <v>7</v>
      </c>
      <c r="P201" s="1">
        <v>35</v>
      </c>
      <c r="Q201" s="7">
        <v>0.52704627669472992</v>
      </c>
      <c r="R201" s="7">
        <f t="shared" si="30"/>
        <v>23.196700507614214</v>
      </c>
      <c r="S201" s="7">
        <f t="shared" si="31"/>
        <v>6.4306002317777482</v>
      </c>
      <c r="T201" s="7">
        <f t="shared" si="32"/>
        <v>22.771573604060915</v>
      </c>
      <c r="U201" s="7">
        <f t="shared" si="33"/>
        <v>6.5356886776680962</v>
      </c>
      <c r="V201" s="7">
        <f t="shared" si="34"/>
        <v>11.434010152284264</v>
      </c>
      <c r="W201" s="7">
        <f t="shared" si="35"/>
        <v>3.5019632409825281</v>
      </c>
      <c r="X201" s="7">
        <f t="shared" si="36"/>
        <v>-1.4301465144991252</v>
      </c>
      <c r="Y201" s="7">
        <f t="shared" si="37"/>
        <v>-1.3421039521103035</v>
      </c>
      <c r="Z201" s="7">
        <f t="shared" si="38"/>
        <v>-1.2661498271581617</v>
      </c>
      <c r="AA201" s="7">
        <f t="shared" si="39"/>
        <v>-1.3461334312558637</v>
      </c>
    </row>
    <row r="202" spans="1:27" x14ac:dyDescent="0.25">
      <c r="A202" s="1" t="s">
        <v>1667</v>
      </c>
      <c r="B202" s="1" t="s">
        <v>861</v>
      </c>
      <c r="C202" s="1">
        <v>6</v>
      </c>
      <c r="D202" s="1">
        <v>5</v>
      </c>
      <c r="E202" s="1">
        <v>6</v>
      </c>
      <c r="F202" s="1">
        <v>6</v>
      </c>
      <c r="G202" s="1">
        <v>7</v>
      </c>
      <c r="H202" s="1">
        <v>7</v>
      </c>
      <c r="I202" s="1">
        <v>6</v>
      </c>
      <c r="J202" s="1">
        <v>8</v>
      </c>
      <c r="K202" s="1">
        <v>8</v>
      </c>
      <c r="L202" s="1">
        <v>6</v>
      </c>
      <c r="M202" s="1">
        <v>23</v>
      </c>
      <c r="N202" s="1">
        <v>28</v>
      </c>
      <c r="O202" s="1">
        <v>14</v>
      </c>
      <c r="P202" s="1">
        <v>65</v>
      </c>
      <c r="Q202" s="7">
        <v>0.97182531580755005</v>
      </c>
      <c r="R202" s="7">
        <f t="shared" si="30"/>
        <v>23.196700507614214</v>
      </c>
      <c r="S202" s="7">
        <f t="shared" si="31"/>
        <v>6.4306002317777482</v>
      </c>
      <c r="T202" s="7">
        <f t="shared" si="32"/>
        <v>22.771573604060915</v>
      </c>
      <c r="U202" s="7">
        <f t="shared" si="33"/>
        <v>6.5356886776680962</v>
      </c>
      <c r="V202" s="7">
        <f t="shared" si="34"/>
        <v>11.434010152284264</v>
      </c>
      <c r="W202" s="7">
        <f t="shared" si="35"/>
        <v>3.5019632409825281</v>
      </c>
      <c r="X202" s="7">
        <f t="shared" si="36"/>
        <v>-3.0588203359647428E-2</v>
      </c>
      <c r="Y202" s="7">
        <f t="shared" si="37"/>
        <v>0.79998094367685879</v>
      </c>
      <c r="Z202" s="7">
        <f t="shared" si="38"/>
        <v>0.73272894977498659</v>
      </c>
      <c r="AA202" s="7">
        <f t="shared" si="39"/>
        <v>0.50070723003073259</v>
      </c>
    </row>
    <row r="203" spans="1:27" x14ac:dyDescent="0.25">
      <c r="A203" s="1" t="s">
        <v>1667</v>
      </c>
      <c r="B203" s="1" t="s">
        <v>861</v>
      </c>
      <c r="C203" s="1">
        <v>3</v>
      </c>
      <c r="D203" s="1">
        <v>3</v>
      </c>
      <c r="E203" s="1">
        <v>3</v>
      </c>
      <c r="F203" s="1">
        <v>3</v>
      </c>
      <c r="G203" s="1">
        <v>3</v>
      </c>
      <c r="H203" s="1">
        <v>3</v>
      </c>
      <c r="I203" s="1">
        <v>2</v>
      </c>
      <c r="J203" s="1">
        <v>3</v>
      </c>
      <c r="K203" s="1">
        <v>3</v>
      </c>
      <c r="L203" s="1">
        <v>2</v>
      </c>
      <c r="M203" s="1">
        <v>12</v>
      </c>
      <c r="N203" s="1">
        <v>11</v>
      </c>
      <c r="O203" s="1">
        <v>5</v>
      </c>
      <c r="P203" s="1">
        <v>28</v>
      </c>
      <c r="Q203" s="7">
        <v>0.42163702135578385</v>
      </c>
      <c r="R203" s="7">
        <f t="shared" si="30"/>
        <v>23.196700507614214</v>
      </c>
      <c r="S203" s="7">
        <f t="shared" si="31"/>
        <v>6.4306002317777482</v>
      </c>
      <c r="T203" s="7">
        <f t="shared" si="32"/>
        <v>22.771573604060915</v>
      </c>
      <c r="U203" s="7">
        <f t="shared" si="33"/>
        <v>6.5356886776680962</v>
      </c>
      <c r="V203" s="7">
        <f t="shared" si="34"/>
        <v>11.434010152284264</v>
      </c>
      <c r="W203" s="7">
        <f t="shared" si="35"/>
        <v>3.5019632409825281</v>
      </c>
      <c r="X203" s="7">
        <f t="shared" si="36"/>
        <v>-1.7411594725301203</v>
      </c>
      <c r="Y203" s="7">
        <f t="shared" si="37"/>
        <v>-1.8011221440646954</v>
      </c>
      <c r="Z203" s="7">
        <f t="shared" si="38"/>
        <v>-1.8372580491390613</v>
      </c>
      <c r="AA203" s="7">
        <f t="shared" si="39"/>
        <v>-1.7931798885779591</v>
      </c>
    </row>
    <row r="204" spans="1:27" x14ac:dyDescent="0.25">
      <c r="A204" s="1" t="s">
        <v>1667</v>
      </c>
      <c r="B204" s="1" t="s">
        <v>861</v>
      </c>
      <c r="C204" s="1">
        <v>6</v>
      </c>
      <c r="D204" s="1">
        <v>5</v>
      </c>
      <c r="E204" s="1">
        <v>5</v>
      </c>
      <c r="F204" s="1">
        <v>6</v>
      </c>
      <c r="G204" s="1">
        <v>7</v>
      </c>
      <c r="H204" s="1">
        <v>7</v>
      </c>
      <c r="I204" s="1">
        <v>6</v>
      </c>
      <c r="J204" s="1">
        <v>7</v>
      </c>
      <c r="K204" s="1">
        <v>7</v>
      </c>
      <c r="L204" s="1">
        <v>6</v>
      </c>
      <c r="M204" s="1">
        <v>22</v>
      </c>
      <c r="N204" s="1">
        <v>27</v>
      </c>
      <c r="O204" s="1">
        <v>13</v>
      </c>
      <c r="P204" s="1">
        <v>62</v>
      </c>
      <c r="Q204" s="7">
        <v>0.78881063774661553</v>
      </c>
      <c r="R204" s="7">
        <f t="shared" si="30"/>
        <v>23.196700507614214</v>
      </c>
      <c r="S204" s="7">
        <f t="shared" si="31"/>
        <v>6.4306002317777482</v>
      </c>
      <c r="T204" s="7">
        <f t="shared" si="32"/>
        <v>22.771573604060915</v>
      </c>
      <c r="U204" s="7">
        <f t="shared" si="33"/>
        <v>6.5356886776680962</v>
      </c>
      <c r="V204" s="7">
        <f t="shared" si="34"/>
        <v>11.434010152284264</v>
      </c>
      <c r="W204" s="7">
        <f t="shared" si="35"/>
        <v>3.5019632409825281</v>
      </c>
      <c r="X204" s="7">
        <f t="shared" si="36"/>
        <v>-0.18609468237514495</v>
      </c>
      <c r="Y204" s="7">
        <f t="shared" si="37"/>
        <v>0.64697487969206147</v>
      </c>
      <c r="Z204" s="7">
        <f t="shared" si="38"/>
        <v>0.44717483878453679</v>
      </c>
      <c r="AA204" s="7">
        <f t="shared" si="39"/>
        <v>0.30268501203381776</v>
      </c>
    </row>
    <row r="205" spans="1:27" x14ac:dyDescent="0.25">
      <c r="A205" s="1" t="s">
        <v>1667</v>
      </c>
      <c r="B205" s="1" t="s">
        <v>861</v>
      </c>
      <c r="C205" s="1">
        <v>6</v>
      </c>
      <c r="D205" s="1">
        <v>5</v>
      </c>
      <c r="E205" s="1">
        <v>5</v>
      </c>
      <c r="F205" s="1">
        <v>6</v>
      </c>
      <c r="G205" s="1">
        <v>6</v>
      </c>
      <c r="H205" s="1">
        <v>6</v>
      </c>
      <c r="I205" s="1">
        <v>6</v>
      </c>
      <c r="J205" s="1">
        <v>6</v>
      </c>
      <c r="K205" s="1">
        <v>7</v>
      </c>
      <c r="L205" s="1">
        <v>7</v>
      </c>
      <c r="M205" s="1">
        <v>22</v>
      </c>
      <c r="N205" s="1">
        <v>24</v>
      </c>
      <c r="O205" s="1">
        <v>14</v>
      </c>
      <c r="P205" s="1">
        <v>60</v>
      </c>
      <c r="Q205" s="7">
        <v>0.66666666666666696</v>
      </c>
      <c r="R205" s="7">
        <f t="shared" si="30"/>
        <v>23.196700507614214</v>
      </c>
      <c r="S205" s="7">
        <f t="shared" si="31"/>
        <v>6.4306002317777482</v>
      </c>
      <c r="T205" s="7">
        <f t="shared" si="32"/>
        <v>22.771573604060915</v>
      </c>
      <c r="U205" s="7">
        <f t="shared" si="33"/>
        <v>6.5356886776680962</v>
      </c>
      <c r="V205" s="7">
        <f t="shared" si="34"/>
        <v>11.434010152284264</v>
      </c>
      <c r="W205" s="7">
        <f t="shared" si="35"/>
        <v>3.5019632409825281</v>
      </c>
      <c r="X205" s="7">
        <f t="shared" si="36"/>
        <v>-0.18609468237514495</v>
      </c>
      <c r="Y205" s="7">
        <f t="shared" si="37"/>
        <v>0.18795668773766958</v>
      </c>
      <c r="Z205" s="7">
        <f t="shared" si="38"/>
        <v>0.73272894977498659</v>
      </c>
      <c r="AA205" s="7">
        <f t="shared" si="39"/>
        <v>0.24486365171250371</v>
      </c>
    </row>
    <row r="206" spans="1:27" x14ac:dyDescent="0.25">
      <c r="A206" s="1" t="s">
        <v>1667</v>
      </c>
      <c r="B206" s="1" t="s">
        <v>861</v>
      </c>
      <c r="C206" s="1">
        <v>7</v>
      </c>
      <c r="D206" s="1">
        <v>7</v>
      </c>
      <c r="E206" s="1">
        <v>7</v>
      </c>
      <c r="F206" s="1">
        <v>7</v>
      </c>
      <c r="G206" s="1">
        <v>8</v>
      </c>
      <c r="H206" s="1">
        <v>7</v>
      </c>
      <c r="I206" s="1">
        <v>8</v>
      </c>
      <c r="J206" s="1">
        <v>7</v>
      </c>
      <c r="K206" s="1">
        <v>8</v>
      </c>
      <c r="L206" s="1">
        <v>8</v>
      </c>
      <c r="M206" s="1">
        <v>28</v>
      </c>
      <c r="N206" s="1">
        <v>30</v>
      </c>
      <c r="O206" s="1">
        <v>16</v>
      </c>
      <c r="P206" s="1">
        <v>74</v>
      </c>
      <c r="Q206" s="7">
        <v>0.51639777949432231</v>
      </c>
      <c r="R206" s="7">
        <f t="shared" si="30"/>
        <v>23.196700507614214</v>
      </c>
      <c r="S206" s="7">
        <f t="shared" si="31"/>
        <v>6.4306002317777482</v>
      </c>
      <c r="T206" s="7">
        <f t="shared" si="32"/>
        <v>22.771573604060915</v>
      </c>
      <c r="U206" s="7">
        <f t="shared" si="33"/>
        <v>6.5356886776680962</v>
      </c>
      <c r="V206" s="7">
        <f t="shared" si="34"/>
        <v>11.434010152284264</v>
      </c>
      <c r="W206" s="7">
        <f t="shared" si="35"/>
        <v>3.5019632409825281</v>
      </c>
      <c r="X206" s="7">
        <f t="shared" si="36"/>
        <v>0.74694419171784021</v>
      </c>
      <c r="Y206" s="7">
        <f t="shared" si="37"/>
        <v>1.1059930716464534</v>
      </c>
      <c r="Z206" s="7">
        <f t="shared" si="38"/>
        <v>1.3038371717558861</v>
      </c>
      <c r="AA206" s="7">
        <f t="shared" si="39"/>
        <v>1.0522581450400599</v>
      </c>
    </row>
    <row r="207" spans="1:27" x14ac:dyDescent="0.25">
      <c r="A207" s="1" t="s">
        <v>1667</v>
      </c>
      <c r="B207" s="1" t="s">
        <v>861</v>
      </c>
      <c r="C207" s="1">
        <v>5</v>
      </c>
      <c r="D207" s="1">
        <v>5</v>
      </c>
      <c r="E207" s="1">
        <v>5</v>
      </c>
      <c r="F207" s="1">
        <v>5</v>
      </c>
      <c r="G207" s="1">
        <v>6</v>
      </c>
      <c r="H207" s="1">
        <v>5</v>
      </c>
      <c r="I207" s="1">
        <v>5</v>
      </c>
      <c r="J207" s="1">
        <v>5</v>
      </c>
      <c r="K207" s="1">
        <v>6</v>
      </c>
      <c r="L207" s="1">
        <v>6</v>
      </c>
      <c r="M207" s="1">
        <v>20</v>
      </c>
      <c r="N207" s="1">
        <v>21</v>
      </c>
      <c r="O207" s="1">
        <v>12</v>
      </c>
      <c r="P207" s="1">
        <v>53</v>
      </c>
      <c r="Q207" s="7">
        <v>0.48304589153964794</v>
      </c>
      <c r="R207" s="7">
        <f t="shared" si="30"/>
        <v>23.196700507614214</v>
      </c>
      <c r="S207" s="7">
        <f t="shared" si="31"/>
        <v>6.4306002317777482</v>
      </c>
      <c r="T207" s="7">
        <f t="shared" si="32"/>
        <v>22.771573604060915</v>
      </c>
      <c r="U207" s="7">
        <f t="shared" si="33"/>
        <v>6.5356886776680962</v>
      </c>
      <c r="V207" s="7">
        <f t="shared" si="34"/>
        <v>11.434010152284264</v>
      </c>
      <c r="W207" s="7">
        <f t="shared" si="35"/>
        <v>3.5019632409825281</v>
      </c>
      <c r="X207" s="7">
        <f t="shared" si="36"/>
        <v>-0.49710764040614003</v>
      </c>
      <c r="Y207" s="7">
        <f t="shared" si="37"/>
        <v>-0.27106150421672232</v>
      </c>
      <c r="Z207" s="7">
        <f t="shared" si="38"/>
        <v>0.16162072779408701</v>
      </c>
      <c r="AA207" s="7">
        <f t="shared" si="39"/>
        <v>-0.20218280560959179</v>
      </c>
    </row>
    <row r="208" spans="1:27" x14ac:dyDescent="0.25">
      <c r="A208" s="1" t="s">
        <v>1667</v>
      </c>
      <c r="B208" s="1" t="s">
        <v>861</v>
      </c>
      <c r="C208" s="1">
        <v>7</v>
      </c>
      <c r="D208" s="1">
        <v>7</v>
      </c>
      <c r="E208" s="1">
        <v>7</v>
      </c>
      <c r="F208" s="1">
        <v>7</v>
      </c>
      <c r="G208" s="1">
        <v>8</v>
      </c>
      <c r="H208" s="1">
        <v>8</v>
      </c>
      <c r="I208" s="1">
        <v>8</v>
      </c>
      <c r="J208" s="1">
        <v>8</v>
      </c>
      <c r="K208" s="1">
        <v>8</v>
      </c>
      <c r="L208" s="1">
        <v>8</v>
      </c>
      <c r="M208" s="1">
        <v>28</v>
      </c>
      <c r="N208" s="1">
        <v>32</v>
      </c>
      <c r="O208" s="1">
        <v>16</v>
      </c>
      <c r="P208" s="1">
        <v>76</v>
      </c>
      <c r="Q208" s="7">
        <v>0.5163977794943222</v>
      </c>
      <c r="R208" s="7">
        <f t="shared" si="30"/>
        <v>23.196700507614214</v>
      </c>
      <c r="S208" s="7">
        <f t="shared" si="31"/>
        <v>6.4306002317777482</v>
      </c>
      <c r="T208" s="7">
        <f t="shared" si="32"/>
        <v>22.771573604060915</v>
      </c>
      <c r="U208" s="7">
        <f t="shared" si="33"/>
        <v>6.5356886776680962</v>
      </c>
      <c r="V208" s="7">
        <f t="shared" si="34"/>
        <v>11.434010152284264</v>
      </c>
      <c r="W208" s="7">
        <f t="shared" si="35"/>
        <v>3.5019632409825281</v>
      </c>
      <c r="X208" s="7">
        <f t="shared" si="36"/>
        <v>0.74694419171784021</v>
      </c>
      <c r="Y208" s="7">
        <f t="shared" si="37"/>
        <v>1.4120051996160479</v>
      </c>
      <c r="Z208" s="7">
        <f t="shared" si="38"/>
        <v>1.3038371717558861</v>
      </c>
      <c r="AA208" s="7">
        <f t="shared" si="39"/>
        <v>1.1542621876965915</v>
      </c>
    </row>
    <row r="209" spans="1:27" x14ac:dyDescent="0.25">
      <c r="A209" s="1" t="s">
        <v>1667</v>
      </c>
      <c r="B209" s="1" t="s">
        <v>861</v>
      </c>
      <c r="C209" s="1">
        <v>7</v>
      </c>
      <c r="D209" s="1">
        <v>6</v>
      </c>
      <c r="E209" s="1">
        <v>6</v>
      </c>
      <c r="F209" s="1">
        <v>6</v>
      </c>
      <c r="G209" s="1">
        <v>8</v>
      </c>
      <c r="H209" s="1">
        <v>6</v>
      </c>
      <c r="I209" s="1">
        <v>6</v>
      </c>
      <c r="J209" s="1">
        <v>6</v>
      </c>
      <c r="K209" s="1">
        <v>6</v>
      </c>
      <c r="L209" s="1">
        <v>6</v>
      </c>
      <c r="M209" s="1">
        <v>25</v>
      </c>
      <c r="N209" s="1">
        <v>26</v>
      </c>
      <c r="O209" s="1">
        <v>12</v>
      </c>
      <c r="P209" s="1">
        <v>63</v>
      </c>
      <c r="Q209" s="7">
        <v>0.67494855771055284</v>
      </c>
      <c r="R209" s="7">
        <f t="shared" si="30"/>
        <v>23.196700507614214</v>
      </c>
      <c r="S209" s="7">
        <f t="shared" si="31"/>
        <v>6.4306002317777482</v>
      </c>
      <c r="T209" s="7">
        <f t="shared" si="32"/>
        <v>22.771573604060915</v>
      </c>
      <c r="U209" s="7">
        <f t="shared" si="33"/>
        <v>6.5356886776680962</v>
      </c>
      <c r="V209" s="7">
        <f t="shared" si="34"/>
        <v>11.434010152284264</v>
      </c>
      <c r="W209" s="7">
        <f t="shared" si="35"/>
        <v>3.5019632409825281</v>
      </c>
      <c r="X209" s="7">
        <f t="shared" si="36"/>
        <v>0.28042475467134764</v>
      </c>
      <c r="Y209" s="7">
        <f t="shared" si="37"/>
        <v>0.49396881570726414</v>
      </c>
      <c r="Z209" s="7">
        <f t="shared" si="38"/>
        <v>0.16162072779408701</v>
      </c>
      <c r="AA209" s="7">
        <f t="shared" si="39"/>
        <v>0.31200476605756627</v>
      </c>
    </row>
    <row r="210" spans="1:27" x14ac:dyDescent="0.25">
      <c r="A210" s="1" t="s">
        <v>1667</v>
      </c>
      <c r="B210" s="1" t="s">
        <v>861</v>
      </c>
      <c r="C210" s="1">
        <v>6</v>
      </c>
      <c r="D210" s="1">
        <v>8</v>
      </c>
      <c r="E210" s="1">
        <v>8</v>
      </c>
      <c r="F210" s="1">
        <v>9</v>
      </c>
      <c r="G210" s="1">
        <v>6</v>
      </c>
      <c r="H210" s="1">
        <v>5</v>
      </c>
      <c r="I210" s="1">
        <v>5</v>
      </c>
      <c r="J210" s="1">
        <v>5</v>
      </c>
      <c r="K210" s="1">
        <v>7</v>
      </c>
      <c r="L210" s="1">
        <v>6</v>
      </c>
      <c r="M210" s="1">
        <v>31</v>
      </c>
      <c r="N210" s="1">
        <v>21</v>
      </c>
      <c r="O210" s="1">
        <v>13</v>
      </c>
      <c r="P210" s="1">
        <v>65</v>
      </c>
      <c r="Q210" s="7">
        <v>1.4337208778404378</v>
      </c>
      <c r="R210" s="7">
        <f t="shared" si="30"/>
        <v>23.196700507614214</v>
      </c>
      <c r="S210" s="7">
        <f t="shared" si="31"/>
        <v>6.4306002317777482</v>
      </c>
      <c r="T210" s="7">
        <f t="shared" si="32"/>
        <v>22.771573604060915</v>
      </c>
      <c r="U210" s="7">
        <f t="shared" si="33"/>
        <v>6.5356886776680962</v>
      </c>
      <c r="V210" s="7">
        <f t="shared" si="34"/>
        <v>11.434010152284264</v>
      </c>
      <c r="W210" s="7">
        <f t="shared" si="35"/>
        <v>3.5019632409825281</v>
      </c>
      <c r="X210" s="7">
        <f t="shared" si="36"/>
        <v>1.2134636287643328</v>
      </c>
      <c r="Y210" s="7">
        <f t="shared" si="37"/>
        <v>-0.27106150421672232</v>
      </c>
      <c r="Z210" s="7">
        <f t="shared" si="38"/>
        <v>0.44717483878453679</v>
      </c>
      <c r="AA210" s="7">
        <f t="shared" si="39"/>
        <v>0.46319232111071579</v>
      </c>
    </row>
    <row r="211" spans="1:27" x14ac:dyDescent="0.25">
      <c r="A211" s="1" t="s">
        <v>1667</v>
      </c>
      <c r="B211" s="1" t="s">
        <v>861</v>
      </c>
      <c r="C211" s="1">
        <v>6</v>
      </c>
      <c r="D211" s="1">
        <v>7</v>
      </c>
      <c r="E211" s="1">
        <v>6</v>
      </c>
      <c r="F211" s="1">
        <v>6</v>
      </c>
      <c r="G211" s="1">
        <v>6</v>
      </c>
      <c r="H211" s="1">
        <v>6</v>
      </c>
      <c r="I211" s="1">
        <v>5</v>
      </c>
      <c r="J211" s="1">
        <v>5</v>
      </c>
      <c r="K211" s="1">
        <v>6</v>
      </c>
      <c r="L211" s="1">
        <v>5</v>
      </c>
      <c r="M211" s="1">
        <v>25</v>
      </c>
      <c r="N211" s="1">
        <v>22</v>
      </c>
      <c r="O211" s="1">
        <v>11</v>
      </c>
      <c r="P211" s="1">
        <v>58</v>
      </c>
      <c r="Q211" s="7">
        <v>0.63245553203367599</v>
      </c>
      <c r="R211" s="7">
        <f t="shared" si="30"/>
        <v>23.196700507614214</v>
      </c>
      <c r="S211" s="7">
        <f t="shared" si="31"/>
        <v>6.4306002317777482</v>
      </c>
      <c r="T211" s="7">
        <f t="shared" si="32"/>
        <v>22.771573604060915</v>
      </c>
      <c r="U211" s="7">
        <f t="shared" si="33"/>
        <v>6.5356886776680962</v>
      </c>
      <c r="V211" s="7">
        <f t="shared" si="34"/>
        <v>11.434010152284264</v>
      </c>
      <c r="W211" s="7">
        <f t="shared" si="35"/>
        <v>3.5019632409825281</v>
      </c>
      <c r="X211" s="7">
        <f t="shared" si="36"/>
        <v>0.28042475467134764</v>
      </c>
      <c r="Y211" s="7">
        <f t="shared" si="37"/>
        <v>-0.11805544023192505</v>
      </c>
      <c r="Z211" s="7">
        <f t="shared" si="38"/>
        <v>-0.12393338319636275</v>
      </c>
      <c r="AA211" s="7">
        <f t="shared" si="39"/>
        <v>1.2811977081019948E-2</v>
      </c>
    </row>
    <row r="212" spans="1:27" x14ac:dyDescent="0.25">
      <c r="A212" s="1" t="s">
        <v>1667</v>
      </c>
      <c r="B212" s="1" t="s">
        <v>861</v>
      </c>
      <c r="C212" s="1">
        <v>6</v>
      </c>
      <c r="D212" s="1">
        <v>7</v>
      </c>
      <c r="E212" s="1">
        <v>6</v>
      </c>
      <c r="F212" s="1">
        <v>6</v>
      </c>
      <c r="G212" s="1">
        <v>6</v>
      </c>
      <c r="H212" s="1">
        <v>5</v>
      </c>
      <c r="I212" s="1">
        <v>5</v>
      </c>
      <c r="J212" s="1">
        <v>5</v>
      </c>
      <c r="K212" s="1">
        <v>5</v>
      </c>
      <c r="L212" s="1">
        <v>5</v>
      </c>
      <c r="M212" s="1">
        <v>25</v>
      </c>
      <c r="N212" s="1">
        <v>21</v>
      </c>
      <c r="O212" s="1">
        <v>10</v>
      </c>
      <c r="P212" s="1">
        <v>56</v>
      </c>
      <c r="Q212" s="7">
        <v>0.69920589878010098</v>
      </c>
      <c r="R212" s="7">
        <f t="shared" si="30"/>
        <v>23.196700507614214</v>
      </c>
      <c r="S212" s="7">
        <f t="shared" si="31"/>
        <v>6.4306002317777482</v>
      </c>
      <c r="T212" s="7">
        <f t="shared" si="32"/>
        <v>22.771573604060915</v>
      </c>
      <c r="U212" s="7">
        <f t="shared" si="33"/>
        <v>6.5356886776680962</v>
      </c>
      <c r="V212" s="7">
        <f t="shared" si="34"/>
        <v>11.434010152284264</v>
      </c>
      <c r="W212" s="7">
        <f t="shared" si="35"/>
        <v>3.5019632409825281</v>
      </c>
      <c r="X212" s="7">
        <f t="shared" si="36"/>
        <v>0.28042475467134764</v>
      </c>
      <c r="Y212" s="7">
        <f t="shared" si="37"/>
        <v>-0.27106150421672232</v>
      </c>
      <c r="Z212" s="7">
        <f t="shared" si="38"/>
        <v>-0.40948749418681252</v>
      </c>
      <c r="AA212" s="7">
        <f t="shared" si="39"/>
        <v>-0.13337474791072906</v>
      </c>
    </row>
    <row r="213" spans="1:27" x14ac:dyDescent="0.25">
      <c r="A213" s="1" t="s">
        <v>1667</v>
      </c>
      <c r="B213" s="1" t="s">
        <v>861</v>
      </c>
      <c r="C213" s="1">
        <v>5</v>
      </c>
      <c r="D213" s="1">
        <v>5</v>
      </c>
      <c r="E213" s="1">
        <v>6</v>
      </c>
      <c r="F213" s="1">
        <v>6</v>
      </c>
      <c r="G213" s="1">
        <v>6</v>
      </c>
      <c r="H213" s="1">
        <v>5</v>
      </c>
      <c r="I213" s="1">
        <v>5</v>
      </c>
      <c r="J213" s="1">
        <v>5</v>
      </c>
      <c r="K213" s="1">
        <v>5</v>
      </c>
      <c r="L213" s="1">
        <v>4</v>
      </c>
      <c r="M213" s="1">
        <v>22</v>
      </c>
      <c r="N213" s="1">
        <v>21</v>
      </c>
      <c r="O213" s="1">
        <v>9</v>
      </c>
      <c r="P213" s="1">
        <v>52</v>
      </c>
      <c r="Q213" s="7">
        <v>0.63245553203367577</v>
      </c>
      <c r="R213" s="7">
        <f t="shared" si="30"/>
        <v>23.196700507614214</v>
      </c>
      <c r="S213" s="7">
        <f t="shared" si="31"/>
        <v>6.4306002317777482</v>
      </c>
      <c r="T213" s="7">
        <f t="shared" si="32"/>
        <v>22.771573604060915</v>
      </c>
      <c r="U213" s="7">
        <f t="shared" si="33"/>
        <v>6.5356886776680962</v>
      </c>
      <c r="V213" s="7">
        <f t="shared" si="34"/>
        <v>11.434010152284264</v>
      </c>
      <c r="W213" s="7">
        <f t="shared" si="35"/>
        <v>3.5019632409825281</v>
      </c>
      <c r="X213" s="7">
        <f t="shared" si="36"/>
        <v>-0.18609468237514495</v>
      </c>
      <c r="Y213" s="7">
        <f t="shared" si="37"/>
        <v>-0.27106150421672232</v>
      </c>
      <c r="Z213" s="7">
        <f t="shared" si="38"/>
        <v>-0.69504160517726232</v>
      </c>
      <c r="AA213" s="7">
        <f t="shared" si="39"/>
        <v>-0.38406593058970984</v>
      </c>
    </row>
    <row r="214" spans="1:27" x14ac:dyDescent="0.25">
      <c r="A214" s="1" t="s">
        <v>1667</v>
      </c>
      <c r="B214" s="1" t="s">
        <v>861</v>
      </c>
      <c r="C214" s="1">
        <v>5</v>
      </c>
      <c r="D214" s="1">
        <v>4</v>
      </c>
      <c r="E214" s="1">
        <v>4</v>
      </c>
      <c r="F214" s="1">
        <v>4</v>
      </c>
      <c r="G214" s="1">
        <v>6</v>
      </c>
      <c r="H214" s="1">
        <v>6</v>
      </c>
      <c r="I214" s="1">
        <v>5</v>
      </c>
      <c r="J214" s="1">
        <v>6</v>
      </c>
      <c r="K214" s="1">
        <v>5</v>
      </c>
      <c r="L214" s="1">
        <v>6</v>
      </c>
      <c r="M214" s="1">
        <v>17</v>
      </c>
      <c r="N214" s="1">
        <v>23</v>
      </c>
      <c r="O214" s="1">
        <v>11</v>
      </c>
      <c r="P214" s="1">
        <v>51</v>
      </c>
      <c r="Q214" s="7">
        <v>0.87559503577091324</v>
      </c>
      <c r="R214" s="7">
        <f t="shared" si="30"/>
        <v>23.196700507614214</v>
      </c>
      <c r="S214" s="7">
        <f t="shared" si="31"/>
        <v>6.4306002317777482</v>
      </c>
      <c r="T214" s="7">
        <f t="shared" si="32"/>
        <v>22.771573604060915</v>
      </c>
      <c r="U214" s="7">
        <f t="shared" si="33"/>
        <v>6.5356886776680962</v>
      </c>
      <c r="V214" s="7">
        <f t="shared" si="34"/>
        <v>11.434010152284264</v>
      </c>
      <c r="W214" s="7">
        <f t="shared" si="35"/>
        <v>3.5019632409825281</v>
      </c>
      <c r="X214" s="7">
        <f t="shared" si="36"/>
        <v>-0.96362707745263265</v>
      </c>
      <c r="Y214" s="7">
        <f t="shared" si="37"/>
        <v>3.4950623752872265E-2</v>
      </c>
      <c r="Z214" s="7">
        <f t="shared" si="38"/>
        <v>-0.12393338319636275</v>
      </c>
      <c r="AA214" s="7">
        <f t="shared" si="39"/>
        <v>-0.35086994563204105</v>
      </c>
    </row>
    <row r="215" spans="1:27" x14ac:dyDescent="0.25">
      <c r="A215" s="1" t="s">
        <v>1667</v>
      </c>
      <c r="B215" s="1" t="s">
        <v>861</v>
      </c>
      <c r="C215" s="1">
        <v>7</v>
      </c>
      <c r="D215" s="1">
        <v>5</v>
      </c>
      <c r="E215" s="1">
        <v>7</v>
      </c>
      <c r="F215" s="1">
        <v>7</v>
      </c>
      <c r="G215" s="1">
        <v>8</v>
      </c>
      <c r="H215" s="1">
        <v>8</v>
      </c>
      <c r="I215" s="1">
        <v>7</v>
      </c>
      <c r="J215" s="1">
        <v>8</v>
      </c>
      <c r="K215" s="1">
        <v>8</v>
      </c>
      <c r="L215" s="1">
        <v>8</v>
      </c>
      <c r="M215" s="1">
        <v>26</v>
      </c>
      <c r="N215" s="1">
        <v>31</v>
      </c>
      <c r="O215" s="1">
        <v>16</v>
      </c>
      <c r="P215" s="1">
        <v>73</v>
      </c>
      <c r="Q215" s="7">
        <v>0.94868329805051388</v>
      </c>
      <c r="R215" s="7">
        <f t="shared" si="30"/>
        <v>23.196700507614214</v>
      </c>
      <c r="S215" s="7">
        <f t="shared" si="31"/>
        <v>6.4306002317777482</v>
      </c>
      <c r="T215" s="7">
        <f t="shared" si="32"/>
        <v>22.771573604060915</v>
      </c>
      <c r="U215" s="7">
        <f t="shared" si="33"/>
        <v>6.5356886776680962</v>
      </c>
      <c r="V215" s="7">
        <f t="shared" si="34"/>
        <v>11.434010152284264</v>
      </c>
      <c r="W215" s="7">
        <f t="shared" si="35"/>
        <v>3.5019632409825281</v>
      </c>
      <c r="X215" s="7">
        <f t="shared" si="36"/>
        <v>0.43593123368684517</v>
      </c>
      <c r="Y215" s="7">
        <f t="shared" si="37"/>
        <v>1.2589991356312507</v>
      </c>
      <c r="Z215" s="7">
        <f t="shared" si="38"/>
        <v>1.3038371717558861</v>
      </c>
      <c r="AA215" s="7">
        <f t="shared" si="39"/>
        <v>0.99958918035799404</v>
      </c>
    </row>
    <row r="216" spans="1:27" x14ac:dyDescent="0.25">
      <c r="A216" s="1" t="s">
        <v>1667</v>
      </c>
      <c r="B216" s="1" t="s">
        <v>861</v>
      </c>
      <c r="C216" s="1">
        <v>6</v>
      </c>
      <c r="D216" s="1">
        <v>5</v>
      </c>
      <c r="E216" s="1">
        <v>5</v>
      </c>
      <c r="F216" s="1">
        <v>5</v>
      </c>
      <c r="G216" s="1">
        <v>7</v>
      </c>
      <c r="H216" s="1">
        <v>7</v>
      </c>
      <c r="I216" s="1">
        <v>6</v>
      </c>
      <c r="J216" s="1">
        <v>7</v>
      </c>
      <c r="K216" s="1">
        <v>8</v>
      </c>
      <c r="L216" s="1">
        <v>6</v>
      </c>
      <c r="M216" s="1">
        <v>21</v>
      </c>
      <c r="N216" s="1">
        <v>27</v>
      </c>
      <c r="O216" s="1">
        <v>14</v>
      </c>
      <c r="P216" s="1">
        <v>62</v>
      </c>
      <c r="Q216" s="7">
        <v>1.0327955589886446</v>
      </c>
      <c r="R216" s="7">
        <f t="shared" si="30"/>
        <v>23.196700507614214</v>
      </c>
      <c r="S216" s="7">
        <f t="shared" si="31"/>
        <v>6.4306002317777482</v>
      </c>
      <c r="T216" s="7">
        <f t="shared" si="32"/>
        <v>22.771573604060915</v>
      </c>
      <c r="U216" s="7">
        <f t="shared" si="33"/>
        <v>6.5356886776680962</v>
      </c>
      <c r="V216" s="7">
        <f t="shared" si="34"/>
        <v>11.434010152284264</v>
      </c>
      <c r="W216" s="7">
        <f t="shared" si="35"/>
        <v>3.5019632409825281</v>
      </c>
      <c r="X216" s="7">
        <f t="shared" si="36"/>
        <v>-0.3416011613906425</v>
      </c>
      <c r="Y216" s="7">
        <f t="shared" si="37"/>
        <v>0.64697487969206147</v>
      </c>
      <c r="Z216" s="7">
        <f t="shared" si="38"/>
        <v>0.73272894977498659</v>
      </c>
      <c r="AA216" s="7">
        <f t="shared" si="39"/>
        <v>0.34603422269213518</v>
      </c>
    </row>
    <row r="217" spans="1:27" x14ac:dyDescent="0.25">
      <c r="A217" s="1" t="s">
        <v>1667</v>
      </c>
      <c r="B217" s="1" t="s">
        <v>861</v>
      </c>
      <c r="C217" s="1">
        <v>5</v>
      </c>
      <c r="D217" s="1">
        <v>5</v>
      </c>
      <c r="E217" s="1">
        <v>4</v>
      </c>
      <c r="F217" s="1">
        <v>4</v>
      </c>
      <c r="G217" s="1">
        <v>4</v>
      </c>
      <c r="H217" s="1">
        <v>4</v>
      </c>
      <c r="I217" s="1">
        <v>4</v>
      </c>
      <c r="J217" s="1">
        <v>5</v>
      </c>
      <c r="K217" s="1">
        <v>4</v>
      </c>
      <c r="L217" s="1">
        <v>6</v>
      </c>
      <c r="M217" s="1">
        <v>18</v>
      </c>
      <c r="N217" s="1">
        <v>17</v>
      </c>
      <c r="O217" s="1">
        <v>10</v>
      </c>
      <c r="P217" s="1">
        <v>45</v>
      </c>
      <c r="Q217" s="7">
        <v>0.70710678118654735</v>
      </c>
      <c r="R217" s="7">
        <f t="shared" si="30"/>
        <v>23.196700507614214</v>
      </c>
      <c r="S217" s="7">
        <f t="shared" si="31"/>
        <v>6.4306002317777482</v>
      </c>
      <c r="T217" s="7">
        <f t="shared" si="32"/>
        <v>22.771573604060915</v>
      </c>
      <c r="U217" s="7">
        <f t="shared" si="33"/>
        <v>6.5356886776680962</v>
      </c>
      <c r="V217" s="7">
        <f t="shared" si="34"/>
        <v>11.434010152284264</v>
      </c>
      <c r="W217" s="7">
        <f t="shared" si="35"/>
        <v>3.5019632409825281</v>
      </c>
      <c r="X217" s="7">
        <f t="shared" si="36"/>
        <v>-0.80812059843713513</v>
      </c>
      <c r="Y217" s="7">
        <f t="shared" si="37"/>
        <v>-0.88308576015591156</v>
      </c>
      <c r="Z217" s="7">
        <f t="shared" si="38"/>
        <v>-0.40948749418681252</v>
      </c>
      <c r="AA217" s="7">
        <f t="shared" si="39"/>
        <v>-0.70023128425995296</v>
      </c>
    </row>
    <row r="218" spans="1:27" x14ac:dyDescent="0.25">
      <c r="A218" s="1" t="s">
        <v>1667</v>
      </c>
      <c r="B218" s="1" t="s">
        <v>861</v>
      </c>
      <c r="C218" s="1">
        <v>5</v>
      </c>
      <c r="D218" s="1">
        <v>5</v>
      </c>
      <c r="E218" s="1">
        <v>4</v>
      </c>
      <c r="F218" s="1">
        <v>4</v>
      </c>
      <c r="G218" s="1">
        <v>5</v>
      </c>
      <c r="H218" s="1">
        <v>5</v>
      </c>
      <c r="I218" s="1">
        <v>5</v>
      </c>
      <c r="J218" s="1">
        <v>5</v>
      </c>
      <c r="K218" s="1">
        <v>4</v>
      </c>
      <c r="L218" s="1">
        <v>5</v>
      </c>
      <c r="M218" s="1">
        <v>18</v>
      </c>
      <c r="N218" s="1">
        <v>20</v>
      </c>
      <c r="O218" s="1">
        <v>9</v>
      </c>
      <c r="P218" s="1">
        <v>47</v>
      </c>
      <c r="Q218" s="7">
        <v>0.48304589153964811</v>
      </c>
      <c r="R218" s="7">
        <f t="shared" si="30"/>
        <v>23.196700507614214</v>
      </c>
      <c r="S218" s="7">
        <f t="shared" si="31"/>
        <v>6.4306002317777482</v>
      </c>
      <c r="T218" s="7">
        <f t="shared" si="32"/>
        <v>22.771573604060915</v>
      </c>
      <c r="U218" s="7">
        <f t="shared" si="33"/>
        <v>6.5356886776680962</v>
      </c>
      <c r="V218" s="7">
        <f t="shared" si="34"/>
        <v>11.434010152284264</v>
      </c>
      <c r="W218" s="7">
        <f t="shared" si="35"/>
        <v>3.5019632409825281</v>
      </c>
      <c r="X218" s="7">
        <f t="shared" si="36"/>
        <v>-0.80812059843713513</v>
      </c>
      <c r="Y218" s="7">
        <f t="shared" si="37"/>
        <v>-0.42406756820151964</v>
      </c>
      <c r="Z218" s="7">
        <f t="shared" si="38"/>
        <v>-0.69504160517726232</v>
      </c>
      <c r="AA218" s="7">
        <f t="shared" si="39"/>
        <v>-0.64240992393863905</v>
      </c>
    </row>
    <row r="219" spans="1:27" x14ac:dyDescent="0.25">
      <c r="A219" s="1" t="s">
        <v>1667</v>
      </c>
      <c r="B219" s="1" t="s">
        <v>861</v>
      </c>
      <c r="C219" s="1">
        <v>6</v>
      </c>
      <c r="D219" s="1">
        <v>5</v>
      </c>
      <c r="E219" s="1">
        <v>6</v>
      </c>
      <c r="F219" s="1">
        <v>5</v>
      </c>
      <c r="G219" s="1">
        <v>8</v>
      </c>
      <c r="H219" s="1">
        <v>8</v>
      </c>
      <c r="I219" s="1">
        <v>7</v>
      </c>
      <c r="J219" s="1">
        <v>8</v>
      </c>
      <c r="K219" s="1">
        <v>7</v>
      </c>
      <c r="L219" s="1">
        <v>6</v>
      </c>
      <c r="M219" s="1">
        <v>22</v>
      </c>
      <c r="N219" s="1">
        <v>31</v>
      </c>
      <c r="O219" s="1">
        <v>13</v>
      </c>
      <c r="P219" s="1">
        <v>66</v>
      </c>
      <c r="Q219" s="7">
        <v>1.1737877907772674</v>
      </c>
      <c r="R219" s="7">
        <f t="shared" si="30"/>
        <v>23.196700507614214</v>
      </c>
      <c r="S219" s="7">
        <f t="shared" si="31"/>
        <v>6.4306002317777482</v>
      </c>
      <c r="T219" s="7">
        <f t="shared" si="32"/>
        <v>22.771573604060915</v>
      </c>
      <c r="U219" s="7">
        <f t="shared" si="33"/>
        <v>6.5356886776680962</v>
      </c>
      <c r="V219" s="7">
        <f t="shared" si="34"/>
        <v>11.434010152284264</v>
      </c>
      <c r="W219" s="7">
        <f t="shared" si="35"/>
        <v>3.5019632409825281</v>
      </c>
      <c r="X219" s="7">
        <f t="shared" si="36"/>
        <v>-0.18609468237514495</v>
      </c>
      <c r="Y219" s="7">
        <f t="shared" si="37"/>
        <v>1.2589991356312507</v>
      </c>
      <c r="Z219" s="7">
        <f t="shared" si="38"/>
        <v>0.44717483878453679</v>
      </c>
      <c r="AA219" s="7">
        <f t="shared" si="39"/>
        <v>0.50669309734688073</v>
      </c>
    </row>
    <row r="220" spans="1:27" x14ac:dyDescent="0.25">
      <c r="A220" s="1" t="s">
        <v>1667</v>
      </c>
      <c r="B220" s="1" t="s">
        <v>861</v>
      </c>
      <c r="C220" s="1">
        <v>7</v>
      </c>
      <c r="D220" s="1">
        <v>7</v>
      </c>
      <c r="E220" s="1">
        <v>6</v>
      </c>
      <c r="F220" s="1">
        <v>5</v>
      </c>
      <c r="G220" s="1">
        <v>5</v>
      </c>
      <c r="H220" s="1">
        <v>5</v>
      </c>
      <c r="I220" s="1">
        <v>5</v>
      </c>
      <c r="J220" s="1">
        <v>5</v>
      </c>
      <c r="K220" s="1">
        <v>5</v>
      </c>
      <c r="L220" s="1">
        <v>5</v>
      </c>
      <c r="M220" s="1">
        <v>25</v>
      </c>
      <c r="N220" s="1">
        <v>20</v>
      </c>
      <c r="O220" s="1">
        <v>10</v>
      </c>
      <c r="P220" s="1">
        <v>55</v>
      </c>
      <c r="Q220" s="7">
        <v>0.84983658559879749</v>
      </c>
      <c r="R220" s="7">
        <f t="shared" si="30"/>
        <v>23.196700507614214</v>
      </c>
      <c r="S220" s="7">
        <f t="shared" si="31"/>
        <v>6.4306002317777482</v>
      </c>
      <c r="T220" s="7">
        <f t="shared" si="32"/>
        <v>22.771573604060915</v>
      </c>
      <c r="U220" s="7">
        <f t="shared" si="33"/>
        <v>6.5356886776680962</v>
      </c>
      <c r="V220" s="7">
        <f t="shared" si="34"/>
        <v>11.434010152284264</v>
      </c>
      <c r="W220" s="7">
        <f t="shared" si="35"/>
        <v>3.5019632409825281</v>
      </c>
      <c r="X220" s="7">
        <f t="shared" si="36"/>
        <v>0.28042475467134764</v>
      </c>
      <c r="Y220" s="7">
        <f t="shared" si="37"/>
        <v>-0.42406756820151964</v>
      </c>
      <c r="Z220" s="7">
        <f t="shared" si="38"/>
        <v>-0.40948749418681252</v>
      </c>
      <c r="AA220" s="7">
        <f t="shared" si="39"/>
        <v>-0.18437676923899482</v>
      </c>
    </row>
    <row r="221" spans="1:27" x14ac:dyDescent="0.25">
      <c r="A221" s="1" t="s">
        <v>1667</v>
      </c>
      <c r="B221" s="1" t="s">
        <v>861</v>
      </c>
      <c r="C221" s="1">
        <v>5</v>
      </c>
      <c r="D221" s="1">
        <v>6</v>
      </c>
      <c r="E221" s="1">
        <v>5</v>
      </c>
      <c r="F221" s="1">
        <v>5</v>
      </c>
      <c r="G221" s="1">
        <v>5</v>
      </c>
      <c r="H221" s="1">
        <v>4</v>
      </c>
      <c r="I221" s="1">
        <v>4</v>
      </c>
      <c r="J221" s="1">
        <v>4</v>
      </c>
      <c r="K221" s="1">
        <v>4</v>
      </c>
      <c r="L221" s="1">
        <v>5</v>
      </c>
      <c r="M221" s="1">
        <v>21</v>
      </c>
      <c r="N221" s="1">
        <v>17</v>
      </c>
      <c r="O221" s="1">
        <v>9</v>
      </c>
      <c r="P221" s="1">
        <v>47</v>
      </c>
      <c r="Q221" s="7">
        <v>0.67494855771055284</v>
      </c>
      <c r="R221" s="7">
        <f t="shared" si="30"/>
        <v>23.196700507614214</v>
      </c>
      <c r="S221" s="7">
        <f t="shared" si="31"/>
        <v>6.4306002317777482</v>
      </c>
      <c r="T221" s="7">
        <f t="shared" si="32"/>
        <v>22.771573604060915</v>
      </c>
      <c r="U221" s="7">
        <f t="shared" si="33"/>
        <v>6.5356886776680962</v>
      </c>
      <c r="V221" s="7">
        <f t="shared" si="34"/>
        <v>11.434010152284264</v>
      </c>
      <c r="W221" s="7">
        <f t="shared" si="35"/>
        <v>3.5019632409825281</v>
      </c>
      <c r="X221" s="7">
        <f t="shared" si="36"/>
        <v>-0.3416011613906425</v>
      </c>
      <c r="Y221" s="7">
        <f t="shared" si="37"/>
        <v>-0.88308576015591156</v>
      </c>
      <c r="Z221" s="7">
        <f t="shared" si="38"/>
        <v>-0.69504160517726232</v>
      </c>
      <c r="AA221" s="7">
        <f t="shared" si="39"/>
        <v>-0.63990950890793885</v>
      </c>
    </row>
    <row r="222" spans="1:27" x14ac:dyDescent="0.25">
      <c r="A222" s="1" t="s">
        <v>1667</v>
      </c>
      <c r="B222" s="1" t="s">
        <v>861</v>
      </c>
      <c r="C222" s="1">
        <v>7</v>
      </c>
      <c r="D222" s="1">
        <v>7</v>
      </c>
      <c r="E222" s="1">
        <v>7</v>
      </c>
      <c r="F222" s="1">
        <v>7</v>
      </c>
      <c r="G222" s="1">
        <v>7</v>
      </c>
      <c r="H222" s="1">
        <v>6</v>
      </c>
      <c r="I222" s="1">
        <v>6</v>
      </c>
      <c r="J222" s="1">
        <v>5</v>
      </c>
      <c r="K222" s="1">
        <v>5</v>
      </c>
      <c r="L222" s="1">
        <v>6</v>
      </c>
      <c r="M222" s="1">
        <v>28</v>
      </c>
      <c r="N222" s="1">
        <v>24</v>
      </c>
      <c r="O222" s="1">
        <v>11</v>
      </c>
      <c r="P222" s="1">
        <v>63</v>
      </c>
      <c r="Q222" s="7">
        <v>0.82327260234856459</v>
      </c>
      <c r="R222" s="7">
        <f t="shared" si="30"/>
        <v>23.196700507614214</v>
      </c>
      <c r="S222" s="7">
        <f t="shared" si="31"/>
        <v>6.4306002317777482</v>
      </c>
      <c r="T222" s="7">
        <f t="shared" si="32"/>
        <v>22.771573604060915</v>
      </c>
      <c r="U222" s="7">
        <f t="shared" si="33"/>
        <v>6.5356886776680962</v>
      </c>
      <c r="V222" s="7">
        <f t="shared" si="34"/>
        <v>11.434010152284264</v>
      </c>
      <c r="W222" s="7">
        <f t="shared" si="35"/>
        <v>3.5019632409825281</v>
      </c>
      <c r="X222" s="7">
        <f t="shared" si="36"/>
        <v>0.74694419171784021</v>
      </c>
      <c r="Y222" s="7">
        <f t="shared" si="37"/>
        <v>0.18795668773766958</v>
      </c>
      <c r="Z222" s="7">
        <f t="shared" si="38"/>
        <v>-0.12393338319636275</v>
      </c>
      <c r="AA222" s="7">
        <f t="shared" si="39"/>
        <v>0.27032249875304903</v>
      </c>
    </row>
    <row r="223" spans="1:27" x14ac:dyDescent="0.25">
      <c r="A223" s="1" t="s">
        <v>1667</v>
      </c>
      <c r="B223" s="1" t="s">
        <v>861</v>
      </c>
      <c r="C223" s="1">
        <v>4</v>
      </c>
      <c r="D223" s="1">
        <v>4</v>
      </c>
      <c r="E223" s="1">
        <v>3</v>
      </c>
      <c r="F223" s="1">
        <v>2</v>
      </c>
      <c r="G223" s="1">
        <v>4</v>
      </c>
      <c r="H223" s="1">
        <v>3</v>
      </c>
      <c r="I223" s="1">
        <v>4</v>
      </c>
      <c r="J223" s="1">
        <v>4</v>
      </c>
      <c r="K223" s="1">
        <v>4</v>
      </c>
      <c r="L223" s="1">
        <v>3</v>
      </c>
      <c r="M223" s="1">
        <v>13</v>
      </c>
      <c r="N223" s="1">
        <v>15</v>
      </c>
      <c r="O223" s="1">
        <v>7</v>
      </c>
      <c r="P223" s="1">
        <v>35</v>
      </c>
      <c r="Q223" s="7">
        <v>0.70710678118654757</v>
      </c>
      <c r="R223" s="7">
        <f t="shared" si="30"/>
        <v>23.196700507614214</v>
      </c>
      <c r="S223" s="7">
        <f t="shared" si="31"/>
        <v>6.4306002317777482</v>
      </c>
      <c r="T223" s="7">
        <f t="shared" si="32"/>
        <v>22.771573604060915</v>
      </c>
      <c r="U223" s="7">
        <f t="shared" si="33"/>
        <v>6.5356886776680962</v>
      </c>
      <c r="V223" s="7">
        <f t="shared" si="34"/>
        <v>11.434010152284264</v>
      </c>
      <c r="W223" s="7">
        <f t="shared" si="35"/>
        <v>3.5019632409825281</v>
      </c>
      <c r="X223" s="7">
        <f t="shared" si="36"/>
        <v>-1.5856529935146229</v>
      </c>
      <c r="Y223" s="7">
        <f t="shared" si="37"/>
        <v>-1.1890978881255061</v>
      </c>
      <c r="Z223" s="7">
        <f t="shared" si="38"/>
        <v>-1.2661498271581617</v>
      </c>
      <c r="AA223" s="7">
        <f t="shared" si="39"/>
        <v>-1.3469669029327636</v>
      </c>
    </row>
    <row r="224" spans="1:27" x14ac:dyDescent="0.25">
      <c r="A224" s="1" t="s">
        <v>1667</v>
      </c>
      <c r="B224" s="1" t="s">
        <v>861</v>
      </c>
      <c r="C224" s="1">
        <v>6</v>
      </c>
      <c r="D224" s="1">
        <v>5</v>
      </c>
      <c r="E224" s="1">
        <v>6</v>
      </c>
      <c r="F224" s="1">
        <v>6</v>
      </c>
      <c r="G224" s="1">
        <v>7</v>
      </c>
      <c r="H224" s="1">
        <v>6</v>
      </c>
      <c r="I224" s="1">
        <v>6</v>
      </c>
      <c r="J224" s="1">
        <v>6</v>
      </c>
      <c r="K224" s="1">
        <v>7</v>
      </c>
      <c r="L224" s="1">
        <v>5</v>
      </c>
      <c r="M224" s="1">
        <v>23</v>
      </c>
      <c r="N224" s="1">
        <v>25</v>
      </c>
      <c r="O224" s="1">
        <v>12</v>
      </c>
      <c r="P224" s="1">
        <v>60</v>
      </c>
      <c r="Q224" s="7">
        <v>0.66666666666666663</v>
      </c>
      <c r="R224" s="7">
        <f t="shared" si="30"/>
        <v>23.196700507614214</v>
      </c>
      <c r="S224" s="7">
        <f t="shared" si="31"/>
        <v>6.4306002317777482</v>
      </c>
      <c r="T224" s="7">
        <f t="shared" si="32"/>
        <v>22.771573604060915</v>
      </c>
      <c r="U224" s="7">
        <f t="shared" si="33"/>
        <v>6.5356886776680962</v>
      </c>
      <c r="V224" s="7">
        <f t="shared" si="34"/>
        <v>11.434010152284264</v>
      </c>
      <c r="W224" s="7">
        <f t="shared" si="35"/>
        <v>3.5019632409825281</v>
      </c>
      <c r="X224" s="7">
        <f t="shared" si="36"/>
        <v>-3.0588203359647428E-2</v>
      </c>
      <c r="Y224" s="7">
        <f t="shared" si="37"/>
        <v>0.34096275172246687</v>
      </c>
      <c r="Z224" s="7">
        <f t="shared" si="38"/>
        <v>0.16162072779408701</v>
      </c>
      <c r="AA224" s="7">
        <f t="shared" si="39"/>
        <v>0.15733175871896884</v>
      </c>
    </row>
    <row r="225" spans="1:27" x14ac:dyDescent="0.25">
      <c r="A225" s="1" t="s">
        <v>1667</v>
      </c>
      <c r="B225" s="1" t="s">
        <v>861</v>
      </c>
      <c r="C225" s="1">
        <v>8</v>
      </c>
      <c r="D225" s="1">
        <v>8</v>
      </c>
      <c r="E225" s="1">
        <v>7</v>
      </c>
      <c r="F225" s="1">
        <v>7</v>
      </c>
      <c r="G225" s="1">
        <v>6</v>
      </c>
      <c r="H225" s="1">
        <v>5</v>
      </c>
      <c r="I225" s="1">
        <v>6</v>
      </c>
      <c r="J225" s="1">
        <v>5</v>
      </c>
      <c r="K225" s="1">
        <v>7</v>
      </c>
      <c r="L225" s="1">
        <v>5</v>
      </c>
      <c r="M225" s="1">
        <v>30</v>
      </c>
      <c r="N225" s="1">
        <v>22</v>
      </c>
      <c r="O225" s="1">
        <v>12</v>
      </c>
      <c r="P225" s="1">
        <v>64</v>
      </c>
      <c r="Q225" s="7">
        <v>1.1737877907772674</v>
      </c>
      <c r="R225" s="7">
        <f t="shared" si="30"/>
        <v>23.196700507614214</v>
      </c>
      <c r="S225" s="7">
        <f t="shared" si="31"/>
        <v>6.4306002317777482</v>
      </c>
      <c r="T225" s="7">
        <f t="shared" si="32"/>
        <v>22.771573604060915</v>
      </c>
      <c r="U225" s="7">
        <f t="shared" si="33"/>
        <v>6.5356886776680962</v>
      </c>
      <c r="V225" s="7">
        <f t="shared" si="34"/>
        <v>11.434010152284264</v>
      </c>
      <c r="W225" s="7">
        <f t="shared" si="35"/>
        <v>3.5019632409825281</v>
      </c>
      <c r="X225" s="7">
        <f t="shared" si="36"/>
        <v>1.0579571497488354</v>
      </c>
      <c r="Y225" s="7">
        <f t="shared" si="37"/>
        <v>-0.11805544023192505</v>
      </c>
      <c r="Z225" s="7">
        <f t="shared" si="38"/>
        <v>0.16162072779408701</v>
      </c>
      <c r="AA225" s="7">
        <f t="shared" si="39"/>
        <v>0.36717414577033242</v>
      </c>
    </row>
    <row r="226" spans="1:27" x14ac:dyDescent="0.25">
      <c r="A226" s="1" t="s">
        <v>1667</v>
      </c>
      <c r="B226" s="1" t="s">
        <v>861</v>
      </c>
      <c r="C226" s="1">
        <v>6</v>
      </c>
      <c r="D226" s="1">
        <v>5</v>
      </c>
      <c r="E226" s="1">
        <v>5</v>
      </c>
      <c r="F226" s="1">
        <v>6</v>
      </c>
      <c r="G226" s="1">
        <v>6</v>
      </c>
      <c r="H226" s="1">
        <v>5</v>
      </c>
      <c r="I226" s="1">
        <v>5</v>
      </c>
      <c r="J226" s="1">
        <v>5</v>
      </c>
      <c r="K226" s="1">
        <v>7</v>
      </c>
      <c r="L226" s="1">
        <v>6</v>
      </c>
      <c r="M226" s="1">
        <v>22</v>
      </c>
      <c r="N226" s="1">
        <v>21</v>
      </c>
      <c r="O226" s="1">
        <v>13</v>
      </c>
      <c r="P226" s="1">
        <v>56</v>
      </c>
      <c r="Q226" s="7">
        <v>0.69920589878010109</v>
      </c>
      <c r="R226" s="7">
        <f t="shared" si="30"/>
        <v>23.196700507614214</v>
      </c>
      <c r="S226" s="7">
        <f t="shared" si="31"/>
        <v>6.4306002317777482</v>
      </c>
      <c r="T226" s="7">
        <f t="shared" si="32"/>
        <v>22.771573604060915</v>
      </c>
      <c r="U226" s="7">
        <f t="shared" si="33"/>
        <v>6.5356886776680962</v>
      </c>
      <c r="V226" s="7">
        <f t="shared" si="34"/>
        <v>11.434010152284264</v>
      </c>
      <c r="W226" s="7">
        <f t="shared" si="35"/>
        <v>3.5019632409825281</v>
      </c>
      <c r="X226" s="7">
        <f t="shared" si="36"/>
        <v>-0.18609468237514495</v>
      </c>
      <c r="Y226" s="7">
        <f t="shared" si="37"/>
        <v>-0.27106150421672232</v>
      </c>
      <c r="Z226" s="7">
        <f t="shared" si="38"/>
        <v>0.44717483878453679</v>
      </c>
      <c r="AA226" s="7">
        <f t="shared" si="39"/>
        <v>-3.3271159357768365E-3</v>
      </c>
    </row>
    <row r="227" spans="1:27" x14ac:dyDescent="0.25">
      <c r="A227" s="1" t="s">
        <v>1667</v>
      </c>
      <c r="B227" s="1" t="s">
        <v>861</v>
      </c>
      <c r="C227" s="1">
        <v>7</v>
      </c>
      <c r="D227" s="1">
        <v>8</v>
      </c>
      <c r="E227" s="1">
        <v>8</v>
      </c>
      <c r="F227" s="1">
        <v>8</v>
      </c>
      <c r="G227" s="1">
        <v>9</v>
      </c>
      <c r="H227" s="1">
        <v>8</v>
      </c>
      <c r="I227" s="1">
        <v>8</v>
      </c>
      <c r="J227" s="1">
        <v>8</v>
      </c>
      <c r="K227" s="1">
        <v>8</v>
      </c>
      <c r="L227" s="1">
        <v>8</v>
      </c>
      <c r="M227" s="1">
        <v>31</v>
      </c>
      <c r="N227" s="1">
        <v>33</v>
      </c>
      <c r="O227" s="1">
        <v>16</v>
      </c>
      <c r="P227" s="1">
        <v>80</v>
      </c>
      <c r="Q227" s="7">
        <v>0.47140452079103168</v>
      </c>
      <c r="R227" s="7">
        <f t="shared" si="30"/>
        <v>23.196700507614214</v>
      </c>
      <c r="S227" s="7">
        <f t="shared" si="31"/>
        <v>6.4306002317777482</v>
      </c>
      <c r="T227" s="7">
        <f t="shared" si="32"/>
        <v>22.771573604060915</v>
      </c>
      <c r="U227" s="7">
        <f t="shared" si="33"/>
        <v>6.5356886776680962</v>
      </c>
      <c r="V227" s="7">
        <f t="shared" si="34"/>
        <v>11.434010152284264</v>
      </c>
      <c r="W227" s="7">
        <f t="shared" si="35"/>
        <v>3.5019632409825281</v>
      </c>
      <c r="X227" s="7">
        <f t="shared" si="36"/>
        <v>1.2134636287643328</v>
      </c>
      <c r="Y227" s="7">
        <f t="shared" si="37"/>
        <v>1.5650112636008453</v>
      </c>
      <c r="Z227" s="7">
        <f t="shared" si="38"/>
        <v>1.3038371717558861</v>
      </c>
      <c r="AA227" s="7">
        <f t="shared" si="39"/>
        <v>1.3607706880403547</v>
      </c>
    </row>
    <row r="228" spans="1:27" x14ac:dyDescent="0.25">
      <c r="A228" s="1" t="s">
        <v>1667</v>
      </c>
      <c r="B228" s="1" t="s">
        <v>861</v>
      </c>
      <c r="C228" s="1">
        <v>7</v>
      </c>
      <c r="D228" s="1">
        <v>7</v>
      </c>
      <c r="E228" s="1">
        <v>7</v>
      </c>
      <c r="F228" s="1">
        <v>7</v>
      </c>
      <c r="G228" s="1">
        <v>6</v>
      </c>
      <c r="H228" s="1">
        <v>5</v>
      </c>
      <c r="I228" s="1">
        <v>5</v>
      </c>
      <c r="J228" s="1">
        <v>5</v>
      </c>
      <c r="K228" s="1">
        <v>6</v>
      </c>
      <c r="L228" s="1">
        <v>4</v>
      </c>
      <c r="M228" s="1">
        <v>28</v>
      </c>
      <c r="N228" s="1">
        <v>21</v>
      </c>
      <c r="O228" s="1">
        <v>10</v>
      </c>
      <c r="P228" s="1">
        <v>59</v>
      </c>
      <c r="Q228" s="7">
        <v>1.1005049346146116</v>
      </c>
      <c r="R228" s="7">
        <f t="shared" si="30"/>
        <v>23.196700507614214</v>
      </c>
      <c r="S228" s="7">
        <f t="shared" si="31"/>
        <v>6.4306002317777482</v>
      </c>
      <c r="T228" s="7">
        <f t="shared" si="32"/>
        <v>22.771573604060915</v>
      </c>
      <c r="U228" s="7">
        <f t="shared" si="33"/>
        <v>6.5356886776680962</v>
      </c>
      <c r="V228" s="7">
        <f t="shared" si="34"/>
        <v>11.434010152284264</v>
      </c>
      <c r="W228" s="7">
        <f t="shared" si="35"/>
        <v>3.5019632409825281</v>
      </c>
      <c r="X228" s="7">
        <f t="shared" si="36"/>
        <v>0.74694419171784021</v>
      </c>
      <c r="Y228" s="7">
        <f t="shared" si="37"/>
        <v>-0.27106150421672232</v>
      </c>
      <c r="Z228" s="7">
        <f t="shared" si="38"/>
        <v>-0.40948749418681252</v>
      </c>
      <c r="AA228" s="7">
        <f t="shared" si="39"/>
        <v>2.213173110476846E-2</v>
      </c>
    </row>
    <row r="229" spans="1:27" x14ac:dyDescent="0.25">
      <c r="A229" s="1" t="s">
        <v>1667</v>
      </c>
      <c r="B229" s="1" t="s">
        <v>861</v>
      </c>
      <c r="C229" s="1">
        <v>7</v>
      </c>
      <c r="D229" s="1">
        <v>7</v>
      </c>
      <c r="E229" s="1">
        <v>7</v>
      </c>
      <c r="F229" s="1">
        <v>7</v>
      </c>
      <c r="G229" s="1">
        <v>6</v>
      </c>
      <c r="H229" s="1">
        <v>5</v>
      </c>
      <c r="I229" s="1">
        <v>5</v>
      </c>
      <c r="J229" s="1">
        <v>5</v>
      </c>
      <c r="K229" s="1">
        <v>6</v>
      </c>
      <c r="L229" s="1">
        <v>5</v>
      </c>
      <c r="M229" s="1">
        <v>28</v>
      </c>
      <c r="N229" s="1">
        <v>21</v>
      </c>
      <c r="O229" s="1">
        <v>11</v>
      </c>
      <c r="P229" s="1">
        <v>60</v>
      </c>
      <c r="Q229" s="7">
        <v>0.94280904158206325</v>
      </c>
      <c r="R229" s="7">
        <f t="shared" si="30"/>
        <v>23.196700507614214</v>
      </c>
      <c r="S229" s="7">
        <f t="shared" si="31"/>
        <v>6.4306002317777482</v>
      </c>
      <c r="T229" s="7">
        <f t="shared" si="32"/>
        <v>22.771573604060915</v>
      </c>
      <c r="U229" s="7">
        <f t="shared" si="33"/>
        <v>6.5356886776680962</v>
      </c>
      <c r="V229" s="7">
        <f t="shared" si="34"/>
        <v>11.434010152284264</v>
      </c>
      <c r="W229" s="7">
        <f t="shared" si="35"/>
        <v>3.5019632409825281</v>
      </c>
      <c r="X229" s="7">
        <f t="shared" si="36"/>
        <v>0.74694419171784021</v>
      </c>
      <c r="Y229" s="7">
        <f t="shared" si="37"/>
        <v>-0.27106150421672232</v>
      </c>
      <c r="Z229" s="7">
        <f t="shared" si="38"/>
        <v>-0.12393338319636275</v>
      </c>
      <c r="AA229" s="7">
        <f t="shared" si="39"/>
        <v>0.11731643476825171</v>
      </c>
    </row>
    <row r="230" spans="1:27" x14ac:dyDescent="0.25">
      <c r="A230" s="1" t="s">
        <v>1667</v>
      </c>
      <c r="B230" s="1" t="s">
        <v>861</v>
      </c>
      <c r="C230" s="1">
        <v>7</v>
      </c>
      <c r="D230" s="1">
        <v>6</v>
      </c>
      <c r="E230" s="1">
        <v>7</v>
      </c>
      <c r="F230" s="1">
        <v>6</v>
      </c>
      <c r="G230" s="1">
        <v>6</v>
      </c>
      <c r="H230" s="1">
        <v>5</v>
      </c>
      <c r="I230" s="1">
        <v>5</v>
      </c>
      <c r="J230" s="1">
        <v>4</v>
      </c>
      <c r="K230" s="1">
        <v>4</v>
      </c>
      <c r="L230" s="1">
        <v>4</v>
      </c>
      <c r="M230" s="1">
        <v>26</v>
      </c>
      <c r="N230" s="1">
        <v>20</v>
      </c>
      <c r="O230" s="1">
        <v>8</v>
      </c>
      <c r="P230" s="1">
        <v>54</v>
      </c>
      <c r="Q230" s="7">
        <v>1.1737877907772674</v>
      </c>
      <c r="R230" s="7">
        <f t="shared" si="30"/>
        <v>23.196700507614214</v>
      </c>
      <c r="S230" s="7">
        <f t="shared" si="31"/>
        <v>6.4306002317777482</v>
      </c>
      <c r="T230" s="7">
        <f t="shared" si="32"/>
        <v>22.771573604060915</v>
      </c>
      <c r="U230" s="7">
        <f t="shared" si="33"/>
        <v>6.5356886776680962</v>
      </c>
      <c r="V230" s="7">
        <f t="shared" si="34"/>
        <v>11.434010152284264</v>
      </c>
      <c r="W230" s="7">
        <f t="shared" si="35"/>
        <v>3.5019632409825281</v>
      </c>
      <c r="X230" s="7">
        <f t="shared" si="36"/>
        <v>0.43593123368684517</v>
      </c>
      <c r="Y230" s="7">
        <f t="shared" si="37"/>
        <v>-0.42406756820151964</v>
      </c>
      <c r="Z230" s="7">
        <f t="shared" si="38"/>
        <v>-0.98059571616771202</v>
      </c>
      <c r="AA230" s="7">
        <f t="shared" si="39"/>
        <v>-0.3229106835607955</v>
      </c>
    </row>
    <row r="231" spans="1:27" x14ac:dyDescent="0.25">
      <c r="A231" s="1" t="s">
        <v>1667</v>
      </c>
      <c r="B231" s="1" t="s">
        <v>861</v>
      </c>
      <c r="C231" s="1">
        <v>8</v>
      </c>
      <c r="D231" s="1">
        <v>9</v>
      </c>
      <c r="E231" s="1">
        <v>8</v>
      </c>
      <c r="F231" s="1">
        <v>9</v>
      </c>
      <c r="G231" s="1">
        <v>6</v>
      </c>
      <c r="H231" s="1">
        <v>5</v>
      </c>
      <c r="I231" s="1">
        <v>5</v>
      </c>
      <c r="J231" s="1">
        <v>6</v>
      </c>
      <c r="K231" s="1">
        <v>6</v>
      </c>
      <c r="L231" s="1">
        <v>7</v>
      </c>
      <c r="M231" s="1">
        <v>34</v>
      </c>
      <c r="N231" s="1">
        <v>22</v>
      </c>
      <c r="O231" s="1">
        <v>13</v>
      </c>
      <c r="P231" s="1">
        <v>69</v>
      </c>
      <c r="Q231" s="7">
        <v>1.5238839267549946</v>
      </c>
      <c r="R231" s="7">
        <f t="shared" si="30"/>
        <v>23.196700507614214</v>
      </c>
      <c r="S231" s="7">
        <f t="shared" si="31"/>
        <v>6.4306002317777482</v>
      </c>
      <c r="T231" s="7">
        <f t="shared" si="32"/>
        <v>22.771573604060915</v>
      </c>
      <c r="U231" s="7">
        <f t="shared" si="33"/>
        <v>6.5356886776680962</v>
      </c>
      <c r="V231" s="7">
        <f t="shared" si="34"/>
        <v>11.434010152284264</v>
      </c>
      <c r="W231" s="7">
        <f t="shared" si="35"/>
        <v>3.5019632409825281</v>
      </c>
      <c r="X231" s="7">
        <f t="shared" si="36"/>
        <v>1.6799830658108255</v>
      </c>
      <c r="Y231" s="7">
        <f t="shared" si="37"/>
        <v>-0.11805544023192505</v>
      </c>
      <c r="Z231" s="7">
        <f t="shared" si="38"/>
        <v>0.44717483878453679</v>
      </c>
      <c r="AA231" s="7">
        <f t="shared" si="39"/>
        <v>0.66970082145447918</v>
      </c>
    </row>
    <row r="232" spans="1:27" x14ac:dyDescent="0.25">
      <c r="A232" s="1" t="s">
        <v>1667</v>
      </c>
      <c r="B232" s="1" t="s">
        <v>861</v>
      </c>
      <c r="C232" s="1">
        <v>7</v>
      </c>
      <c r="D232" s="1">
        <v>7</v>
      </c>
      <c r="E232" s="1">
        <v>7</v>
      </c>
      <c r="F232" s="1">
        <v>6</v>
      </c>
      <c r="G232" s="1">
        <v>6</v>
      </c>
      <c r="H232" s="1">
        <v>5</v>
      </c>
      <c r="I232" s="1">
        <v>5</v>
      </c>
      <c r="J232" s="1">
        <v>5</v>
      </c>
      <c r="K232" s="1">
        <v>6</v>
      </c>
      <c r="L232" s="1">
        <v>5</v>
      </c>
      <c r="M232" s="1">
        <v>27</v>
      </c>
      <c r="N232" s="1">
        <v>21</v>
      </c>
      <c r="O232" s="1">
        <v>11</v>
      </c>
      <c r="P232" s="1">
        <v>59</v>
      </c>
      <c r="Q232" s="7">
        <v>0.87559503577091302</v>
      </c>
      <c r="R232" s="7">
        <f t="shared" si="30"/>
        <v>23.196700507614214</v>
      </c>
      <c r="S232" s="7">
        <f t="shared" si="31"/>
        <v>6.4306002317777482</v>
      </c>
      <c r="T232" s="7">
        <f t="shared" si="32"/>
        <v>22.771573604060915</v>
      </c>
      <c r="U232" s="7">
        <f t="shared" si="33"/>
        <v>6.5356886776680962</v>
      </c>
      <c r="V232" s="7">
        <f t="shared" si="34"/>
        <v>11.434010152284264</v>
      </c>
      <c r="W232" s="7">
        <f t="shared" si="35"/>
        <v>3.5019632409825281</v>
      </c>
      <c r="X232" s="7">
        <f t="shared" si="36"/>
        <v>0.59143771270234269</v>
      </c>
      <c r="Y232" s="7">
        <f t="shared" si="37"/>
        <v>-0.27106150421672232</v>
      </c>
      <c r="Z232" s="7">
        <f t="shared" si="38"/>
        <v>-0.12393338319636275</v>
      </c>
      <c r="AA232" s="7">
        <f t="shared" si="39"/>
        <v>6.5480941763085873E-2</v>
      </c>
    </row>
    <row r="233" spans="1:27" x14ac:dyDescent="0.25">
      <c r="A233" s="1" t="s">
        <v>1667</v>
      </c>
      <c r="B233" s="1" t="s">
        <v>861</v>
      </c>
      <c r="C233" s="1">
        <v>5</v>
      </c>
      <c r="D233" s="1">
        <v>5</v>
      </c>
      <c r="E233" s="1">
        <v>4</v>
      </c>
      <c r="F233" s="1">
        <v>4</v>
      </c>
      <c r="G233" s="1">
        <v>4</v>
      </c>
      <c r="H233" s="1">
        <v>3</v>
      </c>
      <c r="I233" s="1">
        <v>3</v>
      </c>
      <c r="J233" s="1">
        <v>3</v>
      </c>
      <c r="K233" s="1">
        <v>4</v>
      </c>
      <c r="L233" s="1">
        <v>2</v>
      </c>
      <c r="M233" s="1">
        <v>18</v>
      </c>
      <c r="N233" s="1">
        <v>13</v>
      </c>
      <c r="O233" s="1">
        <v>6</v>
      </c>
      <c r="P233" s="1">
        <v>37</v>
      </c>
      <c r="Q233" s="7">
        <v>0.94868329805051388</v>
      </c>
      <c r="R233" s="7">
        <f t="shared" si="30"/>
        <v>23.196700507614214</v>
      </c>
      <c r="S233" s="7">
        <f t="shared" si="31"/>
        <v>6.4306002317777482</v>
      </c>
      <c r="T233" s="7">
        <f t="shared" si="32"/>
        <v>22.771573604060915</v>
      </c>
      <c r="U233" s="7">
        <f t="shared" si="33"/>
        <v>6.5356886776680962</v>
      </c>
      <c r="V233" s="7">
        <f t="shared" si="34"/>
        <v>11.434010152284264</v>
      </c>
      <c r="W233" s="7">
        <f t="shared" si="35"/>
        <v>3.5019632409825281</v>
      </c>
      <c r="X233" s="7">
        <f t="shared" si="36"/>
        <v>-0.80812059843713513</v>
      </c>
      <c r="Y233" s="7">
        <f t="shared" si="37"/>
        <v>-1.4951100160951007</v>
      </c>
      <c r="Z233" s="7">
        <f t="shared" si="38"/>
        <v>-1.5517039381486115</v>
      </c>
      <c r="AA233" s="7">
        <f t="shared" si="39"/>
        <v>-1.2849781842269492</v>
      </c>
    </row>
    <row r="234" spans="1:27" x14ac:dyDescent="0.25">
      <c r="A234" s="1" t="s">
        <v>1668</v>
      </c>
      <c r="B234" s="1" t="s">
        <v>861</v>
      </c>
      <c r="C234" s="1">
        <v>3</v>
      </c>
      <c r="D234" s="1">
        <v>4</v>
      </c>
      <c r="E234" s="1">
        <v>3</v>
      </c>
      <c r="F234" s="1">
        <v>4</v>
      </c>
      <c r="G234" s="1">
        <v>3</v>
      </c>
      <c r="H234" s="1">
        <v>2</v>
      </c>
      <c r="I234" s="1">
        <v>3</v>
      </c>
      <c r="J234" s="1">
        <v>3</v>
      </c>
      <c r="K234" s="1">
        <v>3</v>
      </c>
      <c r="L234" s="1">
        <v>3</v>
      </c>
      <c r="M234" s="1">
        <v>14</v>
      </c>
      <c r="N234" s="1">
        <v>11</v>
      </c>
      <c r="O234" s="1">
        <v>6</v>
      </c>
      <c r="P234" s="1">
        <v>31</v>
      </c>
      <c r="Q234" s="7">
        <v>0.56764621219754663</v>
      </c>
      <c r="R234" s="7">
        <f t="shared" si="30"/>
        <v>23.196700507614214</v>
      </c>
      <c r="S234" s="7">
        <f t="shared" si="31"/>
        <v>6.4306002317777482</v>
      </c>
      <c r="T234" s="7">
        <f t="shared" si="32"/>
        <v>22.771573604060915</v>
      </c>
      <c r="U234" s="7">
        <f t="shared" si="33"/>
        <v>6.5356886776680962</v>
      </c>
      <c r="V234" s="7">
        <f t="shared" si="34"/>
        <v>11.434010152284264</v>
      </c>
      <c r="W234" s="7">
        <f t="shared" si="35"/>
        <v>3.5019632409825281</v>
      </c>
      <c r="X234" s="7">
        <f t="shared" si="36"/>
        <v>-1.4301465144991252</v>
      </c>
      <c r="Y234" s="7">
        <f t="shared" si="37"/>
        <v>-1.8011221440646954</v>
      </c>
      <c r="Z234" s="7">
        <f t="shared" si="38"/>
        <v>-1.5517039381486115</v>
      </c>
      <c r="AA234" s="7">
        <f t="shared" si="39"/>
        <v>-1.5943241989041439</v>
      </c>
    </row>
    <row r="235" spans="1:27" x14ac:dyDescent="0.25">
      <c r="A235" s="1" t="s">
        <v>1668</v>
      </c>
      <c r="B235" s="1" t="s">
        <v>861</v>
      </c>
      <c r="C235" s="1">
        <v>2</v>
      </c>
      <c r="D235" s="1">
        <v>2</v>
      </c>
      <c r="E235" s="1">
        <v>1</v>
      </c>
      <c r="F235" s="1">
        <v>2</v>
      </c>
      <c r="G235" s="1">
        <v>1</v>
      </c>
      <c r="H235" s="1">
        <v>1</v>
      </c>
      <c r="I235" s="1">
        <v>1</v>
      </c>
      <c r="J235" s="1">
        <v>1</v>
      </c>
      <c r="K235" s="1">
        <v>1</v>
      </c>
      <c r="L235" s="1">
        <v>1</v>
      </c>
      <c r="M235" s="1">
        <v>7</v>
      </c>
      <c r="N235" s="1">
        <v>4</v>
      </c>
      <c r="O235" s="1">
        <v>2</v>
      </c>
      <c r="P235" s="1">
        <v>13</v>
      </c>
      <c r="Q235" s="7">
        <v>0.48304589153964794</v>
      </c>
      <c r="R235" s="7">
        <f t="shared" si="30"/>
        <v>23.196700507614214</v>
      </c>
      <c r="S235" s="7">
        <f t="shared" si="31"/>
        <v>6.4306002317777482</v>
      </c>
      <c r="T235" s="7">
        <f t="shared" si="32"/>
        <v>22.771573604060915</v>
      </c>
      <c r="U235" s="7">
        <f t="shared" si="33"/>
        <v>6.5356886776680962</v>
      </c>
      <c r="V235" s="7">
        <f t="shared" si="34"/>
        <v>11.434010152284264</v>
      </c>
      <c r="W235" s="7">
        <f t="shared" si="35"/>
        <v>3.5019632409825281</v>
      </c>
      <c r="X235" s="7">
        <f t="shared" si="36"/>
        <v>-2.518691867607608</v>
      </c>
      <c r="Y235" s="7">
        <f t="shared" si="37"/>
        <v>-2.8721645919582763</v>
      </c>
      <c r="Z235" s="7">
        <f t="shared" si="38"/>
        <v>-2.6939203821104107</v>
      </c>
      <c r="AA235" s="7">
        <f t="shared" si="39"/>
        <v>-2.6949256138920981</v>
      </c>
    </row>
    <row r="236" spans="1:27" x14ac:dyDescent="0.25">
      <c r="A236" s="1" t="s">
        <v>1668</v>
      </c>
      <c r="B236" s="1" t="s">
        <v>861</v>
      </c>
      <c r="C236" s="1">
        <v>3</v>
      </c>
      <c r="D236" s="1">
        <v>3</v>
      </c>
      <c r="E236" s="1">
        <v>3</v>
      </c>
      <c r="F236" s="1">
        <v>3</v>
      </c>
      <c r="G236" s="1">
        <v>3</v>
      </c>
      <c r="H236" s="1">
        <v>2</v>
      </c>
      <c r="I236" s="1">
        <v>3</v>
      </c>
      <c r="J236" s="1">
        <v>3</v>
      </c>
      <c r="K236" s="1">
        <v>2</v>
      </c>
      <c r="L236" s="1">
        <v>3</v>
      </c>
      <c r="M236" s="1">
        <v>12</v>
      </c>
      <c r="N236" s="1">
        <v>11</v>
      </c>
      <c r="O236" s="1">
        <v>5</v>
      </c>
      <c r="P236" s="1">
        <v>28</v>
      </c>
      <c r="Q236" s="7">
        <v>0.4216370213557839</v>
      </c>
      <c r="R236" s="7">
        <f t="shared" si="30"/>
        <v>23.196700507614214</v>
      </c>
      <c r="S236" s="7">
        <f t="shared" si="31"/>
        <v>6.4306002317777482</v>
      </c>
      <c r="T236" s="7">
        <f t="shared" si="32"/>
        <v>22.771573604060915</v>
      </c>
      <c r="U236" s="7">
        <f t="shared" si="33"/>
        <v>6.5356886776680962</v>
      </c>
      <c r="V236" s="7">
        <f t="shared" si="34"/>
        <v>11.434010152284264</v>
      </c>
      <c r="W236" s="7">
        <f t="shared" si="35"/>
        <v>3.5019632409825281</v>
      </c>
      <c r="X236" s="7">
        <f t="shared" si="36"/>
        <v>-1.7411594725301203</v>
      </c>
      <c r="Y236" s="7">
        <f t="shared" si="37"/>
        <v>-1.8011221440646954</v>
      </c>
      <c r="Z236" s="7">
        <f t="shared" si="38"/>
        <v>-1.8372580491390613</v>
      </c>
      <c r="AA236" s="7">
        <f t="shared" si="39"/>
        <v>-1.7931798885779591</v>
      </c>
    </row>
    <row r="237" spans="1:27" x14ac:dyDescent="0.25">
      <c r="A237" s="1" t="s">
        <v>1668</v>
      </c>
      <c r="B237" s="1" t="s">
        <v>861</v>
      </c>
      <c r="C237" s="1">
        <v>4</v>
      </c>
      <c r="D237" s="1">
        <v>3</v>
      </c>
      <c r="E237" s="1">
        <v>3</v>
      </c>
      <c r="F237" s="1">
        <v>3</v>
      </c>
      <c r="G237" s="1">
        <v>3</v>
      </c>
      <c r="H237" s="1">
        <v>2</v>
      </c>
      <c r="I237" s="1">
        <v>3</v>
      </c>
      <c r="J237" s="1">
        <v>3</v>
      </c>
      <c r="K237" s="1">
        <v>3</v>
      </c>
      <c r="L237" s="1">
        <v>3</v>
      </c>
      <c r="M237" s="1">
        <v>13</v>
      </c>
      <c r="N237" s="1">
        <v>11</v>
      </c>
      <c r="O237" s="1">
        <v>6</v>
      </c>
      <c r="P237" s="1">
        <v>30</v>
      </c>
      <c r="Q237" s="7">
        <v>0.47140452079103173</v>
      </c>
      <c r="R237" s="7">
        <f t="shared" si="30"/>
        <v>23.196700507614214</v>
      </c>
      <c r="S237" s="7">
        <f t="shared" si="31"/>
        <v>6.4306002317777482</v>
      </c>
      <c r="T237" s="7">
        <f t="shared" si="32"/>
        <v>22.771573604060915</v>
      </c>
      <c r="U237" s="7">
        <f t="shared" si="33"/>
        <v>6.5356886776680962</v>
      </c>
      <c r="V237" s="7">
        <f t="shared" si="34"/>
        <v>11.434010152284264</v>
      </c>
      <c r="W237" s="7">
        <f t="shared" si="35"/>
        <v>3.5019632409825281</v>
      </c>
      <c r="X237" s="7">
        <f t="shared" si="36"/>
        <v>-1.5856529935146229</v>
      </c>
      <c r="Y237" s="7">
        <f t="shared" si="37"/>
        <v>-1.8011221440646954</v>
      </c>
      <c r="Z237" s="7">
        <f t="shared" si="38"/>
        <v>-1.5517039381486115</v>
      </c>
      <c r="AA237" s="7">
        <f t="shared" si="39"/>
        <v>-1.64615969190931</v>
      </c>
    </row>
    <row r="238" spans="1:27" x14ac:dyDescent="0.25">
      <c r="A238" s="1" t="s">
        <v>1668</v>
      </c>
      <c r="B238" s="1" t="s">
        <v>861</v>
      </c>
      <c r="C238" s="1">
        <v>4</v>
      </c>
      <c r="D238" s="1">
        <v>3</v>
      </c>
      <c r="E238" s="1">
        <v>4</v>
      </c>
      <c r="F238" s="1">
        <v>4</v>
      </c>
      <c r="G238" s="1">
        <v>3</v>
      </c>
      <c r="H238" s="1">
        <v>2</v>
      </c>
      <c r="I238" s="1">
        <v>4</v>
      </c>
      <c r="J238" s="1">
        <v>4</v>
      </c>
      <c r="K238" s="1">
        <v>3</v>
      </c>
      <c r="L238" s="1">
        <v>2</v>
      </c>
      <c r="M238" s="1">
        <v>15</v>
      </c>
      <c r="N238" s="1">
        <v>13</v>
      </c>
      <c r="O238" s="1">
        <v>5</v>
      </c>
      <c r="P238" s="1">
        <v>33</v>
      </c>
      <c r="Q238" s="7">
        <v>0.82327260234856459</v>
      </c>
      <c r="R238" s="7">
        <f t="shared" si="30"/>
        <v>23.196700507614214</v>
      </c>
      <c r="S238" s="7">
        <f t="shared" si="31"/>
        <v>6.4306002317777482</v>
      </c>
      <c r="T238" s="7">
        <f t="shared" si="32"/>
        <v>22.771573604060915</v>
      </c>
      <c r="U238" s="7">
        <f t="shared" si="33"/>
        <v>6.5356886776680962</v>
      </c>
      <c r="V238" s="7">
        <f t="shared" si="34"/>
        <v>11.434010152284264</v>
      </c>
      <c r="W238" s="7">
        <f t="shared" si="35"/>
        <v>3.5019632409825281</v>
      </c>
      <c r="X238" s="7">
        <f t="shared" si="36"/>
        <v>-1.2746400354836278</v>
      </c>
      <c r="Y238" s="7">
        <f t="shared" si="37"/>
        <v>-1.4951100160951007</v>
      </c>
      <c r="Z238" s="7">
        <f t="shared" si="38"/>
        <v>-1.8372580491390613</v>
      </c>
      <c r="AA238" s="7">
        <f t="shared" si="39"/>
        <v>-1.53566936690593</v>
      </c>
    </row>
    <row r="239" spans="1:27" x14ac:dyDescent="0.25">
      <c r="A239" s="1" t="s">
        <v>1668</v>
      </c>
      <c r="B239" s="1" t="s">
        <v>861</v>
      </c>
      <c r="C239" s="1">
        <v>3</v>
      </c>
      <c r="D239" s="1">
        <v>3</v>
      </c>
      <c r="E239" s="1">
        <v>2</v>
      </c>
      <c r="F239" s="1">
        <v>2</v>
      </c>
      <c r="G239" s="1">
        <v>3</v>
      </c>
      <c r="H239" s="1">
        <v>3</v>
      </c>
      <c r="I239" s="1">
        <v>3</v>
      </c>
      <c r="J239" s="1">
        <v>2</v>
      </c>
      <c r="K239" s="1">
        <v>2</v>
      </c>
      <c r="L239" s="1">
        <v>2</v>
      </c>
      <c r="M239" s="1">
        <v>10</v>
      </c>
      <c r="N239" s="1">
        <v>11</v>
      </c>
      <c r="O239" s="1">
        <v>4</v>
      </c>
      <c r="P239" s="1">
        <v>25</v>
      </c>
      <c r="Q239" s="7">
        <v>0.52704627669472981</v>
      </c>
      <c r="R239" s="7">
        <f t="shared" si="30"/>
        <v>23.196700507614214</v>
      </c>
      <c r="S239" s="7">
        <f t="shared" si="31"/>
        <v>6.4306002317777482</v>
      </c>
      <c r="T239" s="7">
        <f t="shared" si="32"/>
        <v>22.771573604060915</v>
      </c>
      <c r="U239" s="7">
        <f t="shared" si="33"/>
        <v>6.5356886776680962</v>
      </c>
      <c r="V239" s="7">
        <f t="shared" si="34"/>
        <v>11.434010152284264</v>
      </c>
      <c r="W239" s="7">
        <f t="shared" si="35"/>
        <v>3.5019632409825281</v>
      </c>
      <c r="X239" s="7">
        <f t="shared" si="36"/>
        <v>-2.0521724305611153</v>
      </c>
      <c r="Y239" s="7">
        <f t="shared" si="37"/>
        <v>-1.8011221440646954</v>
      </c>
      <c r="Z239" s="7">
        <f t="shared" si="38"/>
        <v>-2.1228121601295111</v>
      </c>
      <c r="AA239" s="7">
        <f t="shared" si="39"/>
        <v>-1.992035578251774</v>
      </c>
    </row>
    <row r="240" spans="1:27" x14ac:dyDescent="0.25">
      <c r="A240" s="1" t="s">
        <v>1668</v>
      </c>
      <c r="B240" s="1" t="s">
        <v>861</v>
      </c>
      <c r="C240" s="1">
        <v>2</v>
      </c>
      <c r="D240" s="1">
        <v>2</v>
      </c>
      <c r="E240" s="1">
        <v>2</v>
      </c>
      <c r="F240" s="1">
        <v>2</v>
      </c>
      <c r="G240" s="1">
        <v>3</v>
      </c>
      <c r="H240" s="1">
        <v>3</v>
      </c>
      <c r="I240" s="1">
        <v>2</v>
      </c>
      <c r="J240" s="1">
        <v>3</v>
      </c>
      <c r="K240" s="1">
        <v>3</v>
      </c>
      <c r="L240" s="1">
        <v>2</v>
      </c>
      <c r="M240" s="1">
        <v>8</v>
      </c>
      <c r="N240" s="1">
        <v>11</v>
      </c>
      <c r="O240" s="1">
        <v>5</v>
      </c>
      <c r="P240" s="1">
        <v>24</v>
      </c>
      <c r="Q240" s="7">
        <v>0.5163977794943222</v>
      </c>
      <c r="R240" s="7">
        <f t="shared" si="30"/>
        <v>23.196700507614214</v>
      </c>
      <c r="S240" s="7">
        <f t="shared" si="31"/>
        <v>6.4306002317777482</v>
      </c>
      <c r="T240" s="7">
        <f t="shared" si="32"/>
        <v>22.771573604060915</v>
      </c>
      <c r="U240" s="7">
        <f t="shared" si="33"/>
        <v>6.5356886776680962</v>
      </c>
      <c r="V240" s="7">
        <f t="shared" si="34"/>
        <v>11.434010152284264</v>
      </c>
      <c r="W240" s="7">
        <f t="shared" si="35"/>
        <v>3.5019632409825281</v>
      </c>
      <c r="X240" s="7">
        <f t="shared" si="36"/>
        <v>-2.3631853885921106</v>
      </c>
      <c r="Y240" s="7">
        <f t="shared" si="37"/>
        <v>-1.8011221440646954</v>
      </c>
      <c r="Z240" s="7">
        <f t="shared" si="38"/>
        <v>-1.8372580491390613</v>
      </c>
      <c r="AA240" s="7">
        <f t="shared" si="39"/>
        <v>-2.0005218605986221</v>
      </c>
    </row>
    <row r="241" spans="1:27" x14ac:dyDescent="0.25">
      <c r="A241" s="1" t="s">
        <v>1668</v>
      </c>
      <c r="B241" s="1" t="s">
        <v>861</v>
      </c>
      <c r="C241" s="1">
        <v>5</v>
      </c>
      <c r="D241" s="1">
        <v>5</v>
      </c>
      <c r="E241" s="1">
        <v>5</v>
      </c>
      <c r="F241" s="1">
        <v>6</v>
      </c>
      <c r="G241" s="1">
        <v>6</v>
      </c>
      <c r="H241" s="1">
        <v>5</v>
      </c>
      <c r="I241" s="1">
        <v>5</v>
      </c>
      <c r="J241" s="1">
        <v>5</v>
      </c>
      <c r="K241" s="1">
        <v>6</v>
      </c>
      <c r="L241" s="1">
        <v>8</v>
      </c>
      <c r="M241" s="1">
        <v>21</v>
      </c>
      <c r="N241" s="1">
        <v>21</v>
      </c>
      <c r="O241" s="1">
        <v>14</v>
      </c>
      <c r="P241" s="1">
        <v>56</v>
      </c>
      <c r="Q241" s="7">
        <v>0.96609178307929577</v>
      </c>
      <c r="R241" s="7">
        <f t="shared" si="30"/>
        <v>23.196700507614214</v>
      </c>
      <c r="S241" s="7">
        <f t="shared" si="31"/>
        <v>6.4306002317777482</v>
      </c>
      <c r="T241" s="7">
        <f t="shared" si="32"/>
        <v>22.771573604060915</v>
      </c>
      <c r="U241" s="7">
        <f t="shared" si="33"/>
        <v>6.5356886776680962</v>
      </c>
      <c r="V241" s="7">
        <f t="shared" si="34"/>
        <v>11.434010152284264</v>
      </c>
      <c r="W241" s="7">
        <f t="shared" si="35"/>
        <v>3.5019632409825281</v>
      </c>
      <c r="X241" s="7">
        <f t="shared" si="36"/>
        <v>-0.3416011613906425</v>
      </c>
      <c r="Y241" s="7">
        <f t="shared" si="37"/>
        <v>-0.27106150421672232</v>
      </c>
      <c r="Z241" s="7">
        <f t="shared" si="38"/>
        <v>0.73272894977498659</v>
      </c>
      <c r="AA241" s="7">
        <f t="shared" si="39"/>
        <v>4.0022094722540591E-2</v>
      </c>
    </row>
    <row r="242" spans="1:27" x14ac:dyDescent="0.25">
      <c r="A242" s="1" t="s">
        <v>1668</v>
      </c>
      <c r="B242" s="1" t="s">
        <v>861</v>
      </c>
      <c r="C242" s="1">
        <v>6</v>
      </c>
      <c r="D242" s="1">
        <v>6</v>
      </c>
      <c r="E242" s="1">
        <v>6</v>
      </c>
      <c r="F242" s="1">
        <v>6</v>
      </c>
      <c r="G242" s="1">
        <v>6</v>
      </c>
      <c r="H242" s="1">
        <v>5</v>
      </c>
      <c r="I242" s="1">
        <v>5</v>
      </c>
      <c r="J242" s="1">
        <v>5</v>
      </c>
      <c r="K242" s="1">
        <v>6</v>
      </c>
      <c r="L242" s="1">
        <v>8</v>
      </c>
      <c r="M242" s="1">
        <v>24</v>
      </c>
      <c r="N242" s="1">
        <v>21</v>
      </c>
      <c r="O242" s="1">
        <v>14</v>
      </c>
      <c r="P242" s="1">
        <v>59</v>
      </c>
      <c r="Q242" s="7">
        <v>0.87559503577091302</v>
      </c>
      <c r="R242" s="7">
        <f t="shared" si="30"/>
        <v>23.196700507614214</v>
      </c>
      <c r="S242" s="7">
        <f t="shared" si="31"/>
        <v>6.4306002317777482</v>
      </c>
      <c r="T242" s="7">
        <f t="shared" si="32"/>
        <v>22.771573604060915</v>
      </c>
      <c r="U242" s="7">
        <f t="shared" si="33"/>
        <v>6.5356886776680962</v>
      </c>
      <c r="V242" s="7">
        <f t="shared" si="34"/>
        <v>11.434010152284264</v>
      </c>
      <c r="W242" s="7">
        <f t="shared" si="35"/>
        <v>3.5019632409825281</v>
      </c>
      <c r="X242" s="7">
        <f t="shared" si="36"/>
        <v>0.12491827565585011</v>
      </c>
      <c r="Y242" s="7">
        <f t="shared" si="37"/>
        <v>-0.27106150421672232</v>
      </c>
      <c r="Z242" s="7">
        <f t="shared" si="38"/>
        <v>0.73272894977498659</v>
      </c>
      <c r="AA242" s="7">
        <f t="shared" si="39"/>
        <v>0.19552857373803811</v>
      </c>
    </row>
    <row r="243" spans="1:27" x14ac:dyDescent="0.25">
      <c r="A243" s="1" t="s">
        <v>1668</v>
      </c>
      <c r="B243" s="1" t="s">
        <v>861</v>
      </c>
      <c r="C243" s="1">
        <v>6</v>
      </c>
      <c r="D243" s="1">
        <v>6</v>
      </c>
      <c r="E243" s="1">
        <v>6</v>
      </c>
      <c r="F243" s="1">
        <v>6</v>
      </c>
      <c r="G243" s="1">
        <v>6</v>
      </c>
      <c r="H243" s="1">
        <v>5</v>
      </c>
      <c r="I243" s="1">
        <v>5</v>
      </c>
      <c r="J243" s="1">
        <v>5</v>
      </c>
      <c r="K243" s="1">
        <v>6</v>
      </c>
      <c r="L243" s="1">
        <v>8</v>
      </c>
      <c r="M243" s="1">
        <v>24</v>
      </c>
      <c r="N243" s="1">
        <v>21</v>
      </c>
      <c r="O243" s="1">
        <v>14</v>
      </c>
      <c r="P243" s="1">
        <v>59</v>
      </c>
      <c r="Q243" s="7">
        <v>0.87559503577091302</v>
      </c>
      <c r="R243" s="7">
        <f t="shared" si="30"/>
        <v>23.196700507614214</v>
      </c>
      <c r="S243" s="7">
        <f t="shared" si="31"/>
        <v>6.4306002317777482</v>
      </c>
      <c r="T243" s="7">
        <f t="shared" si="32"/>
        <v>22.771573604060915</v>
      </c>
      <c r="U243" s="7">
        <f t="shared" si="33"/>
        <v>6.5356886776680962</v>
      </c>
      <c r="V243" s="7">
        <f t="shared" si="34"/>
        <v>11.434010152284264</v>
      </c>
      <c r="W243" s="7">
        <f t="shared" si="35"/>
        <v>3.5019632409825281</v>
      </c>
      <c r="X243" s="7">
        <f t="shared" si="36"/>
        <v>0.12491827565585011</v>
      </c>
      <c r="Y243" s="7">
        <f t="shared" si="37"/>
        <v>-0.27106150421672232</v>
      </c>
      <c r="Z243" s="7">
        <f t="shared" si="38"/>
        <v>0.73272894977498659</v>
      </c>
      <c r="AA243" s="7">
        <f t="shared" si="39"/>
        <v>0.19552857373803811</v>
      </c>
    </row>
    <row r="244" spans="1:27" x14ac:dyDescent="0.25">
      <c r="A244" s="1" t="s">
        <v>1668</v>
      </c>
      <c r="B244" s="1" t="s">
        <v>861</v>
      </c>
      <c r="C244" s="1">
        <v>6</v>
      </c>
      <c r="D244" s="1">
        <v>7</v>
      </c>
      <c r="E244" s="1">
        <v>6</v>
      </c>
      <c r="F244" s="1">
        <v>6</v>
      </c>
      <c r="G244" s="1">
        <v>6</v>
      </c>
      <c r="H244" s="1">
        <v>6</v>
      </c>
      <c r="I244" s="1">
        <v>6</v>
      </c>
      <c r="J244" s="1">
        <v>6</v>
      </c>
      <c r="K244" s="1">
        <v>6</v>
      </c>
      <c r="L244" s="1">
        <v>8</v>
      </c>
      <c r="M244" s="1">
        <v>25</v>
      </c>
      <c r="N244" s="1">
        <v>24</v>
      </c>
      <c r="O244" s="1">
        <v>14</v>
      </c>
      <c r="P244" s="1">
        <v>63</v>
      </c>
      <c r="Q244" s="7">
        <v>0.67494855771055307</v>
      </c>
      <c r="R244" s="7">
        <f t="shared" si="30"/>
        <v>23.196700507614214</v>
      </c>
      <c r="S244" s="7">
        <f t="shared" si="31"/>
        <v>6.4306002317777482</v>
      </c>
      <c r="T244" s="7">
        <f t="shared" si="32"/>
        <v>22.771573604060915</v>
      </c>
      <c r="U244" s="7">
        <f t="shared" si="33"/>
        <v>6.5356886776680962</v>
      </c>
      <c r="V244" s="7">
        <f t="shared" si="34"/>
        <v>11.434010152284264</v>
      </c>
      <c r="W244" s="7">
        <f t="shared" si="35"/>
        <v>3.5019632409825281</v>
      </c>
      <c r="X244" s="7">
        <f t="shared" si="36"/>
        <v>0.28042475467134764</v>
      </c>
      <c r="Y244" s="7">
        <f t="shared" si="37"/>
        <v>0.18795668773766958</v>
      </c>
      <c r="Z244" s="7">
        <f t="shared" si="38"/>
        <v>0.73272894977498659</v>
      </c>
      <c r="AA244" s="7">
        <f t="shared" si="39"/>
        <v>0.40037013072800126</v>
      </c>
    </row>
    <row r="245" spans="1:27" x14ac:dyDescent="0.25">
      <c r="A245" s="1" t="s">
        <v>1668</v>
      </c>
      <c r="B245" s="1" t="s">
        <v>861</v>
      </c>
      <c r="C245" s="1">
        <v>6</v>
      </c>
      <c r="D245" s="1">
        <v>5</v>
      </c>
      <c r="E245" s="1">
        <v>5</v>
      </c>
      <c r="F245" s="1">
        <v>5</v>
      </c>
      <c r="G245" s="1">
        <v>6</v>
      </c>
      <c r="H245" s="1">
        <v>5</v>
      </c>
      <c r="I245" s="1">
        <v>5</v>
      </c>
      <c r="J245" s="1">
        <v>5</v>
      </c>
      <c r="K245" s="1">
        <v>5</v>
      </c>
      <c r="L245" s="1">
        <v>7</v>
      </c>
      <c r="M245" s="1">
        <v>21</v>
      </c>
      <c r="N245" s="1">
        <v>21</v>
      </c>
      <c r="O245" s="1">
        <v>12</v>
      </c>
      <c r="P245" s="1">
        <v>54</v>
      </c>
      <c r="Q245" s="7">
        <v>0.69920589878010075</v>
      </c>
      <c r="R245" s="7">
        <f t="shared" si="30"/>
        <v>23.196700507614214</v>
      </c>
      <c r="S245" s="7">
        <f t="shared" si="31"/>
        <v>6.4306002317777482</v>
      </c>
      <c r="T245" s="7">
        <f t="shared" si="32"/>
        <v>22.771573604060915</v>
      </c>
      <c r="U245" s="7">
        <f t="shared" si="33"/>
        <v>6.5356886776680962</v>
      </c>
      <c r="V245" s="7">
        <f t="shared" si="34"/>
        <v>11.434010152284264</v>
      </c>
      <c r="W245" s="7">
        <f t="shared" si="35"/>
        <v>3.5019632409825281</v>
      </c>
      <c r="X245" s="7">
        <f t="shared" si="36"/>
        <v>-0.3416011613906425</v>
      </c>
      <c r="Y245" s="7">
        <f t="shared" si="37"/>
        <v>-0.27106150421672232</v>
      </c>
      <c r="Z245" s="7">
        <f t="shared" si="38"/>
        <v>0.16162072779408701</v>
      </c>
      <c r="AA245" s="7">
        <f t="shared" si="39"/>
        <v>-0.15034731260442594</v>
      </c>
    </row>
    <row r="246" spans="1:27" x14ac:dyDescent="0.25">
      <c r="A246" s="1" t="s">
        <v>1668</v>
      </c>
      <c r="B246" s="1" t="s">
        <v>861</v>
      </c>
      <c r="C246" s="1">
        <v>6</v>
      </c>
      <c r="D246" s="1">
        <v>7</v>
      </c>
      <c r="E246" s="1">
        <v>7</v>
      </c>
      <c r="F246" s="1">
        <v>6</v>
      </c>
      <c r="G246" s="1">
        <v>7</v>
      </c>
      <c r="H246" s="1">
        <v>6</v>
      </c>
      <c r="I246" s="1">
        <v>6</v>
      </c>
      <c r="J246" s="1">
        <v>7</v>
      </c>
      <c r="K246" s="1">
        <v>6</v>
      </c>
      <c r="L246" s="1">
        <v>8</v>
      </c>
      <c r="M246" s="1">
        <v>26</v>
      </c>
      <c r="N246" s="1">
        <v>26</v>
      </c>
      <c r="O246" s="1">
        <v>14</v>
      </c>
      <c r="P246" s="1">
        <v>66</v>
      </c>
      <c r="Q246" s="7">
        <v>0.69920589878010087</v>
      </c>
      <c r="R246" s="7">
        <f t="shared" si="30"/>
        <v>23.196700507614214</v>
      </c>
      <c r="S246" s="7">
        <f t="shared" si="31"/>
        <v>6.4306002317777482</v>
      </c>
      <c r="T246" s="7">
        <f t="shared" si="32"/>
        <v>22.771573604060915</v>
      </c>
      <c r="U246" s="7">
        <f t="shared" si="33"/>
        <v>6.5356886776680962</v>
      </c>
      <c r="V246" s="7">
        <f t="shared" si="34"/>
        <v>11.434010152284264</v>
      </c>
      <c r="W246" s="7">
        <f t="shared" si="35"/>
        <v>3.5019632409825281</v>
      </c>
      <c r="X246" s="7">
        <f t="shared" si="36"/>
        <v>0.43593123368684517</v>
      </c>
      <c r="Y246" s="7">
        <f t="shared" si="37"/>
        <v>0.49396881570726414</v>
      </c>
      <c r="Z246" s="7">
        <f t="shared" si="38"/>
        <v>0.73272894977498659</v>
      </c>
      <c r="AA246" s="7">
        <f t="shared" si="39"/>
        <v>0.5542096663896986</v>
      </c>
    </row>
    <row r="247" spans="1:27" x14ac:dyDescent="0.25">
      <c r="A247" s="1" t="s">
        <v>1668</v>
      </c>
      <c r="B247" s="1" t="s">
        <v>861</v>
      </c>
      <c r="C247" s="1">
        <v>6</v>
      </c>
      <c r="D247" s="1">
        <v>6</v>
      </c>
      <c r="E247" s="1">
        <v>6</v>
      </c>
      <c r="F247" s="1">
        <v>5</v>
      </c>
      <c r="G247" s="1">
        <v>6</v>
      </c>
      <c r="H247" s="1">
        <v>5</v>
      </c>
      <c r="I247" s="1">
        <v>5</v>
      </c>
      <c r="J247" s="1">
        <v>5</v>
      </c>
      <c r="K247" s="1">
        <v>5</v>
      </c>
      <c r="L247" s="1">
        <v>6</v>
      </c>
      <c r="M247" s="1">
        <v>23</v>
      </c>
      <c r="N247" s="1">
        <v>21</v>
      </c>
      <c r="O247" s="1">
        <v>11</v>
      </c>
      <c r="P247" s="1">
        <v>55</v>
      </c>
      <c r="Q247" s="7">
        <v>0.52704627669472981</v>
      </c>
      <c r="R247" s="7">
        <f t="shared" si="30"/>
        <v>23.196700507614214</v>
      </c>
      <c r="S247" s="7">
        <f t="shared" si="31"/>
        <v>6.4306002317777482</v>
      </c>
      <c r="T247" s="7">
        <f t="shared" si="32"/>
        <v>22.771573604060915</v>
      </c>
      <c r="U247" s="7">
        <f t="shared" si="33"/>
        <v>6.5356886776680962</v>
      </c>
      <c r="V247" s="7">
        <f t="shared" si="34"/>
        <v>11.434010152284264</v>
      </c>
      <c r="W247" s="7">
        <f t="shared" si="35"/>
        <v>3.5019632409825281</v>
      </c>
      <c r="X247" s="7">
        <f t="shared" si="36"/>
        <v>-3.0588203359647428E-2</v>
      </c>
      <c r="Y247" s="7">
        <f t="shared" si="37"/>
        <v>-0.27106150421672232</v>
      </c>
      <c r="Z247" s="7">
        <f t="shared" si="38"/>
        <v>-0.12393338319636275</v>
      </c>
      <c r="AA247" s="7">
        <f t="shared" si="39"/>
        <v>-0.14186103025757749</v>
      </c>
    </row>
    <row r="248" spans="1:27" x14ac:dyDescent="0.25">
      <c r="A248" s="1" t="s">
        <v>1663</v>
      </c>
      <c r="B248" s="1" t="s">
        <v>861</v>
      </c>
      <c r="C248" s="1">
        <v>5</v>
      </c>
      <c r="D248" s="1">
        <v>6</v>
      </c>
      <c r="E248" s="1">
        <v>6</v>
      </c>
      <c r="F248" s="1">
        <v>4</v>
      </c>
      <c r="G248" s="1">
        <v>6</v>
      </c>
      <c r="H248" s="1">
        <v>7</v>
      </c>
      <c r="I248" s="1">
        <v>6</v>
      </c>
      <c r="J248" s="1">
        <v>7</v>
      </c>
      <c r="K248" s="1">
        <v>6</v>
      </c>
      <c r="L248" s="1">
        <v>8</v>
      </c>
      <c r="M248" s="1">
        <v>21</v>
      </c>
      <c r="N248" s="1">
        <v>26</v>
      </c>
      <c r="O248" s="1">
        <v>14</v>
      </c>
      <c r="P248" s="1">
        <v>61</v>
      </c>
      <c r="Q248" s="7">
        <v>1.1005049346146116</v>
      </c>
      <c r="R248" s="7">
        <f t="shared" si="30"/>
        <v>23.196700507614214</v>
      </c>
      <c r="S248" s="7">
        <f t="shared" si="31"/>
        <v>6.4306002317777482</v>
      </c>
      <c r="T248" s="7">
        <f t="shared" si="32"/>
        <v>22.771573604060915</v>
      </c>
      <c r="U248" s="7">
        <f t="shared" si="33"/>
        <v>6.5356886776680962</v>
      </c>
      <c r="V248" s="7">
        <f t="shared" si="34"/>
        <v>11.434010152284264</v>
      </c>
      <c r="W248" s="7">
        <f t="shared" si="35"/>
        <v>3.5019632409825281</v>
      </c>
      <c r="X248" s="7">
        <f t="shared" si="36"/>
        <v>-0.3416011613906425</v>
      </c>
      <c r="Y248" s="7">
        <f t="shared" si="37"/>
        <v>0.49396881570726414</v>
      </c>
      <c r="Z248" s="7">
        <f t="shared" si="38"/>
        <v>0.73272894977498659</v>
      </c>
      <c r="AA248" s="7">
        <f t="shared" si="39"/>
        <v>0.29503220136386937</v>
      </c>
    </row>
    <row r="249" spans="1:27" x14ac:dyDescent="0.25">
      <c r="A249" s="1" t="s">
        <v>1663</v>
      </c>
      <c r="B249" s="1" t="s">
        <v>861</v>
      </c>
      <c r="C249" s="1">
        <v>7</v>
      </c>
      <c r="D249" s="1">
        <v>6</v>
      </c>
      <c r="E249" s="1">
        <v>7</v>
      </c>
      <c r="F249" s="1">
        <v>5</v>
      </c>
      <c r="G249" s="1">
        <v>5</v>
      </c>
      <c r="H249" s="1">
        <v>4</v>
      </c>
      <c r="I249" s="1">
        <v>7</v>
      </c>
      <c r="J249" s="1">
        <v>4</v>
      </c>
      <c r="K249" s="1">
        <v>6</v>
      </c>
      <c r="L249" s="1">
        <v>5</v>
      </c>
      <c r="M249" s="1">
        <v>25</v>
      </c>
      <c r="N249" s="1">
        <v>20</v>
      </c>
      <c r="O249" s="1">
        <v>11</v>
      </c>
      <c r="P249" s="1">
        <v>56</v>
      </c>
      <c r="Q249" s="7">
        <v>1.1737877907772674</v>
      </c>
      <c r="R249" s="7">
        <f t="shared" si="30"/>
        <v>23.196700507614214</v>
      </c>
      <c r="S249" s="7">
        <f t="shared" si="31"/>
        <v>6.4306002317777482</v>
      </c>
      <c r="T249" s="7">
        <f t="shared" si="32"/>
        <v>22.771573604060915</v>
      </c>
      <c r="U249" s="7">
        <f t="shared" si="33"/>
        <v>6.5356886776680962</v>
      </c>
      <c r="V249" s="7">
        <f t="shared" si="34"/>
        <v>11.434010152284264</v>
      </c>
      <c r="W249" s="7">
        <f t="shared" si="35"/>
        <v>3.5019632409825281</v>
      </c>
      <c r="X249" s="7">
        <f t="shared" si="36"/>
        <v>0.28042475467134764</v>
      </c>
      <c r="Y249" s="7">
        <f t="shared" si="37"/>
        <v>-0.42406756820151964</v>
      </c>
      <c r="Z249" s="7">
        <f t="shared" si="38"/>
        <v>-0.12393338319636275</v>
      </c>
      <c r="AA249" s="7">
        <f t="shared" si="39"/>
        <v>-8.9192065575511584E-2</v>
      </c>
    </row>
    <row r="250" spans="1:27" x14ac:dyDescent="0.25">
      <c r="A250" s="1" t="s">
        <v>1663</v>
      </c>
      <c r="B250" s="1" t="s">
        <v>861</v>
      </c>
      <c r="C250" s="1">
        <v>5</v>
      </c>
      <c r="D250" s="1">
        <v>6</v>
      </c>
      <c r="E250" s="1">
        <v>5</v>
      </c>
      <c r="F250" s="1">
        <v>5</v>
      </c>
      <c r="G250" s="1">
        <v>5</v>
      </c>
      <c r="H250" s="1">
        <v>4</v>
      </c>
      <c r="I250" s="1">
        <v>4</v>
      </c>
      <c r="J250" s="1">
        <v>4</v>
      </c>
      <c r="K250" s="1">
        <v>4</v>
      </c>
      <c r="L250" s="1">
        <v>7</v>
      </c>
      <c r="M250" s="1">
        <v>21</v>
      </c>
      <c r="N250" s="1">
        <v>17</v>
      </c>
      <c r="O250" s="1">
        <v>11</v>
      </c>
      <c r="P250" s="1">
        <v>49</v>
      </c>
      <c r="Q250" s="7">
        <v>0.99442892601175314</v>
      </c>
      <c r="R250" s="7">
        <f t="shared" si="30"/>
        <v>23.196700507614214</v>
      </c>
      <c r="S250" s="7">
        <f t="shared" si="31"/>
        <v>6.4306002317777482</v>
      </c>
      <c r="T250" s="7">
        <f t="shared" si="32"/>
        <v>22.771573604060915</v>
      </c>
      <c r="U250" s="7">
        <f t="shared" si="33"/>
        <v>6.5356886776680962</v>
      </c>
      <c r="V250" s="7">
        <f t="shared" si="34"/>
        <v>11.434010152284264</v>
      </c>
      <c r="W250" s="7">
        <f t="shared" si="35"/>
        <v>3.5019632409825281</v>
      </c>
      <c r="X250" s="7">
        <f t="shared" si="36"/>
        <v>-0.3416011613906425</v>
      </c>
      <c r="Y250" s="7">
        <f t="shared" si="37"/>
        <v>-0.88308576015591156</v>
      </c>
      <c r="Z250" s="7">
        <f t="shared" si="38"/>
        <v>-0.12393338319636275</v>
      </c>
      <c r="AA250" s="7">
        <f t="shared" si="39"/>
        <v>-0.4495401015809723</v>
      </c>
    </row>
    <row r="251" spans="1:27" x14ac:dyDescent="0.25">
      <c r="A251" s="1" t="s">
        <v>1663</v>
      </c>
      <c r="B251" s="1" t="s">
        <v>861</v>
      </c>
      <c r="C251" s="1">
        <v>7</v>
      </c>
      <c r="D251" s="1">
        <v>8</v>
      </c>
      <c r="E251" s="1">
        <v>7</v>
      </c>
      <c r="F251" s="1">
        <v>6</v>
      </c>
      <c r="G251" s="1">
        <v>7</v>
      </c>
      <c r="H251" s="1">
        <v>8</v>
      </c>
      <c r="I251" s="1">
        <v>6</v>
      </c>
      <c r="J251" s="1">
        <v>6</v>
      </c>
      <c r="K251" s="1">
        <v>7</v>
      </c>
      <c r="L251" s="1">
        <v>7</v>
      </c>
      <c r="M251" s="1">
        <v>28</v>
      </c>
      <c r="N251" s="1">
        <v>27</v>
      </c>
      <c r="O251" s="1">
        <v>14</v>
      </c>
      <c r="P251" s="1">
        <v>69</v>
      </c>
      <c r="Q251" s="7">
        <v>0.73786478737262184</v>
      </c>
      <c r="R251" s="7">
        <f t="shared" si="30"/>
        <v>23.196700507614214</v>
      </c>
      <c r="S251" s="7">
        <f t="shared" si="31"/>
        <v>6.4306002317777482</v>
      </c>
      <c r="T251" s="7">
        <f t="shared" si="32"/>
        <v>22.771573604060915</v>
      </c>
      <c r="U251" s="7">
        <f t="shared" si="33"/>
        <v>6.5356886776680962</v>
      </c>
      <c r="V251" s="7">
        <f t="shared" si="34"/>
        <v>11.434010152284264</v>
      </c>
      <c r="W251" s="7">
        <f t="shared" si="35"/>
        <v>3.5019632409825281</v>
      </c>
      <c r="X251" s="7">
        <f t="shared" si="36"/>
        <v>0.74694419171784021</v>
      </c>
      <c r="Y251" s="7">
        <f t="shared" si="37"/>
        <v>0.64697487969206147</v>
      </c>
      <c r="Z251" s="7">
        <f t="shared" si="38"/>
        <v>0.73272894977498659</v>
      </c>
      <c r="AA251" s="7">
        <f t="shared" si="39"/>
        <v>0.70888267372829616</v>
      </c>
    </row>
    <row r="252" spans="1:27" x14ac:dyDescent="0.25">
      <c r="A252" s="1" t="s">
        <v>1663</v>
      </c>
      <c r="B252" s="1" t="s">
        <v>861</v>
      </c>
      <c r="C252" s="1">
        <v>9</v>
      </c>
      <c r="D252" s="1">
        <v>9</v>
      </c>
      <c r="E252" s="1">
        <v>8</v>
      </c>
      <c r="F252" s="1">
        <v>9</v>
      </c>
      <c r="G252" s="1">
        <v>9</v>
      </c>
      <c r="H252" s="1">
        <v>8</v>
      </c>
      <c r="I252" s="1">
        <v>8</v>
      </c>
      <c r="J252" s="1">
        <v>8</v>
      </c>
      <c r="K252" s="1">
        <v>8</v>
      </c>
      <c r="L252" s="1">
        <v>9</v>
      </c>
      <c r="M252" s="1">
        <v>35</v>
      </c>
      <c r="N252" s="1">
        <v>33</v>
      </c>
      <c r="O252" s="1">
        <v>17</v>
      </c>
      <c r="P252" s="1">
        <v>85</v>
      </c>
      <c r="Q252" s="7">
        <v>0.52704627669473036</v>
      </c>
      <c r="R252" s="7">
        <f t="shared" si="30"/>
        <v>23.196700507614214</v>
      </c>
      <c r="S252" s="7">
        <f t="shared" si="31"/>
        <v>6.4306002317777482</v>
      </c>
      <c r="T252" s="7">
        <f t="shared" si="32"/>
        <v>22.771573604060915</v>
      </c>
      <c r="U252" s="7">
        <f t="shared" si="33"/>
        <v>6.5356886776680962</v>
      </c>
      <c r="V252" s="7">
        <f t="shared" si="34"/>
        <v>11.434010152284264</v>
      </c>
      <c r="W252" s="7">
        <f t="shared" si="35"/>
        <v>3.5019632409825281</v>
      </c>
      <c r="X252" s="7">
        <f t="shared" si="36"/>
        <v>1.8354895448263231</v>
      </c>
      <c r="Y252" s="7">
        <f t="shared" si="37"/>
        <v>1.5650112636008453</v>
      </c>
      <c r="Z252" s="7">
        <f t="shared" si="38"/>
        <v>1.5893912827463359</v>
      </c>
      <c r="AA252" s="7">
        <f t="shared" si="39"/>
        <v>1.6632973637245014</v>
      </c>
    </row>
    <row r="253" spans="1:27" x14ac:dyDescent="0.25">
      <c r="A253" s="1" t="s">
        <v>1663</v>
      </c>
      <c r="B253" s="1" t="s">
        <v>861</v>
      </c>
      <c r="C253" s="1">
        <v>7</v>
      </c>
      <c r="D253" s="1">
        <v>7</v>
      </c>
      <c r="E253" s="1">
        <v>8</v>
      </c>
      <c r="F253" s="1">
        <v>8</v>
      </c>
      <c r="G253" s="1">
        <v>9</v>
      </c>
      <c r="H253" s="1">
        <v>8</v>
      </c>
      <c r="I253" s="1">
        <v>7</v>
      </c>
      <c r="J253" s="1">
        <v>7</v>
      </c>
      <c r="K253" s="1">
        <v>8</v>
      </c>
      <c r="L253" s="1">
        <v>8</v>
      </c>
      <c r="M253" s="1">
        <v>30</v>
      </c>
      <c r="N253" s="1">
        <v>31</v>
      </c>
      <c r="O253" s="1">
        <v>16</v>
      </c>
      <c r="P253" s="1">
        <v>77</v>
      </c>
      <c r="Q253" s="7">
        <v>0.67494855771055284</v>
      </c>
      <c r="R253" s="7">
        <f t="shared" si="30"/>
        <v>23.196700507614214</v>
      </c>
      <c r="S253" s="7">
        <f t="shared" si="31"/>
        <v>6.4306002317777482</v>
      </c>
      <c r="T253" s="7">
        <f t="shared" si="32"/>
        <v>22.771573604060915</v>
      </c>
      <c r="U253" s="7">
        <f t="shared" si="33"/>
        <v>6.5356886776680962</v>
      </c>
      <c r="V253" s="7">
        <f t="shared" si="34"/>
        <v>11.434010152284264</v>
      </c>
      <c r="W253" s="7">
        <f t="shared" si="35"/>
        <v>3.5019632409825281</v>
      </c>
      <c r="X253" s="7">
        <f t="shared" si="36"/>
        <v>1.0579571497488354</v>
      </c>
      <c r="Y253" s="7">
        <f t="shared" si="37"/>
        <v>1.2589991356312507</v>
      </c>
      <c r="Z253" s="7">
        <f t="shared" si="38"/>
        <v>1.3038371717558861</v>
      </c>
      <c r="AA253" s="7">
        <f t="shared" si="39"/>
        <v>1.2069311523786574</v>
      </c>
    </row>
    <row r="254" spans="1:27" x14ac:dyDescent="0.25">
      <c r="A254" s="1" t="s">
        <v>1663</v>
      </c>
      <c r="B254" s="1" t="s">
        <v>861</v>
      </c>
      <c r="C254" s="1">
        <v>8</v>
      </c>
      <c r="D254" s="1">
        <v>9</v>
      </c>
      <c r="E254" s="1">
        <v>8</v>
      </c>
      <c r="F254" s="1">
        <v>7</v>
      </c>
      <c r="G254" s="1">
        <v>8</v>
      </c>
      <c r="H254" s="1">
        <v>7</v>
      </c>
      <c r="I254" s="1">
        <v>7</v>
      </c>
      <c r="J254" s="1">
        <v>7</v>
      </c>
      <c r="K254" s="1">
        <v>8</v>
      </c>
      <c r="L254" s="1">
        <v>9</v>
      </c>
      <c r="M254" s="1">
        <v>32</v>
      </c>
      <c r="N254" s="1">
        <v>29</v>
      </c>
      <c r="O254" s="1">
        <v>17</v>
      </c>
      <c r="P254" s="1">
        <v>78</v>
      </c>
      <c r="Q254" s="7">
        <v>0.78881063774661542</v>
      </c>
      <c r="R254" s="7">
        <f t="shared" si="30"/>
        <v>23.196700507614214</v>
      </c>
      <c r="S254" s="7">
        <f t="shared" si="31"/>
        <v>6.4306002317777482</v>
      </c>
      <c r="T254" s="7">
        <f t="shared" si="32"/>
        <v>22.771573604060915</v>
      </c>
      <c r="U254" s="7">
        <f t="shared" si="33"/>
        <v>6.5356886776680962</v>
      </c>
      <c r="V254" s="7">
        <f t="shared" si="34"/>
        <v>11.434010152284264</v>
      </c>
      <c r="W254" s="7">
        <f t="shared" si="35"/>
        <v>3.5019632409825281</v>
      </c>
      <c r="X254" s="7">
        <f t="shared" si="36"/>
        <v>1.3689701077798304</v>
      </c>
      <c r="Y254" s="7">
        <f t="shared" si="37"/>
        <v>0.95298700766165612</v>
      </c>
      <c r="Z254" s="7">
        <f t="shared" si="38"/>
        <v>1.5893912827463359</v>
      </c>
      <c r="AA254" s="7">
        <f t="shared" si="39"/>
        <v>1.3037827993959408</v>
      </c>
    </row>
    <row r="255" spans="1:27" x14ac:dyDescent="0.25">
      <c r="A255" s="1" t="s">
        <v>1663</v>
      </c>
      <c r="B255" s="1" t="s">
        <v>861</v>
      </c>
      <c r="C255" s="1">
        <v>9</v>
      </c>
      <c r="D255" s="1">
        <v>7</v>
      </c>
      <c r="E255" s="1">
        <v>8</v>
      </c>
      <c r="F255" s="1">
        <v>7</v>
      </c>
      <c r="G255" s="1">
        <v>8</v>
      </c>
      <c r="H255" s="1">
        <v>7</v>
      </c>
      <c r="I255" s="1">
        <v>8</v>
      </c>
      <c r="J255" s="1">
        <v>8</v>
      </c>
      <c r="K255" s="1">
        <v>7</v>
      </c>
      <c r="L255" s="1">
        <v>8</v>
      </c>
      <c r="M255" s="1">
        <v>31</v>
      </c>
      <c r="N255" s="1">
        <v>31</v>
      </c>
      <c r="O255" s="1">
        <v>15</v>
      </c>
      <c r="P255" s="1">
        <v>77</v>
      </c>
      <c r="Q255" s="7">
        <v>0.67494855771055284</v>
      </c>
      <c r="R255" s="7">
        <f t="shared" si="30"/>
        <v>23.196700507614214</v>
      </c>
      <c r="S255" s="7">
        <f t="shared" si="31"/>
        <v>6.4306002317777482</v>
      </c>
      <c r="T255" s="7">
        <f t="shared" si="32"/>
        <v>22.771573604060915</v>
      </c>
      <c r="U255" s="7">
        <f t="shared" si="33"/>
        <v>6.5356886776680962</v>
      </c>
      <c r="V255" s="7">
        <f t="shared" si="34"/>
        <v>11.434010152284264</v>
      </c>
      <c r="W255" s="7">
        <f t="shared" si="35"/>
        <v>3.5019632409825281</v>
      </c>
      <c r="X255" s="7">
        <f t="shared" si="36"/>
        <v>1.2134636287643328</v>
      </c>
      <c r="Y255" s="7">
        <f t="shared" si="37"/>
        <v>1.2589991356312507</v>
      </c>
      <c r="Z255" s="7">
        <f t="shared" si="38"/>
        <v>1.0182830607654363</v>
      </c>
      <c r="AA255" s="7">
        <f t="shared" si="39"/>
        <v>1.1635819417203399</v>
      </c>
    </row>
    <row r="256" spans="1:27" x14ac:dyDescent="0.25">
      <c r="A256" s="1" t="s">
        <v>1663</v>
      </c>
      <c r="B256" s="1" t="s">
        <v>861</v>
      </c>
      <c r="C256" s="1">
        <v>5</v>
      </c>
      <c r="D256" s="1">
        <v>4</v>
      </c>
      <c r="E256" s="1">
        <v>5</v>
      </c>
      <c r="F256" s="1">
        <v>5</v>
      </c>
      <c r="G256" s="1">
        <v>6</v>
      </c>
      <c r="H256" s="1">
        <v>7</v>
      </c>
      <c r="I256" s="1">
        <v>6</v>
      </c>
      <c r="J256" s="1">
        <v>6</v>
      </c>
      <c r="K256" s="1">
        <v>5</v>
      </c>
      <c r="L256" s="1">
        <v>5</v>
      </c>
      <c r="M256" s="1">
        <v>19</v>
      </c>
      <c r="N256" s="1">
        <v>25</v>
      </c>
      <c r="O256" s="1">
        <v>10</v>
      </c>
      <c r="P256" s="1">
        <v>54</v>
      </c>
      <c r="Q256" s="7">
        <v>0.84327404271156781</v>
      </c>
      <c r="R256" s="7">
        <f t="shared" si="30"/>
        <v>23.196700507614214</v>
      </c>
      <c r="S256" s="7">
        <f t="shared" si="31"/>
        <v>6.4306002317777482</v>
      </c>
      <c r="T256" s="7">
        <f t="shared" si="32"/>
        <v>22.771573604060915</v>
      </c>
      <c r="U256" s="7">
        <f t="shared" si="33"/>
        <v>6.5356886776680962</v>
      </c>
      <c r="V256" s="7">
        <f t="shared" si="34"/>
        <v>11.434010152284264</v>
      </c>
      <c r="W256" s="7">
        <f t="shared" si="35"/>
        <v>3.5019632409825281</v>
      </c>
      <c r="X256" s="7">
        <f t="shared" si="36"/>
        <v>-0.65261411942163761</v>
      </c>
      <c r="Y256" s="7">
        <f t="shared" si="37"/>
        <v>0.34096275172246687</v>
      </c>
      <c r="Z256" s="7">
        <f t="shared" si="38"/>
        <v>-0.40948749418681252</v>
      </c>
      <c r="AA256" s="7">
        <f t="shared" si="39"/>
        <v>-0.24037962062866111</v>
      </c>
    </row>
    <row r="257" spans="1:27" x14ac:dyDescent="0.25">
      <c r="A257" s="1" t="s">
        <v>1663</v>
      </c>
      <c r="B257" s="1" t="s">
        <v>861</v>
      </c>
      <c r="C257" s="1">
        <v>7</v>
      </c>
      <c r="D257" s="1">
        <v>7</v>
      </c>
      <c r="E257" s="1">
        <v>6</v>
      </c>
      <c r="F257" s="1">
        <v>6</v>
      </c>
      <c r="G257" s="1">
        <v>7</v>
      </c>
      <c r="H257" s="1">
        <v>8</v>
      </c>
      <c r="I257" s="1">
        <v>7</v>
      </c>
      <c r="J257" s="1">
        <v>7</v>
      </c>
      <c r="K257" s="1">
        <v>6</v>
      </c>
      <c r="L257" s="1">
        <v>7</v>
      </c>
      <c r="M257" s="1">
        <v>26</v>
      </c>
      <c r="N257" s="1">
        <v>29</v>
      </c>
      <c r="O257" s="1">
        <v>13</v>
      </c>
      <c r="P257" s="1">
        <v>68</v>
      </c>
      <c r="Q257" s="7">
        <v>0.63245553203367599</v>
      </c>
      <c r="R257" s="7">
        <f t="shared" si="30"/>
        <v>23.196700507614214</v>
      </c>
      <c r="S257" s="7">
        <f t="shared" si="31"/>
        <v>6.4306002317777482</v>
      </c>
      <c r="T257" s="7">
        <f t="shared" si="32"/>
        <v>22.771573604060915</v>
      </c>
      <c r="U257" s="7">
        <f t="shared" si="33"/>
        <v>6.5356886776680962</v>
      </c>
      <c r="V257" s="7">
        <f t="shared" si="34"/>
        <v>11.434010152284264</v>
      </c>
      <c r="W257" s="7">
        <f t="shared" si="35"/>
        <v>3.5019632409825281</v>
      </c>
      <c r="X257" s="7">
        <f t="shared" si="36"/>
        <v>0.43593123368684517</v>
      </c>
      <c r="Y257" s="7">
        <f t="shared" si="37"/>
        <v>0.95298700766165612</v>
      </c>
      <c r="Z257" s="7">
        <f t="shared" si="38"/>
        <v>0.44717483878453679</v>
      </c>
      <c r="AA257" s="7">
        <f t="shared" si="39"/>
        <v>0.61203102671101262</v>
      </c>
    </row>
    <row r="258" spans="1:27" x14ac:dyDescent="0.25">
      <c r="A258" s="1" t="s">
        <v>1663</v>
      </c>
      <c r="B258" s="1" t="s">
        <v>861</v>
      </c>
      <c r="C258" s="1">
        <v>6</v>
      </c>
      <c r="D258" s="1">
        <v>5</v>
      </c>
      <c r="E258" s="1">
        <v>4</v>
      </c>
      <c r="F258" s="1">
        <v>2</v>
      </c>
      <c r="G258" s="1">
        <v>3</v>
      </c>
      <c r="H258" s="1">
        <v>2</v>
      </c>
      <c r="I258" s="1">
        <v>4</v>
      </c>
      <c r="J258" s="1">
        <v>4</v>
      </c>
      <c r="K258" s="1">
        <v>3</v>
      </c>
      <c r="L258" s="1">
        <v>2</v>
      </c>
      <c r="M258" s="1">
        <v>17</v>
      </c>
      <c r="N258" s="1">
        <v>13</v>
      </c>
      <c r="O258" s="1">
        <v>5</v>
      </c>
      <c r="P258" s="1">
        <v>35</v>
      </c>
      <c r="Q258" s="7">
        <v>1.35400640077266</v>
      </c>
      <c r="R258" s="7">
        <f t="shared" si="30"/>
        <v>23.196700507614214</v>
      </c>
      <c r="S258" s="7">
        <f t="shared" si="31"/>
        <v>6.4306002317777482</v>
      </c>
      <c r="T258" s="7">
        <f t="shared" si="32"/>
        <v>22.771573604060915</v>
      </c>
      <c r="U258" s="7">
        <f t="shared" si="33"/>
        <v>6.5356886776680962</v>
      </c>
      <c r="V258" s="7">
        <f t="shared" si="34"/>
        <v>11.434010152284264</v>
      </c>
      <c r="W258" s="7">
        <f t="shared" si="35"/>
        <v>3.5019632409825281</v>
      </c>
      <c r="X258" s="7">
        <f t="shared" si="36"/>
        <v>-0.96362707745263265</v>
      </c>
      <c r="Y258" s="7">
        <f t="shared" si="37"/>
        <v>-1.4951100160951007</v>
      </c>
      <c r="Z258" s="7">
        <f t="shared" si="38"/>
        <v>-1.8372580491390613</v>
      </c>
      <c r="AA258" s="7">
        <f t="shared" si="39"/>
        <v>-1.4319983808955981</v>
      </c>
    </row>
    <row r="259" spans="1:27" x14ac:dyDescent="0.25">
      <c r="A259" s="1" t="s">
        <v>1663</v>
      </c>
      <c r="B259" s="1" t="s">
        <v>861</v>
      </c>
      <c r="C259" s="1">
        <v>7</v>
      </c>
      <c r="D259" s="1">
        <v>8</v>
      </c>
      <c r="E259" s="1">
        <v>7</v>
      </c>
      <c r="F259" s="1">
        <v>7</v>
      </c>
      <c r="G259" s="1">
        <v>8</v>
      </c>
      <c r="H259" s="1">
        <v>7</v>
      </c>
      <c r="I259" s="1">
        <v>8</v>
      </c>
      <c r="J259" s="1">
        <v>7</v>
      </c>
      <c r="K259" s="1">
        <v>7</v>
      </c>
      <c r="L259" s="1">
        <v>8</v>
      </c>
      <c r="M259" s="1">
        <v>29</v>
      </c>
      <c r="N259" s="1">
        <v>30</v>
      </c>
      <c r="O259" s="1">
        <v>15</v>
      </c>
      <c r="P259" s="1">
        <v>74</v>
      </c>
      <c r="Q259" s="7">
        <v>0.5163977794943222</v>
      </c>
      <c r="R259" s="7">
        <f t="shared" ref="R259:R322" si="40">AVERAGE(M:M)</f>
        <v>23.196700507614214</v>
      </c>
      <c r="S259" s="7">
        <f t="shared" ref="S259:S322" si="41">_xlfn.STDEV.S(M:M)</f>
        <v>6.4306002317777482</v>
      </c>
      <c r="T259" s="7">
        <f t="shared" ref="T259:T322" si="42">AVERAGE(N:N)</f>
        <v>22.771573604060915</v>
      </c>
      <c r="U259" s="7">
        <f t="shared" ref="U259:U322" si="43">_xlfn.STDEV.S(N:N)</f>
        <v>6.5356886776680962</v>
      </c>
      <c r="V259" s="7">
        <f t="shared" ref="V259:V322" si="44">AVERAGE(O:O)</f>
        <v>11.434010152284264</v>
      </c>
      <c r="W259" s="7">
        <f t="shared" ref="W259:W322" si="45">_xlfn.STDEV.S(O:O)</f>
        <v>3.5019632409825281</v>
      </c>
      <c r="X259" s="7">
        <f t="shared" ref="X259:X322" si="46">STANDARDIZE(M259,R259,S259)</f>
        <v>0.90245067073333785</v>
      </c>
      <c r="Y259" s="7">
        <f t="shared" ref="Y259:Y322" si="47">STANDARDIZE(N259,T259,U259)</f>
        <v>1.1059930716464534</v>
      </c>
      <c r="Z259" s="7">
        <f t="shared" ref="Z259:Z322" si="48">STANDARDIZE(O259,V259,W259)</f>
        <v>1.0182830607654363</v>
      </c>
      <c r="AA259" s="7">
        <f t="shared" ref="AA259:AA322" si="49">AVERAGE(X259:Z259)</f>
        <v>1.0089089343817426</v>
      </c>
    </row>
    <row r="260" spans="1:27" x14ac:dyDescent="0.25">
      <c r="A260" s="1" t="s">
        <v>1663</v>
      </c>
      <c r="B260" s="1" t="s">
        <v>861</v>
      </c>
      <c r="C260" s="1">
        <v>6</v>
      </c>
      <c r="D260" s="1">
        <v>6</v>
      </c>
      <c r="E260" s="1">
        <v>6</v>
      </c>
      <c r="F260" s="1">
        <v>4</v>
      </c>
      <c r="G260" s="1">
        <v>6</v>
      </c>
      <c r="H260" s="1">
        <v>6</v>
      </c>
      <c r="I260" s="1">
        <v>6</v>
      </c>
      <c r="J260" s="1">
        <v>6</v>
      </c>
      <c r="K260" s="1">
        <v>5</v>
      </c>
      <c r="L260" s="1">
        <v>6</v>
      </c>
      <c r="M260" s="1">
        <v>22</v>
      </c>
      <c r="N260" s="1">
        <v>24</v>
      </c>
      <c r="O260" s="1">
        <v>11</v>
      </c>
      <c r="P260" s="1">
        <v>57</v>
      </c>
      <c r="Q260" s="7">
        <v>0.67494855771055307</v>
      </c>
      <c r="R260" s="7">
        <f t="shared" si="40"/>
        <v>23.196700507614214</v>
      </c>
      <c r="S260" s="7">
        <f t="shared" si="41"/>
        <v>6.4306002317777482</v>
      </c>
      <c r="T260" s="7">
        <f t="shared" si="42"/>
        <v>22.771573604060915</v>
      </c>
      <c r="U260" s="7">
        <f t="shared" si="43"/>
        <v>6.5356886776680962</v>
      </c>
      <c r="V260" s="7">
        <f t="shared" si="44"/>
        <v>11.434010152284264</v>
      </c>
      <c r="W260" s="7">
        <f t="shared" si="45"/>
        <v>3.5019632409825281</v>
      </c>
      <c r="X260" s="7">
        <f t="shared" si="46"/>
        <v>-0.18609468237514495</v>
      </c>
      <c r="Y260" s="7">
        <f t="shared" si="47"/>
        <v>0.18795668773766958</v>
      </c>
      <c r="Z260" s="7">
        <f t="shared" si="48"/>
        <v>-0.12393338319636275</v>
      </c>
      <c r="AA260" s="7">
        <f t="shared" si="49"/>
        <v>-4.0690459277946046E-2</v>
      </c>
    </row>
    <row r="261" spans="1:27" x14ac:dyDescent="0.25">
      <c r="A261" s="1" t="s">
        <v>1663</v>
      </c>
      <c r="B261" s="1" t="s">
        <v>861</v>
      </c>
      <c r="C261" s="1">
        <v>8</v>
      </c>
      <c r="D261" s="1">
        <v>8</v>
      </c>
      <c r="E261" s="1">
        <v>8</v>
      </c>
      <c r="F261" s="1">
        <v>8</v>
      </c>
      <c r="G261" s="1">
        <v>9</v>
      </c>
      <c r="H261" s="1">
        <v>8</v>
      </c>
      <c r="I261" s="1">
        <v>8</v>
      </c>
      <c r="J261" s="1">
        <v>8</v>
      </c>
      <c r="K261" s="1">
        <v>8</v>
      </c>
      <c r="L261" s="1">
        <v>8</v>
      </c>
      <c r="M261" s="1">
        <v>32</v>
      </c>
      <c r="N261" s="1">
        <v>33</v>
      </c>
      <c r="O261" s="1">
        <v>16</v>
      </c>
      <c r="P261" s="1">
        <v>81</v>
      </c>
      <c r="Q261" s="7">
        <v>0.31622776601683794</v>
      </c>
      <c r="R261" s="7">
        <f t="shared" si="40"/>
        <v>23.196700507614214</v>
      </c>
      <c r="S261" s="7">
        <f t="shared" si="41"/>
        <v>6.4306002317777482</v>
      </c>
      <c r="T261" s="7">
        <f t="shared" si="42"/>
        <v>22.771573604060915</v>
      </c>
      <c r="U261" s="7">
        <f t="shared" si="43"/>
        <v>6.5356886776680962</v>
      </c>
      <c r="V261" s="7">
        <f t="shared" si="44"/>
        <v>11.434010152284264</v>
      </c>
      <c r="W261" s="7">
        <f t="shared" si="45"/>
        <v>3.5019632409825281</v>
      </c>
      <c r="X261" s="7">
        <f t="shared" si="46"/>
        <v>1.3689701077798304</v>
      </c>
      <c r="Y261" s="7">
        <f t="shared" si="47"/>
        <v>1.5650112636008453</v>
      </c>
      <c r="Z261" s="7">
        <f t="shared" si="48"/>
        <v>1.3038371717558861</v>
      </c>
      <c r="AA261" s="7">
        <f t="shared" si="49"/>
        <v>1.4126061810455208</v>
      </c>
    </row>
    <row r="262" spans="1:27" x14ac:dyDescent="0.25">
      <c r="A262" s="1" t="s">
        <v>1663</v>
      </c>
      <c r="B262" s="1" t="s">
        <v>861</v>
      </c>
      <c r="C262" s="1">
        <v>7</v>
      </c>
      <c r="D262" s="1">
        <v>6</v>
      </c>
      <c r="E262" s="1">
        <v>6</v>
      </c>
      <c r="F262" s="1">
        <v>6</v>
      </c>
      <c r="G262" s="1">
        <v>7</v>
      </c>
      <c r="H262" s="1">
        <v>5</v>
      </c>
      <c r="I262" s="1">
        <v>6</v>
      </c>
      <c r="J262" s="1">
        <v>7</v>
      </c>
      <c r="K262" s="1">
        <v>7</v>
      </c>
      <c r="L262" s="1">
        <v>7</v>
      </c>
      <c r="M262" s="1">
        <v>25</v>
      </c>
      <c r="N262" s="1">
        <v>25</v>
      </c>
      <c r="O262" s="1">
        <v>14</v>
      </c>
      <c r="P262" s="1">
        <v>64</v>
      </c>
      <c r="Q262" s="7">
        <v>0.69920589878010109</v>
      </c>
      <c r="R262" s="7">
        <f t="shared" si="40"/>
        <v>23.196700507614214</v>
      </c>
      <c r="S262" s="7">
        <f t="shared" si="41"/>
        <v>6.4306002317777482</v>
      </c>
      <c r="T262" s="7">
        <f t="shared" si="42"/>
        <v>22.771573604060915</v>
      </c>
      <c r="U262" s="7">
        <f t="shared" si="43"/>
        <v>6.5356886776680962</v>
      </c>
      <c r="V262" s="7">
        <f t="shared" si="44"/>
        <v>11.434010152284264</v>
      </c>
      <c r="W262" s="7">
        <f t="shared" si="45"/>
        <v>3.5019632409825281</v>
      </c>
      <c r="X262" s="7">
        <f t="shared" si="46"/>
        <v>0.28042475467134764</v>
      </c>
      <c r="Y262" s="7">
        <f t="shared" si="47"/>
        <v>0.34096275172246687</v>
      </c>
      <c r="Z262" s="7">
        <f t="shared" si="48"/>
        <v>0.73272894977498659</v>
      </c>
      <c r="AA262" s="7">
        <f t="shared" si="49"/>
        <v>0.45137215205626707</v>
      </c>
    </row>
    <row r="263" spans="1:27" x14ac:dyDescent="0.25">
      <c r="A263" s="1" t="s">
        <v>1663</v>
      </c>
      <c r="B263" s="1" t="s">
        <v>861</v>
      </c>
      <c r="C263" s="1">
        <v>7</v>
      </c>
      <c r="D263" s="1">
        <v>4</v>
      </c>
      <c r="E263" s="1">
        <v>5</v>
      </c>
      <c r="F263" s="1">
        <v>4</v>
      </c>
      <c r="G263" s="1">
        <v>6</v>
      </c>
      <c r="H263" s="1">
        <v>7</v>
      </c>
      <c r="I263" s="1">
        <v>6</v>
      </c>
      <c r="J263" s="1">
        <v>6</v>
      </c>
      <c r="K263" s="1">
        <v>7</v>
      </c>
      <c r="L263" s="1">
        <v>6</v>
      </c>
      <c r="M263" s="1">
        <v>20</v>
      </c>
      <c r="N263" s="1">
        <v>25</v>
      </c>
      <c r="O263" s="1">
        <v>13</v>
      </c>
      <c r="P263" s="1">
        <v>58</v>
      </c>
      <c r="Q263" s="7">
        <v>1.1352924243950933</v>
      </c>
      <c r="R263" s="7">
        <f t="shared" si="40"/>
        <v>23.196700507614214</v>
      </c>
      <c r="S263" s="7">
        <f t="shared" si="41"/>
        <v>6.4306002317777482</v>
      </c>
      <c r="T263" s="7">
        <f t="shared" si="42"/>
        <v>22.771573604060915</v>
      </c>
      <c r="U263" s="7">
        <f t="shared" si="43"/>
        <v>6.5356886776680962</v>
      </c>
      <c r="V263" s="7">
        <f t="shared" si="44"/>
        <v>11.434010152284264</v>
      </c>
      <c r="W263" s="7">
        <f t="shared" si="45"/>
        <v>3.5019632409825281</v>
      </c>
      <c r="X263" s="7">
        <f t="shared" si="46"/>
        <v>-0.49710764040614003</v>
      </c>
      <c r="Y263" s="7">
        <f t="shared" si="47"/>
        <v>0.34096275172246687</v>
      </c>
      <c r="Z263" s="7">
        <f t="shared" si="48"/>
        <v>0.44717483878453679</v>
      </c>
      <c r="AA263" s="7">
        <f t="shared" si="49"/>
        <v>9.7009983366954544E-2</v>
      </c>
    </row>
    <row r="264" spans="1:27" x14ac:dyDescent="0.25">
      <c r="A264" s="1" t="s">
        <v>1663</v>
      </c>
      <c r="B264" s="1" t="s">
        <v>861</v>
      </c>
      <c r="C264" s="1">
        <v>7</v>
      </c>
      <c r="D264" s="1">
        <v>6</v>
      </c>
      <c r="E264" s="1">
        <v>7</v>
      </c>
      <c r="F264" s="1">
        <v>7</v>
      </c>
      <c r="G264" s="1">
        <v>6</v>
      </c>
      <c r="H264" s="1">
        <v>5</v>
      </c>
      <c r="I264" s="1">
        <v>5</v>
      </c>
      <c r="J264" s="1">
        <v>6</v>
      </c>
      <c r="K264" s="1">
        <v>6</v>
      </c>
      <c r="L264" s="1">
        <v>8</v>
      </c>
      <c r="M264" s="1">
        <v>27</v>
      </c>
      <c r="N264" s="1">
        <v>22</v>
      </c>
      <c r="O264" s="1">
        <v>14</v>
      </c>
      <c r="P264" s="1">
        <v>63</v>
      </c>
      <c r="Q264" s="7">
        <v>0.94868329805051377</v>
      </c>
      <c r="R264" s="7">
        <f t="shared" si="40"/>
        <v>23.196700507614214</v>
      </c>
      <c r="S264" s="7">
        <f t="shared" si="41"/>
        <v>6.4306002317777482</v>
      </c>
      <c r="T264" s="7">
        <f t="shared" si="42"/>
        <v>22.771573604060915</v>
      </c>
      <c r="U264" s="7">
        <f t="shared" si="43"/>
        <v>6.5356886776680962</v>
      </c>
      <c r="V264" s="7">
        <f t="shared" si="44"/>
        <v>11.434010152284264</v>
      </c>
      <c r="W264" s="7">
        <f t="shared" si="45"/>
        <v>3.5019632409825281</v>
      </c>
      <c r="X264" s="7">
        <f t="shared" si="46"/>
        <v>0.59143771270234269</v>
      </c>
      <c r="Y264" s="7">
        <f t="shared" si="47"/>
        <v>-0.11805544023192505</v>
      </c>
      <c r="Z264" s="7">
        <f t="shared" si="48"/>
        <v>0.73272894977498659</v>
      </c>
      <c r="AA264" s="7">
        <f t="shared" si="49"/>
        <v>0.40203707408180139</v>
      </c>
    </row>
    <row r="265" spans="1:27" x14ac:dyDescent="0.25">
      <c r="A265" s="1" t="s">
        <v>1663</v>
      </c>
      <c r="B265" s="1" t="s">
        <v>861</v>
      </c>
      <c r="C265" s="1">
        <v>6</v>
      </c>
      <c r="D265" s="1">
        <v>5</v>
      </c>
      <c r="E265" s="1">
        <v>6</v>
      </c>
      <c r="F265" s="1">
        <v>5</v>
      </c>
      <c r="G265" s="1">
        <v>6</v>
      </c>
      <c r="H265" s="1">
        <v>6</v>
      </c>
      <c r="I265" s="1">
        <v>5</v>
      </c>
      <c r="J265" s="1">
        <v>4</v>
      </c>
      <c r="K265" s="1">
        <v>5</v>
      </c>
      <c r="L265" s="1">
        <v>5</v>
      </c>
      <c r="M265" s="1">
        <v>22</v>
      </c>
      <c r="N265" s="1">
        <v>21</v>
      </c>
      <c r="O265" s="1">
        <v>10</v>
      </c>
      <c r="P265" s="1">
        <v>53</v>
      </c>
      <c r="Q265" s="7">
        <v>0.67494855771055284</v>
      </c>
      <c r="R265" s="7">
        <f t="shared" si="40"/>
        <v>23.196700507614214</v>
      </c>
      <c r="S265" s="7">
        <f t="shared" si="41"/>
        <v>6.4306002317777482</v>
      </c>
      <c r="T265" s="7">
        <f t="shared" si="42"/>
        <v>22.771573604060915</v>
      </c>
      <c r="U265" s="7">
        <f t="shared" si="43"/>
        <v>6.5356886776680962</v>
      </c>
      <c r="V265" s="7">
        <f t="shared" si="44"/>
        <v>11.434010152284264</v>
      </c>
      <c r="W265" s="7">
        <f t="shared" si="45"/>
        <v>3.5019632409825281</v>
      </c>
      <c r="X265" s="7">
        <f t="shared" si="46"/>
        <v>-0.18609468237514495</v>
      </c>
      <c r="Y265" s="7">
        <f t="shared" si="47"/>
        <v>-0.27106150421672232</v>
      </c>
      <c r="Z265" s="7">
        <f t="shared" si="48"/>
        <v>-0.40948749418681252</v>
      </c>
      <c r="AA265" s="7">
        <f t="shared" si="49"/>
        <v>-0.28888122692622659</v>
      </c>
    </row>
    <row r="266" spans="1:27" x14ac:dyDescent="0.25">
      <c r="A266" s="1" t="s">
        <v>1663</v>
      </c>
      <c r="B266" s="1" t="s">
        <v>861</v>
      </c>
      <c r="C266" s="1">
        <v>7</v>
      </c>
      <c r="D266" s="1">
        <v>7</v>
      </c>
      <c r="E266" s="1">
        <v>6</v>
      </c>
      <c r="F266" s="1">
        <v>6</v>
      </c>
      <c r="G266" s="1">
        <v>7</v>
      </c>
      <c r="H266" s="1">
        <v>5</v>
      </c>
      <c r="I266" s="1">
        <v>6</v>
      </c>
      <c r="J266" s="1">
        <v>5</v>
      </c>
      <c r="K266" s="1">
        <v>6</v>
      </c>
      <c r="L266" s="1">
        <v>6</v>
      </c>
      <c r="M266" s="1">
        <v>26</v>
      </c>
      <c r="N266" s="1">
        <v>23</v>
      </c>
      <c r="O266" s="1">
        <v>12</v>
      </c>
      <c r="P266" s="1">
        <v>61</v>
      </c>
      <c r="Q266" s="7">
        <v>0.73786478737262173</v>
      </c>
      <c r="R266" s="7">
        <f t="shared" si="40"/>
        <v>23.196700507614214</v>
      </c>
      <c r="S266" s="7">
        <f t="shared" si="41"/>
        <v>6.4306002317777482</v>
      </c>
      <c r="T266" s="7">
        <f t="shared" si="42"/>
        <v>22.771573604060915</v>
      </c>
      <c r="U266" s="7">
        <f t="shared" si="43"/>
        <v>6.5356886776680962</v>
      </c>
      <c r="V266" s="7">
        <f t="shared" si="44"/>
        <v>11.434010152284264</v>
      </c>
      <c r="W266" s="7">
        <f t="shared" si="45"/>
        <v>3.5019632409825281</v>
      </c>
      <c r="X266" s="7">
        <f t="shared" si="46"/>
        <v>0.43593123368684517</v>
      </c>
      <c r="Y266" s="7">
        <f t="shared" si="47"/>
        <v>3.4950623752872265E-2</v>
      </c>
      <c r="Z266" s="7">
        <f t="shared" si="48"/>
        <v>0.16162072779408701</v>
      </c>
      <c r="AA266" s="7">
        <f t="shared" si="49"/>
        <v>0.2108341950779348</v>
      </c>
    </row>
    <row r="267" spans="1:27" x14ac:dyDescent="0.25">
      <c r="A267" s="1" t="s">
        <v>1663</v>
      </c>
      <c r="B267" s="1" t="s">
        <v>861</v>
      </c>
      <c r="C267" s="1">
        <v>7</v>
      </c>
      <c r="D267" s="1">
        <v>7</v>
      </c>
      <c r="E267" s="1">
        <v>7</v>
      </c>
      <c r="F267" s="1">
        <v>7</v>
      </c>
      <c r="G267" s="1">
        <v>7</v>
      </c>
      <c r="H267" s="1">
        <v>6</v>
      </c>
      <c r="I267" s="1">
        <v>7</v>
      </c>
      <c r="J267" s="1">
        <v>6</v>
      </c>
      <c r="K267" s="1">
        <v>6</v>
      </c>
      <c r="L267" s="1">
        <v>7</v>
      </c>
      <c r="M267" s="1">
        <v>28</v>
      </c>
      <c r="N267" s="1">
        <v>26</v>
      </c>
      <c r="O267" s="1">
        <v>13</v>
      </c>
      <c r="P267" s="1">
        <v>67</v>
      </c>
      <c r="Q267" s="7">
        <v>0.48304589153964789</v>
      </c>
      <c r="R267" s="7">
        <f t="shared" si="40"/>
        <v>23.196700507614214</v>
      </c>
      <c r="S267" s="7">
        <f t="shared" si="41"/>
        <v>6.4306002317777482</v>
      </c>
      <c r="T267" s="7">
        <f t="shared" si="42"/>
        <v>22.771573604060915</v>
      </c>
      <c r="U267" s="7">
        <f t="shared" si="43"/>
        <v>6.5356886776680962</v>
      </c>
      <c r="V267" s="7">
        <f t="shared" si="44"/>
        <v>11.434010152284264</v>
      </c>
      <c r="W267" s="7">
        <f t="shared" si="45"/>
        <v>3.5019632409825281</v>
      </c>
      <c r="X267" s="7">
        <f t="shared" si="46"/>
        <v>0.74694419171784021</v>
      </c>
      <c r="Y267" s="7">
        <f t="shared" si="47"/>
        <v>0.49396881570726414</v>
      </c>
      <c r="Z267" s="7">
        <f t="shared" si="48"/>
        <v>0.44717483878453679</v>
      </c>
      <c r="AA267" s="7">
        <f t="shared" si="49"/>
        <v>0.56269594873654716</v>
      </c>
    </row>
    <row r="268" spans="1:27" x14ac:dyDescent="0.25">
      <c r="A268" s="1" t="s">
        <v>1663</v>
      </c>
      <c r="B268" s="1" t="s">
        <v>861</v>
      </c>
      <c r="C268" s="1">
        <v>6</v>
      </c>
      <c r="D268" s="1">
        <v>4</v>
      </c>
      <c r="E268" s="1">
        <v>6</v>
      </c>
      <c r="F268" s="1">
        <v>5</v>
      </c>
      <c r="G268" s="1">
        <v>6</v>
      </c>
      <c r="H268" s="1">
        <v>5</v>
      </c>
      <c r="I268" s="1">
        <v>5</v>
      </c>
      <c r="J268" s="1">
        <v>4</v>
      </c>
      <c r="K268" s="1">
        <v>5</v>
      </c>
      <c r="L268" s="1">
        <v>6</v>
      </c>
      <c r="M268" s="1">
        <v>21</v>
      </c>
      <c r="N268" s="1">
        <v>20</v>
      </c>
      <c r="O268" s="1">
        <v>11</v>
      </c>
      <c r="P268" s="1">
        <v>52</v>
      </c>
      <c r="Q268" s="7">
        <v>0.78881063774661564</v>
      </c>
      <c r="R268" s="7">
        <f t="shared" si="40"/>
        <v>23.196700507614214</v>
      </c>
      <c r="S268" s="7">
        <f t="shared" si="41"/>
        <v>6.4306002317777482</v>
      </c>
      <c r="T268" s="7">
        <f t="shared" si="42"/>
        <v>22.771573604060915</v>
      </c>
      <c r="U268" s="7">
        <f t="shared" si="43"/>
        <v>6.5356886776680962</v>
      </c>
      <c r="V268" s="7">
        <f t="shared" si="44"/>
        <v>11.434010152284264</v>
      </c>
      <c r="W268" s="7">
        <f t="shared" si="45"/>
        <v>3.5019632409825281</v>
      </c>
      <c r="X268" s="7">
        <f t="shared" si="46"/>
        <v>-0.3416011613906425</v>
      </c>
      <c r="Y268" s="7">
        <f t="shared" si="47"/>
        <v>-0.42406756820151964</v>
      </c>
      <c r="Z268" s="7">
        <f t="shared" si="48"/>
        <v>-0.12393338319636275</v>
      </c>
      <c r="AA268" s="7">
        <f t="shared" si="49"/>
        <v>-0.29653403759617497</v>
      </c>
    </row>
    <row r="269" spans="1:27" x14ac:dyDescent="0.25">
      <c r="A269" s="1" t="s">
        <v>1663</v>
      </c>
      <c r="B269" s="1" t="s">
        <v>861</v>
      </c>
      <c r="C269" s="1">
        <v>7</v>
      </c>
      <c r="D269" s="1">
        <v>7</v>
      </c>
      <c r="E269" s="1">
        <v>7</v>
      </c>
      <c r="F269" s="1">
        <v>7</v>
      </c>
      <c r="G269" s="1">
        <v>6</v>
      </c>
      <c r="H269" s="1">
        <v>5</v>
      </c>
      <c r="I269" s="1">
        <v>6</v>
      </c>
      <c r="J269" s="1">
        <v>7</v>
      </c>
      <c r="K269" s="1">
        <v>6</v>
      </c>
      <c r="L269" s="1">
        <v>7</v>
      </c>
      <c r="M269" s="1">
        <v>28</v>
      </c>
      <c r="N269" s="1">
        <v>24</v>
      </c>
      <c r="O269" s="1">
        <v>13</v>
      </c>
      <c r="P269" s="1">
        <v>65</v>
      </c>
      <c r="Q269" s="7">
        <v>0.70710678118654746</v>
      </c>
      <c r="R269" s="7">
        <f t="shared" si="40"/>
        <v>23.196700507614214</v>
      </c>
      <c r="S269" s="7">
        <f t="shared" si="41"/>
        <v>6.4306002317777482</v>
      </c>
      <c r="T269" s="7">
        <f t="shared" si="42"/>
        <v>22.771573604060915</v>
      </c>
      <c r="U269" s="7">
        <f t="shared" si="43"/>
        <v>6.5356886776680962</v>
      </c>
      <c r="V269" s="7">
        <f t="shared" si="44"/>
        <v>11.434010152284264</v>
      </c>
      <c r="W269" s="7">
        <f t="shared" si="45"/>
        <v>3.5019632409825281</v>
      </c>
      <c r="X269" s="7">
        <f t="shared" si="46"/>
        <v>0.74694419171784021</v>
      </c>
      <c r="Y269" s="7">
        <f t="shared" si="47"/>
        <v>0.18795668773766958</v>
      </c>
      <c r="Z269" s="7">
        <f t="shared" si="48"/>
        <v>0.44717483878453679</v>
      </c>
      <c r="AA269" s="7">
        <f t="shared" si="49"/>
        <v>0.46069190608001548</v>
      </c>
    </row>
    <row r="270" spans="1:27" x14ac:dyDescent="0.25">
      <c r="A270" s="1" t="s">
        <v>1663</v>
      </c>
      <c r="B270" s="1" t="s">
        <v>861</v>
      </c>
      <c r="C270" s="1">
        <v>6</v>
      </c>
      <c r="D270" s="1">
        <v>6</v>
      </c>
      <c r="E270" s="1">
        <v>6</v>
      </c>
      <c r="F270" s="1">
        <v>6</v>
      </c>
      <c r="G270" s="1">
        <v>7</v>
      </c>
      <c r="H270" s="1">
        <v>6</v>
      </c>
      <c r="I270" s="1">
        <v>7</v>
      </c>
      <c r="J270" s="1">
        <v>7</v>
      </c>
      <c r="K270" s="1">
        <v>6</v>
      </c>
      <c r="L270" s="1">
        <v>7</v>
      </c>
      <c r="M270" s="1">
        <v>24</v>
      </c>
      <c r="N270" s="1">
        <v>27</v>
      </c>
      <c r="O270" s="1">
        <v>13</v>
      </c>
      <c r="P270" s="1">
        <v>64</v>
      </c>
      <c r="Q270" s="7">
        <v>0.51639777949432231</v>
      </c>
      <c r="R270" s="7">
        <f t="shared" si="40"/>
        <v>23.196700507614214</v>
      </c>
      <c r="S270" s="7">
        <f t="shared" si="41"/>
        <v>6.4306002317777482</v>
      </c>
      <c r="T270" s="7">
        <f t="shared" si="42"/>
        <v>22.771573604060915</v>
      </c>
      <c r="U270" s="7">
        <f t="shared" si="43"/>
        <v>6.5356886776680962</v>
      </c>
      <c r="V270" s="7">
        <f t="shared" si="44"/>
        <v>11.434010152284264</v>
      </c>
      <c r="W270" s="7">
        <f t="shared" si="45"/>
        <v>3.5019632409825281</v>
      </c>
      <c r="X270" s="7">
        <f t="shared" si="46"/>
        <v>0.12491827565585011</v>
      </c>
      <c r="Y270" s="7">
        <f t="shared" si="47"/>
        <v>0.64697487969206147</v>
      </c>
      <c r="Z270" s="7">
        <f t="shared" si="48"/>
        <v>0.44717483878453679</v>
      </c>
      <c r="AA270" s="7">
        <f t="shared" si="49"/>
        <v>0.4063559980441494</v>
      </c>
    </row>
    <row r="271" spans="1:27" x14ac:dyDescent="0.25">
      <c r="A271" s="1" t="s">
        <v>1663</v>
      </c>
      <c r="B271" s="1" t="s">
        <v>861</v>
      </c>
      <c r="C271" s="1">
        <v>7</v>
      </c>
      <c r="D271" s="1">
        <v>6</v>
      </c>
      <c r="E271" s="1">
        <v>7</v>
      </c>
      <c r="F271" s="1">
        <v>7</v>
      </c>
      <c r="G271" s="1">
        <v>7</v>
      </c>
      <c r="H271" s="1">
        <v>6</v>
      </c>
      <c r="I271" s="1">
        <v>6</v>
      </c>
      <c r="J271" s="1">
        <v>7</v>
      </c>
      <c r="K271" s="1">
        <v>6</v>
      </c>
      <c r="L271" s="1">
        <v>5</v>
      </c>
      <c r="M271" s="1">
        <v>27</v>
      </c>
      <c r="N271" s="1">
        <v>26</v>
      </c>
      <c r="O271" s="1">
        <v>11</v>
      </c>
      <c r="P271" s="1">
        <v>64</v>
      </c>
      <c r="Q271" s="7">
        <v>0.69920589878010087</v>
      </c>
      <c r="R271" s="7">
        <f t="shared" si="40"/>
        <v>23.196700507614214</v>
      </c>
      <c r="S271" s="7">
        <f t="shared" si="41"/>
        <v>6.4306002317777482</v>
      </c>
      <c r="T271" s="7">
        <f t="shared" si="42"/>
        <v>22.771573604060915</v>
      </c>
      <c r="U271" s="7">
        <f t="shared" si="43"/>
        <v>6.5356886776680962</v>
      </c>
      <c r="V271" s="7">
        <f t="shared" si="44"/>
        <v>11.434010152284264</v>
      </c>
      <c r="W271" s="7">
        <f t="shared" si="45"/>
        <v>3.5019632409825281</v>
      </c>
      <c r="X271" s="7">
        <f t="shared" si="46"/>
        <v>0.59143771270234269</v>
      </c>
      <c r="Y271" s="7">
        <f t="shared" si="47"/>
        <v>0.49396881570726414</v>
      </c>
      <c r="Z271" s="7">
        <f t="shared" si="48"/>
        <v>-0.12393338319636275</v>
      </c>
      <c r="AA271" s="7">
        <f t="shared" si="49"/>
        <v>0.32049104840441472</v>
      </c>
    </row>
    <row r="272" spans="1:27" x14ac:dyDescent="0.25">
      <c r="A272" s="1" t="s">
        <v>1663</v>
      </c>
      <c r="B272" s="1" t="s">
        <v>861</v>
      </c>
      <c r="C272" s="1">
        <v>6</v>
      </c>
      <c r="D272" s="1">
        <v>4</v>
      </c>
      <c r="E272" s="1">
        <v>5</v>
      </c>
      <c r="F272" s="1">
        <v>6</v>
      </c>
      <c r="G272" s="1">
        <v>5</v>
      </c>
      <c r="H272" s="1">
        <v>5</v>
      </c>
      <c r="I272" s="1">
        <v>6</v>
      </c>
      <c r="J272" s="1">
        <v>7</v>
      </c>
      <c r="K272" s="1">
        <v>7</v>
      </c>
      <c r="L272" s="1">
        <v>6</v>
      </c>
      <c r="M272" s="1">
        <v>21</v>
      </c>
      <c r="N272" s="1">
        <v>23</v>
      </c>
      <c r="O272" s="1">
        <v>13</v>
      </c>
      <c r="P272" s="1">
        <v>57</v>
      </c>
      <c r="Q272" s="7">
        <v>0.94868329805051377</v>
      </c>
      <c r="R272" s="7">
        <f t="shared" si="40"/>
        <v>23.196700507614214</v>
      </c>
      <c r="S272" s="7">
        <f t="shared" si="41"/>
        <v>6.4306002317777482</v>
      </c>
      <c r="T272" s="7">
        <f t="shared" si="42"/>
        <v>22.771573604060915</v>
      </c>
      <c r="U272" s="7">
        <f t="shared" si="43"/>
        <v>6.5356886776680962</v>
      </c>
      <c r="V272" s="7">
        <f t="shared" si="44"/>
        <v>11.434010152284264</v>
      </c>
      <c r="W272" s="7">
        <f t="shared" si="45"/>
        <v>3.5019632409825281</v>
      </c>
      <c r="X272" s="7">
        <f t="shared" si="46"/>
        <v>-0.3416011613906425</v>
      </c>
      <c r="Y272" s="7">
        <f t="shared" si="47"/>
        <v>3.4950623752872265E-2</v>
      </c>
      <c r="Z272" s="7">
        <f t="shared" si="48"/>
        <v>0.44717483878453679</v>
      </c>
      <c r="AA272" s="7">
        <f t="shared" si="49"/>
        <v>4.6841433715588854E-2</v>
      </c>
    </row>
    <row r="273" spans="1:27" x14ac:dyDescent="0.25">
      <c r="A273" s="1" t="s">
        <v>1663</v>
      </c>
      <c r="B273" s="1" t="s">
        <v>861</v>
      </c>
      <c r="C273" s="1">
        <v>8</v>
      </c>
      <c r="D273" s="1">
        <v>8</v>
      </c>
      <c r="E273" s="1">
        <v>8</v>
      </c>
      <c r="F273" s="1">
        <v>8</v>
      </c>
      <c r="G273" s="1">
        <v>8</v>
      </c>
      <c r="H273" s="1">
        <v>9</v>
      </c>
      <c r="I273" s="1">
        <v>8</v>
      </c>
      <c r="J273" s="1">
        <v>8</v>
      </c>
      <c r="K273" s="1">
        <v>7</v>
      </c>
      <c r="L273" s="1">
        <v>7</v>
      </c>
      <c r="M273" s="1">
        <v>32</v>
      </c>
      <c r="N273" s="1">
        <v>33</v>
      </c>
      <c r="O273" s="1">
        <v>14</v>
      </c>
      <c r="P273" s="1">
        <v>79</v>
      </c>
      <c r="Q273" s="7">
        <v>0.56764621219754674</v>
      </c>
      <c r="R273" s="7">
        <f t="shared" si="40"/>
        <v>23.196700507614214</v>
      </c>
      <c r="S273" s="7">
        <f t="shared" si="41"/>
        <v>6.4306002317777482</v>
      </c>
      <c r="T273" s="7">
        <f t="shared" si="42"/>
        <v>22.771573604060915</v>
      </c>
      <c r="U273" s="7">
        <f t="shared" si="43"/>
        <v>6.5356886776680962</v>
      </c>
      <c r="V273" s="7">
        <f t="shared" si="44"/>
        <v>11.434010152284264</v>
      </c>
      <c r="W273" s="7">
        <f t="shared" si="45"/>
        <v>3.5019632409825281</v>
      </c>
      <c r="X273" s="7">
        <f t="shared" si="46"/>
        <v>1.3689701077798304</v>
      </c>
      <c r="Y273" s="7">
        <f t="shared" si="47"/>
        <v>1.5650112636008453</v>
      </c>
      <c r="Z273" s="7">
        <f t="shared" si="48"/>
        <v>0.73272894977498659</v>
      </c>
      <c r="AA273" s="7">
        <f t="shared" si="49"/>
        <v>1.222236773718554</v>
      </c>
    </row>
    <row r="274" spans="1:27" x14ac:dyDescent="0.25">
      <c r="A274" s="1" t="s">
        <v>1663</v>
      </c>
      <c r="B274" s="1" t="s">
        <v>861</v>
      </c>
      <c r="C274" s="1">
        <v>6</v>
      </c>
      <c r="D274" s="1">
        <v>5</v>
      </c>
      <c r="E274" s="1">
        <v>6</v>
      </c>
      <c r="F274" s="1">
        <v>6</v>
      </c>
      <c r="G274" s="1">
        <v>6</v>
      </c>
      <c r="H274" s="1">
        <v>5</v>
      </c>
      <c r="I274" s="1">
        <v>6</v>
      </c>
      <c r="J274" s="1">
        <v>5</v>
      </c>
      <c r="K274" s="1">
        <v>6</v>
      </c>
      <c r="L274" s="1">
        <v>6</v>
      </c>
      <c r="M274" s="1">
        <v>23</v>
      </c>
      <c r="N274" s="1">
        <v>22</v>
      </c>
      <c r="O274" s="1">
        <v>12</v>
      </c>
      <c r="P274" s="1">
        <v>57</v>
      </c>
      <c r="Q274" s="7">
        <v>0.48304589153964789</v>
      </c>
      <c r="R274" s="7">
        <f t="shared" si="40"/>
        <v>23.196700507614214</v>
      </c>
      <c r="S274" s="7">
        <f t="shared" si="41"/>
        <v>6.4306002317777482</v>
      </c>
      <c r="T274" s="7">
        <f t="shared" si="42"/>
        <v>22.771573604060915</v>
      </c>
      <c r="U274" s="7">
        <f t="shared" si="43"/>
        <v>6.5356886776680962</v>
      </c>
      <c r="V274" s="7">
        <f t="shared" si="44"/>
        <v>11.434010152284264</v>
      </c>
      <c r="W274" s="7">
        <f t="shared" si="45"/>
        <v>3.5019632409825281</v>
      </c>
      <c r="X274" s="7">
        <f t="shared" si="46"/>
        <v>-3.0588203359647428E-2</v>
      </c>
      <c r="Y274" s="7">
        <f t="shared" si="47"/>
        <v>-0.11805544023192505</v>
      </c>
      <c r="Z274" s="7">
        <f t="shared" si="48"/>
        <v>0.16162072779408701</v>
      </c>
      <c r="AA274" s="7">
        <f t="shared" si="49"/>
        <v>4.3256947341715106E-3</v>
      </c>
    </row>
    <row r="275" spans="1:27" x14ac:dyDescent="0.25">
      <c r="A275" s="1" t="s">
        <v>1663</v>
      </c>
      <c r="B275" s="1" t="s">
        <v>861</v>
      </c>
      <c r="C275" s="1">
        <v>8</v>
      </c>
      <c r="D275" s="1">
        <v>7</v>
      </c>
      <c r="E275" s="1">
        <v>7</v>
      </c>
      <c r="F275" s="1">
        <v>8</v>
      </c>
      <c r="G275" s="1">
        <v>8</v>
      </c>
      <c r="H275" s="1">
        <v>8</v>
      </c>
      <c r="I275" s="1">
        <v>7</v>
      </c>
      <c r="J275" s="1">
        <v>8</v>
      </c>
      <c r="K275" s="1">
        <v>8</v>
      </c>
      <c r="L275" s="1">
        <v>8</v>
      </c>
      <c r="M275" s="1">
        <v>30</v>
      </c>
      <c r="N275" s="1">
        <v>31</v>
      </c>
      <c r="O275" s="1">
        <v>16</v>
      </c>
      <c r="P275" s="1">
        <v>77</v>
      </c>
      <c r="Q275" s="7">
        <v>0.48304589153964789</v>
      </c>
      <c r="R275" s="7">
        <f t="shared" si="40"/>
        <v>23.196700507614214</v>
      </c>
      <c r="S275" s="7">
        <f t="shared" si="41"/>
        <v>6.4306002317777482</v>
      </c>
      <c r="T275" s="7">
        <f t="shared" si="42"/>
        <v>22.771573604060915</v>
      </c>
      <c r="U275" s="7">
        <f t="shared" si="43"/>
        <v>6.5356886776680962</v>
      </c>
      <c r="V275" s="7">
        <f t="shared" si="44"/>
        <v>11.434010152284264</v>
      </c>
      <c r="W275" s="7">
        <f t="shared" si="45"/>
        <v>3.5019632409825281</v>
      </c>
      <c r="X275" s="7">
        <f t="shared" si="46"/>
        <v>1.0579571497488354</v>
      </c>
      <c r="Y275" s="7">
        <f t="shared" si="47"/>
        <v>1.2589991356312507</v>
      </c>
      <c r="Z275" s="7">
        <f t="shared" si="48"/>
        <v>1.3038371717558861</v>
      </c>
      <c r="AA275" s="7">
        <f t="shared" si="49"/>
        <v>1.2069311523786574</v>
      </c>
    </row>
    <row r="276" spans="1:27" x14ac:dyDescent="0.25">
      <c r="A276" s="1" t="s">
        <v>1663</v>
      </c>
      <c r="B276" s="1" t="s">
        <v>861</v>
      </c>
      <c r="C276" s="1">
        <v>8</v>
      </c>
      <c r="D276" s="1">
        <v>7</v>
      </c>
      <c r="E276" s="1">
        <v>7</v>
      </c>
      <c r="F276" s="1">
        <v>8</v>
      </c>
      <c r="G276" s="1">
        <v>7</v>
      </c>
      <c r="H276" s="1">
        <v>6</v>
      </c>
      <c r="I276" s="1">
        <v>6</v>
      </c>
      <c r="J276" s="1">
        <v>6</v>
      </c>
      <c r="K276" s="1">
        <v>6</v>
      </c>
      <c r="L276" s="1">
        <v>5</v>
      </c>
      <c r="M276" s="1">
        <v>30</v>
      </c>
      <c r="N276" s="1">
        <v>25</v>
      </c>
      <c r="O276" s="1">
        <v>11</v>
      </c>
      <c r="P276" s="1">
        <v>66</v>
      </c>
      <c r="Q276" s="7">
        <v>0.96609178307929588</v>
      </c>
      <c r="R276" s="7">
        <f t="shared" si="40"/>
        <v>23.196700507614214</v>
      </c>
      <c r="S276" s="7">
        <f t="shared" si="41"/>
        <v>6.4306002317777482</v>
      </c>
      <c r="T276" s="7">
        <f t="shared" si="42"/>
        <v>22.771573604060915</v>
      </c>
      <c r="U276" s="7">
        <f t="shared" si="43"/>
        <v>6.5356886776680962</v>
      </c>
      <c r="V276" s="7">
        <f t="shared" si="44"/>
        <v>11.434010152284264</v>
      </c>
      <c r="W276" s="7">
        <f t="shared" si="45"/>
        <v>3.5019632409825281</v>
      </c>
      <c r="X276" s="7">
        <f t="shared" si="46"/>
        <v>1.0579571497488354</v>
      </c>
      <c r="Y276" s="7">
        <f t="shared" si="47"/>
        <v>0.34096275172246687</v>
      </c>
      <c r="Z276" s="7">
        <f t="shared" si="48"/>
        <v>-0.12393338319636275</v>
      </c>
      <c r="AA276" s="7">
        <f t="shared" si="49"/>
        <v>0.42499550609164655</v>
      </c>
    </row>
    <row r="277" spans="1:27" x14ac:dyDescent="0.25">
      <c r="A277" s="1" t="s">
        <v>1663</v>
      </c>
      <c r="B277" s="1" t="s">
        <v>861</v>
      </c>
      <c r="C277" s="1">
        <v>8</v>
      </c>
      <c r="D277" s="1">
        <v>7</v>
      </c>
      <c r="E277" s="1">
        <v>8</v>
      </c>
      <c r="F277" s="1">
        <v>8</v>
      </c>
      <c r="G277" s="1">
        <v>7</v>
      </c>
      <c r="H277" s="1">
        <v>7</v>
      </c>
      <c r="I277" s="1">
        <v>7</v>
      </c>
      <c r="J277" s="1">
        <v>8</v>
      </c>
      <c r="K277" s="1">
        <v>8</v>
      </c>
      <c r="L277" s="1">
        <v>8</v>
      </c>
      <c r="M277" s="1">
        <v>31</v>
      </c>
      <c r="N277" s="1">
        <v>29</v>
      </c>
      <c r="O277" s="1">
        <v>16</v>
      </c>
      <c r="P277" s="1">
        <v>76</v>
      </c>
      <c r="Q277" s="7">
        <v>0.5163977794943222</v>
      </c>
      <c r="R277" s="7">
        <f t="shared" si="40"/>
        <v>23.196700507614214</v>
      </c>
      <c r="S277" s="7">
        <f t="shared" si="41"/>
        <v>6.4306002317777482</v>
      </c>
      <c r="T277" s="7">
        <f t="shared" si="42"/>
        <v>22.771573604060915</v>
      </c>
      <c r="U277" s="7">
        <f t="shared" si="43"/>
        <v>6.5356886776680962</v>
      </c>
      <c r="V277" s="7">
        <f t="shared" si="44"/>
        <v>11.434010152284264</v>
      </c>
      <c r="W277" s="7">
        <f t="shared" si="45"/>
        <v>3.5019632409825281</v>
      </c>
      <c r="X277" s="7">
        <f t="shared" si="46"/>
        <v>1.2134636287643328</v>
      </c>
      <c r="Y277" s="7">
        <f t="shared" si="47"/>
        <v>0.95298700766165612</v>
      </c>
      <c r="Z277" s="7">
        <f t="shared" si="48"/>
        <v>1.3038371717558861</v>
      </c>
      <c r="AA277" s="7">
        <f t="shared" si="49"/>
        <v>1.1567626027272917</v>
      </c>
    </row>
    <row r="278" spans="1:27" x14ac:dyDescent="0.25">
      <c r="A278" s="1" t="s">
        <v>1663</v>
      </c>
      <c r="B278" s="1" t="s">
        <v>861</v>
      </c>
      <c r="C278" s="1">
        <v>8</v>
      </c>
      <c r="D278" s="1">
        <v>9</v>
      </c>
      <c r="E278" s="1">
        <v>9</v>
      </c>
      <c r="F278" s="1">
        <v>8</v>
      </c>
      <c r="G278" s="1">
        <v>8</v>
      </c>
      <c r="H278" s="1">
        <v>7</v>
      </c>
      <c r="I278" s="1">
        <v>7</v>
      </c>
      <c r="J278" s="1">
        <v>8</v>
      </c>
      <c r="K278" s="1">
        <v>8</v>
      </c>
      <c r="L278" s="1">
        <v>7</v>
      </c>
      <c r="M278" s="1">
        <v>34</v>
      </c>
      <c r="N278" s="1">
        <v>30</v>
      </c>
      <c r="O278" s="1">
        <v>15</v>
      </c>
      <c r="P278" s="1">
        <v>79</v>
      </c>
      <c r="Q278" s="7">
        <v>0.73786478737262251</v>
      </c>
      <c r="R278" s="7">
        <f t="shared" si="40"/>
        <v>23.196700507614214</v>
      </c>
      <c r="S278" s="7">
        <f t="shared" si="41"/>
        <v>6.4306002317777482</v>
      </c>
      <c r="T278" s="7">
        <f t="shared" si="42"/>
        <v>22.771573604060915</v>
      </c>
      <c r="U278" s="7">
        <f t="shared" si="43"/>
        <v>6.5356886776680962</v>
      </c>
      <c r="V278" s="7">
        <f t="shared" si="44"/>
        <v>11.434010152284264</v>
      </c>
      <c r="W278" s="7">
        <f t="shared" si="45"/>
        <v>3.5019632409825281</v>
      </c>
      <c r="X278" s="7">
        <f t="shared" si="46"/>
        <v>1.6799830658108255</v>
      </c>
      <c r="Y278" s="7">
        <f t="shared" si="47"/>
        <v>1.1059930716464534</v>
      </c>
      <c r="Z278" s="7">
        <f t="shared" si="48"/>
        <v>1.0182830607654363</v>
      </c>
      <c r="AA278" s="7">
        <f t="shared" si="49"/>
        <v>1.268086399407572</v>
      </c>
    </row>
    <row r="279" spans="1:27" x14ac:dyDescent="0.25">
      <c r="A279" s="1" t="s">
        <v>1663</v>
      </c>
      <c r="B279" s="1" t="s">
        <v>861</v>
      </c>
      <c r="C279" s="1">
        <v>6</v>
      </c>
      <c r="D279" s="1">
        <v>4</v>
      </c>
      <c r="E279" s="1">
        <v>4</v>
      </c>
      <c r="F279" s="1">
        <v>2</v>
      </c>
      <c r="G279" s="1">
        <v>2</v>
      </c>
      <c r="H279" s="1">
        <v>1</v>
      </c>
      <c r="I279" s="1">
        <v>2</v>
      </c>
      <c r="J279" s="1">
        <v>2</v>
      </c>
      <c r="K279" s="1">
        <v>3</v>
      </c>
      <c r="L279" s="1">
        <v>2</v>
      </c>
      <c r="M279" s="1">
        <v>16</v>
      </c>
      <c r="N279" s="1">
        <v>7</v>
      </c>
      <c r="O279" s="1">
        <v>5</v>
      </c>
      <c r="P279" s="1">
        <v>28</v>
      </c>
      <c r="Q279" s="7">
        <v>1.4757295747452439</v>
      </c>
      <c r="R279" s="7">
        <f t="shared" si="40"/>
        <v>23.196700507614214</v>
      </c>
      <c r="S279" s="7">
        <f t="shared" si="41"/>
        <v>6.4306002317777482</v>
      </c>
      <c r="T279" s="7">
        <f t="shared" si="42"/>
        <v>22.771573604060915</v>
      </c>
      <c r="U279" s="7">
        <f t="shared" si="43"/>
        <v>6.5356886776680962</v>
      </c>
      <c r="V279" s="7">
        <f t="shared" si="44"/>
        <v>11.434010152284264</v>
      </c>
      <c r="W279" s="7">
        <f t="shared" si="45"/>
        <v>3.5019632409825281</v>
      </c>
      <c r="X279" s="7">
        <f t="shared" si="46"/>
        <v>-1.1191335564681302</v>
      </c>
      <c r="Y279" s="7">
        <f t="shared" si="47"/>
        <v>-2.4131464000038845</v>
      </c>
      <c r="Z279" s="7">
        <f t="shared" si="48"/>
        <v>-1.8372580491390613</v>
      </c>
      <c r="AA279" s="7">
        <f t="shared" si="49"/>
        <v>-1.7898460018703586</v>
      </c>
    </row>
    <row r="280" spans="1:27" x14ac:dyDescent="0.25">
      <c r="A280" s="1" t="s">
        <v>1662</v>
      </c>
      <c r="B280" s="1" t="s">
        <v>861</v>
      </c>
      <c r="C280" s="1">
        <v>6</v>
      </c>
      <c r="D280" s="1">
        <v>5</v>
      </c>
      <c r="E280" s="1">
        <v>5</v>
      </c>
      <c r="F280" s="1">
        <v>6</v>
      </c>
      <c r="G280" s="1">
        <v>5</v>
      </c>
      <c r="H280" s="1">
        <v>5</v>
      </c>
      <c r="I280" s="1">
        <v>5</v>
      </c>
      <c r="J280" s="1">
        <v>5</v>
      </c>
      <c r="K280" s="1">
        <v>5</v>
      </c>
      <c r="L280" s="1">
        <v>7</v>
      </c>
      <c r="M280" s="1">
        <v>22</v>
      </c>
      <c r="N280" s="1">
        <v>20</v>
      </c>
      <c r="O280" s="1">
        <v>12</v>
      </c>
      <c r="P280" s="1">
        <v>54</v>
      </c>
      <c r="Q280" s="7">
        <v>0.69920589878010087</v>
      </c>
      <c r="R280" s="7">
        <f t="shared" si="40"/>
        <v>23.196700507614214</v>
      </c>
      <c r="S280" s="7">
        <f t="shared" si="41"/>
        <v>6.4306002317777482</v>
      </c>
      <c r="T280" s="7">
        <f t="shared" si="42"/>
        <v>22.771573604060915</v>
      </c>
      <c r="U280" s="7">
        <f t="shared" si="43"/>
        <v>6.5356886776680962</v>
      </c>
      <c r="V280" s="7">
        <f t="shared" si="44"/>
        <v>11.434010152284264</v>
      </c>
      <c r="W280" s="7">
        <f t="shared" si="45"/>
        <v>3.5019632409825281</v>
      </c>
      <c r="X280" s="7">
        <f t="shared" si="46"/>
        <v>-0.18609468237514495</v>
      </c>
      <c r="Y280" s="7">
        <f t="shared" si="47"/>
        <v>-0.42406756820151964</v>
      </c>
      <c r="Z280" s="7">
        <f t="shared" si="48"/>
        <v>0.16162072779408701</v>
      </c>
      <c r="AA280" s="7">
        <f t="shared" si="49"/>
        <v>-0.14951384092752587</v>
      </c>
    </row>
    <row r="281" spans="1:27" x14ac:dyDescent="0.25">
      <c r="A281" s="1" t="s">
        <v>1662</v>
      </c>
      <c r="B281" s="1" t="s">
        <v>861</v>
      </c>
      <c r="C281" s="1">
        <v>6</v>
      </c>
      <c r="D281" s="1">
        <v>5</v>
      </c>
      <c r="E281" s="1">
        <v>5</v>
      </c>
      <c r="F281" s="1">
        <v>5</v>
      </c>
      <c r="G281" s="1">
        <v>7</v>
      </c>
      <c r="H281" s="1">
        <v>5</v>
      </c>
      <c r="I281" s="1">
        <v>5</v>
      </c>
      <c r="J281" s="1">
        <v>5</v>
      </c>
      <c r="K281" s="1">
        <v>5</v>
      </c>
      <c r="L281" s="1">
        <v>6</v>
      </c>
      <c r="M281" s="1">
        <v>21</v>
      </c>
      <c r="N281" s="1">
        <v>22</v>
      </c>
      <c r="O281" s="1">
        <v>11</v>
      </c>
      <c r="P281" s="1">
        <v>54</v>
      </c>
      <c r="Q281" s="7">
        <v>0.69920589878010109</v>
      </c>
      <c r="R281" s="7">
        <f t="shared" si="40"/>
        <v>23.196700507614214</v>
      </c>
      <c r="S281" s="7">
        <f t="shared" si="41"/>
        <v>6.4306002317777482</v>
      </c>
      <c r="T281" s="7">
        <f t="shared" si="42"/>
        <v>22.771573604060915</v>
      </c>
      <c r="U281" s="7">
        <f t="shared" si="43"/>
        <v>6.5356886776680962</v>
      </c>
      <c r="V281" s="7">
        <f t="shared" si="44"/>
        <v>11.434010152284264</v>
      </c>
      <c r="W281" s="7">
        <f t="shared" si="45"/>
        <v>3.5019632409825281</v>
      </c>
      <c r="X281" s="7">
        <f t="shared" si="46"/>
        <v>-0.3416011613906425</v>
      </c>
      <c r="Y281" s="7">
        <f t="shared" si="47"/>
        <v>-0.11805544023192505</v>
      </c>
      <c r="Z281" s="7">
        <f t="shared" si="48"/>
        <v>-0.12393338319636275</v>
      </c>
      <c r="AA281" s="7">
        <f t="shared" si="49"/>
        <v>-0.19452999493964343</v>
      </c>
    </row>
    <row r="282" spans="1:27" x14ac:dyDescent="0.25">
      <c r="A282" s="1" t="s">
        <v>1662</v>
      </c>
      <c r="B282" s="1" t="s">
        <v>861</v>
      </c>
      <c r="C282" s="1">
        <v>7</v>
      </c>
      <c r="D282" s="1">
        <v>7</v>
      </c>
      <c r="E282" s="1">
        <v>7</v>
      </c>
      <c r="F282" s="1">
        <v>7</v>
      </c>
      <c r="G282" s="1">
        <v>6</v>
      </c>
      <c r="H282" s="1">
        <v>6</v>
      </c>
      <c r="I282" s="1">
        <v>7</v>
      </c>
      <c r="J282" s="1">
        <v>6</v>
      </c>
      <c r="K282" s="1">
        <v>6</v>
      </c>
      <c r="L282" s="1">
        <v>6</v>
      </c>
      <c r="M282" s="1">
        <v>28</v>
      </c>
      <c r="N282" s="1">
        <v>25</v>
      </c>
      <c r="O282" s="1">
        <v>12</v>
      </c>
      <c r="P282" s="1">
        <v>65</v>
      </c>
      <c r="Q282" s="7">
        <v>0.52704627669472948</v>
      </c>
      <c r="R282" s="7">
        <f t="shared" si="40"/>
        <v>23.196700507614214</v>
      </c>
      <c r="S282" s="7">
        <f t="shared" si="41"/>
        <v>6.4306002317777482</v>
      </c>
      <c r="T282" s="7">
        <f t="shared" si="42"/>
        <v>22.771573604060915</v>
      </c>
      <c r="U282" s="7">
        <f t="shared" si="43"/>
        <v>6.5356886776680962</v>
      </c>
      <c r="V282" s="7">
        <f t="shared" si="44"/>
        <v>11.434010152284264</v>
      </c>
      <c r="W282" s="7">
        <f t="shared" si="45"/>
        <v>3.5019632409825281</v>
      </c>
      <c r="X282" s="7">
        <f t="shared" si="46"/>
        <v>0.74694419171784021</v>
      </c>
      <c r="Y282" s="7">
        <f t="shared" si="47"/>
        <v>0.34096275172246687</v>
      </c>
      <c r="Z282" s="7">
        <f t="shared" si="48"/>
        <v>0.16162072779408701</v>
      </c>
      <c r="AA282" s="7">
        <f t="shared" si="49"/>
        <v>0.41650922374479804</v>
      </c>
    </row>
    <row r="283" spans="1:27" x14ac:dyDescent="0.25">
      <c r="A283" s="1" t="s">
        <v>1662</v>
      </c>
      <c r="B283" s="1" t="s">
        <v>861</v>
      </c>
      <c r="C283" s="1">
        <v>7</v>
      </c>
      <c r="D283" s="1">
        <v>6</v>
      </c>
      <c r="E283" s="1">
        <v>7</v>
      </c>
      <c r="F283" s="1">
        <v>6</v>
      </c>
      <c r="G283" s="1">
        <v>6</v>
      </c>
      <c r="H283" s="1">
        <v>5</v>
      </c>
      <c r="I283" s="1">
        <v>7</v>
      </c>
      <c r="J283" s="1">
        <v>6</v>
      </c>
      <c r="K283" s="1">
        <v>6</v>
      </c>
      <c r="L283" s="1">
        <v>6</v>
      </c>
      <c r="M283" s="1">
        <v>26</v>
      </c>
      <c r="N283" s="1">
        <v>24</v>
      </c>
      <c r="O283" s="1">
        <v>12</v>
      </c>
      <c r="P283" s="1">
        <v>62</v>
      </c>
      <c r="Q283" s="7">
        <v>0.63245553203367588</v>
      </c>
      <c r="R283" s="7">
        <f t="shared" si="40"/>
        <v>23.196700507614214</v>
      </c>
      <c r="S283" s="7">
        <f t="shared" si="41"/>
        <v>6.4306002317777482</v>
      </c>
      <c r="T283" s="7">
        <f t="shared" si="42"/>
        <v>22.771573604060915</v>
      </c>
      <c r="U283" s="7">
        <f t="shared" si="43"/>
        <v>6.5356886776680962</v>
      </c>
      <c r="V283" s="7">
        <f t="shared" si="44"/>
        <v>11.434010152284264</v>
      </c>
      <c r="W283" s="7">
        <f t="shared" si="45"/>
        <v>3.5019632409825281</v>
      </c>
      <c r="X283" s="7">
        <f t="shared" si="46"/>
        <v>0.43593123368684517</v>
      </c>
      <c r="Y283" s="7">
        <f t="shared" si="47"/>
        <v>0.18795668773766958</v>
      </c>
      <c r="Z283" s="7">
        <f t="shared" si="48"/>
        <v>0.16162072779408701</v>
      </c>
      <c r="AA283" s="7">
        <f t="shared" si="49"/>
        <v>0.26183621640620058</v>
      </c>
    </row>
    <row r="284" spans="1:27" x14ac:dyDescent="0.25">
      <c r="A284" s="1" t="s">
        <v>1662</v>
      </c>
      <c r="B284" s="1" t="s">
        <v>861</v>
      </c>
      <c r="C284" s="1">
        <v>7</v>
      </c>
      <c r="D284" s="1">
        <v>8</v>
      </c>
      <c r="E284" s="1">
        <v>7</v>
      </c>
      <c r="F284" s="1">
        <v>7</v>
      </c>
      <c r="G284" s="1">
        <v>7</v>
      </c>
      <c r="H284" s="1">
        <v>7</v>
      </c>
      <c r="I284" s="1">
        <v>8</v>
      </c>
      <c r="J284" s="1">
        <v>8</v>
      </c>
      <c r="K284" s="1">
        <v>7</v>
      </c>
      <c r="L284" s="1">
        <v>8</v>
      </c>
      <c r="M284" s="1">
        <v>29</v>
      </c>
      <c r="N284" s="1">
        <v>30</v>
      </c>
      <c r="O284" s="1">
        <v>15</v>
      </c>
      <c r="P284" s="1">
        <v>74</v>
      </c>
      <c r="Q284" s="7">
        <v>0.51639777949432231</v>
      </c>
      <c r="R284" s="7">
        <f t="shared" si="40"/>
        <v>23.196700507614214</v>
      </c>
      <c r="S284" s="7">
        <f t="shared" si="41"/>
        <v>6.4306002317777482</v>
      </c>
      <c r="T284" s="7">
        <f t="shared" si="42"/>
        <v>22.771573604060915</v>
      </c>
      <c r="U284" s="7">
        <f t="shared" si="43"/>
        <v>6.5356886776680962</v>
      </c>
      <c r="V284" s="7">
        <f t="shared" si="44"/>
        <v>11.434010152284264</v>
      </c>
      <c r="W284" s="7">
        <f t="shared" si="45"/>
        <v>3.5019632409825281</v>
      </c>
      <c r="X284" s="7">
        <f t="shared" si="46"/>
        <v>0.90245067073333785</v>
      </c>
      <c r="Y284" s="7">
        <f t="shared" si="47"/>
        <v>1.1059930716464534</v>
      </c>
      <c r="Z284" s="7">
        <f t="shared" si="48"/>
        <v>1.0182830607654363</v>
      </c>
      <c r="AA284" s="7">
        <f t="shared" si="49"/>
        <v>1.0089089343817426</v>
      </c>
    </row>
    <row r="285" spans="1:27" x14ac:dyDescent="0.25">
      <c r="A285" s="1" t="s">
        <v>1662</v>
      </c>
      <c r="B285" s="1" t="s">
        <v>861</v>
      </c>
      <c r="C285" s="1">
        <v>6</v>
      </c>
      <c r="D285" s="1">
        <v>6</v>
      </c>
      <c r="E285" s="1">
        <v>7</v>
      </c>
      <c r="F285" s="1">
        <v>6</v>
      </c>
      <c r="G285" s="1">
        <v>6</v>
      </c>
      <c r="H285" s="1">
        <v>6</v>
      </c>
      <c r="I285" s="1">
        <v>5</v>
      </c>
      <c r="J285" s="1">
        <v>5</v>
      </c>
      <c r="K285" s="1">
        <v>6</v>
      </c>
      <c r="L285" s="1">
        <v>5</v>
      </c>
      <c r="M285" s="1">
        <v>25</v>
      </c>
      <c r="N285" s="1">
        <v>22</v>
      </c>
      <c r="O285" s="1">
        <v>11</v>
      </c>
      <c r="P285" s="1">
        <v>58</v>
      </c>
      <c r="Q285" s="7">
        <v>0.63245553203367599</v>
      </c>
      <c r="R285" s="7">
        <f t="shared" si="40"/>
        <v>23.196700507614214</v>
      </c>
      <c r="S285" s="7">
        <f t="shared" si="41"/>
        <v>6.4306002317777482</v>
      </c>
      <c r="T285" s="7">
        <f t="shared" si="42"/>
        <v>22.771573604060915</v>
      </c>
      <c r="U285" s="7">
        <f t="shared" si="43"/>
        <v>6.5356886776680962</v>
      </c>
      <c r="V285" s="7">
        <f t="shared" si="44"/>
        <v>11.434010152284264</v>
      </c>
      <c r="W285" s="7">
        <f t="shared" si="45"/>
        <v>3.5019632409825281</v>
      </c>
      <c r="X285" s="7">
        <f t="shared" si="46"/>
        <v>0.28042475467134764</v>
      </c>
      <c r="Y285" s="7">
        <f t="shared" si="47"/>
        <v>-0.11805544023192505</v>
      </c>
      <c r="Z285" s="7">
        <f t="shared" si="48"/>
        <v>-0.12393338319636275</v>
      </c>
      <c r="AA285" s="7">
        <f t="shared" si="49"/>
        <v>1.2811977081019948E-2</v>
      </c>
    </row>
    <row r="286" spans="1:27" x14ac:dyDescent="0.25">
      <c r="A286" s="1" t="s">
        <v>1662</v>
      </c>
      <c r="B286" s="1" t="s">
        <v>861</v>
      </c>
      <c r="C286" s="1">
        <v>6</v>
      </c>
      <c r="D286" s="1">
        <v>5</v>
      </c>
      <c r="E286" s="1">
        <v>5</v>
      </c>
      <c r="F286" s="1">
        <v>5</v>
      </c>
      <c r="G286" s="1">
        <v>6</v>
      </c>
      <c r="H286" s="1">
        <v>6</v>
      </c>
      <c r="I286" s="1">
        <v>5</v>
      </c>
      <c r="J286" s="1">
        <v>6</v>
      </c>
      <c r="K286" s="1">
        <v>5</v>
      </c>
      <c r="L286" s="1">
        <v>6</v>
      </c>
      <c r="M286" s="1">
        <v>21</v>
      </c>
      <c r="N286" s="1">
        <v>23</v>
      </c>
      <c r="O286" s="1">
        <v>11</v>
      </c>
      <c r="P286" s="1">
        <v>55</v>
      </c>
      <c r="Q286" s="7">
        <v>0.52704627669472981</v>
      </c>
      <c r="R286" s="7">
        <f t="shared" si="40"/>
        <v>23.196700507614214</v>
      </c>
      <c r="S286" s="7">
        <f t="shared" si="41"/>
        <v>6.4306002317777482</v>
      </c>
      <c r="T286" s="7">
        <f t="shared" si="42"/>
        <v>22.771573604060915</v>
      </c>
      <c r="U286" s="7">
        <f t="shared" si="43"/>
        <v>6.5356886776680962</v>
      </c>
      <c r="V286" s="7">
        <f t="shared" si="44"/>
        <v>11.434010152284264</v>
      </c>
      <c r="W286" s="7">
        <f t="shared" si="45"/>
        <v>3.5019632409825281</v>
      </c>
      <c r="X286" s="7">
        <f t="shared" si="46"/>
        <v>-0.3416011613906425</v>
      </c>
      <c r="Y286" s="7">
        <f t="shared" si="47"/>
        <v>3.4950623752872265E-2</v>
      </c>
      <c r="Z286" s="7">
        <f t="shared" si="48"/>
        <v>-0.12393338319636275</v>
      </c>
      <c r="AA286" s="7">
        <f t="shared" si="49"/>
        <v>-0.14352797361137767</v>
      </c>
    </row>
    <row r="287" spans="1:27" x14ac:dyDescent="0.25">
      <c r="A287" s="1" t="s">
        <v>1662</v>
      </c>
      <c r="B287" s="1" t="s">
        <v>861</v>
      </c>
      <c r="C287" s="1">
        <v>5</v>
      </c>
      <c r="D287" s="1">
        <v>6</v>
      </c>
      <c r="E287" s="1">
        <v>6</v>
      </c>
      <c r="F287" s="1">
        <v>5</v>
      </c>
      <c r="G287" s="1">
        <v>5</v>
      </c>
      <c r="H287" s="1">
        <v>5</v>
      </c>
      <c r="I287" s="1">
        <v>6</v>
      </c>
      <c r="J287" s="1">
        <v>5</v>
      </c>
      <c r="K287" s="1">
        <v>5</v>
      </c>
      <c r="L287" s="1">
        <v>6</v>
      </c>
      <c r="M287" s="1">
        <v>22</v>
      </c>
      <c r="N287" s="1">
        <v>21</v>
      </c>
      <c r="O287" s="1">
        <v>11</v>
      </c>
      <c r="P287" s="1">
        <v>54</v>
      </c>
      <c r="Q287" s="7">
        <v>0.51639777949432231</v>
      </c>
      <c r="R287" s="7">
        <f t="shared" si="40"/>
        <v>23.196700507614214</v>
      </c>
      <c r="S287" s="7">
        <f t="shared" si="41"/>
        <v>6.4306002317777482</v>
      </c>
      <c r="T287" s="7">
        <f t="shared" si="42"/>
        <v>22.771573604060915</v>
      </c>
      <c r="U287" s="7">
        <f t="shared" si="43"/>
        <v>6.5356886776680962</v>
      </c>
      <c r="V287" s="7">
        <f t="shared" si="44"/>
        <v>11.434010152284264</v>
      </c>
      <c r="W287" s="7">
        <f t="shared" si="45"/>
        <v>3.5019632409825281</v>
      </c>
      <c r="X287" s="7">
        <f t="shared" si="46"/>
        <v>-0.18609468237514495</v>
      </c>
      <c r="Y287" s="7">
        <f t="shared" si="47"/>
        <v>-0.27106150421672232</v>
      </c>
      <c r="Z287" s="7">
        <f t="shared" si="48"/>
        <v>-0.12393338319636275</v>
      </c>
      <c r="AA287" s="7">
        <f t="shared" si="49"/>
        <v>-0.19369652326274334</v>
      </c>
    </row>
    <row r="288" spans="1:27" x14ac:dyDescent="0.25">
      <c r="A288" s="1" t="s">
        <v>1662</v>
      </c>
      <c r="B288" s="1" t="s">
        <v>861</v>
      </c>
      <c r="C288" s="1">
        <v>4</v>
      </c>
      <c r="D288" s="1">
        <v>2</v>
      </c>
      <c r="E288" s="1">
        <v>4</v>
      </c>
      <c r="F288" s="1">
        <v>4</v>
      </c>
      <c r="G288" s="1">
        <v>4</v>
      </c>
      <c r="H288" s="1">
        <v>4</v>
      </c>
      <c r="I288" s="1">
        <v>2</v>
      </c>
      <c r="J288" s="1">
        <v>4</v>
      </c>
      <c r="K288" s="1">
        <v>6</v>
      </c>
      <c r="L288" s="1">
        <v>6</v>
      </c>
      <c r="M288" s="1">
        <v>14</v>
      </c>
      <c r="N288" s="1">
        <v>14</v>
      </c>
      <c r="O288" s="1">
        <v>12</v>
      </c>
      <c r="P288" s="1">
        <v>40</v>
      </c>
      <c r="Q288" s="7">
        <v>1.3333333333333333</v>
      </c>
      <c r="R288" s="7">
        <f t="shared" si="40"/>
        <v>23.196700507614214</v>
      </c>
      <c r="S288" s="7">
        <f t="shared" si="41"/>
        <v>6.4306002317777482</v>
      </c>
      <c r="T288" s="7">
        <f t="shared" si="42"/>
        <v>22.771573604060915</v>
      </c>
      <c r="U288" s="7">
        <f t="shared" si="43"/>
        <v>6.5356886776680962</v>
      </c>
      <c r="V288" s="7">
        <f t="shared" si="44"/>
        <v>11.434010152284264</v>
      </c>
      <c r="W288" s="7">
        <f t="shared" si="45"/>
        <v>3.5019632409825281</v>
      </c>
      <c r="X288" s="7">
        <f t="shared" si="46"/>
        <v>-1.4301465144991252</v>
      </c>
      <c r="Y288" s="7">
        <f t="shared" si="47"/>
        <v>-1.3421039521103035</v>
      </c>
      <c r="Z288" s="7">
        <f t="shared" si="48"/>
        <v>0.16162072779408701</v>
      </c>
      <c r="AA288" s="7">
        <f t="shared" si="49"/>
        <v>-0.87020991293844741</v>
      </c>
    </row>
    <row r="289" spans="1:27" x14ac:dyDescent="0.25">
      <c r="A289" s="1" t="s">
        <v>1662</v>
      </c>
      <c r="B289" s="1" t="s">
        <v>861</v>
      </c>
      <c r="C289" s="1">
        <v>4</v>
      </c>
      <c r="D289" s="1">
        <v>6</v>
      </c>
      <c r="E289" s="1">
        <v>4</v>
      </c>
      <c r="F289" s="1">
        <v>6</v>
      </c>
      <c r="G289" s="1">
        <v>2</v>
      </c>
      <c r="H289" s="1">
        <v>2</v>
      </c>
      <c r="I289" s="1">
        <v>2</v>
      </c>
      <c r="J289" s="1">
        <v>2</v>
      </c>
      <c r="K289" s="1">
        <v>4</v>
      </c>
      <c r="L289" s="1">
        <v>6</v>
      </c>
      <c r="M289" s="1">
        <v>20</v>
      </c>
      <c r="N289" s="1">
        <v>8</v>
      </c>
      <c r="O289" s="1">
        <v>10</v>
      </c>
      <c r="P289" s="1">
        <v>38</v>
      </c>
      <c r="Q289" s="7">
        <v>1.7511900715418263</v>
      </c>
      <c r="R289" s="7">
        <f t="shared" si="40"/>
        <v>23.196700507614214</v>
      </c>
      <c r="S289" s="7">
        <f t="shared" si="41"/>
        <v>6.4306002317777482</v>
      </c>
      <c r="T289" s="7">
        <f t="shared" si="42"/>
        <v>22.771573604060915</v>
      </c>
      <c r="U289" s="7">
        <f t="shared" si="43"/>
        <v>6.5356886776680962</v>
      </c>
      <c r="V289" s="7">
        <f t="shared" si="44"/>
        <v>11.434010152284264</v>
      </c>
      <c r="W289" s="7">
        <f t="shared" si="45"/>
        <v>3.5019632409825281</v>
      </c>
      <c r="X289" s="7">
        <f t="shared" si="46"/>
        <v>-0.49710764040614003</v>
      </c>
      <c r="Y289" s="7">
        <f t="shared" si="47"/>
        <v>-2.260140336019087</v>
      </c>
      <c r="Z289" s="7">
        <f t="shared" si="48"/>
        <v>-0.40948749418681252</v>
      </c>
      <c r="AA289" s="7">
        <f t="shared" si="49"/>
        <v>-1.0555784902040131</v>
      </c>
    </row>
    <row r="290" spans="1:27" x14ac:dyDescent="0.25">
      <c r="A290" s="1" t="s">
        <v>1662</v>
      </c>
      <c r="B290" s="1" t="s">
        <v>861</v>
      </c>
      <c r="C290" s="1">
        <v>4</v>
      </c>
      <c r="D290" s="1">
        <v>2</v>
      </c>
      <c r="E290" s="1">
        <v>2</v>
      </c>
      <c r="F290" s="1">
        <v>2</v>
      </c>
      <c r="G290" s="1">
        <v>4</v>
      </c>
      <c r="H290" s="1">
        <v>4</v>
      </c>
      <c r="I290" s="1">
        <v>2</v>
      </c>
      <c r="J290" s="1">
        <v>4</v>
      </c>
      <c r="K290" s="1">
        <v>4</v>
      </c>
      <c r="L290" s="1">
        <v>2</v>
      </c>
      <c r="M290" s="1">
        <v>10</v>
      </c>
      <c r="N290" s="1">
        <v>14</v>
      </c>
      <c r="O290" s="1">
        <v>6</v>
      </c>
      <c r="P290" s="1">
        <v>30</v>
      </c>
      <c r="Q290" s="7">
        <v>1.0540925533894598</v>
      </c>
      <c r="R290" s="7">
        <f t="shared" si="40"/>
        <v>23.196700507614214</v>
      </c>
      <c r="S290" s="7">
        <f t="shared" si="41"/>
        <v>6.4306002317777482</v>
      </c>
      <c r="T290" s="7">
        <f t="shared" si="42"/>
        <v>22.771573604060915</v>
      </c>
      <c r="U290" s="7">
        <f t="shared" si="43"/>
        <v>6.5356886776680962</v>
      </c>
      <c r="V290" s="7">
        <f t="shared" si="44"/>
        <v>11.434010152284264</v>
      </c>
      <c r="W290" s="7">
        <f t="shared" si="45"/>
        <v>3.5019632409825281</v>
      </c>
      <c r="X290" s="7">
        <f t="shared" si="46"/>
        <v>-2.0521724305611153</v>
      </c>
      <c r="Y290" s="7">
        <f t="shared" si="47"/>
        <v>-1.3421039521103035</v>
      </c>
      <c r="Z290" s="7">
        <f t="shared" si="48"/>
        <v>-1.5517039381486115</v>
      </c>
      <c r="AA290" s="7">
        <f t="shared" si="49"/>
        <v>-1.6486601069400102</v>
      </c>
    </row>
    <row r="291" spans="1:27" x14ac:dyDescent="0.25">
      <c r="A291" s="1" t="s">
        <v>1662</v>
      </c>
      <c r="B291" s="1" t="s">
        <v>861</v>
      </c>
      <c r="C291" s="1">
        <v>4</v>
      </c>
      <c r="D291" s="1">
        <v>4</v>
      </c>
      <c r="E291" s="1">
        <v>2</v>
      </c>
      <c r="F291" s="1">
        <v>4</v>
      </c>
      <c r="G291" s="1">
        <v>4</v>
      </c>
      <c r="H291" s="1">
        <v>4</v>
      </c>
      <c r="I291" s="1">
        <v>2</v>
      </c>
      <c r="J291" s="1">
        <v>4</v>
      </c>
      <c r="K291" s="1">
        <v>4</v>
      </c>
      <c r="L291" s="1">
        <v>6</v>
      </c>
      <c r="M291" s="1">
        <v>14</v>
      </c>
      <c r="N291" s="1">
        <v>14</v>
      </c>
      <c r="O291" s="1">
        <v>10</v>
      </c>
      <c r="P291" s="1">
        <v>38</v>
      </c>
      <c r="Q291" s="7">
        <v>1.1352924243950935</v>
      </c>
      <c r="R291" s="7">
        <f t="shared" si="40"/>
        <v>23.196700507614214</v>
      </c>
      <c r="S291" s="7">
        <f t="shared" si="41"/>
        <v>6.4306002317777482</v>
      </c>
      <c r="T291" s="7">
        <f t="shared" si="42"/>
        <v>22.771573604060915</v>
      </c>
      <c r="U291" s="7">
        <f t="shared" si="43"/>
        <v>6.5356886776680962</v>
      </c>
      <c r="V291" s="7">
        <f t="shared" si="44"/>
        <v>11.434010152284264</v>
      </c>
      <c r="W291" s="7">
        <f t="shared" si="45"/>
        <v>3.5019632409825281</v>
      </c>
      <c r="X291" s="7">
        <f t="shared" si="46"/>
        <v>-1.4301465144991252</v>
      </c>
      <c r="Y291" s="7">
        <f t="shared" si="47"/>
        <v>-1.3421039521103035</v>
      </c>
      <c r="Z291" s="7">
        <f t="shared" si="48"/>
        <v>-0.40948749418681252</v>
      </c>
      <c r="AA291" s="7">
        <f t="shared" si="49"/>
        <v>-1.0605793202654139</v>
      </c>
    </row>
    <row r="292" spans="1:27" x14ac:dyDescent="0.25">
      <c r="A292" s="1" t="s">
        <v>1662</v>
      </c>
      <c r="B292" s="1" t="s">
        <v>861</v>
      </c>
      <c r="C292" s="1">
        <v>6</v>
      </c>
      <c r="D292" s="1">
        <v>7</v>
      </c>
      <c r="E292" s="1">
        <v>8</v>
      </c>
      <c r="F292" s="1">
        <v>8</v>
      </c>
      <c r="G292" s="1">
        <v>6</v>
      </c>
      <c r="H292" s="1">
        <v>6</v>
      </c>
      <c r="I292" s="1">
        <v>6</v>
      </c>
      <c r="J292" s="1">
        <v>8</v>
      </c>
      <c r="K292" s="1">
        <v>6</v>
      </c>
      <c r="L292" s="1">
        <v>8</v>
      </c>
      <c r="M292" s="1">
        <v>29</v>
      </c>
      <c r="N292" s="1">
        <v>26</v>
      </c>
      <c r="O292" s="1">
        <v>14</v>
      </c>
      <c r="P292" s="1">
        <v>69</v>
      </c>
      <c r="Q292" s="7">
        <v>0.99442892601175314</v>
      </c>
      <c r="R292" s="7">
        <f t="shared" si="40"/>
        <v>23.196700507614214</v>
      </c>
      <c r="S292" s="7">
        <f t="shared" si="41"/>
        <v>6.4306002317777482</v>
      </c>
      <c r="T292" s="7">
        <f t="shared" si="42"/>
        <v>22.771573604060915</v>
      </c>
      <c r="U292" s="7">
        <f t="shared" si="43"/>
        <v>6.5356886776680962</v>
      </c>
      <c r="V292" s="7">
        <f t="shared" si="44"/>
        <v>11.434010152284264</v>
      </c>
      <c r="W292" s="7">
        <f t="shared" si="45"/>
        <v>3.5019632409825281</v>
      </c>
      <c r="X292" s="7">
        <f t="shared" si="46"/>
        <v>0.90245067073333785</v>
      </c>
      <c r="Y292" s="7">
        <f t="shared" si="47"/>
        <v>0.49396881570726414</v>
      </c>
      <c r="Z292" s="7">
        <f t="shared" si="48"/>
        <v>0.73272894977498659</v>
      </c>
      <c r="AA292" s="7">
        <f t="shared" si="49"/>
        <v>0.70971614540519612</v>
      </c>
    </row>
    <row r="293" spans="1:27" x14ac:dyDescent="0.25">
      <c r="A293" s="1" t="s">
        <v>1662</v>
      </c>
      <c r="B293" s="1" t="s">
        <v>861</v>
      </c>
      <c r="C293" s="1">
        <v>4</v>
      </c>
      <c r="D293" s="1">
        <v>6</v>
      </c>
      <c r="E293" s="1">
        <v>4</v>
      </c>
      <c r="F293" s="1">
        <v>4</v>
      </c>
      <c r="G293" s="1">
        <v>4</v>
      </c>
      <c r="H293" s="1">
        <v>4</v>
      </c>
      <c r="I293" s="1">
        <v>4</v>
      </c>
      <c r="J293" s="1">
        <v>4</v>
      </c>
      <c r="K293" s="1">
        <v>4</v>
      </c>
      <c r="L293" s="1">
        <v>6</v>
      </c>
      <c r="M293" s="1">
        <v>18</v>
      </c>
      <c r="N293" s="1">
        <v>16</v>
      </c>
      <c r="O293" s="1">
        <v>10</v>
      </c>
      <c r="P293" s="1">
        <v>44</v>
      </c>
      <c r="Q293" s="7">
        <v>0.8432740427115677</v>
      </c>
      <c r="R293" s="7">
        <f t="shared" si="40"/>
        <v>23.196700507614214</v>
      </c>
      <c r="S293" s="7">
        <f t="shared" si="41"/>
        <v>6.4306002317777482</v>
      </c>
      <c r="T293" s="7">
        <f t="shared" si="42"/>
        <v>22.771573604060915</v>
      </c>
      <c r="U293" s="7">
        <f t="shared" si="43"/>
        <v>6.5356886776680962</v>
      </c>
      <c r="V293" s="7">
        <f t="shared" si="44"/>
        <v>11.434010152284264</v>
      </c>
      <c r="W293" s="7">
        <f t="shared" si="45"/>
        <v>3.5019632409825281</v>
      </c>
      <c r="X293" s="7">
        <f t="shared" si="46"/>
        <v>-0.80812059843713513</v>
      </c>
      <c r="Y293" s="7">
        <f t="shared" si="47"/>
        <v>-1.0360918241407089</v>
      </c>
      <c r="Z293" s="7">
        <f t="shared" si="48"/>
        <v>-0.40948749418681252</v>
      </c>
      <c r="AA293" s="7">
        <f t="shared" si="49"/>
        <v>-0.75123330558821877</v>
      </c>
    </row>
    <row r="294" spans="1:27" x14ac:dyDescent="0.25">
      <c r="A294" s="1" t="s">
        <v>1654</v>
      </c>
      <c r="B294" s="1" t="s">
        <v>861</v>
      </c>
      <c r="C294" s="1">
        <v>4</v>
      </c>
      <c r="D294" s="1">
        <v>3</v>
      </c>
      <c r="E294" s="1">
        <v>3</v>
      </c>
      <c r="F294" s="1">
        <v>3</v>
      </c>
      <c r="G294" s="1">
        <v>2</v>
      </c>
      <c r="H294" s="1">
        <v>2</v>
      </c>
      <c r="I294" s="1">
        <v>2</v>
      </c>
      <c r="J294" s="1">
        <v>2</v>
      </c>
      <c r="K294" s="1">
        <v>2</v>
      </c>
      <c r="L294" s="1">
        <v>2</v>
      </c>
      <c r="M294" s="1">
        <v>13</v>
      </c>
      <c r="N294" s="1">
        <v>8</v>
      </c>
      <c r="O294" s="1">
        <v>4</v>
      </c>
      <c r="P294" s="1">
        <v>25</v>
      </c>
      <c r="Q294" s="7">
        <v>0.70710678118654757</v>
      </c>
      <c r="R294" s="7">
        <f t="shared" si="40"/>
        <v>23.196700507614214</v>
      </c>
      <c r="S294" s="7">
        <f t="shared" si="41"/>
        <v>6.4306002317777482</v>
      </c>
      <c r="T294" s="7">
        <f t="shared" si="42"/>
        <v>22.771573604060915</v>
      </c>
      <c r="U294" s="7">
        <f t="shared" si="43"/>
        <v>6.5356886776680962</v>
      </c>
      <c r="V294" s="7">
        <f t="shared" si="44"/>
        <v>11.434010152284264</v>
      </c>
      <c r="W294" s="7">
        <f t="shared" si="45"/>
        <v>3.5019632409825281</v>
      </c>
      <c r="X294" s="7">
        <f t="shared" si="46"/>
        <v>-1.5856529935146229</v>
      </c>
      <c r="Y294" s="7">
        <f t="shared" si="47"/>
        <v>-2.260140336019087</v>
      </c>
      <c r="Z294" s="7">
        <f t="shared" si="48"/>
        <v>-2.1228121601295111</v>
      </c>
      <c r="AA294" s="7">
        <f t="shared" si="49"/>
        <v>-1.9895351632210738</v>
      </c>
    </row>
    <row r="295" spans="1:27" x14ac:dyDescent="0.25">
      <c r="A295" s="1" t="s">
        <v>1654</v>
      </c>
      <c r="B295" s="1" t="s">
        <v>861</v>
      </c>
      <c r="C295" s="1">
        <v>3</v>
      </c>
      <c r="D295" s="1">
        <v>4</v>
      </c>
      <c r="E295" s="1">
        <v>5</v>
      </c>
      <c r="F295" s="1">
        <v>2</v>
      </c>
      <c r="G295" s="1">
        <v>7</v>
      </c>
      <c r="H295" s="1">
        <v>6</v>
      </c>
      <c r="I295" s="1">
        <v>5</v>
      </c>
      <c r="J295" s="1">
        <v>5</v>
      </c>
      <c r="K295" s="1">
        <v>5</v>
      </c>
      <c r="L295" s="1">
        <v>5</v>
      </c>
      <c r="M295" s="1">
        <v>14</v>
      </c>
      <c r="N295" s="1">
        <v>23</v>
      </c>
      <c r="O295" s="1">
        <v>10</v>
      </c>
      <c r="P295" s="1">
        <v>47</v>
      </c>
      <c r="Q295" s="7">
        <v>1.4181364924121764</v>
      </c>
      <c r="R295" s="7">
        <f t="shared" si="40"/>
        <v>23.196700507614214</v>
      </c>
      <c r="S295" s="7">
        <f t="shared" si="41"/>
        <v>6.4306002317777482</v>
      </c>
      <c r="T295" s="7">
        <f t="shared" si="42"/>
        <v>22.771573604060915</v>
      </c>
      <c r="U295" s="7">
        <f t="shared" si="43"/>
        <v>6.5356886776680962</v>
      </c>
      <c r="V295" s="7">
        <f t="shared" si="44"/>
        <v>11.434010152284264</v>
      </c>
      <c r="W295" s="7">
        <f t="shared" si="45"/>
        <v>3.5019632409825281</v>
      </c>
      <c r="X295" s="7">
        <f t="shared" si="46"/>
        <v>-1.4301465144991252</v>
      </c>
      <c r="Y295" s="7">
        <f t="shared" si="47"/>
        <v>3.4950623752872265E-2</v>
      </c>
      <c r="Z295" s="7">
        <f t="shared" si="48"/>
        <v>-0.40948749418681252</v>
      </c>
      <c r="AA295" s="7">
        <f t="shared" si="49"/>
        <v>-0.60156112831102182</v>
      </c>
    </row>
    <row r="296" spans="1:27" x14ac:dyDescent="0.25">
      <c r="A296" s="1" t="s">
        <v>1654</v>
      </c>
      <c r="B296" s="1" t="s">
        <v>861</v>
      </c>
      <c r="C296" s="1">
        <v>6</v>
      </c>
      <c r="D296" s="1">
        <v>4</v>
      </c>
      <c r="E296" s="1">
        <v>5</v>
      </c>
      <c r="F296" s="1">
        <v>6</v>
      </c>
      <c r="G296" s="1">
        <v>5</v>
      </c>
      <c r="H296" s="1">
        <v>5</v>
      </c>
      <c r="I296" s="1">
        <v>4</v>
      </c>
      <c r="J296" s="1">
        <v>6</v>
      </c>
      <c r="K296" s="1">
        <v>6</v>
      </c>
      <c r="L296" s="1">
        <v>7</v>
      </c>
      <c r="M296" s="1">
        <v>21</v>
      </c>
      <c r="N296" s="1">
        <v>20</v>
      </c>
      <c r="O296" s="1">
        <v>13</v>
      </c>
      <c r="P296" s="1">
        <v>54</v>
      </c>
      <c r="Q296" s="7">
        <v>0.96609178307929577</v>
      </c>
      <c r="R296" s="7">
        <f t="shared" si="40"/>
        <v>23.196700507614214</v>
      </c>
      <c r="S296" s="7">
        <f t="shared" si="41"/>
        <v>6.4306002317777482</v>
      </c>
      <c r="T296" s="7">
        <f t="shared" si="42"/>
        <v>22.771573604060915</v>
      </c>
      <c r="U296" s="7">
        <f t="shared" si="43"/>
        <v>6.5356886776680962</v>
      </c>
      <c r="V296" s="7">
        <f t="shared" si="44"/>
        <v>11.434010152284264</v>
      </c>
      <c r="W296" s="7">
        <f t="shared" si="45"/>
        <v>3.5019632409825281</v>
      </c>
      <c r="X296" s="7">
        <f t="shared" si="46"/>
        <v>-0.3416011613906425</v>
      </c>
      <c r="Y296" s="7">
        <f t="shared" si="47"/>
        <v>-0.42406756820151964</v>
      </c>
      <c r="Z296" s="7">
        <f t="shared" si="48"/>
        <v>0.44717483878453679</v>
      </c>
      <c r="AA296" s="7">
        <f t="shared" si="49"/>
        <v>-0.10616463026920846</v>
      </c>
    </row>
    <row r="297" spans="1:27" x14ac:dyDescent="0.25">
      <c r="A297" s="1" t="s">
        <v>1654</v>
      </c>
      <c r="B297" s="1" t="s">
        <v>861</v>
      </c>
      <c r="C297" s="1">
        <v>9</v>
      </c>
      <c r="D297" s="1">
        <v>9</v>
      </c>
      <c r="E297" s="1">
        <v>9</v>
      </c>
      <c r="F297" s="1">
        <v>10</v>
      </c>
      <c r="G297" s="1">
        <v>10</v>
      </c>
      <c r="H297" s="1">
        <v>10</v>
      </c>
      <c r="I297" s="1">
        <v>9</v>
      </c>
      <c r="J297" s="1">
        <v>10</v>
      </c>
      <c r="K297" s="1">
        <v>10</v>
      </c>
      <c r="L297" s="1">
        <v>10</v>
      </c>
      <c r="M297" s="1">
        <v>37</v>
      </c>
      <c r="N297" s="1">
        <v>39</v>
      </c>
      <c r="O297" s="1">
        <v>20</v>
      </c>
      <c r="P297" s="1">
        <v>96</v>
      </c>
      <c r="Q297" s="7">
        <v>0.5163977794943222</v>
      </c>
      <c r="R297" s="7">
        <f t="shared" si="40"/>
        <v>23.196700507614214</v>
      </c>
      <c r="S297" s="7">
        <f t="shared" si="41"/>
        <v>6.4306002317777482</v>
      </c>
      <c r="T297" s="7">
        <f t="shared" si="42"/>
        <v>22.771573604060915</v>
      </c>
      <c r="U297" s="7">
        <f t="shared" si="43"/>
        <v>6.5356886776680962</v>
      </c>
      <c r="V297" s="7">
        <f t="shared" si="44"/>
        <v>11.434010152284264</v>
      </c>
      <c r="W297" s="7">
        <f t="shared" si="45"/>
        <v>3.5019632409825281</v>
      </c>
      <c r="X297" s="7">
        <f t="shared" si="46"/>
        <v>2.1465025028573179</v>
      </c>
      <c r="Y297" s="7">
        <f t="shared" si="47"/>
        <v>2.483047647509629</v>
      </c>
      <c r="Z297" s="7">
        <f t="shared" si="48"/>
        <v>2.4460536157176853</v>
      </c>
      <c r="AA297" s="7">
        <f t="shared" si="49"/>
        <v>2.3585345886948779</v>
      </c>
    </row>
    <row r="298" spans="1:27" x14ac:dyDescent="0.25">
      <c r="A298" s="1" t="s">
        <v>1654</v>
      </c>
      <c r="B298" s="1" t="s">
        <v>861</v>
      </c>
      <c r="C298" s="1">
        <v>8</v>
      </c>
      <c r="D298" s="1">
        <v>8</v>
      </c>
      <c r="E298" s="1">
        <v>7</v>
      </c>
      <c r="F298" s="1">
        <v>6</v>
      </c>
      <c r="G298" s="1">
        <v>7</v>
      </c>
      <c r="H298" s="1">
        <v>6</v>
      </c>
      <c r="I298" s="1">
        <v>6</v>
      </c>
      <c r="J298" s="1">
        <v>7</v>
      </c>
      <c r="K298" s="1">
        <v>6</v>
      </c>
      <c r="L298" s="1">
        <v>7</v>
      </c>
      <c r="M298" s="1">
        <v>29</v>
      </c>
      <c r="N298" s="1">
        <v>26</v>
      </c>
      <c r="O298" s="1">
        <v>13</v>
      </c>
      <c r="P298" s="1">
        <v>68</v>
      </c>
      <c r="Q298" s="7">
        <v>0.78881063774661553</v>
      </c>
      <c r="R298" s="7">
        <f t="shared" si="40"/>
        <v>23.196700507614214</v>
      </c>
      <c r="S298" s="7">
        <f t="shared" si="41"/>
        <v>6.4306002317777482</v>
      </c>
      <c r="T298" s="7">
        <f t="shared" si="42"/>
        <v>22.771573604060915</v>
      </c>
      <c r="U298" s="7">
        <f t="shared" si="43"/>
        <v>6.5356886776680962</v>
      </c>
      <c r="V298" s="7">
        <f t="shared" si="44"/>
        <v>11.434010152284264</v>
      </c>
      <c r="W298" s="7">
        <f t="shared" si="45"/>
        <v>3.5019632409825281</v>
      </c>
      <c r="X298" s="7">
        <f t="shared" si="46"/>
        <v>0.90245067073333785</v>
      </c>
      <c r="Y298" s="7">
        <f t="shared" si="47"/>
        <v>0.49396881570726414</v>
      </c>
      <c r="Z298" s="7">
        <f t="shared" si="48"/>
        <v>0.44717483878453679</v>
      </c>
      <c r="AA298" s="7">
        <f t="shared" si="49"/>
        <v>0.61453144174171292</v>
      </c>
    </row>
    <row r="299" spans="1:27" x14ac:dyDescent="0.25">
      <c r="A299" s="1" t="s">
        <v>1654</v>
      </c>
      <c r="B299" s="1" t="s">
        <v>861</v>
      </c>
      <c r="C299" s="1">
        <v>10</v>
      </c>
      <c r="D299" s="1">
        <v>9</v>
      </c>
      <c r="E299" s="1">
        <v>9</v>
      </c>
      <c r="F299" s="1">
        <v>10</v>
      </c>
      <c r="G299" s="1">
        <v>9</v>
      </c>
      <c r="H299" s="1">
        <v>9</v>
      </c>
      <c r="I299" s="1">
        <v>10</v>
      </c>
      <c r="J299" s="1">
        <v>10</v>
      </c>
      <c r="K299" s="1">
        <v>10</v>
      </c>
      <c r="L299" s="1">
        <v>9</v>
      </c>
      <c r="M299" s="1">
        <v>38</v>
      </c>
      <c r="N299" s="1">
        <v>38</v>
      </c>
      <c r="O299" s="1">
        <v>19</v>
      </c>
      <c r="P299" s="1">
        <v>95</v>
      </c>
      <c r="Q299" s="7">
        <v>0.52704627669472992</v>
      </c>
      <c r="R299" s="7">
        <f t="shared" si="40"/>
        <v>23.196700507614214</v>
      </c>
      <c r="S299" s="7">
        <f t="shared" si="41"/>
        <v>6.4306002317777482</v>
      </c>
      <c r="T299" s="7">
        <f t="shared" si="42"/>
        <v>22.771573604060915</v>
      </c>
      <c r="U299" s="7">
        <f t="shared" si="43"/>
        <v>6.5356886776680962</v>
      </c>
      <c r="V299" s="7">
        <f t="shared" si="44"/>
        <v>11.434010152284264</v>
      </c>
      <c r="W299" s="7">
        <f t="shared" si="45"/>
        <v>3.5019632409825281</v>
      </c>
      <c r="X299" s="7">
        <f t="shared" si="46"/>
        <v>2.3020089818728158</v>
      </c>
      <c r="Y299" s="7">
        <f t="shared" si="47"/>
        <v>2.3300415835248316</v>
      </c>
      <c r="Z299" s="7">
        <f t="shared" si="48"/>
        <v>2.1604995047272353</v>
      </c>
      <c r="AA299" s="7">
        <f t="shared" si="49"/>
        <v>2.2641833567082941</v>
      </c>
    </row>
    <row r="300" spans="1:27" x14ac:dyDescent="0.25">
      <c r="A300" s="1" t="s">
        <v>1654</v>
      </c>
      <c r="B300" s="1" t="s">
        <v>861</v>
      </c>
      <c r="C300" s="1">
        <v>7</v>
      </c>
      <c r="D300" s="1">
        <v>6</v>
      </c>
      <c r="E300" s="1">
        <v>7</v>
      </c>
      <c r="F300" s="1">
        <v>7</v>
      </c>
      <c r="G300" s="1">
        <v>8</v>
      </c>
      <c r="H300" s="1">
        <v>9</v>
      </c>
      <c r="I300" s="1">
        <v>8</v>
      </c>
      <c r="J300" s="1">
        <v>9</v>
      </c>
      <c r="K300" s="1">
        <v>9</v>
      </c>
      <c r="L300" s="1">
        <v>10</v>
      </c>
      <c r="M300" s="1">
        <v>27</v>
      </c>
      <c r="N300" s="1">
        <v>34</v>
      </c>
      <c r="O300" s="1">
        <v>19</v>
      </c>
      <c r="P300" s="1">
        <v>80</v>
      </c>
      <c r="Q300" s="7">
        <v>1.2472191289246475</v>
      </c>
      <c r="R300" s="7">
        <f t="shared" si="40"/>
        <v>23.196700507614214</v>
      </c>
      <c r="S300" s="7">
        <f t="shared" si="41"/>
        <v>6.4306002317777482</v>
      </c>
      <c r="T300" s="7">
        <f t="shared" si="42"/>
        <v>22.771573604060915</v>
      </c>
      <c r="U300" s="7">
        <f t="shared" si="43"/>
        <v>6.5356886776680962</v>
      </c>
      <c r="V300" s="7">
        <f t="shared" si="44"/>
        <v>11.434010152284264</v>
      </c>
      <c r="W300" s="7">
        <f t="shared" si="45"/>
        <v>3.5019632409825281</v>
      </c>
      <c r="X300" s="7">
        <f t="shared" si="46"/>
        <v>0.59143771270234269</v>
      </c>
      <c r="Y300" s="7">
        <f t="shared" si="47"/>
        <v>1.7180173275856425</v>
      </c>
      <c r="Z300" s="7">
        <f t="shared" si="48"/>
        <v>2.1604995047272353</v>
      </c>
      <c r="AA300" s="7">
        <f t="shared" si="49"/>
        <v>1.4899848483384066</v>
      </c>
    </row>
    <row r="301" spans="1:27" x14ac:dyDescent="0.25">
      <c r="A301" s="1" t="s">
        <v>1654</v>
      </c>
      <c r="B301" s="1" t="s">
        <v>861</v>
      </c>
      <c r="C301" s="1">
        <v>6</v>
      </c>
      <c r="D301" s="1">
        <v>5</v>
      </c>
      <c r="E301" s="1">
        <v>5</v>
      </c>
      <c r="F301" s="1">
        <v>4</v>
      </c>
      <c r="G301" s="1">
        <v>6</v>
      </c>
      <c r="H301" s="1">
        <v>6</v>
      </c>
      <c r="I301" s="1">
        <v>6</v>
      </c>
      <c r="J301" s="1">
        <v>5</v>
      </c>
      <c r="K301" s="1">
        <v>5</v>
      </c>
      <c r="L301" s="1">
        <v>5</v>
      </c>
      <c r="M301" s="1">
        <v>20</v>
      </c>
      <c r="N301" s="1">
        <v>23</v>
      </c>
      <c r="O301" s="1">
        <v>10</v>
      </c>
      <c r="P301" s="1">
        <v>53</v>
      </c>
      <c r="Q301" s="7">
        <v>0.67494855771055273</v>
      </c>
      <c r="R301" s="7">
        <f t="shared" si="40"/>
        <v>23.196700507614214</v>
      </c>
      <c r="S301" s="7">
        <f t="shared" si="41"/>
        <v>6.4306002317777482</v>
      </c>
      <c r="T301" s="7">
        <f t="shared" si="42"/>
        <v>22.771573604060915</v>
      </c>
      <c r="U301" s="7">
        <f t="shared" si="43"/>
        <v>6.5356886776680962</v>
      </c>
      <c r="V301" s="7">
        <f t="shared" si="44"/>
        <v>11.434010152284264</v>
      </c>
      <c r="W301" s="7">
        <f t="shared" si="45"/>
        <v>3.5019632409825281</v>
      </c>
      <c r="X301" s="7">
        <f t="shared" si="46"/>
        <v>-0.49710764040614003</v>
      </c>
      <c r="Y301" s="7">
        <f t="shared" si="47"/>
        <v>3.4950623752872265E-2</v>
      </c>
      <c r="Z301" s="7">
        <f t="shared" si="48"/>
        <v>-0.40948749418681252</v>
      </c>
      <c r="AA301" s="7">
        <f t="shared" si="49"/>
        <v>-0.29054817028002677</v>
      </c>
    </row>
    <row r="302" spans="1:27" x14ac:dyDescent="0.25">
      <c r="A302" s="1" t="s">
        <v>1654</v>
      </c>
      <c r="B302" s="1" t="s">
        <v>861</v>
      </c>
      <c r="C302" s="1">
        <v>7</v>
      </c>
      <c r="D302" s="1">
        <v>7</v>
      </c>
      <c r="E302" s="1">
        <v>7</v>
      </c>
      <c r="F302" s="1">
        <v>7</v>
      </c>
      <c r="G302" s="1">
        <v>7</v>
      </c>
      <c r="H302" s="1">
        <v>7</v>
      </c>
      <c r="I302" s="1">
        <v>7</v>
      </c>
      <c r="J302" s="1">
        <v>7</v>
      </c>
      <c r="K302" s="1">
        <v>7</v>
      </c>
      <c r="L302" s="1">
        <v>8</v>
      </c>
      <c r="M302" s="1">
        <v>28</v>
      </c>
      <c r="N302" s="1">
        <v>28</v>
      </c>
      <c r="O302" s="1">
        <v>15</v>
      </c>
      <c r="P302" s="1">
        <v>71</v>
      </c>
      <c r="Q302" s="7">
        <v>0.316227766016838</v>
      </c>
      <c r="R302" s="7">
        <f t="shared" si="40"/>
        <v>23.196700507614214</v>
      </c>
      <c r="S302" s="7">
        <f t="shared" si="41"/>
        <v>6.4306002317777482</v>
      </c>
      <c r="T302" s="7">
        <f t="shared" si="42"/>
        <v>22.771573604060915</v>
      </c>
      <c r="U302" s="7">
        <f t="shared" si="43"/>
        <v>6.5356886776680962</v>
      </c>
      <c r="V302" s="7">
        <f t="shared" si="44"/>
        <v>11.434010152284264</v>
      </c>
      <c r="W302" s="7">
        <f t="shared" si="45"/>
        <v>3.5019632409825281</v>
      </c>
      <c r="X302" s="7">
        <f t="shared" si="46"/>
        <v>0.74694419171784021</v>
      </c>
      <c r="Y302" s="7">
        <f t="shared" si="47"/>
        <v>0.79998094367685879</v>
      </c>
      <c r="Z302" s="7">
        <f t="shared" si="48"/>
        <v>1.0182830607654363</v>
      </c>
      <c r="AA302" s="7">
        <f t="shared" si="49"/>
        <v>0.85506939872004517</v>
      </c>
    </row>
    <row r="303" spans="1:27" x14ac:dyDescent="0.25">
      <c r="A303" s="1" t="s">
        <v>1654</v>
      </c>
      <c r="B303" s="1" t="s">
        <v>861</v>
      </c>
      <c r="C303" s="1">
        <v>8</v>
      </c>
      <c r="D303" s="1">
        <v>8</v>
      </c>
      <c r="E303" s="1">
        <v>8</v>
      </c>
      <c r="F303" s="1">
        <v>8</v>
      </c>
      <c r="G303" s="1">
        <v>8</v>
      </c>
      <c r="H303" s="1">
        <v>9</v>
      </c>
      <c r="I303" s="1">
        <v>8</v>
      </c>
      <c r="J303" s="1">
        <v>8</v>
      </c>
      <c r="K303" s="1">
        <v>9</v>
      </c>
      <c r="L303" s="1">
        <v>9</v>
      </c>
      <c r="M303" s="1">
        <v>32</v>
      </c>
      <c r="N303" s="1">
        <v>33</v>
      </c>
      <c r="O303" s="1">
        <v>18</v>
      </c>
      <c r="P303" s="1">
        <v>83</v>
      </c>
      <c r="Q303" s="7">
        <v>0.48304589153964822</v>
      </c>
      <c r="R303" s="7">
        <f t="shared" si="40"/>
        <v>23.196700507614214</v>
      </c>
      <c r="S303" s="7">
        <f t="shared" si="41"/>
        <v>6.4306002317777482</v>
      </c>
      <c r="T303" s="7">
        <f t="shared" si="42"/>
        <v>22.771573604060915</v>
      </c>
      <c r="U303" s="7">
        <f t="shared" si="43"/>
        <v>6.5356886776680962</v>
      </c>
      <c r="V303" s="7">
        <f t="shared" si="44"/>
        <v>11.434010152284264</v>
      </c>
      <c r="W303" s="7">
        <f t="shared" si="45"/>
        <v>3.5019632409825281</v>
      </c>
      <c r="X303" s="7">
        <f t="shared" si="46"/>
        <v>1.3689701077798304</v>
      </c>
      <c r="Y303" s="7">
        <f t="shared" si="47"/>
        <v>1.5650112636008453</v>
      </c>
      <c r="Z303" s="7">
        <f t="shared" si="48"/>
        <v>1.8749453937367857</v>
      </c>
      <c r="AA303" s="7">
        <f t="shared" si="49"/>
        <v>1.6029755883724872</v>
      </c>
    </row>
    <row r="304" spans="1:27" x14ac:dyDescent="0.25">
      <c r="A304" s="1" t="s">
        <v>1654</v>
      </c>
      <c r="B304" s="1" t="s">
        <v>861</v>
      </c>
      <c r="C304" s="1">
        <v>8</v>
      </c>
      <c r="D304" s="1">
        <v>9</v>
      </c>
      <c r="E304" s="1">
        <v>7</v>
      </c>
      <c r="F304" s="1">
        <v>8</v>
      </c>
      <c r="G304" s="1">
        <v>7</v>
      </c>
      <c r="H304" s="1">
        <v>9</v>
      </c>
      <c r="I304" s="1">
        <v>8</v>
      </c>
      <c r="J304" s="1">
        <v>7</v>
      </c>
      <c r="K304" s="1">
        <v>8</v>
      </c>
      <c r="L304" s="1">
        <v>8</v>
      </c>
      <c r="M304" s="1">
        <v>32</v>
      </c>
      <c r="N304" s="1">
        <v>31</v>
      </c>
      <c r="O304" s="1">
        <v>16</v>
      </c>
      <c r="P304" s="1">
        <v>79</v>
      </c>
      <c r="Q304" s="7">
        <v>0.73786478737262184</v>
      </c>
      <c r="R304" s="7">
        <f t="shared" si="40"/>
        <v>23.196700507614214</v>
      </c>
      <c r="S304" s="7">
        <f t="shared" si="41"/>
        <v>6.4306002317777482</v>
      </c>
      <c r="T304" s="7">
        <f t="shared" si="42"/>
        <v>22.771573604060915</v>
      </c>
      <c r="U304" s="7">
        <f t="shared" si="43"/>
        <v>6.5356886776680962</v>
      </c>
      <c r="V304" s="7">
        <f t="shared" si="44"/>
        <v>11.434010152284264</v>
      </c>
      <c r="W304" s="7">
        <f t="shared" si="45"/>
        <v>3.5019632409825281</v>
      </c>
      <c r="X304" s="7">
        <f t="shared" si="46"/>
        <v>1.3689701077798304</v>
      </c>
      <c r="Y304" s="7">
        <f t="shared" si="47"/>
        <v>1.2589991356312507</v>
      </c>
      <c r="Z304" s="7">
        <f t="shared" si="48"/>
        <v>1.3038371717558861</v>
      </c>
      <c r="AA304" s="7">
        <f t="shared" si="49"/>
        <v>1.310602138388989</v>
      </c>
    </row>
    <row r="305" spans="1:27" x14ac:dyDescent="0.25">
      <c r="A305" s="1" t="s">
        <v>1654</v>
      </c>
      <c r="B305" s="1" t="s">
        <v>861</v>
      </c>
      <c r="C305" s="1">
        <v>7</v>
      </c>
      <c r="D305" s="1">
        <v>7</v>
      </c>
      <c r="E305" s="1">
        <v>6</v>
      </c>
      <c r="F305" s="1">
        <v>7</v>
      </c>
      <c r="G305" s="1">
        <v>6</v>
      </c>
      <c r="H305" s="1">
        <v>7</v>
      </c>
      <c r="I305" s="1">
        <v>6</v>
      </c>
      <c r="J305" s="1">
        <v>6</v>
      </c>
      <c r="K305" s="1">
        <v>7</v>
      </c>
      <c r="L305" s="1">
        <v>8</v>
      </c>
      <c r="M305" s="1">
        <v>27</v>
      </c>
      <c r="N305" s="1">
        <v>25</v>
      </c>
      <c r="O305" s="1">
        <v>15</v>
      </c>
      <c r="P305" s="1">
        <v>67</v>
      </c>
      <c r="Q305" s="7">
        <v>0.67494855771055284</v>
      </c>
      <c r="R305" s="7">
        <f t="shared" si="40"/>
        <v>23.196700507614214</v>
      </c>
      <c r="S305" s="7">
        <f t="shared" si="41"/>
        <v>6.4306002317777482</v>
      </c>
      <c r="T305" s="7">
        <f t="shared" si="42"/>
        <v>22.771573604060915</v>
      </c>
      <c r="U305" s="7">
        <f t="shared" si="43"/>
        <v>6.5356886776680962</v>
      </c>
      <c r="V305" s="7">
        <f t="shared" si="44"/>
        <v>11.434010152284264</v>
      </c>
      <c r="W305" s="7">
        <f t="shared" si="45"/>
        <v>3.5019632409825281</v>
      </c>
      <c r="X305" s="7">
        <f t="shared" si="46"/>
        <v>0.59143771270234269</v>
      </c>
      <c r="Y305" s="7">
        <f t="shared" si="47"/>
        <v>0.34096275172246687</v>
      </c>
      <c r="Z305" s="7">
        <f t="shared" si="48"/>
        <v>1.0182830607654363</v>
      </c>
      <c r="AA305" s="7">
        <f t="shared" si="49"/>
        <v>0.65022784173008197</v>
      </c>
    </row>
    <row r="306" spans="1:27" x14ac:dyDescent="0.25">
      <c r="A306" s="1" t="s">
        <v>1654</v>
      </c>
      <c r="B306" s="1" t="s">
        <v>861</v>
      </c>
      <c r="C306" s="1">
        <v>7</v>
      </c>
      <c r="D306" s="1">
        <v>7</v>
      </c>
      <c r="E306" s="1">
        <v>7</v>
      </c>
      <c r="F306" s="1">
        <v>7</v>
      </c>
      <c r="G306" s="1">
        <v>7</v>
      </c>
      <c r="H306" s="1">
        <v>6</v>
      </c>
      <c r="I306" s="1">
        <v>6</v>
      </c>
      <c r="J306" s="1">
        <v>6</v>
      </c>
      <c r="K306" s="1">
        <v>6</v>
      </c>
      <c r="L306" s="1">
        <v>7</v>
      </c>
      <c r="M306" s="1">
        <v>28</v>
      </c>
      <c r="N306" s="1">
        <v>25</v>
      </c>
      <c r="O306" s="1">
        <v>13</v>
      </c>
      <c r="P306" s="1">
        <v>66</v>
      </c>
      <c r="Q306" s="7">
        <v>0.5163977794943222</v>
      </c>
      <c r="R306" s="7">
        <f t="shared" si="40"/>
        <v>23.196700507614214</v>
      </c>
      <c r="S306" s="7">
        <f t="shared" si="41"/>
        <v>6.4306002317777482</v>
      </c>
      <c r="T306" s="7">
        <f t="shared" si="42"/>
        <v>22.771573604060915</v>
      </c>
      <c r="U306" s="7">
        <f t="shared" si="43"/>
        <v>6.5356886776680962</v>
      </c>
      <c r="V306" s="7">
        <f t="shared" si="44"/>
        <v>11.434010152284264</v>
      </c>
      <c r="W306" s="7">
        <f t="shared" si="45"/>
        <v>3.5019632409825281</v>
      </c>
      <c r="X306" s="7">
        <f t="shared" si="46"/>
        <v>0.74694419171784021</v>
      </c>
      <c r="Y306" s="7">
        <f t="shared" si="47"/>
        <v>0.34096275172246687</v>
      </c>
      <c r="Z306" s="7">
        <f t="shared" si="48"/>
        <v>0.44717483878453679</v>
      </c>
      <c r="AA306" s="7">
        <f t="shared" si="49"/>
        <v>0.51169392740828135</v>
      </c>
    </row>
    <row r="307" spans="1:27" x14ac:dyDescent="0.25">
      <c r="A307" s="1" t="s">
        <v>1654</v>
      </c>
      <c r="B307" s="1" t="s">
        <v>861</v>
      </c>
      <c r="C307" s="1">
        <v>5</v>
      </c>
      <c r="D307" s="1">
        <v>5</v>
      </c>
      <c r="E307" s="1">
        <v>5</v>
      </c>
      <c r="F307" s="1">
        <v>5</v>
      </c>
      <c r="G307" s="1">
        <v>7</v>
      </c>
      <c r="H307" s="1">
        <v>6</v>
      </c>
      <c r="I307" s="1">
        <v>6</v>
      </c>
      <c r="J307" s="1">
        <v>5</v>
      </c>
      <c r="K307" s="1">
        <v>5</v>
      </c>
      <c r="L307" s="1">
        <v>5</v>
      </c>
      <c r="M307" s="1">
        <v>20</v>
      </c>
      <c r="N307" s="1">
        <v>24</v>
      </c>
      <c r="O307" s="1">
        <v>10</v>
      </c>
      <c r="P307" s="1">
        <v>54</v>
      </c>
      <c r="Q307" s="7">
        <v>0.69920589878010098</v>
      </c>
      <c r="R307" s="7">
        <f t="shared" si="40"/>
        <v>23.196700507614214</v>
      </c>
      <c r="S307" s="7">
        <f t="shared" si="41"/>
        <v>6.4306002317777482</v>
      </c>
      <c r="T307" s="7">
        <f t="shared" si="42"/>
        <v>22.771573604060915</v>
      </c>
      <c r="U307" s="7">
        <f t="shared" si="43"/>
        <v>6.5356886776680962</v>
      </c>
      <c r="V307" s="7">
        <f t="shared" si="44"/>
        <v>11.434010152284264</v>
      </c>
      <c r="W307" s="7">
        <f t="shared" si="45"/>
        <v>3.5019632409825281</v>
      </c>
      <c r="X307" s="7">
        <f t="shared" si="46"/>
        <v>-0.49710764040614003</v>
      </c>
      <c r="Y307" s="7">
        <f t="shared" si="47"/>
        <v>0.18795668773766958</v>
      </c>
      <c r="Z307" s="7">
        <f t="shared" si="48"/>
        <v>-0.40948749418681252</v>
      </c>
      <c r="AA307" s="7">
        <f t="shared" si="49"/>
        <v>-0.23954614895176099</v>
      </c>
    </row>
    <row r="308" spans="1:27" x14ac:dyDescent="0.25">
      <c r="A308" s="1" t="s">
        <v>1654</v>
      </c>
      <c r="B308" s="1" t="s">
        <v>861</v>
      </c>
      <c r="C308" s="1">
        <v>6</v>
      </c>
      <c r="D308" s="1">
        <v>5</v>
      </c>
      <c r="E308" s="1">
        <v>6</v>
      </c>
      <c r="F308" s="1">
        <v>6</v>
      </c>
      <c r="G308" s="1">
        <v>6</v>
      </c>
      <c r="H308" s="1">
        <v>6</v>
      </c>
      <c r="I308" s="1">
        <v>5</v>
      </c>
      <c r="J308" s="1">
        <v>5</v>
      </c>
      <c r="K308" s="1">
        <v>5</v>
      </c>
      <c r="L308" s="1">
        <v>5</v>
      </c>
      <c r="M308" s="1">
        <v>23</v>
      </c>
      <c r="N308" s="1">
        <v>22</v>
      </c>
      <c r="O308" s="1">
        <v>10</v>
      </c>
      <c r="P308" s="1">
        <v>55</v>
      </c>
      <c r="Q308" s="7">
        <v>0.52704627669472992</v>
      </c>
      <c r="R308" s="7">
        <f t="shared" si="40"/>
        <v>23.196700507614214</v>
      </c>
      <c r="S308" s="7">
        <f t="shared" si="41"/>
        <v>6.4306002317777482</v>
      </c>
      <c r="T308" s="7">
        <f t="shared" si="42"/>
        <v>22.771573604060915</v>
      </c>
      <c r="U308" s="7">
        <f t="shared" si="43"/>
        <v>6.5356886776680962</v>
      </c>
      <c r="V308" s="7">
        <f t="shared" si="44"/>
        <v>11.434010152284264</v>
      </c>
      <c r="W308" s="7">
        <f t="shared" si="45"/>
        <v>3.5019632409825281</v>
      </c>
      <c r="X308" s="7">
        <f t="shared" si="46"/>
        <v>-3.0588203359647428E-2</v>
      </c>
      <c r="Y308" s="7">
        <f t="shared" si="47"/>
        <v>-0.11805544023192505</v>
      </c>
      <c r="Z308" s="7">
        <f t="shared" si="48"/>
        <v>-0.40948749418681252</v>
      </c>
      <c r="AA308" s="7">
        <f t="shared" si="49"/>
        <v>-0.18604371259279498</v>
      </c>
    </row>
    <row r="309" spans="1:27" x14ac:dyDescent="0.25">
      <c r="A309" s="1" t="s">
        <v>1654</v>
      </c>
      <c r="B309" s="1" t="s">
        <v>861</v>
      </c>
      <c r="C309" s="1">
        <v>6</v>
      </c>
      <c r="D309" s="1">
        <v>5</v>
      </c>
      <c r="E309" s="1">
        <v>6</v>
      </c>
      <c r="F309" s="1">
        <v>6</v>
      </c>
      <c r="G309" s="1">
        <v>4</v>
      </c>
      <c r="H309" s="1">
        <v>3</v>
      </c>
      <c r="I309" s="1">
        <v>4</v>
      </c>
      <c r="J309" s="1">
        <v>4</v>
      </c>
      <c r="K309" s="1">
        <v>3</v>
      </c>
      <c r="L309" s="1">
        <v>5</v>
      </c>
      <c r="M309" s="1">
        <v>23</v>
      </c>
      <c r="N309" s="1">
        <v>15</v>
      </c>
      <c r="O309" s="1">
        <v>8</v>
      </c>
      <c r="P309" s="1">
        <v>46</v>
      </c>
      <c r="Q309" s="7">
        <v>1.1737877907772671</v>
      </c>
      <c r="R309" s="7">
        <f t="shared" si="40"/>
        <v>23.196700507614214</v>
      </c>
      <c r="S309" s="7">
        <f t="shared" si="41"/>
        <v>6.4306002317777482</v>
      </c>
      <c r="T309" s="7">
        <f t="shared" si="42"/>
        <v>22.771573604060915</v>
      </c>
      <c r="U309" s="7">
        <f t="shared" si="43"/>
        <v>6.5356886776680962</v>
      </c>
      <c r="V309" s="7">
        <f t="shared" si="44"/>
        <v>11.434010152284264</v>
      </c>
      <c r="W309" s="7">
        <f t="shared" si="45"/>
        <v>3.5019632409825281</v>
      </c>
      <c r="X309" s="7">
        <f t="shared" si="46"/>
        <v>-3.0588203359647428E-2</v>
      </c>
      <c r="Y309" s="7">
        <f t="shared" si="47"/>
        <v>-1.1890978881255061</v>
      </c>
      <c r="Z309" s="7">
        <f t="shared" si="48"/>
        <v>-0.98059571616771202</v>
      </c>
      <c r="AA309" s="7">
        <f t="shared" si="49"/>
        <v>-0.7334272692176218</v>
      </c>
    </row>
    <row r="310" spans="1:27" x14ac:dyDescent="0.25">
      <c r="A310" s="1" t="s">
        <v>1654</v>
      </c>
      <c r="B310" s="1" t="s">
        <v>861</v>
      </c>
      <c r="C310" s="1">
        <v>8</v>
      </c>
      <c r="D310" s="1">
        <v>7</v>
      </c>
      <c r="E310" s="1">
        <v>8</v>
      </c>
      <c r="F310" s="1">
        <v>8</v>
      </c>
      <c r="G310" s="1">
        <v>6</v>
      </c>
      <c r="H310" s="1">
        <v>6</v>
      </c>
      <c r="I310" s="1">
        <v>8</v>
      </c>
      <c r="J310" s="1">
        <v>9</v>
      </c>
      <c r="K310" s="1">
        <v>8</v>
      </c>
      <c r="L310" s="1">
        <v>9</v>
      </c>
      <c r="M310" s="1">
        <v>31</v>
      </c>
      <c r="N310" s="1">
        <v>29</v>
      </c>
      <c r="O310" s="1">
        <v>17</v>
      </c>
      <c r="P310" s="1">
        <v>77</v>
      </c>
      <c r="Q310" s="7">
        <v>1.0593499054713802</v>
      </c>
      <c r="R310" s="7">
        <f t="shared" si="40"/>
        <v>23.196700507614214</v>
      </c>
      <c r="S310" s="7">
        <f t="shared" si="41"/>
        <v>6.4306002317777482</v>
      </c>
      <c r="T310" s="7">
        <f t="shared" si="42"/>
        <v>22.771573604060915</v>
      </c>
      <c r="U310" s="7">
        <f t="shared" si="43"/>
        <v>6.5356886776680962</v>
      </c>
      <c r="V310" s="7">
        <f t="shared" si="44"/>
        <v>11.434010152284264</v>
      </c>
      <c r="W310" s="7">
        <f t="shared" si="45"/>
        <v>3.5019632409825281</v>
      </c>
      <c r="X310" s="7">
        <f t="shared" si="46"/>
        <v>1.2134636287643328</v>
      </c>
      <c r="Y310" s="7">
        <f t="shared" si="47"/>
        <v>0.95298700766165612</v>
      </c>
      <c r="Z310" s="7">
        <f t="shared" si="48"/>
        <v>1.5893912827463359</v>
      </c>
      <c r="AA310" s="7">
        <f t="shared" si="49"/>
        <v>1.2519473063907751</v>
      </c>
    </row>
    <row r="311" spans="1:27" x14ac:dyDescent="0.25">
      <c r="A311" s="1" t="s">
        <v>1654</v>
      </c>
      <c r="B311" s="1" t="s">
        <v>861</v>
      </c>
      <c r="C311" s="1">
        <v>9</v>
      </c>
      <c r="D311" s="1">
        <v>9</v>
      </c>
      <c r="E311" s="1">
        <v>8</v>
      </c>
      <c r="F311" s="1">
        <v>9</v>
      </c>
      <c r="G311" s="1">
        <v>9</v>
      </c>
      <c r="H311" s="1">
        <v>10</v>
      </c>
      <c r="I311" s="1">
        <v>10</v>
      </c>
      <c r="J311" s="1">
        <v>10</v>
      </c>
      <c r="K311" s="1">
        <v>9</v>
      </c>
      <c r="L311" s="1">
        <v>9</v>
      </c>
      <c r="M311" s="1">
        <v>35</v>
      </c>
      <c r="N311" s="1">
        <v>39</v>
      </c>
      <c r="O311" s="1">
        <v>18</v>
      </c>
      <c r="P311" s="1">
        <v>92</v>
      </c>
      <c r="Q311" s="7">
        <v>0.63245553203367577</v>
      </c>
      <c r="R311" s="7">
        <f t="shared" si="40"/>
        <v>23.196700507614214</v>
      </c>
      <c r="S311" s="7">
        <f t="shared" si="41"/>
        <v>6.4306002317777482</v>
      </c>
      <c r="T311" s="7">
        <f t="shared" si="42"/>
        <v>22.771573604060915</v>
      </c>
      <c r="U311" s="7">
        <f t="shared" si="43"/>
        <v>6.5356886776680962</v>
      </c>
      <c r="V311" s="7">
        <f t="shared" si="44"/>
        <v>11.434010152284264</v>
      </c>
      <c r="W311" s="7">
        <f t="shared" si="45"/>
        <v>3.5019632409825281</v>
      </c>
      <c r="X311" s="7">
        <f t="shared" si="46"/>
        <v>1.8354895448263231</v>
      </c>
      <c r="Y311" s="7">
        <f t="shared" si="47"/>
        <v>2.483047647509629</v>
      </c>
      <c r="Z311" s="7">
        <f t="shared" si="48"/>
        <v>1.8749453937367857</v>
      </c>
      <c r="AA311" s="7">
        <f t="shared" si="49"/>
        <v>2.0644941953575793</v>
      </c>
    </row>
    <row r="312" spans="1:27" x14ac:dyDescent="0.25">
      <c r="A312" s="1" t="s">
        <v>1654</v>
      </c>
      <c r="B312" s="1" t="s">
        <v>861</v>
      </c>
      <c r="C312" s="1">
        <v>9</v>
      </c>
      <c r="D312" s="1">
        <v>7</v>
      </c>
      <c r="E312" s="1">
        <v>8</v>
      </c>
      <c r="F312" s="1">
        <v>8</v>
      </c>
      <c r="G312" s="1">
        <v>7</v>
      </c>
      <c r="H312" s="1">
        <v>6</v>
      </c>
      <c r="I312" s="1">
        <v>7</v>
      </c>
      <c r="J312" s="1">
        <v>6</v>
      </c>
      <c r="K312" s="1">
        <v>8</v>
      </c>
      <c r="L312" s="1">
        <v>8</v>
      </c>
      <c r="M312" s="1">
        <v>32</v>
      </c>
      <c r="N312" s="1">
        <v>26</v>
      </c>
      <c r="O312" s="1">
        <v>16</v>
      </c>
      <c r="P312" s="1">
        <v>74</v>
      </c>
      <c r="Q312" s="7">
        <v>0.96609178307929588</v>
      </c>
      <c r="R312" s="7">
        <f t="shared" si="40"/>
        <v>23.196700507614214</v>
      </c>
      <c r="S312" s="7">
        <f t="shared" si="41"/>
        <v>6.4306002317777482</v>
      </c>
      <c r="T312" s="7">
        <f t="shared" si="42"/>
        <v>22.771573604060915</v>
      </c>
      <c r="U312" s="7">
        <f t="shared" si="43"/>
        <v>6.5356886776680962</v>
      </c>
      <c r="V312" s="7">
        <f t="shared" si="44"/>
        <v>11.434010152284264</v>
      </c>
      <c r="W312" s="7">
        <f t="shared" si="45"/>
        <v>3.5019632409825281</v>
      </c>
      <c r="X312" s="7">
        <f t="shared" si="46"/>
        <v>1.3689701077798304</v>
      </c>
      <c r="Y312" s="7">
        <f t="shared" si="47"/>
        <v>0.49396881570726414</v>
      </c>
      <c r="Z312" s="7">
        <f t="shared" si="48"/>
        <v>1.3038371717558861</v>
      </c>
      <c r="AA312" s="7">
        <f t="shared" si="49"/>
        <v>1.0555920317476601</v>
      </c>
    </row>
    <row r="313" spans="1:27" x14ac:dyDescent="0.25">
      <c r="A313" s="1" t="s">
        <v>1654</v>
      </c>
      <c r="B313" s="1" t="s">
        <v>861</v>
      </c>
      <c r="C313" s="1">
        <v>7</v>
      </c>
      <c r="D313" s="1">
        <v>7</v>
      </c>
      <c r="E313" s="1">
        <v>8</v>
      </c>
      <c r="F313" s="1">
        <v>7</v>
      </c>
      <c r="G313" s="1">
        <v>5</v>
      </c>
      <c r="H313" s="1">
        <v>5</v>
      </c>
      <c r="I313" s="1">
        <v>6</v>
      </c>
      <c r="J313" s="1">
        <v>6</v>
      </c>
      <c r="K313" s="1">
        <v>7</v>
      </c>
      <c r="L313" s="1">
        <v>8</v>
      </c>
      <c r="M313" s="1">
        <v>29</v>
      </c>
      <c r="N313" s="1">
        <v>22</v>
      </c>
      <c r="O313" s="1">
        <v>15</v>
      </c>
      <c r="P313" s="1">
        <v>66</v>
      </c>
      <c r="Q313" s="7">
        <v>1.0749676997731399</v>
      </c>
      <c r="R313" s="7">
        <f t="shared" si="40"/>
        <v>23.196700507614214</v>
      </c>
      <c r="S313" s="7">
        <f t="shared" si="41"/>
        <v>6.4306002317777482</v>
      </c>
      <c r="T313" s="7">
        <f t="shared" si="42"/>
        <v>22.771573604060915</v>
      </c>
      <c r="U313" s="7">
        <f t="shared" si="43"/>
        <v>6.5356886776680962</v>
      </c>
      <c r="V313" s="7">
        <f t="shared" si="44"/>
        <v>11.434010152284264</v>
      </c>
      <c r="W313" s="7">
        <f t="shared" si="45"/>
        <v>3.5019632409825281</v>
      </c>
      <c r="X313" s="7">
        <f t="shared" si="46"/>
        <v>0.90245067073333785</v>
      </c>
      <c r="Y313" s="7">
        <f t="shared" si="47"/>
        <v>-0.11805544023192505</v>
      </c>
      <c r="Z313" s="7">
        <f t="shared" si="48"/>
        <v>1.0182830607654363</v>
      </c>
      <c r="AA313" s="7">
        <f t="shared" si="49"/>
        <v>0.6008927637556164</v>
      </c>
    </row>
    <row r="314" spans="1:27" x14ac:dyDescent="0.25">
      <c r="A314" s="1" t="s">
        <v>1654</v>
      </c>
      <c r="B314" s="1" t="s">
        <v>861</v>
      </c>
      <c r="C314" s="1">
        <v>9</v>
      </c>
      <c r="D314" s="1">
        <v>8</v>
      </c>
      <c r="E314" s="1">
        <v>8</v>
      </c>
      <c r="F314" s="1">
        <v>9</v>
      </c>
      <c r="G314" s="1">
        <v>9</v>
      </c>
      <c r="H314" s="1">
        <v>9</v>
      </c>
      <c r="I314" s="1">
        <v>8</v>
      </c>
      <c r="J314" s="1">
        <v>8</v>
      </c>
      <c r="K314" s="1">
        <v>8</v>
      </c>
      <c r="L314" s="1">
        <v>8</v>
      </c>
      <c r="M314" s="1">
        <v>34</v>
      </c>
      <c r="N314" s="1">
        <v>34</v>
      </c>
      <c r="O314" s="1">
        <v>16</v>
      </c>
      <c r="P314" s="1">
        <v>84</v>
      </c>
      <c r="Q314" s="7">
        <v>0.51639777949432231</v>
      </c>
      <c r="R314" s="7">
        <f t="shared" si="40"/>
        <v>23.196700507614214</v>
      </c>
      <c r="S314" s="7">
        <f t="shared" si="41"/>
        <v>6.4306002317777482</v>
      </c>
      <c r="T314" s="7">
        <f t="shared" si="42"/>
        <v>22.771573604060915</v>
      </c>
      <c r="U314" s="7">
        <f t="shared" si="43"/>
        <v>6.5356886776680962</v>
      </c>
      <c r="V314" s="7">
        <f t="shared" si="44"/>
        <v>11.434010152284264</v>
      </c>
      <c r="W314" s="7">
        <f t="shared" si="45"/>
        <v>3.5019632409825281</v>
      </c>
      <c r="X314" s="7">
        <f t="shared" si="46"/>
        <v>1.6799830658108255</v>
      </c>
      <c r="Y314" s="7">
        <f t="shared" si="47"/>
        <v>1.7180173275856425</v>
      </c>
      <c r="Z314" s="7">
        <f t="shared" si="48"/>
        <v>1.3038371717558861</v>
      </c>
      <c r="AA314" s="7">
        <f t="shared" si="49"/>
        <v>1.5672791883841182</v>
      </c>
    </row>
    <row r="315" spans="1:27" x14ac:dyDescent="0.25">
      <c r="A315" s="1" t="s">
        <v>1670</v>
      </c>
      <c r="B315" s="1" t="s">
        <v>861</v>
      </c>
      <c r="C315" s="1">
        <v>6</v>
      </c>
      <c r="D315" s="1">
        <v>6</v>
      </c>
      <c r="E315" s="1">
        <v>7</v>
      </c>
      <c r="F315" s="1">
        <v>7</v>
      </c>
      <c r="G315" s="1">
        <v>6</v>
      </c>
      <c r="H315" s="1">
        <v>6</v>
      </c>
      <c r="I315" s="1">
        <v>5</v>
      </c>
      <c r="J315" s="1">
        <v>7</v>
      </c>
      <c r="K315" s="1">
        <v>6</v>
      </c>
      <c r="L315" s="1">
        <v>6</v>
      </c>
      <c r="M315" s="1">
        <v>26</v>
      </c>
      <c r="N315" s="1">
        <v>24</v>
      </c>
      <c r="O315" s="1">
        <v>12</v>
      </c>
      <c r="P315" s="1">
        <v>62</v>
      </c>
      <c r="Q315" s="7">
        <v>0.63245553203367599</v>
      </c>
      <c r="R315" s="7">
        <f t="shared" si="40"/>
        <v>23.196700507614214</v>
      </c>
      <c r="S315" s="7">
        <f t="shared" si="41"/>
        <v>6.4306002317777482</v>
      </c>
      <c r="T315" s="7">
        <f t="shared" si="42"/>
        <v>22.771573604060915</v>
      </c>
      <c r="U315" s="7">
        <f t="shared" si="43"/>
        <v>6.5356886776680962</v>
      </c>
      <c r="V315" s="7">
        <f t="shared" si="44"/>
        <v>11.434010152284264</v>
      </c>
      <c r="W315" s="7">
        <f t="shared" si="45"/>
        <v>3.5019632409825281</v>
      </c>
      <c r="X315" s="7">
        <f t="shared" si="46"/>
        <v>0.43593123368684517</v>
      </c>
      <c r="Y315" s="7">
        <f t="shared" si="47"/>
        <v>0.18795668773766958</v>
      </c>
      <c r="Z315" s="7">
        <f t="shared" si="48"/>
        <v>0.16162072779408701</v>
      </c>
      <c r="AA315" s="7">
        <f t="shared" si="49"/>
        <v>0.26183621640620058</v>
      </c>
    </row>
    <row r="316" spans="1:27" x14ac:dyDescent="0.25">
      <c r="A316" s="1" t="s">
        <v>1670</v>
      </c>
      <c r="B316" s="1" t="s">
        <v>861</v>
      </c>
      <c r="C316" s="1">
        <v>7</v>
      </c>
      <c r="D316" s="1">
        <v>4</v>
      </c>
      <c r="E316" s="1">
        <v>4</v>
      </c>
      <c r="F316" s="1">
        <v>5</v>
      </c>
      <c r="G316" s="1">
        <v>4</v>
      </c>
      <c r="H316" s="1">
        <v>4</v>
      </c>
      <c r="I316" s="1">
        <v>5</v>
      </c>
      <c r="J316" s="1">
        <v>3</v>
      </c>
      <c r="K316" s="1">
        <v>3</v>
      </c>
      <c r="L316" s="1">
        <v>3</v>
      </c>
      <c r="M316" s="1">
        <v>20</v>
      </c>
      <c r="N316" s="1">
        <v>16</v>
      </c>
      <c r="O316" s="1">
        <v>6</v>
      </c>
      <c r="P316" s="1">
        <v>42</v>
      </c>
      <c r="Q316" s="7">
        <v>1.2292725943057179</v>
      </c>
      <c r="R316" s="7">
        <f t="shared" si="40"/>
        <v>23.196700507614214</v>
      </c>
      <c r="S316" s="7">
        <f t="shared" si="41"/>
        <v>6.4306002317777482</v>
      </c>
      <c r="T316" s="7">
        <f t="shared" si="42"/>
        <v>22.771573604060915</v>
      </c>
      <c r="U316" s="7">
        <f t="shared" si="43"/>
        <v>6.5356886776680962</v>
      </c>
      <c r="V316" s="7">
        <f t="shared" si="44"/>
        <v>11.434010152284264</v>
      </c>
      <c r="W316" s="7">
        <f t="shared" si="45"/>
        <v>3.5019632409825281</v>
      </c>
      <c r="X316" s="7">
        <f t="shared" si="46"/>
        <v>-0.49710764040614003</v>
      </c>
      <c r="Y316" s="7">
        <f t="shared" si="47"/>
        <v>-1.0360918241407089</v>
      </c>
      <c r="Z316" s="7">
        <f t="shared" si="48"/>
        <v>-1.5517039381486115</v>
      </c>
      <c r="AA316" s="7">
        <f t="shared" si="49"/>
        <v>-1.0283011342318202</v>
      </c>
    </row>
    <row r="317" spans="1:27" x14ac:dyDescent="0.25">
      <c r="A317" s="1" t="s">
        <v>1670</v>
      </c>
      <c r="B317" s="1" t="s">
        <v>861</v>
      </c>
      <c r="C317" s="1">
        <v>7</v>
      </c>
      <c r="D317" s="1">
        <v>6</v>
      </c>
      <c r="E317" s="1">
        <v>7</v>
      </c>
      <c r="F317" s="1">
        <v>7</v>
      </c>
      <c r="G317" s="1">
        <v>8</v>
      </c>
      <c r="H317" s="1">
        <v>8</v>
      </c>
      <c r="I317" s="1">
        <v>6</v>
      </c>
      <c r="J317" s="1">
        <v>6</v>
      </c>
      <c r="K317" s="1">
        <v>7</v>
      </c>
      <c r="L317" s="1">
        <v>5</v>
      </c>
      <c r="M317" s="1">
        <v>27</v>
      </c>
      <c r="N317" s="1">
        <v>28</v>
      </c>
      <c r="O317" s="1">
        <v>12</v>
      </c>
      <c r="P317" s="1">
        <v>67</v>
      </c>
      <c r="Q317" s="7">
        <v>0.94868329805051388</v>
      </c>
      <c r="R317" s="7">
        <f t="shared" si="40"/>
        <v>23.196700507614214</v>
      </c>
      <c r="S317" s="7">
        <f t="shared" si="41"/>
        <v>6.4306002317777482</v>
      </c>
      <c r="T317" s="7">
        <f t="shared" si="42"/>
        <v>22.771573604060915</v>
      </c>
      <c r="U317" s="7">
        <f t="shared" si="43"/>
        <v>6.5356886776680962</v>
      </c>
      <c r="V317" s="7">
        <f t="shared" si="44"/>
        <v>11.434010152284264</v>
      </c>
      <c r="W317" s="7">
        <f t="shared" si="45"/>
        <v>3.5019632409825281</v>
      </c>
      <c r="X317" s="7">
        <f t="shared" si="46"/>
        <v>0.59143771270234269</v>
      </c>
      <c r="Y317" s="7">
        <f t="shared" si="47"/>
        <v>0.79998094367685879</v>
      </c>
      <c r="Z317" s="7">
        <f t="shared" si="48"/>
        <v>0.16162072779408701</v>
      </c>
      <c r="AA317" s="7">
        <f t="shared" si="49"/>
        <v>0.51767979472442949</v>
      </c>
    </row>
    <row r="318" spans="1:27" x14ac:dyDescent="0.25">
      <c r="A318" s="1" t="s">
        <v>1670</v>
      </c>
      <c r="B318" s="1" t="s">
        <v>861</v>
      </c>
      <c r="C318" s="1">
        <v>7</v>
      </c>
      <c r="D318" s="1">
        <v>7</v>
      </c>
      <c r="E318" s="1">
        <v>7</v>
      </c>
      <c r="F318" s="1">
        <v>6</v>
      </c>
      <c r="G318" s="1">
        <v>6</v>
      </c>
      <c r="H318" s="1">
        <v>6</v>
      </c>
      <c r="I318" s="1">
        <v>6</v>
      </c>
      <c r="J318" s="1">
        <v>6</v>
      </c>
      <c r="K318" s="1">
        <v>7</v>
      </c>
      <c r="L318" s="1">
        <v>5</v>
      </c>
      <c r="M318" s="1">
        <v>27</v>
      </c>
      <c r="N318" s="1">
        <v>24</v>
      </c>
      <c r="O318" s="1">
        <v>12</v>
      </c>
      <c r="P318" s="1">
        <v>63</v>
      </c>
      <c r="Q318" s="7">
        <v>0.67494855771055284</v>
      </c>
      <c r="R318" s="7">
        <f t="shared" si="40"/>
        <v>23.196700507614214</v>
      </c>
      <c r="S318" s="7">
        <f t="shared" si="41"/>
        <v>6.4306002317777482</v>
      </c>
      <c r="T318" s="7">
        <f t="shared" si="42"/>
        <v>22.771573604060915</v>
      </c>
      <c r="U318" s="7">
        <f t="shared" si="43"/>
        <v>6.5356886776680962</v>
      </c>
      <c r="V318" s="7">
        <f t="shared" si="44"/>
        <v>11.434010152284264</v>
      </c>
      <c r="W318" s="7">
        <f t="shared" si="45"/>
        <v>3.5019632409825281</v>
      </c>
      <c r="X318" s="7">
        <f t="shared" si="46"/>
        <v>0.59143771270234269</v>
      </c>
      <c r="Y318" s="7">
        <f t="shared" si="47"/>
        <v>0.18795668773766958</v>
      </c>
      <c r="Z318" s="7">
        <f t="shared" si="48"/>
        <v>0.16162072779408701</v>
      </c>
      <c r="AA318" s="7">
        <f t="shared" si="49"/>
        <v>0.31367170941136641</v>
      </c>
    </row>
    <row r="319" spans="1:27" x14ac:dyDescent="0.25">
      <c r="A319" s="1" t="s">
        <v>1670</v>
      </c>
      <c r="B319" s="1" t="s">
        <v>861</v>
      </c>
      <c r="C319" s="1">
        <v>5</v>
      </c>
      <c r="D319" s="1">
        <v>5</v>
      </c>
      <c r="E319" s="1">
        <v>5</v>
      </c>
      <c r="F319" s="1">
        <v>5</v>
      </c>
      <c r="G319" s="1">
        <v>5</v>
      </c>
      <c r="H319" s="1">
        <v>6</v>
      </c>
      <c r="I319" s="1">
        <v>7</v>
      </c>
      <c r="J319" s="1">
        <v>7</v>
      </c>
      <c r="K319" s="1">
        <v>7</v>
      </c>
      <c r="L319" s="1">
        <v>5</v>
      </c>
      <c r="M319" s="1">
        <v>20</v>
      </c>
      <c r="N319" s="1">
        <v>25</v>
      </c>
      <c r="O319" s="1">
        <v>12</v>
      </c>
      <c r="P319" s="1">
        <v>57</v>
      </c>
      <c r="Q319" s="7">
        <v>0.94868329805051366</v>
      </c>
      <c r="R319" s="7">
        <f t="shared" si="40"/>
        <v>23.196700507614214</v>
      </c>
      <c r="S319" s="7">
        <f t="shared" si="41"/>
        <v>6.4306002317777482</v>
      </c>
      <c r="T319" s="7">
        <f t="shared" si="42"/>
        <v>22.771573604060915</v>
      </c>
      <c r="U319" s="7">
        <f t="shared" si="43"/>
        <v>6.5356886776680962</v>
      </c>
      <c r="V319" s="7">
        <f t="shared" si="44"/>
        <v>11.434010152284264</v>
      </c>
      <c r="W319" s="7">
        <f t="shared" si="45"/>
        <v>3.5019632409825281</v>
      </c>
      <c r="X319" s="7">
        <f t="shared" si="46"/>
        <v>-0.49710764040614003</v>
      </c>
      <c r="Y319" s="7">
        <f t="shared" si="47"/>
        <v>0.34096275172246687</v>
      </c>
      <c r="Z319" s="7">
        <f t="shared" si="48"/>
        <v>0.16162072779408701</v>
      </c>
      <c r="AA319" s="7">
        <f t="shared" si="49"/>
        <v>1.8252797034712849E-3</v>
      </c>
    </row>
    <row r="320" spans="1:27" x14ac:dyDescent="0.25">
      <c r="A320" s="1" t="s">
        <v>1670</v>
      </c>
      <c r="B320" s="1" t="s">
        <v>861</v>
      </c>
      <c r="C320" s="1">
        <v>2</v>
      </c>
      <c r="D320" s="1">
        <v>3</v>
      </c>
      <c r="E320" s="1">
        <v>3</v>
      </c>
      <c r="F320" s="1">
        <v>3</v>
      </c>
      <c r="G320" s="1">
        <v>3</v>
      </c>
      <c r="H320" s="1">
        <v>2</v>
      </c>
      <c r="I320" s="1">
        <v>2</v>
      </c>
      <c r="J320" s="1">
        <v>4</v>
      </c>
      <c r="K320" s="1">
        <v>3</v>
      </c>
      <c r="L320" s="1">
        <v>4</v>
      </c>
      <c r="M320" s="1">
        <v>11</v>
      </c>
      <c r="N320" s="1">
        <v>11</v>
      </c>
      <c r="O320" s="1">
        <v>7</v>
      </c>
      <c r="P320" s="1">
        <v>29</v>
      </c>
      <c r="Q320" s="7">
        <v>0.73786478737262184</v>
      </c>
      <c r="R320" s="7">
        <f t="shared" si="40"/>
        <v>23.196700507614214</v>
      </c>
      <c r="S320" s="7">
        <f t="shared" si="41"/>
        <v>6.4306002317777482</v>
      </c>
      <c r="T320" s="7">
        <f t="shared" si="42"/>
        <v>22.771573604060915</v>
      </c>
      <c r="U320" s="7">
        <f t="shared" si="43"/>
        <v>6.5356886776680962</v>
      </c>
      <c r="V320" s="7">
        <f t="shared" si="44"/>
        <v>11.434010152284264</v>
      </c>
      <c r="W320" s="7">
        <f t="shared" si="45"/>
        <v>3.5019632409825281</v>
      </c>
      <c r="X320" s="7">
        <f t="shared" si="46"/>
        <v>-1.8966659515456179</v>
      </c>
      <c r="Y320" s="7">
        <f t="shared" si="47"/>
        <v>-1.8011221440646954</v>
      </c>
      <c r="Z320" s="7">
        <f t="shared" si="48"/>
        <v>-1.2661498271581617</v>
      </c>
      <c r="AA320" s="7">
        <f t="shared" si="49"/>
        <v>-1.6546459742561586</v>
      </c>
    </row>
    <row r="321" spans="1:27" x14ac:dyDescent="0.25">
      <c r="A321" s="1" t="s">
        <v>1670</v>
      </c>
      <c r="B321" s="1" t="s">
        <v>861</v>
      </c>
      <c r="C321" s="1">
        <v>6</v>
      </c>
      <c r="D321" s="1">
        <v>4</v>
      </c>
      <c r="E321" s="1">
        <v>7</v>
      </c>
      <c r="F321" s="1">
        <v>6</v>
      </c>
      <c r="G321" s="1">
        <v>8</v>
      </c>
      <c r="H321" s="1">
        <v>7</v>
      </c>
      <c r="I321" s="1">
        <v>7</v>
      </c>
      <c r="J321" s="1">
        <v>6</v>
      </c>
      <c r="K321" s="1">
        <v>7</v>
      </c>
      <c r="L321" s="1">
        <v>7</v>
      </c>
      <c r="M321" s="1">
        <v>23</v>
      </c>
      <c r="N321" s="1">
        <v>28</v>
      </c>
      <c r="O321" s="1">
        <v>14</v>
      </c>
      <c r="P321" s="1">
        <v>65</v>
      </c>
      <c r="Q321" s="7">
        <v>1.0801234497346432</v>
      </c>
      <c r="R321" s="7">
        <f t="shared" si="40"/>
        <v>23.196700507614214</v>
      </c>
      <c r="S321" s="7">
        <f t="shared" si="41"/>
        <v>6.4306002317777482</v>
      </c>
      <c r="T321" s="7">
        <f t="shared" si="42"/>
        <v>22.771573604060915</v>
      </c>
      <c r="U321" s="7">
        <f t="shared" si="43"/>
        <v>6.5356886776680962</v>
      </c>
      <c r="V321" s="7">
        <f t="shared" si="44"/>
        <v>11.434010152284264</v>
      </c>
      <c r="W321" s="7">
        <f t="shared" si="45"/>
        <v>3.5019632409825281</v>
      </c>
      <c r="X321" s="7">
        <f t="shared" si="46"/>
        <v>-3.0588203359647428E-2</v>
      </c>
      <c r="Y321" s="7">
        <f t="shared" si="47"/>
        <v>0.79998094367685879</v>
      </c>
      <c r="Z321" s="7">
        <f t="shared" si="48"/>
        <v>0.73272894977498659</v>
      </c>
      <c r="AA321" s="7">
        <f t="shared" si="49"/>
        <v>0.50070723003073259</v>
      </c>
    </row>
    <row r="322" spans="1:27" x14ac:dyDescent="0.25">
      <c r="A322" s="1" t="s">
        <v>1670</v>
      </c>
      <c r="B322" s="1" t="s">
        <v>861</v>
      </c>
      <c r="C322" s="1">
        <v>8</v>
      </c>
      <c r="D322" s="1">
        <v>9</v>
      </c>
      <c r="E322" s="1">
        <v>8</v>
      </c>
      <c r="F322" s="1">
        <v>9</v>
      </c>
      <c r="G322" s="1">
        <v>8</v>
      </c>
      <c r="H322" s="1">
        <v>9</v>
      </c>
      <c r="I322" s="1">
        <v>9</v>
      </c>
      <c r="J322" s="1">
        <v>9</v>
      </c>
      <c r="K322" s="1">
        <v>9</v>
      </c>
      <c r="L322" s="1">
        <v>7</v>
      </c>
      <c r="M322" s="1">
        <v>34</v>
      </c>
      <c r="N322" s="1">
        <v>35</v>
      </c>
      <c r="O322" s="1">
        <v>16</v>
      </c>
      <c r="P322" s="1">
        <v>85</v>
      </c>
      <c r="Q322" s="7">
        <v>0.70710678118654757</v>
      </c>
      <c r="R322" s="7">
        <f t="shared" si="40"/>
        <v>23.196700507614214</v>
      </c>
      <c r="S322" s="7">
        <f t="shared" si="41"/>
        <v>6.4306002317777482</v>
      </c>
      <c r="T322" s="7">
        <f t="shared" si="42"/>
        <v>22.771573604060915</v>
      </c>
      <c r="U322" s="7">
        <f t="shared" si="43"/>
        <v>6.5356886776680962</v>
      </c>
      <c r="V322" s="7">
        <f t="shared" si="44"/>
        <v>11.434010152284264</v>
      </c>
      <c r="W322" s="7">
        <f t="shared" si="45"/>
        <v>3.5019632409825281</v>
      </c>
      <c r="X322" s="7">
        <f t="shared" si="46"/>
        <v>1.6799830658108255</v>
      </c>
      <c r="Y322" s="7">
        <f t="shared" si="47"/>
        <v>1.87102339157044</v>
      </c>
      <c r="Z322" s="7">
        <f t="shared" si="48"/>
        <v>1.3038371717558861</v>
      </c>
      <c r="AA322" s="7">
        <f t="shared" si="49"/>
        <v>1.618281209712384</v>
      </c>
    </row>
    <row r="323" spans="1:27" x14ac:dyDescent="0.25">
      <c r="A323" s="1" t="s">
        <v>1670</v>
      </c>
      <c r="B323" s="1" t="s">
        <v>861</v>
      </c>
      <c r="C323" s="1">
        <v>9</v>
      </c>
      <c r="D323" s="1">
        <v>9</v>
      </c>
      <c r="E323" s="1">
        <v>8</v>
      </c>
      <c r="F323" s="1">
        <v>9</v>
      </c>
      <c r="G323" s="1">
        <v>6</v>
      </c>
      <c r="H323" s="1">
        <v>8</v>
      </c>
      <c r="I323" s="1">
        <v>8</v>
      </c>
      <c r="J323" s="1">
        <v>8</v>
      </c>
      <c r="K323" s="1">
        <v>8</v>
      </c>
      <c r="L323" s="1">
        <v>9</v>
      </c>
      <c r="M323" s="1">
        <v>35</v>
      </c>
      <c r="N323" s="1">
        <v>30</v>
      </c>
      <c r="O323" s="1">
        <v>17</v>
      </c>
      <c r="P323" s="1">
        <v>82</v>
      </c>
      <c r="Q323" s="7">
        <v>0.91893658347268137</v>
      </c>
      <c r="R323" s="7">
        <f t="shared" ref="R323:R386" si="50">AVERAGE(M:M)</f>
        <v>23.196700507614214</v>
      </c>
      <c r="S323" s="7">
        <f t="shared" ref="S323:S386" si="51">_xlfn.STDEV.S(M:M)</f>
        <v>6.4306002317777482</v>
      </c>
      <c r="T323" s="7">
        <f t="shared" ref="T323:T386" si="52">AVERAGE(N:N)</f>
        <v>22.771573604060915</v>
      </c>
      <c r="U323" s="7">
        <f t="shared" ref="U323:U386" si="53">_xlfn.STDEV.S(N:N)</f>
        <v>6.5356886776680962</v>
      </c>
      <c r="V323" s="7">
        <f t="shared" ref="V323:V386" si="54">AVERAGE(O:O)</f>
        <v>11.434010152284264</v>
      </c>
      <c r="W323" s="7">
        <f t="shared" ref="W323:W386" si="55">_xlfn.STDEV.S(O:O)</f>
        <v>3.5019632409825281</v>
      </c>
      <c r="X323" s="7">
        <f t="shared" ref="X323:X386" si="56">STANDARDIZE(M323,R323,S323)</f>
        <v>1.8354895448263231</v>
      </c>
      <c r="Y323" s="7">
        <f t="shared" ref="Y323:Y386" si="57">STANDARDIZE(N323,T323,U323)</f>
        <v>1.1059930716464534</v>
      </c>
      <c r="Z323" s="7">
        <f t="shared" ref="Z323:Z386" si="58">STANDARDIZE(O323,V323,W323)</f>
        <v>1.5893912827463359</v>
      </c>
      <c r="AA323" s="7">
        <f t="shared" ref="AA323:AA386" si="59">AVERAGE(X323:Z323)</f>
        <v>1.510291299739704</v>
      </c>
    </row>
    <row r="324" spans="1:27" x14ac:dyDescent="0.25">
      <c r="A324" s="1" t="s">
        <v>1670</v>
      </c>
      <c r="B324" s="1" t="s">
        <v>861</v>
      </c>
      <c r="C324" s="1">
        <v>9</v>
      </c>
      <c r="D324" s="1">
        <v>10</v>
      </c>
      <c r="E324" s="1">
        <v>10</v>
      </c>
      <c r="F324" s="1">
        <v>10</v>
      </c>
      <c r="G324" s="1">
        <v>8</v>
      </c>
      <c r="H324" s="1">
        <v>10</v>
      </c>
      <c r="I324" s="1">
        <v>8</v>
      </c>
      <c r="J324" s="1">
        <v>9</v>
      </c>
      <c r="K324" s="1">
        <v>9</v>
      </c>
      <c r="L324" s="1">
        <v>9</v>
      </c>
      <c r="M324" s="1">
        <v>39</v>
      </c>
      <c r="N324" s="1">
        <v>35</v>
      </c>
      <c r="O324" s="1">
        <v>18</v>
      </c>
      <c r="P324" s="1">
        <v>92</v>
      </c>
      <c r="Q324" s="7">
        <v>0.78881063774661553</v>
      </c>
      <c r="R324" s="7">
        <f t="shared" si="50"/>
        <v>23.196700507614214</v>
      </c>
      <c r="S324" s="7">
        <f t="shared" si="51"/>
        <v>6.4306002317777482</v>
      </c>
      <c r="T324" s="7">
        <f t="shared" si="52"/>
        <v>22.771573604060915</v>
      </c>
      <c r="U324" s="7">
        <f t="shared" si="53"/>
        <v>6.5356886776680962</v>
      </c>
      <c r="V324" s="7">
        <f t="shared" si="54"/>
        <v>11.434010152284264</v>
      </c>
      <c r="W324" s="7">
        <f t="shared" si="55"/>
        <v>3.5019632409825281</v>
      </c>
      <c r="X324" s="7">
        <f t="shared" si="56"/>
        <v>2.4575154608883132</v>
      </c>
      <c r="Y324" s="7">
        <f t="shared" si="57"/>
        <v>1.87102339157044</v>
      </c>
      <c r="Z324" s="7">
        <f t="shared" si="58"/>
        <v>1.8749453937367857</v>
      </c>
      <c r="AA324" s="7">
        <f t="shared" si="59"/>
        <v>2.0678280820651795</v>
      </c>
    </row>
    <row r="325" spans="1:27" x14ac:dyDescent="0.25">
      <c r="A325" s="1" t="s">
        <v>1670</v>
      </c>
      <c r="B325" s="1" t="s">
        <v>861</v>
      </c>
      <c r="C325" s="1">
        <v>7</v>
      </c>
      <c r="D325" s="1">
        <v>7</v>
      </c>
      <c r="E325" s="1">
        <v>7</v>
      </c>
      <c r="F325" s="1">
        <v>7</v>
      </c>
      <c r="G325" s="1">
        <v>8</v>
      </c>
      <c r="H325" s="1">
        <v>8</v>
      </c>
      <c r="I325" s="1">
        <v>9</v>
      </c>
      <c r="J325" s="1">
        <v>8</v>
      </c>
      <c r="K325" s="1">
        <v>8</v>
      </c>
      <c r="L325" s="1">
        <v>8</v>
      </c>
      <c r="M325" s="1">
        <v>28</v>
      </c>
      <c r="N325" s="1">
        <v>33</v>
      </c>
      <c r="O325" s="1">
        <v>16</v>
      </c>
      <c r="P325" s="1">
        <v>77</v>
      </c>
      <c r="Q325" s="7">
        <v>0.67494855771055251</v>
      </c>
      <c r="R325" s="7">
        <f t="shared" si="50"/>
        <v>23.196700507614214</v>
      </c>
      <c r="S325" s="7">
        <f t="shared" si="51"/>
        <v>6.4306002317777482</v>
      </c>
      <c r="T325" s="7">
        <f t="shared" si="52"/>
        <v>22.771573604060915</v>
      </c>
      <c r="U325" s="7">
        <f t="shared" si="53"/>
        <v>6.5356886776680962</v>
      </c>
      <c r="V325" s="7">
        <f t="shared" si="54"/>
        <v>11.434010152284264</v>
      </c>
      <c r="W325" s="7">
        <f t="shared" si="55"/>
        <v>3.5019632409825281</v>
      </c>
      <c r="X325" s="7">
        <f t="shared" si="56"/>
        <v>0.74694419171784021</v>
      </c>
      <c r="Y325" s="7">
        <f t="shared" si="57"/>
        <v>1.5650112636008453</v>
      </c>
      <c r="Z325" s="7">
        <f t="shared" si="58"/>
        <v>1.3038371717558861</v>
      </c>
      <c r="AA325" s="7">
        <f t="shared" si="59"/>
        <v>1.2052642090248573</v>
      </c>
    </row>
    <row r="326" spans="1:27" x14ac:dyDescent="0.25">
      <c r="A326" s="1" t="s">
        <v>1670</v>
      </c>
      <c r="B326" s="1" t="s">
        <v>861</v>
      </c>
      <c r="C326" s="1">
        <v>8</v>
      </c>
      <c r="D326" s="1">
        <v>8</v>
      </c>
      <c r="E326" s="1">
        <v>7</v>
      </c>
      <c r="F326" s="1">
        <v>7</v>
      </c>
      <c r="G326" s="1">
        <v>8</v>
      </c>
      <c r="H326" s="1">
        <v>8</v>
      </c>
      <c r="I326" s="1">
        <v>7</v>
      </c>
      <c r="J326" s="1">
        <v>8</v>
      </c>
      <c r="K326" s="1">
        <v>7</v>
      </c>
      <c r="L326" s="1">
        <v>6</v>
      </c>
      <c r="M326" s="1">
        <v>30</v>
      </c>
      <c r="N326" s="1">
        <v>31</v>
      </c>
      <c r="O326" s="1">
        <v>13</v>
      </c>
      <c r="P326" s="1">
        <v>74</v>
      </c>
      <c r="Q326" s="7">
        <v>0.69920589878010098</v>
      </c>
      <c r="R326" s="7">
        <f t="shared" si="50"/>
        <v>23.196700507614214</v>
      </c>
      <c r="S326" s="7">
        <f t="shared" si="51"/>
        <v>6.4306002317777482</v>
      </c>
      <c r="T326" s="7">
        <f t="shared" si="52"/>
        <v>22.771573604060915</v>
      </c>
      <c r="U326" s="7">
        <f t="shared" si="53"/>
        <v>6.5356886776680962</v>
      </c>
      <c r="V326" s="7">
        <f t="shared" si="54"/>
        <v>11.434010152284264</v>
      </c>
      <c r="W326" s="7">
        <f t="shared" si="55"/>
        <v>3.5019632409825281</v>
      </c>
      <c r="X326" s="7">
        <f t="shared" si="56"/>
        <v>1.0579571497488354</v>
      </c>
      <c r="Y326" s="7">
        <f t="shared" si="57"/>
        <v>1.2589991356312507</v>
      </c>
      <c r="Z326" s="7">
        <f t="shared" si="58"/>
        <v>0.44717483878453679</v>
      </c>
      <c r="AA326" s="7">
        <f t="shared" si="59"/>
        <v>0.92137704138820764</v>
      </c>
    </row>
    <row r="327" spans="1:27" x14ac:dyDescent="0.25">
      <c r="A327" s="1" t="s">
        <v>1670</v>
      </c>
      <c r="B327" s="1" t="s">
        <v>861</v>
      </c>
      <c r="C327" s="1">
        <v>9</v>
      </c>
      <c r="D327" s="1">
        <v>10</v>
      </c>
      <c r="E327" s="1">
        <v>10</v>
      </c>
      <c r="F327" s="1">
        <v>10</v>
      </c>
      <c r="G327" s="1">
        <v>9</v>
      </c>
      <c r="H327" s="1">
        <v>10</v>
      </c>
      <c r="I327" s="1">
        <v>10</v>
      </c>
      <c r="J327" s="1">
        <v>9</v>
      </c>
      <c r="K327" s="1">
        <v>9</v>
      </c>
      <c r="L327" s="1">
        <v>7</v>
      </c>
      <c r="M327" s="1">
        <v>39</v>
      </c>
      <c r="N327" s="1">
        <v>38</v>
      </c>
      <c r="O327" s="1">
        <v>16</v>
      </c>
      <c r="P327" s="1">
        <v>93</v>
      </c>
      <c r="Q327" s="7">
        <v>0.94868329805051388</v>
      </c>
      <c r="R327" s="7">
        <f t="shared" si="50"/>
        <v>23.196700507614214</v>
      </c>
      <c r="S327" s="7">
        <f t="shared" si="51"/>
        <v>6.4306002317777482</v>
      </c>
      <c r="T327" s="7">
        <f t="shared" si="52"/>
        <v>22.771573604060915</v>
      </c>
      <c r="U327" s="7">
        <f t="shared" si="53"/>
        <v>6.5356886776680962</v>
      </c>
      <c r="V327" s="7">
        <f t="shared" si="54"/>
        <v>11.434010152284264</v>
      </c>
      <c r="W327" s="7">
        <f t="shared" si="55"/>
        <v>3.5019632409825281</v>
      </c>
      <c r="X327" s="7">
        <f t="shared" si="56"/>
        <v>2.4575154608883132</v>
      </c>
      <c r="Y327" s="7">
        <f t="shared" si="57"/>
        <v>2.3300415835248316</v>
      </c>
      <c r="Z327" s="7">
        <f t="shared" si="58"/>
        <v>1.3038371717558861</v>
      </c>
      <c r="AA327" s="7">
        <f t="shared" si="59"/>
        <v>2.0304647387230101</v>
      </c>
    </row>
    <row r="328" spans="1:27" x14ac:dyDescent="0.25">
      <c r="A328" s="1" t="s">
        <v>1670</v>
      </c>
      <c r="B328" s="1" t="s">
        <v>861</v>
      </c>
      <c r="C328" s="1">
        <v>4</v>
      </c>
      <c r="D328" s="1">
        <v>4</v>
      </c>
      <c r="E328" s="1">
        <v>3</v>
      </c>
      <c r="F328" s="1">
        <v>4</v>
      </c>
      <c r="G328" s="1">
        <v>6</v>
      </c>
      <c r="H328" s="1">
        <v>4</v>
      </c>
      <c r="I328" s="1">
        <v>5</v>
      </c>
      <c r="J328" s="1">
        <v>5</v>
      </c>
      <c r="K328" s="1">
        <v>5</v>
      </c>
      <c r="L328" s="1">
        <v>4</v>
      </c>
      <c r="M328" s="1">
        <v>15</v>
      </c>
      <c r="N328" s="1">
        <v>20</v>
      </c>
      <c r="O328" s="1">
        <v>9</v>
      </c>
      <c r="P328" s="1">
        <v>44</v>
      </c>
      <c r="Q328" s="7">
        <v>0.84327404271156781</v>
      </c>
      <c r="R328" s="7">
        <f t="shared" si="50"/>
        <v>23.196700507614214</v>
      </c>
      <c r="S328" s="7">
        <f t="shared" si="51"/>
        <v>6.4306002317777482</v>
      </c>
      <c r="T328" s="7">
        <f t="shared" si="52"/>
        <v>22.771573604060915</v>
      </c>
      <c r="U328" s="7">
        <f t="shared" si="53"/>
        <v>6.5356886776680962</v>
      </c>
      <c r="V328" s="7">
        <f t="shared" si="54"/>
        <v>11.434010152284264</v>
      </c>
      <c r="W328" s="7">
        <f t="shared" si="55"/>
        <v>3.5019632409825281</v>
      </c>
      <c r="X328" s="7">
        <f t="shared" si="56"/>
        <v>-1.2746400354836278</v>
      </c>
      <c r="Y328" s="7">
        <f t="shared" si="57"/>
        <v>-0.42406756820151964</v>
      </c>
      <c r="Z328" s="7">
        <f t="shared" si="58"/>
        <v>-0.69504160517726232</v>
      </c>
      <c r="AA328" s="7">
        <f t="shared" si="59"/>
        <v>-0.79791640295413657</v>
      </c>
    </row>
    <row r="329" spans="1:27" x14ac:dyDescent="0.25">
      <c r="A329" s="1" t="s">
        <v>1670</v>
      </c>
      <c r="B329" s="1" t="s">
        <v>861</v>
      </c>
      <c r="C329" s="1">
        <v>8</v>
      </c>
      <c r="D329" s="1">
        <v>8</v>
      </c>
      <c r="E329" s="1">
        <v>8</v>
      </c>
      <c r="F329" s="1">
        <v>8</v>
      </c>
      <c r="G329" s="1">
        <v>8</v>
      </c>
      <c r="H329" s="1">
        <v>7</v>
      </c>
      <c r="I329" s="1">
        <v>8</v>
      </c>
      <c r="J329" s="1">
        <v>8</v>
      </c>
      <c r="K329" s="1">
        <v>7</v>
      </c>
      <c r="L329" s="1">
        <v>8</v>
      </c>
      <c r="M329" s="1">
        <v>32</v>
      </c>
      <c r="N329" s="1">
        <v>31</v>
      </c>
      <c r="O329" s="1">
        <v>15</v>
      </c>
      <c r="P329" s="1">
        <v>78</v>
      </c>
      <c r="Q329" s="7">
        <v>0.4216370213557839</v>
      </c>
      <c r="R329" s="7">
        <f t="shared" si="50"/>
        <v>23.196700507614214</v>
      </c>
      <c r="S329" s="7">
        <f t="shared" si="51"/>
        <v>6.4306002317777482</v>
      </c>
      <c r="T329" s="7">
        <f t="shared" si="52"/>
        <v>22.771573604060915</v>
      </c>
      <c r="U329" s="7">
        <f t="shared" si="53"/>
        <v>6.5356886776680962</v>
      </c>
      <c r="V329" s="7">
        <f t="shared" si="54"/>
        <v>11.434010152284264</v>
      </c>
      <c r="W329" s="7">
        <f t="shared" si="55"/>
        <v>3.5019632409825281</v>
      </c>
      <c r="X329" s="7">
        <f t="shared" si="56"/>
        <v>1.3689701077798304</v>
      </c>
      <c r="Y329" s="7">
        <f t="shared" si="57"/>
        <v>1.2589991356312507</v>
      </c>
      <c r="Z329" s="7">
        <f t="shared" si="58"/>
        <v>1.0182830607654363</v>
      </c>
      <c r="AA329" s="7">
        <f t="shared" si="59"/>
        <v>1.2154174347255058</v>
      </c>
    </row>
    <row r="330" spans="1:27" x14ac:dyDescent="0.25">
      <c r="A330" s="1" t="s">
        <v>1670</v>
      </c>
      <c r="B330" s="1" t="s">
        <v>861</v>
      </c>
      <c r="C330" s="1">
        <v>6</v>
      </c>
      <c r="D330" s="1">
        <v>4</v>
      </c>
      <c r="E330" s="1">
        <v>4</v>
      </c>
      <c r="F330" s="1">
        <v>4</v>
      </c>
      <c r="G330" s="1">
        <v>7</v>
      </c>
      <c r="H330" s="1">
        <v>6</v>
      </c>
      <c r="I330" s="1">
        <v>5</v>
      </c>
      <c r="J330" s="1">
        <v>7</v>
      </c>
      <c r="K330" s="1">
        <v>6</v>
      </c>
      <c r="L330" s="1">
        <v>0</v>
      </c>
      <c r="M330" s="1">
        <v>18</v>
      </c>
      <c r="N330" s="1">
        <v>25</v>
      </c>
      <c r="O330" s="1">
        <v>6</v>
      </c>
      <c r="P330" s="1">
        <v>49</v>
      </c>
      <c r="Q330" s="7">
        <v>2.0789954839350235</v>
      </c>
      <c r="R330" s="7">
        <f t="shared" si="50"/>
        <v>23.196700507614214</v>
      </c>
      <c r="S330" s="7">
        <f t="shared" si="51"/>
        <v>6.4306002317777482</v>
      </c>
      <c r="T330" s="7">
        <f t="shared" si="52"/>
        <v>22.771573604060915</v>
      </c>
      <c r="U330" s="7">
        <f t="shared" si="53"/>
        <v>6.5356886776680962</v>
      </c>
      <c r="V330" s="7">
        <f t="shared" si="54"/>
        <v>11.434010152284264</v>
      </c>
      <c r="W330" s="7">
        <f t="shared" si="55"/>
        <v>3.5019632409825281</v>
      </c>
      <c r="X330" s="7">
        <f t="shared" si="56"/>
        <v>-0.80812059843713513</v>
      </c>
      <c r="Y330" s="7">
        <f t="shared" si="57"/>
        <v>0.34096275172246687</v>
      </c>
      <c r="Z330" s="7">
        <f t="shared" si="58"/>
        <v>-1.5517039381486115</v>
      </c>
      <c r="AA330" s="7">
        <f t="shared" si="59"/>
        <v>-0.67295392828776002</v>
      </c>
    </row>
    <row r="331" spans="1:27" x14ac:dyDescent="0.25">
      <c r="A331" s="1" t="s">
        <v>1670</v>
      </c>
      <c r="B331" s="1" t="s">
        <v>861</v>
      </c>
      <c r="C331" s="1">
        <v>6</v>
      </c>
      <c r="D331" s="1">
        <v>5</v>
      </c>
      <c r="E331" s="1">
        <v>6</v>
      </c>
      <c r="F331" s="1">
        <v>7</v>
      </c>
      <c r="G331" s="1">
        <v>5</v>
      </c>
      <c r="H331" s="1">
        <v>6</v>
      </c>
      <c r="I331" s="1">
        <v>6</v>
      </c>
      <c r="J331" s="1">
        <v>7</v>
      </c>
      <c r="K331" s="1">
        <v>5</v>
      </c>
      <c r="L331" s="1">
        <v>8</v>
      </c>
      <c r="M331" s="1">
        <v>24</v>
      </c>
      <c r="N331" s="1">
        <v>24</v>
      </c>
      <c r="O331" s="1">
        <v>13</v>
      </c>
      <c r="P331" s="1">
        <v>61</v>
      </c>
      <c r="Q331" s="7">
        <v>0.99442892601175314</v>
      </c>
      <c r="R331" s="7">
        <f t="shared" si="50"/>
        <v>23.196700507614214</v>
      </c>
      <c r="S331" s="7">
        <f t="shared" si="51"/>
        <v>6.4306002317777482</v>
      </c>
      <c r="T331" s="7">
        <f t="shared" si="52"/>
        <v>22.771573604060915</v>
      </c>
      <c r="U331" s="7">
        <f t="shared" si="53"/>
        <v>6.5356886776680962</v>
      </c>
      <c r="V331" s="7">
        <f t="shared" si="54"/>
        <v>11.434010152284264</v>
      </c>
      <c r="W331" s="7">
        <f t="shared" si="55"/>
        <v>3.5019632409825281</v>
      </c>
      <c r="X331" s="7">
        <f t="shared" si="56"/>
        <v>0.12491827565585011</v>
      </c>
      <c r="Y331" s="7">
        <f t="shared" si="57"/>
        <v>0.18795668773766958</v>
      </c>
      <c r="Z331" s="7">
        <f t="shared" si="58"/>
        <v>0.44717483878453679</v>
      </c>
      <c r="AA331" s="7">
        <f t="shared" si="59"/>
        <v>0.25334993405935213</v>
      </c>
    </row>
    <row r="332" spans="1:27" x14ac:dyDescent="0.25">
      <c r="A332" s="1" t="s">
        <v>1670</v>
      </c>
      <c r="B332" s="1" t="s">
        <v>861</v>
      </c>
      <c r="C332" s="1">
        <v>8</v>
      </c>
      <c r="D332" s="1">
        <v>6</v>
      </c>
      <c r="E332" s="1">
        <v>7</v>
      </c>
      <c r="F332" s="1">
        <v>7</v>
      </c>
      <c r="G332" s="1">
        <v>6</v>
      </c>
      <c r="H332" s="1">
        <v>7</v>
      </c>
      <c r="I332" s="1">
        <v>7</v>
      </c>
      <c r="J332" s="1">
        <v>7</v>
      </c>
      <c r="K332" s="1">
        <v>6</v>
      </c>
      <c r="L332" s="1">
        <v>9</v>
      </c>
      <c r="M332" s="1">
        <v>28</v>
      </c>
      <c r="N332" s="1">
        <v>27</v>
      </c>
      <c r="O332" s="1">
        <v>15</v>
      </c>
      <c r="P332" s="1">
        <v>70</v>
      </c>
      <c r="Q332" s="7">
        <v>0.94280904158206336</v>
      </c>
      <c r="R332" s="7">
        <f t="shared" si="50"/>
        <v>23.196700507614214</v>
      </c>
      <c r="S332" s="7">
        <f t="shared" si="51"/>
        <v>6.4306002317777482</v>
      </c>
      <c r="T332" s="7">
        <f t="shared" si="52"/>
        <v>22.771573604060915</v>
      </c>
      <c r="U332" s="7">
        <f t="shared" si="53"/>
        <v>6.5356886776680962</v>
      </c>
      <c r="V332" s="7">
        <f t="shared" si="54"/>
        <v>11.434010152284264</v>
      </c>
      <c r="W332" s="7">
        <f t="shared" si="55"/>
        <v>3.5019632409825281</v>
      </c>
      <c r="X332" s="7">
        <f t="shared" si="56"/>
        <v>0.74694419171784021</v>
      </c>
      <c r="Y332" s="7">
        <f t="shared" si="57"/>
        <v>0.64697487969206147</v>
      </c>
      <c r="Z332" s="7">
        <f t="shared" si="58"/>
        <v>1.0182830607654363</v>
      </c>
      <c r="AA332" s="7">
        <f t="shared" si="59"/>
        <v>0.80406737739177936</v>
      </c>
    </row>
    <row r="333" spans="1:27" x14ac:dyDescent="0.25">
      <c r="A333" s="1" t="s">
        <v>1670</v>
      </c>
      <c r="B333" s="1" t="s">
        <v>861</v>
      </c>
      <c r="C333" s="1">
        <v>8</v>
      </c>
      <c r="D333" s="1">
        <v>8</v>
      </c>
      <c r="E333" s="1">
        <v>7</v>
      </c>
      <c r="F333" s="1">
        <v>8</v>
      </c>
      <c r="G333" s="1">
        <v>6</v>
      </c>
      <c r="H333" s="1">
        <v>7</v>
      </c>
      <c r="I333" s="1">
        <v>7</v>
      </c>
      <c r="J333" s="1">
        <v>6</v>
      </c>
      <c r="K333" s="1">
        <v>7</v>
      </c>
      <c r="L333" s="1">
        <v>8</v>
      </c>
      <c r="M333" s="1">
        <v>31</v>
      </c>
      <c r="N333" s="1">
        <v>26</v>
      </c>
      <c r="O333" s="1">
        <v>15</v>
      </c>
      <c r="P333" s="1">
        <v>72</v>
      </c>
      <c r="Q333" s="7">
        <v>0.78881063774661564</v>
      </c>
      <c r="R333" s="7">
        <f t="shared" si="50"/>
        <v>23.196700507614214</v>
      </c>
      <c r="S333" s="7">
        <f t="shared" si="51"/>
        <v>6.4306002317777482</v>
      </c>
      <c r="T333" s="7">
        <f t="shared" si="52"/>
        <v>22.771573604060915</v>
      </c>
      <c r="U333" s="7">
        <f t="shared" si="53"/>
        <v>6.5356886776680962</v>
      </c>
      <c r="V333" s="7">
        <f t="shared" si="54"/>
        <v>11.434010152284264</v>
      </c>
      <c r="W333" s="7">
        <f t="shared" si="55"/>
        <v>3.5019632409825281</v>
      </c>
      <c r="X333" s="7">
        <f t="shared" si="56"/>
        <v>1.2134636287643328</v>
      </c>
      <c r="Y333" s="7">
        <f t="shared" si="57"/>
        <v>0.49396881570726414</v>
      </c>
      <c r="Z333" s="7">
        <f t="shared" si="58"/>
        <v>1.0182830607654363</v>
      </c>
      <c r="AA333" s="7">
        <f t="shared" si="59"/>
        <v>0.90857183507901107</v>
      </c>
    </row>
    <row r="334" spans="1:27" x14ac:dyDescent="0.25">
      <c r="A334" s="1" t="s">
        <v>1670</v>
      </c>
      <c r="B334" s="1" t="s">
        <v>861</v>
      </c>
      <c r="C334" s="1">
        <v>8</v>
      </c>
      <c r="D334" s="1">
        <v>8</v>
      </c>
      <c r="E334" s="1">
        <v>7</v>
      </c>
      <c r="F334" s="1">
        <v>8</v>
      </c>
      <c r="G334" s="1">
        <v>7</v>
      </c>
      <c r="H334" s="1">
        <v>7</v>
      </c>
      <c r="I334" s="1">
        <v>8</v>
      </c>
      <c r="J334" s="1">
        <v>8</v>
      </c>
      <c r="K334" s="1">
        <v>8</v>
      </c>
      <c r="L334" s="1">
        <v>9</v>
      </c>
      <c r="M334" s="1">
        <v>31</v>
      </c>
      <c r="N334" s="1">
        <v>30</v>
      </c>
      <c r="O334" s="1">
        <v>17</v>
      </c>
      <c r="P334" s="1">
        <v>78</v>
      </c>
      <c r="Q334" s="7">
        <v>0.63245553203367577</v>
      </c>
      <c r="R334" s="7">
        <f t="shared" si="50"/>
        <v>23.196700507614214</v>
      </c>
      <c r="S334" s="7">
        <f t="shared" si="51"/>
        <v>6.4306002317777482</v>
      </c>
      <c r="T334" s="7">
        <f t="shared" si="52"/>
        <v>22.771573604060915</v>
      </c>
      <c r="U334" s="7">
        <f t="shared" si="53"/>
        <v>6.5356886776680962</v>
      </c>
      <c r="V334" s="7">
        <f t="shared" si="54"/>
        <v>11.434010152284264</v>
      </c>
      <c r="W334" s="7">
        <f t="shared" si="55"/>
        <v>3.5019632409825281</v>
      </c>
      <c r="X334" s="7">
        <f t="shared" si="56"/>
        <v>1.2134636287643328</v>
      </c>
      <c r="Y334" s="7">
        <f t="shared" si="57"/>
        <v>1.1059930716464534</v>
      </c>
      <c r="Z334" s="7">
        <f t="shared" si="58"/>
        <v>1.5893912827463359</v>
      </c>
      <c r="AA334" s="7">
        <f t="shared" si="59"/>
        <v>1.3029493277190405</v>
      </c>
    </row>
    <row r="335" spans="1:27" x14ac:dyDescent="0.25">
      <c r="A335" s="1" t="s">
        <v>1670</v>
      </c>
      <c r="B335" s="1" t="s">
        <v>861</v>
      </c>
      <c r="C335" s="1">
        <v>9</v>
      </c>
      <c r="D335" s="1">
        <v>9</v>
      </c>
      <c r="E335" s="1">
        <v>8</v>
      </c>
      <c r="F335" s="1">
        <v>9</v>
      </c>
      <c r="G335" s="1">
        <v>8</v>
      </c>
      <c r="H335" s="1">
        <v>7</v>
      </c>
      <c r="I335" s="1">
        <v>8</v>
      </c>
      <c r="J335" s="1">
        <v>8</v>
      </c>
      <c r="K335" s="1">
        <v>8</v>
      </c>
      <c r="L335" s="1">
        <v>9</v>
      </c>
      <c r="M335" s="1">
        <v>35</v>
      </c>
      <c r="N335" s="1">
        <v>31</v>
      </c>
      <c r="O335" s="1">
        <v>17</v>
      </c>
      <c r="P335" s="1">
        <v>83</v>
      </c>
      <c r="Q335" s="7">
        <v>0.67494855771055262</v>
      </c>
      <c r="R335" s="7">
        <f t="shared" si="50"/>
        <v>23.196700507614214</v>
      </c>
      <c r="S335" s="7">
        <f t="shared" si="51"/>
        <v>6.4306002317777482</v>
      </c>
      <c r="T335" s="7">
        <f t="shared" si="52"/>
        <v>22.771573604060915</v>
      </c>
      <c r="U335" s="7">
        <f t="shared" si="53"/>
        <v>6.5356886776680962</v>
      </c>
      <c r="V335" s="7">
        <f t="shared" si="54"/>
        <v>11.434010152284264</v>
      </c>
      <c r="W335" s="7">
        <f t="shared" si="55"/>
        <v>3.5019632409825281</v>
      </c>
      <c r="X335" s="7">
        <f t="shared" si="56"/>
        <v>1.8354895448263231</v>
      </c>
      <c r="Y335" s="7">
        <f t="shared" si="57"/>
        <v>1.2589991356312507</v>
      </c>
      <c r="Z335" s="7">
        <f t="shared" si="58"/>
        <v>1.5893912827463359</v>
      </c>
      <c r="AA335" s="7">
        <f t="shared" si="59"/>
        <v>1.5612933210679698</v>
      </c>
    </row>
    <row r="336" spans="1:27" x14ac:dyDescent="0.25">
      <c r="A336" s="1" t="s">
        <v>1670</v>
      </c>
      <c r="B336" s="1" t="s">
        <v>861</v>
      </c>
      <c r="C336" s="1">
        <v>9</v>
      </c>
      <c r="D336" s="1">
        <v>9</v>
      </c>
      <c r="E336" s="1">
        <v>8</v>
      </c>
      <c r="F336" s="1">
        <v>9</v>
      </c>
      <c r="G336" s="1">
        <v>9</v>
      </c>
      <c r="H336" s="1">
        <v>9</v>
      </c>
      <c r="I336" s="1">
        <v>8</v>
      </c>
      <c r="J336" s="1">
        <v>9</v>
      </c>
      <c r="K336" s="1">
        <v>9</v>
      </c>
      <c r="L336" s="1">
        <v>7</v>
      </c>
      <c r="M336" s="1">
        <v>35</v>
      </c>
      <c r="N336" s="1">
        <v>35</v>
      </c>
      <c r="O336" s="1">
        <v>16</v>
      </c>
      <c r="P336" s="1">
        <v>86</v>
      </c>
      <c r="Q336" s="7">
        <v>0.69920589878010131</v>
      </c>
      <c r="R336" s="7">
        <f t="shared" si="50"/>
        <v>23.196700507614214</v>
      </c>
      <c r="S336" s="7">
        <f t="shared" si="51"/>
        <v>6.4306002317777482</v>
      </c>
      <c r="T336" s="7">
        <f t="shared" si="52"/>
        <v>22.771573604060915</v>
      </c>
      <c r="U336" s="7">
        <f t="shared" si="53"/>
        <v>6.5356886776680962</v>
      </c>
      <c r="V336" s="7">
        <f t="shared" si="54"/>
        <v>11.434010152284264</v>
      </c>
      <c r="W336" s="7">
        <f t="shared" si="55"/>
        <v>3.5019632409825281</v>
      </c>
      <c r="X336" s="7">
        <f t="shared" si="56"/>
        <v>1.8354895448263231</v>
      </c>
      <c r="Y336" s="7">
        <f t="shared" si="57"/>
        <v>1.87102339157044</v>
      </c>
      <c r="Z336" s="7">
        <f t="shared" si="58"/>
        <v>1.3038371717558861</v>
      </c>
      <c r="AA336" s="7">
        <f t="shared" si="59"/>
        <v>1.6701167027175494</v>
      </c>
    </row>
    <row r="337" spans="1:27" x14ac:dyDescent="0.25">
      <c r="A337" s="1" t="s">
        <v>1670</v>
      </c>
      <c r="B337" s="1" t="s">
        <v>861</v>
      </c>
      <c r="C337" s="1">
        <v>8</v>
      </c>
      <c r="D337" s="1">
        <v>7</v>
      </c>
      <c r="E337" s="1">
        <v>8</v>
      </c>
      <c r="F337" s="1">
        <v>7</v>
      </c>
      <c r="G337" s="1">
        <v>7</v>
      </c>
      <c r="H337" s="1">
        <v>7</v>
      </c>
      <c r="I337" s="1">
        <v>8</v>
      </c>
      <c r="J337" s="1">
        <v>8</v>
      </c>
      <c r="K337" s="1">
        <v>8</v>
      </c>
      <c r="L337" s="1">
        <v>8</v>
      </c>
      <c r="M337" s="1">
        <v>30</v>
      </c>
      <c r="N337" s="1">
        <v>30</v>
      </c>
      <c r="O337" s="1">
        <v>16</v>
      </c>
      <c r="P337" s="1">
        <v>76</v>
      </c>
      <c r="Q337" s="7">
        <v>0.51639777949432231</v>
      </c>
      <c r="R337" s="7">
        <f t="shared" si="50"/>
        <v>23.196700507614214</v>
      </c>
      <c r="S337" s="7">
        <f t="shared" si="51"/>
        <v>6.4306002317777482</v>
      </c>
      <c r="T337" s="7">
        <f t="shared" si="52"/>
        <v>22.771573604060915</v>
      </c>
      <c r="U337" s="7">
        <f t="shared" si="53"/>
        <v>6.5356886776680962</v>
      </c>
      <c r="V337" s="7">
        <f t="shared" si="54"/>
        <v>11.434010152284264</v>
      </c>
      <c r="W337" s="7">
        <f t="shared" si="55"/>
        <v>3.5019632409825281</v>
      </c>
      <c r="X337" s="7">
        <f t="shared" si="56"/>
        <v>1.0579571497488354</v>
      </c>
      <c r="Y337" s="7">
        <f t="shared" si="57"/>
        <v>1.1059930716464534</v>
      </c>
      <c r="Z337" s="7">
        <f t="shared" si="58"/>
        <v>1.3038371717558861</v>
      </c>
      <c r="AA337" s="7">
        <f t="shared" si="59"/>
        <v>1.1559291310503916</v>
      </c>
    </row>
    <row r="338" spans="1:27" x14ac:dyDescent="0.25">
      <c r="A338" s="1" t="s">
        <v>1670</v>
      </c>
      <c r="B338" s="1" t="s">
        <v>861</v>
      </c>
      <c r="C338" s="1">
        <v>8</v>
      </c>
      <c r="D338" s="1">
        <v>8</v>
      </c>
      <c r="E338" s="1">
        <v>8</v>
      </c>
      <c r="F338" s="1">
        <v>9</v>
      </c>
      <c r="G338" s="1">
        <v>8</v>
      </c>
      <c r="H338" s="1">
        <v>7</v>
      </c>
      <c r="I338" s="1">
        <v>9</v>
      </c>
      <c r="J338" s="1">
        <v>8</v>
      </c>
      <c r="K338" s="1">
        <v>7</v>
      </c>
      <c r="L338" s="1">
        <v>8</v>
      </c>
      <c r="M338" s="1">
        <v>33</v>
      </c>
      <c r="N338" s="1">
        <v>32</v>
      </c>
      <c r="O338" s="1">
        <v>15</v>
      </c>
      <c r="P338" s="1">
        <v>80</v>
      </c>
      <c r="Q338" s="7">
        <v>0.66666666666666663</v>
      </c>
      <c r="R338" s="7">
        <f t="shared" si="50"/>
        <v>23.196700507614214</v>
      </c>
      <c r="S338" s="7">
        <f t="shared" si="51"/>
        <v>6.4306002317777482</v>
      </c>
      <c r="T338" s="7">
        <f t="shared" si="52"/>
        <v>22.771573604060915</v>
      </c>
      <c r="U338" s="7">
        <f t="shared" si="53"/>
        <v>6.5356886776680962</v>
      </c>
      <c r="V338" s="7">
        <f t="shared" si="54"/>
        <v>11.434010152284264</v>
      </c>
      <c r="W338" s="7">
        <f t="shared" si="55"/>
        <v>3.5019632409825281</v>
      </c>
      <c r="X338" s="7">
        <f t="shared" si="56"/>
        <v>1.524476586795328</v>
      </c>
      <c r="Y338" s="7">
        <f t="shared" si="57"/>
        <v>1.4120051996160479</v>
      </c>
      <c r="Z338" s="7">
        <f t="shared" si="58"/>
        <v>1.0182830607654363</v>
      </c>
      <c r="AA338" s="7">
        <f t="shared" si="59"/>
        <v>1.3182549490589375</v>
      </c>
    </row>
    <row r="339" spans="1:27" x14ac:dyDescent="0.25">
      <c r="A339" s="1" t="s">
        <v>1670</v>
      </c>
      <c r="B339" s="1" t="s">
        <v>861</v>
      </c>
      <c r="C339" s="1">
        <v>8</v>
      </c>
      <c r="D339" s="1">
        <v>7</v>
      </c>
      <c r="E339" s="1">
        <v>8</v>
      </c>
      <c r="F339" s="1">
        <v>7</v>
      </c>
      <c r="G339" s="1">
        <v>8</v>
      </c>
      <c r="H339" s="1">
        <v>9</v>
      </c>
      <c r="I339" s="1">
        <v>8</v>
      </c>
      <c r="J339" s="1">
        <v>9</v>
      </c>
      <c r="K339" s="1">
        <v>8</v>
      </c>
      <c r="L339" s="1">
        <v>9</v>
      </c>
      <c r="M339" s="1">
        <v>30</v>
      </c>
      <c r="N339" s="1">
        <v>34</v>
      </c>
      <c r="O339" s="1">
        <v>17</v>
      </c>
      <c r="P339" s="1">
        <v>81</v>
      </c>
      <c r="Q339" s="7">
        <v>0.73786478737262207</v>
      </c>
      <c r="R339" s="7">
        <f t="shared" si="50"/>
        <v>23.196700507614214</v>
      </c>
      <c r="S339" s="7">
        <f t="shared" si="51"/>
        <v>6.4306002317777482</v>
      </c>
      <c r="T339" s="7">
        <f t="shared" si="52"/>
        <v>22.771573604060915</v>
      </c>
      <c r="U339" s="7">
        <f t="shared" si="53"/>
        <v>6.5356886776680962</v>
      </c>
      <c r="V339" s="7">
        <f t="shared" si="54"/>
        <v>11.434010152284264</v>
      </c>
      <c r="W339" s="7">
        <f t="shared" si="55"/>
        <v>3.5019632409825281</v>
      </c>
      <c r="X339" s="7">
        <f t="shared" si="56"/>
        <v>1.0579571497488354</v>
      </c>
      <c r="Y339" s="7">
        <f t="shared" si="57"/>
        <v>1.7180173275856425</v>
      </c>
      <c r="Z339" s="7">
        <f t="shared" si="58"/>
        <v>1.5893912827463359</v>
      </c>
      <c r="AA339" s="7">
        <f t="shared" si="59"/>
        <v>1.4551219200269381</v>
      </c>
    </row>
    <row r="340" spans="1:27" x14ac:dyDescent="0.25">
      <c r="A340" s="1" t="s">
        <v>1670</v>
      </c>
      <c r="B340" s="1" t="s">
        <v>861</v>
      </c>
      <c r="C340" s="1">
        <v>7</v>
      </c>
      <c r="D340" s="1">
        <v>7</v>
      </c>
      <c r="E340" s="1">
        <v>8</v>
      </c>
      <c r="F340" s="1">
        <v>7</v>
      </c>
      <c r="G340" s="1">
        <v>5</v>
      </c>
      <c r="H340" s="1">
        <v>5</v>
      </c>
      <c r="I340" s="1">
        <v>6</v>
      </c>
      <c r="J340" s="1">
        <v>5</v>
      </c>
      <c r="K340" s="1">
        <v>6</v>
      </c>
      <c r="L340" s="1">
        <v>4</v>
      </c>
      <c r="M340" s="1">
        <v>29</v>
      </c>
      <c r="N340" s="1">
        <v>21</v>
      </c>
      <c r="O340" s="1">
        <v>10</v>
      </c>
      <c r="P340" s="1">
        <v>60</v>
      </c>
      <c r="Q340" s="7">
        <v>1.247219128924647</v>
      </c>
      <c r="R340" s="7">
        <f t="shared" si="50"/>
        <v>23.196700507614214</v>
      </c>
      <c r="S340" s="7">
        <f t="shared" si="51"/>
        <v>6.4306002317777482</v>
      </c>
      <c r="T340" s="7">
        <f t="shared" si="52"/>
        <v>22.771573604060915</v>
      </c>
      <c r="U340" s="7">
        <f t="shared" si="53"/>
        <v>6.5356886776680962</v>
      </c>
      <c r="V340" s="7">
        <f t="shared" si="54"/>
        <v>11.434010152284264</v>
      </c>
      <c r="W340" s="7">
        <f t="shared" si="55"/>
        <v>3.5019632409825281</v>
      </c>
      <c r="X340" s="7">
        <f t="shared" si="56"/>
        <v>0.90245067073333785</v>
      </c>
      <c r="Y340" s="7">
        <f t="shared" si="57"/>
        <v>-0.27106150421672232</v>
      </c>
      <c r="Z340" s="7">
        <f t="shared" si="58"/>
        <v>-0.40948749418681252</v>
      </c>
      <c r="AA340" s="7">
        <f t="shared" si="59"/>
        <v>7.3967224109934351E-2</v>
      </c>
    </row>
    <row r="341" spans="1:27" x14ac:dyDescent="0.25">
      <c r="A341" s="1" t="s">
        <v>1670</v>
      </c>
      <c r="B341" s="1" t="s">
        <v>861</v>
      </c>
      <c r="C341" s="1">
        <v>6</v>
      </c>
      <c r="D341" s="1">
        <v>6</v>
      </c>
      <c r="E341" s="1">
        <v>6</v>
      </c>
      <c r="F341" s="1">
        <v>6</v>
      </c>
      <c r="G341" s="1">
        <v>6</v>
      </c>
      <c r="H341" s="1">
        <v>7</v>
      </c>
      <c r="I341" s="1">
        <v>7</v>
      </c>
      <c r="J341" s="1">
        <v>5</v>
      </c>
      <c r="K341" s="1">
        <v>8</v>
      </c>
      <c r="L341" s="1">
        <v>5</v>
      </c>
      <c r="M341" s="1">
        <v>24</v>
      </c>
      <c r="N341" s="1">
        <v>25</v>
      </c>
      <c r="O341" s="1">
        <v>13</v>
      </c>
      <c r="P341" s="1">
        <v>62</v>
      </c>
      <c r="Q341" s="7">
        <v>0.91893658347268137</v>
      </c>
      <c r="R341" s="7">
        <f t="shared" si="50"/>
        <v>23.196700507614214</v>
      </c>
      <c r="S341" s="7">
        <f t="shared" si="51"/>
        <v>6.4306002317777482</v>
      </c>
      <c r="T341" s="7">
        <f t="shared" si="52"/>
        <v>22.771573604060915</v>
      </c>
      <c r="U341" s="7">
        <f t="shared" si="53"/>
        <v>6.5356886776680962</v>
      </c>
      <c r="V341" s="7">
        <f t="shared" si="54"/>
        <v>11.434010152284264</v>
      </c>
      <c r="W341" s="7">
        <f t="shared" si="55"/>
        <v>3.5019632409825281</v>
      </c>
      <c r="X341" s="7">
        <f t="shared" si="56"/>
        <v>0.12491827565585011</v>
      </c>
      <c r="Y341" s="7">
        <f t="shared" si="57"/>
        <v>0.34096275172246687</v>
      </c>
      <c r="Z341" s="7">
        <f t="shared" si="58"/>
        <v>0.44717483878453679</v>
      </c>
      <c r="AA341" s="7">
        <f t="shared" si="59"/>
        <v>0.30435195538761795</v>
      </c>
    </row>
    <row r="342" spans="1:27" x14ac:dyDescent="0.25">
      <c r="A342" s="1" t="s">
        <v>1670</v>
      </c>
      <c r="B342" s="1" t="s">
        <v>861</v>
      </c>
      <c r="C342" s="1">
        <v>8</v>
      </c>
      <c r="D342" s="1">
        <v>8</v>
      </c>
      <c r="E342" s="1">
        <v>7</v>
      </c>
      <c r="F342" s="1">
        <v>8</v>
      </c>
      <c r="G342" s="1">
        <v>8</v>
      </c>
      <c r="H342" s="1">
        <v>8</v>
      </c>
      <c r="I342" s="1">
        <v>8</v>
      </c>
      <c r="J342" s="1">
        <v>8</v>
      </c>
      <c r="K342" s="1">
        <v>8</v>
      </c>
      <c r="L342" s="1">
        <v>10</v>
      </c>
      <c r="M342" s="1">
        <v>31</v>
      </c>
      <c r="N342" s="1">
        <v>32</v>
      </c>
      <c r="O342" s="1">
        <v>18</v>
      </c>
      <c r="P342" s="1">
        <v>81</v>
      </c>
      <c r="Q342" s="7">
        <v>0.73786478737262184</v>
      </c>
      <c r="R342" s="7">
        <f t="shared" si="50"/>
        <v>23.196700507614214</v>
      </c>
      <c r="S342" s="7">
        <f t="shared" si="51"/>
        <v>6.4306002317777482</v>
      </c>
      <c r="T342" s="7">
        <f t="shared" si="52"/>
        <v>22.771573604060915</v>
      </c>
      <c r="U342" s="7">
        <f t="shared" si="53"/>
        <v>6.5356886776680962</v>
      </c>
      <c r="V342" s="7">
        <f t="shared" si="54"/>
        <v>11.434010152284264</v>
      </c>
      <c r="W342" s="7">
        <f t="shared" si="55"/>
        <v>3.5019632409825281</v>
      </c>
      <c r="X342" s="7">
        <f t="shared" si="56"/>
        <v>1.2134636287643328</v>
      </c>
      <c r="Y342" s="7">
        <f t="shared" si="57"/>
        <v>1.4120051996160479</v>
      </c>
      <c r="Z342" s="7">
        <f t="shared" si="58"/>
        <v>1.8749453937367857</v>
      </c>
      <c r="AA342" s="7">
        <f t="shared" si="59"/>
        <v>1.5001380740390555</v>
      </c>
    </row>
    <row r="343" spans="1:27" x14ac:dyDescent="0.25">
      <c r="A343" s="1" t="s">
        <v>1670</v>
      </c>
      <c r="B343" s="1" t="s">
        <v>861</v>
      </c>
      <c r="C343" s="1">
        <v>7</v>
      </c>
      <c r="D343" s="1">
        <v>5</v>
      </c>
      <c r="E343" s="1">
        <v>6</v>
      </c>
      <c r="F343" s="1">
        <v>6</v>
      </c>
      <c r="G343" s="1">
        <v>7</v>
      </c>
      <c r="H343" s="1">
        <v>7</v>
      </c>
      <c r="I343" s="1">
        <v>7</v>
      </c>
      <c r="J343" s="1">
        <v>6</v>
      </c>
      <c r="K343" s="1">
        <v>7</v>
      </c>
      <c r="L343" s="1">
        <v>5</v>
      </c>
      <c r="M343" s="1">
        <v>24</v>
      </c>
      <c r="N343" s="1">
        <v>27</v>
      </c>
      <c r="O343" s="1">
        <v>12</v>
      </c>
      <c r="P343" s="1">
        <v>63</v>
      </c>
      <c r="Q343" s="7">
        <v>0.82327260234856459</v>
      </c>
      <c r="R343" s="7">
        <f t="shared" si="50"/>
        <v>23.196700507614214</v>
      </c>
      <c r="S343" s="7">
        <f t="shared" si="51"/>
        <v>6.4306002317777482</v>
      </c>
      <c r="T343" s="7">
        <f t="shared" si="52"/>
        <v>22.771573604060915</v>
      </c>
      <c r="U343" s="7">
        <f t="shared" si="53"/>
        <v>6.5356886776680962</v>
      </c>
      <c r="V343" s="7">
        <f t="shared" si="54"/>
        <v>11.434010152284264</v>
      </c>
      <c r="W343" s="7">
        <f t="shared" si="55"/>
        <v>3.5019632409825281</v>
      </c>
      <c r="X343" s="7">
        <f t="shared" si="56"/>
        <v>0.12491827565585011</v>
      </c>
      <c r="Y343" s="7">
        <f t="shared" si="57"/>
        <v>0.64697487969206147</v>
      </c>
      <c r="Z343" s="7">
        <f t="shared" si="58"/>
        <v>0.16162072779408701</v>
      </c>
      <c r="AA343" s="7">
        <f t="shared" si="59"/>
        <v>0.31117129438066621</v>
      </c>
    </row>
    <row r="344" spans="1:27" x14ac:dyDescent="0.25">
      <c r="A344" s="1" t="s">
        <v>1670</v>
      </c>
      <c r="B344" s="1" t="s">
        <v>861</v>
      </c>
      <c r="C344" s="1">
        <v>8</v>
      </c>
      <c r="D344" s="1">
        <v>8</v>
      </c>
      <c r="E344" s="1">
        <v>8</v>
      </c>
      <c r="F344" s="1">
        <v>8</v>
      </c>
      <c r="G344" s="1">
        <v>7</v>
      </c>
      <c r="H344" s="1">
        <v>7</v>
      </c>
      <c r="I344" s="1">
        <v>7</v>
      </c>
      <c r="J344" s="1">
        <v>8</v>
      </c>
      <c r="K344" s="1">
        <v>7</v>
      </c>
      <c r="L344" s="1">
        <v>7</v>
      </c>
      <c r="M344" s="1">
        <v>32</v>
      </c>
      <c r="N344" s="1">
        <v>29</v>
      </c>
      <c r="O344" s="1">
        <v>14</v>
      </c>
      <c r="P344" s="1">
        <v>75</v>
      </c>
      <c r="Q344" s="7">
        <v>0.5270462766947297</v>
      </c>
      <c r="R344" s="7">
        <f t="shared" si="50"/>
        <v>23.196700507614214</v>
      </c>
      <c r="S344" s="7">
        <f t="shared" si="51"/>
        <v>6.4306002317777482</v>
      </c>
      <c r="T344" s="7">
        <f t="shared" si="52"/>
        <v>22.771573604060915</v>
      </c>
      <c r="U344" s="7">
        <f t="shared" si="53"/>
        <v>6.5356886776680962</v>
      </c>
      <c r="V344" s="7">
        <f t="shared" si="54"/>
        <v>11.434010152284264</v>
      </c>
      <c r="W344" s="7">
        <f t="shared" si="55"/>
        <v>3.5019632409825281</v>
      </c>
      <c r="X344" s="7">
        <f t="shared" si="56"/>
        <v>1.3689701077798304</v>
      </c>
      <c r="Y344" s="7">
        <f t="shared" si="57"/>
        <v>0.95298700766165612</v>
      </c>
      <c r="Z344" s="7">
        <f t="shared" si="58"/>
        <v>0.73272894977498659</v>
      </c>
      <c r="AA344" s="7">
        <f t="shared" si="59"/>
        <v>1.018228688405491</v>
      </c>
    </row>
    <row r="345" spans="1:27" x14ac:dyDescent="0.25">
      <c r="A345" s="1" t="s">
        <v>1670</v>
      </c>
      <c r="B345" s="1" t="s">
        <v>861</v>
      </c>
      <c r="C345" s="1">
        <v>6</v>
      </c>
      <c r="D345" s="1">
        <v>6</v>
      </c>
      <c r="E345" s="1">
        <v>6</v>
      </c>
      <c r="F345" s="1">
        <v>6</v>
      </c>
      <c r="G345" s="1">
        <v>7</v>
      </c>
      <c r="H345" s="1">
        <v>7</v>
      </c>
      <c r="I345" s="1">
        <v>7</v>
      </c>
      <c r="J345" s="1">
        <v>7</v>
      </c>
      <c r="K345" s="1">
        <v>6</v>
      </c>
      <c r="L345" s="1">
        <v>8</v>
      </c>
      <c r="M345" s="1">
        <v>24</v>
      </c>
      <c r="N345" s="1">
        <v>28</v>
      </c>
      <c r="O345" s="1">
        <v>14</v>
      </c>
      <c r="P345" s="1">
        <v>66</v>
      </c>
      <c r="Q345" s="7">
        <v>0.69920589878010087</v>
      </c>
      <c r="R345" s="7">
        <f t="shared" si="50"/>
        <v>23.196700507614214</v>
      </c>
      <c r="S345" s="7">
        <f t="shared" si="51"/>
        <v>6.4306002317777482</v>
      </c>
      <c r="T345" s="7">
        <f t="shared" si="52"/>
        <v>22.771573604060915</v>
      </c>
      <c r="U345" s="7">
        <f t="shared" si="53"/>
        <v>6.5356886776680962</v>
      </c>
      <c r="V345" s="7">
        <f t="shared" si="54"/>
        <v>11.434010152284264</v>
      </c>
      <c r="W345" s="7">
        <f t="shared" si="55"/>
        <v>3.5019632409825281</v>
      </c>
      <c r="X345" s="7">
        <f t="shared" si="56"/>
        <v>0.12491827565585011</v>
      </c>
      <c r="Y345" s="7">
        <f t="shared" si="57"/>
        <v>0.79998094367685879</v>
      </c>
      <c r="Z345" s="7">
        <f t="shared" si="58"/>
        <v>0.73272894977498659</v>
      </c>
      <c r="AA345" s="7">
        <f t="shared" si="59"/>
        <v>0.55254272303589846</v>
      </c>
    </row>
    <row r="346" spans="1:27" x14ac:dyDescent="0.25">
      <c r="A346" s="1" t="s">
        <v>1670</v>
      </c>
      <c r="B346" s="1" t="s">
        <v>861</v>
      </c>
      <c r="C346" s="1">
        <v>6</v>
      </c>
      <c r="D346" s="1">
        <v>5</v>
      </c>
      <c r="E346" s="1">
        <v>6</v>
      </c>
      <c r="F346" s="1">
        <v>6</v>
      </c>
      <c r="G346" s="1">
        <v>5</v>
      </c>
      <c r="H346" s="1">
        <v>6</v>
      </c>
      <c r="I346" s="1">
        <v>7</v>
      </c>
      <c r="J346" s="1">
        <v>7</v>
      </c>
      <c r="K346" s="1">
        <v>6</v>
      </c>
      <c r="L346" s="1">
        <v>7</v>
      </c>
      <c r="M346" s="1">
        <v>23</v>
      </c>
      <c r="N346" s="1">
        <v>25</v>
      </c>
      <c r="O346" s="1">
        <v>13</v>
      </c>
      <c r="P346" s="1">
        <v>61</v>
      </c>
      <c r="Q346" s="7">
        <v>0.73786478737262207</v>
      </c>
      <c r="R346" s="7">
        <f t="shared" si="50"/>
        <v>23.196700507614214</v>
      </c>
      <c r="S346" s="7">
        <f t="shared" si="51"/>
        <v>6.4306002317777482</v>
      </c>
      <c r="T346" s="7">
        <f t="shared" si="52"/>
        <v>22.771573604060915</v>
      </c>
      <c r="U346" s="7">
        <f t="shared" si="53"/>
        <v>6.5356886776680962</v>
      </c>
      <c r="V346" s="7">
        <f t="shared" si="54"/>
        <v>11.434010152284264</v>
      </c>
      <c r="W346" s="7">
        <f t="shared" si="55"/>
        <v>3.5019632409825281</v>
      </c>
      <c r="X346" s="7">
        <f t="shared" si="56"/>
        <v>-3.0588203359647428E-2</v>
      </c>
      <c r="Y346" s="7">
        <f t="shared" si="57"/>
        <v>0.34096275172246687</v>
      </c>
      <c r="Z346" s="7">
        <f t="shared" si="58"/>
        <v>0.44717483878453679</v>
      </c>
      <c r="AA346" s="7">
        <f t="shared" si="59"/>
        <v>0.25251646238245207</v>
      </c>
    </row>
    <row r="347" spans="1:27" x14ac:dyDescent="0.25">
      <c r="A347" s="1" t="s">
        <v>1670</v>
      </c>
      <c r="B347" s="1" t="s">
        <v>861</v>
      </c>
      <c r="C347" s="1">
        <v>8</v>
      </c>
      <c r="D347" s="1">
        <v>8</v>
      </c>
      <c r="E347" s="1">
        <v>8</v>
      </c>
      <c r="F347" s="1">
        <v>9</v>
      </c>
      <c r="G347" s="1">
        <v>7</v>
      </c>
      <c r="H347" s="1">
        <v>7</v>
      </c>
      <c r="I347" s="1">
        <v>7</v>
      </c>
      <c r="J347" s="1">
        <v>7</v>
      </c>
      <c r="K347" s="1">
        <v>7</v>
      </c>
      <c r="L347" s="1">
        <v>8</v>
      </c>
      <c r="M347" s="1">
        <v>33</v>
      </c>
      <c r="N347" s="1">
        <v>28</v>
      </c>
      <c r="O347" s="1">
        <v>15</v>
      </c>
      <c r="P347" s="1">
        <v>76</v>
      </c>
      <c r="Q347" s="7">
        <v>0.69920589878010098</v>
      </c>
      <c r="R347" s="7">
        <f t="shared" si="50"/>
        <v>23.196700507614214</v>
      </c>
      <c r="S347" s="7">
        <f t="shared" si="51"/>
        <v>6.4306002317777482</v>
      </c>
      <c r="T347" s="7">
        <f t="shared" si="52"/>
        <v>22.771573604060915</v>
      </c>
      <c r="U347" s="7">
        <f t="shared" si="53"/>
        <v>6.5356886776680962</v>
      </c>
      <c r="V347" s="7">
        <f t="shared" si="54"/>
        <v>11.434010152284264</v>
      </c>
      <c r="W347" s="7">
        <f t="shared" si="55"/>
        <v>3.5019632409825281</v>
      </c>
      <c r="X347" s="7">
        <f t="shared" si="56"/>
        <v>1.524476586795328</v>
      </c>
      <c r="Y347" s="7">
        <f t="shared" si="57"/>
        <v>0.79998094367685879</v>
      </c>
      <c r="Z347" s="7">
        <f t="shared" si="58"/>
        <v>1.0182830607654363</v>
      </c>
      <c r="AA347" s="7">
        <f t="shared" si="59"/>
        <v>1.1142468637458744</v>
      </c>
    </row>
    <row r="348" spans="1:27" x14ac:dyDescent="0.25">
      <c r="A348" s="1" t="s">
        <v>1670</v>
      </c>
      <c r="B348" s="1" t="s">
        <v>861</v>
      </c>
      <c r="C348" s="1">
        <v>8</v>
      </c>
      <c r="D348" s="1">
        <v>6</v>
      </c>
      <c r="E348" s="1">
        <v>7</v>
      </c>
      <c r="F348" s="1">
        <v>7</v>
      </c>
      <c r="G348" s="1">
        <v>7</v>
      </c>
      <c r="H348" s="1">
        <v>8</v>
      </c>
      <c r="I348" s="1">
        <v>7</v>
      </c>
      <c r="J348" s="1">
        <v>7</v>
      </c>
      <c r="K348" s="1">
        <v>8</v>
      </c>
      <c r="L348" s="1">
        <v>9</v>
      </c>
      <c r="M348" s="1">
        <v>28</v>
      </c>
      <c r="N348" s="1">
        <v>29</v>
      </c>
      <c r="O348" s="1">
        <v>17</v>
      </c>
      <c r="P348" s="1">
        <v>74</v>
      </c>
      <c r="Q348" s="7">
        <v>0.8432740427115677</v>
      </c>
      <c r="R348" s="7">
        <f t="shared" si="50"/>
        <v>23.196700507614214</v>
      </c>
      <c r="S348" s="7">
        <f t="shared" si="51"/>
        <v>6.4306002317777482</v>
      </c>
      <c r="T348" s="7">
        <f t="shared" si="52"/>
        <v>22.771573604060915</v>
      </c>
      <c r="U348" s="7">
        <f t="shared" si="53"/>
        <v>6.5356886776680962</v>
      </c>
      <c r="V348" s="7">
        <f t="shared" si="54"/>
        <v>11.434010152284264</v>
      </c>
      <c r="W348" s="7">
        <f t="shared" si="55"/>
        <v>3.5019632409825281</v>
      </c>
      <c r="X348" s="7">
        <f t="shared" si="56"/>
        <v>0.74694419171784021</v>
      </c>
      <c r="Y348" s="7">
        <f t="shared" si="57"/>
        <v>0.95298700766165612</v>
      </c>
      <c r="Z348" s="7">
        <f t="shared" si="58"/>
        <v>1.5893912827463359</v>
      </c>
      <c r="AA348" s="7">
        <f t="shared" si="59"/>
        <v>1.0964408273752773</v>
      </c>
    </row>
    <row r="349" spans="1:27" x14ac:dyDescent="0.25">
      <c r="A349" s="1" t="s">
        <v>1670</v>
      </c>
      <c r="B349" s="1" t="s">
        <v>861</v>
      </c>
      <c r="C349" s="1">
        <v>7</v>
      </c>
      <c r="D349" s="1">
        <v>6</v>
      </c>
      <c r="E349" s="1">
        <v>6</v>
      </c>
      <c r="F349" s="1">
        <v>7</v>
      </c>
      <c r="G349" s="1">
        <v>8</v>
      </c>
      <c r="H349" s="1">
        <v>6</v>
      </c>
      <c r="I349" s="1">
        <v>6</v>
      </c>
      <c r="J349" s="1">
        <v>7</v>
      </c>
      <c r="K349" s="1">
        <v>7</v>
      </c>
      <c r="L349" s="1">
        <v>6</v>
      </c>
      <c r="M349" s="1">
        <v>26</v>
      </c>
      <c r="N349" s="1">
        <v>27</v>
      </c>
      <c r="O349" s="1">
        <v>13</v>
      </c>
      <c r="P349" s="1">
        <v>66</v>
      </c>
      <c r="Q349" s="7">
        <v>0.69920589878010098</v>
      </c>
      <c r="R349" s="7">
        <f t="shared" si="50"/>
        <v>23.196700507614214</v>
      </c>
      <c r="S349" s="7">
        <f t="shared" si="51"/>
        <v>6.4306002317777482</v>
      </c>
      <c r="T349" s="7">
        <f t="shared" si="52"/>
        <v>22.771573604060915</v>
      </c>
      <c r="U349" s="7">
        <f t="shared" si="53"/>
        <v>6.5356886776680962</v>
      </c>
      <c r="V349" s="7">
        <f t="shared" si="54"/>
        <v>11.434010152284264</v>
      </c>
      <c r="W349" s="7">
        <f t="shared" si="55"/>
        <v>3.5019632409825281</v>
      </c>
      <c r="X349" s="7">
        <f t="shared" si="56"/>
        <v>0.43593123368684517</v>
      </c>
      <c r="Y349" s="7">
        <f t="shared" si="57"/>
        <v>0.64697487969206147</v>
      </c>
      <c r="Z349" s="7">
        <f t="shared" si="58"/>
        <v>0.44717483878453679</v>
      </c>
      <c r="AA349" s="7">
        <f t="shared" si="59"/>
        <v>0.51002698405448121</v>
      </c>
    </row>
    <row r="350" spans="1:27" x14ac:dyDescent="0.25">
      <c r="A350" s="1" t="s">
        <v>1670</v>
      </c>
      <c r="B350" s="1" t="s">
        <v>861</v>
      </c>
      <c r="C350" s="1">
        <v>8</v>
      </c>
      <c r="D350" s="1">
        <v>7</v>
      </c>
      <c r="E350" s="1">
        <v>7</v>
      </c>
      <c r="F350" s="1">
        <v>8</v>
      </c>
      <c r="G350" s="1">
        <v>7</v>
      </c>
      <c r="H350" s="1">
        <v>7</v>
      </c>
      <c r="I350" s="1">
        <v>8</v>
      </c>
      <c r="J350" s="1">
        <v>8</v>
      </c>
      <c r="K350" s="1">
        <v>8</v>
      </c>
      <c r="L350" s="1">
        <v>9</v>
      </c>
      <c r="M350" s="1">
        <v>30</v>
      </c>
      <c r="N350" s="1">
        <v>30</v>
      </c>
      <c r="O350" s="1">
        <v>17</v>
      </c>
      <c r="P350" s="1">
        <v>77</v>
      </c>
      <c r="Q350" s="7">
        <v>0.67494855771055284</v>
      </c>
      <c r="R350" s="7">
        <f t="shared" si="50"/>
        <v>23.196700507614214</v>
      </c>
      <c r="S350" s="7">
        <f t="shared" si="51"/>
        <v>6.4306002317777482</v>
      </c>
      <c r="T350" s="7">
        <f t="shared" si="52"/>
        <v>22.771573604060915</v>
      </c>
      <c r="U350" s="7">
        <f t="shared" si="53"/>
        <v>6.5356886776680962</v>
      </c>
      <c r="V350" s="7">
        <f t="shared" si="54"/>
        <v>11.434010152284264</v>
      </c>
      <c r="W350" s="7">
        <f t="shared" si="55"/>
        <v>3.5019632409825281</v>
      </c>
      <c r="X350" s="7">
        <f t="shared" si="56"/>
        <v>1.0579571497488354</v>
      </c>
      <c r="Y350" s="7">
        <f t="shared" si="57"/>
        <v>1.1059930716464534</v>
      </c>
      <c r="Z350" s="7">
        <f t="shared" si="58"/>
        <v>1.5893912827463359</v>
      </c>
      <c r="AA350" s="7">
        <f t="shared" si="59"/>
        <v>1.2511138347138748</v>
      </c>
    </row>
    <row r="351" spans="1:27" x14ac:dyDescent="0.25">
      <c r="A351" s="1" t="s">
        <v>1670</v>
      </c>
      <c r="B351" s="1" t="s">
        <v>861</v>
      </c>
      <c r="C351" s="1">
        <v>8</v>
      </c>
      <c r="D351" s="1">
        <v>8</v>
      </c>
      <c r="E351" s="1">
        <v>7</v>
      </c>
      <c r="F351" s="1">
        <v>7</v>
      </c>
      <c r="G351" s="1">
        <v>9</v>
      </c>
      <c r="H351" s="1">
        <v>8</v>
      </c>
      <c r="I351" s="1">
        <v>8</v>
      </c>
      <c r="J351" s="1">
        <v>8</v>
      </c>
      <c r="K351" s="1">
        <v>8</v>
      </c>
      <c r="L351" s="1">
        <v>10</v>
      </c>
      <c r="M351" s="1">
        <v>30</v>
      </c>
      <c r="N351" s="1">
        <v>33</v>
      </c>
      <c r="O351" s="1">
        <v>18</v>
      </c>
      <c r="P351" s="1">
        <v>81</v>
      </c>
      <c r="Q351" s="7">
        <v>0.87559503577091313</v>
      </c>
      <c r="R351" s="7">
        <f t="shared" si="50"/>
        <v>23.196700507614214</v>
      </c>
      <c r="S351" s="7">
        <f t="shared" si="51"/>
        <v>6.4306002317777482</v>
      </c>
      <c r="T351" s="7">
        <f t="shared" si="52"/>
        <v>22.771573604060915</v>
      </c>
      <c r="U351" s="7">
        <f t="shared" si="53"/>
        <v>6.5356886776680962</v>
      </c>
      <c r="V351" s="7">
        <f t="shared" si="54"/>
        <v>11.434010152284264</v>
      </c>
      <c r="W351" s="7">
        <f t="shared" si="55"/>
        <v>3.5019632409825281</v>
      </c>
      <c r="X351" s="7">
        <f t="shared" si="56"/>
        <v>1.0579571497488354</v>
      </c>
      <c r="Y351" s="7">
        <f t="shared" si="57"/>
        <v>1.5650112636008453</v>
      </c>
      <c r="Z351" s="7">
        <f t="shared" si="58"/>
        <v>1.8749453937367857</v>
      </c>
      <c r="AA351" s="7">
        <f t="shared" si="59"/>
        <v>1.4993046023621555</v>
      </c>
    </row>
    <row r="352" spans="1:27" x14ac:dyDescent="0.25">
      <c r="A352" s="1" t="s">
        <v>1670</v>
      </c>
      <c r="B352" s="1" t="s">
        <v>861</v>
      </c>
      <c r="C352" s="1">
        <v>8</v>
      </c>
      <c r="D352" s="1">
        <v>8</v>
      </c>
      <c r="E352" s="1">
        <v>7</v>
      </c>
      <c r="F352" s="1">
        <v>6</v>
      </c>
      <c r="G352" s="1">
        <v>8</v>
      </c>
      <c r="H352" s="1">
        <v>7</v>
      </c>
      <c r="I352" s="1">
        <v>8</v>
      </c>
      <c r="J352" s="1">
        <v>8</v>
      </c>
      <c r="K352" s="1">
        <v>8</v>
      </c>
      <c r="L352" s="1">
        <v>9</v>
      </c>
      <c r="M352" s="1">
        <v>29</v>
      </c>
      <c r="N352" s="1">
        <v>31</v>
      </c>
      <c r="O352" s="1">
        <v>17</v>
      </c>
      <c r="P352" s="1">
        <v>77</v>
      </c>
      <c r="Q352" s="7">
        <v>0.82327260234856459</v>
      </c>
      <c r="R352" s="7">
        <f t="shared" si="50"/>
        <v>23.196700507614214</v>
      </c>
      <c r="S352" s="7">
        <f t="shared" si="51"/>
        <v>6.4306002317777482</v>
      </c>
      <c r="T352" s="7">
        <f t="shared" si="52"/>
        <v>22.771573604060915</v>
      </c>
      <c r="U352" s="7">
        <f t="shared" si="53"/>
        <v>6.5356886776680962</v>
      </c>
      <c r="V352" s="7">
        <f t="shared" si="54"/>
        <v>11.434010152284264</v>
      </c>
      <c r="W352" s="7">
        <f t="shared" si="55"/>
        <v>3.5019632409825281</v>
      </c>
      <c r="X352" s="7">
        <f t="shared" si="56"/>
        <v>0.90245067073333785</v>
      </c>
      <c r="Y352" s="7">
        <f t="shared" si="57"/>
        <v>1.2589991356312507</v>
      </c>
      <c r="Z352" s="7">
        <f t="shared" si="58"/>
        <v>1.5893912827463359</v>
      </c>
      <c r="AA352" s="7">
        <f t="shared" si="59"/>
        <v>1.2502803630369748</v>
      </c>
    </row>
    <row r="353" spans="1:27" x14ac:dyDescent="0.25">
      <c r="A353" s="1" t="s">
        <v>1670</v>
      </c>
      <c r="B353" s="1" t="s">
        <v>861</v>
      </c>
      <c r="C353" s="1">
        <v>7</v>
      </c>
      <c r="D353" s="1">
        <v>6</v>
      </c>
      <c r="E353" s="1">
        <v>6</v>
      </c>
      <c r="F353" s="1">
        <v>6</v>
      </c>
      <c r="G353" s="1">
        <v>6</v>
      </c>
      <c r="H353" s="1">
        <v>5</v>
      </c>
      <c r="I353" s="1">
        <v>6</v>
      </c>
      <c r="J353" s="1">
        <v>5</v>
      </c>
      <c r="K353" s="1">
        <v>7</v>
      </c>
      <c r="L353" s="1">
        <v>6</v>
      </c>
      <c r="M353" s="1">
        <v>25</v>
      </c>
      <c r="N353" s="1">
        <v>22</v>
      </c>
      <c r="O353" s="1">
        <v>13</v>
      </c>
      <c r="P353" s="1">
        <v>60</v>
      </c>
      <c r="Q353" s="7">
        <v>0.66666666666666663</v>
      </c>
      <c r="R353" s="7">
        <f t="shared" si="50"/>
        <v>23.196700507614214</v>
      </c>
      <c r="S353" s="7">
        <f t="shared" si="51"/>
        <v>6.4306002317777482</v>
      </c>
      <c r="T353" s="7">
        <f t="shared" si="52"/>
        <v>22.771573604060915</v>
      </c>
      <c r="U353" s="7">
        <f t="shared" si="53"/>
        <v>6.5356886776680962</v>
      </c>
      <c r="V353" s="7">
        <f t="shared" si="54"/>
        <v>11.434010152284264</v>
      </c>
      <c r="W353" s="7">
        <f t="shared" si="55"/>
        <v>3.5019632409825281</v>
      </c>
      <c r="X353" s="7">
        <f t="shared" si="56"/>
        <v>0.28042475467134764</v>
      </c>
      <c r="Y353" s="7">
        <f t="shared" si="57"/>
        <v>-0.11805544023192505</v>
      </c>
      <c r="Z353" s="7">
        <f t="shared" si="58"/>
        <v>0.44717483878453679</v>
      </c>
      <c r="AA353" s="7">
        <f t="shared" si="59"/>
        <v>0.20318138440798647</v>
      </c>
    </row>
    <row r="354" spans="1:27" x14ac:dyDescent="0.25">
      <c r="A354" s="1" t="s">
        <v>1670</v>
      </c>
      <c r="B354" s="1" t="s">
        <v>861</v>
      </c>
      <c r="C354" s="1">
        <v>7</v>
      </c>
      <c r="D354" s="1">
        <v>7</v>
      </c>
      <c r="E354" s="1">
        <v>6</v>
      </c>
      <c r="F354" s="1">
        <v>6</v>
      </c>
      <c r="G354" s="1">
        <v>5</v>
      </c>
      <c r="H354" s="1">
        <v>4</v>
      </c>
      <c r="I354" s="1">
        <v>4</v>
      </c>
      <c r="J354" s="1">
        <v>4</v>
      </c>
      <c r="K354" s="1">
        <v>4</v>
      </c>
      <c r="L354" s="1">
        <v>5</v>
      </c>
      <c r="M354" s="1">
        <v>26</v>
      </c>
      <c r="N354" s="1">
        <v>17</v>
      </c>
      <c r="O354" s="1">
        <v>9</v>
      </c>
      <c r="P354" s="1">
        <v>52</v>
      </c>
      <c r="Q354" s="7">
        <v>1.2292725943057186</v>
      </c>
      <c r="R354" s="7">
        <f t="shared" si="50"/>
        <v>23.196700507614214</v>
      </c>
      <c r="S354" s="7">
        <f t="shared" si="51"/>
        <v>6.4306002317777482</v>
      </c>
      <c r="T354" s="7">
        <f t="shared" si="52"/>
        <v>22.771573604060915</v>
      </c>
      <c r="U354" s="7">
        <f t="shared" si="53"/>
        <v>6.5356886776680962</v>
      </c>
      <c r="V354" s="7">
        <f t="shared" si="54"/>
        <v>11.434010152284264</v>
      </c>
      <c r="W354" s="7">
        <f t="shared" si="55"/>
        <v>3.5019632409825281</v>
      </c>
      <c r="X354" s="7">
        <f t="shared" si="56"/>
        <v>0.43593123368684517</v>
      </c>
      <c r="Y354" s="7">
        <f t="shared" si="57"/>
        <v>-0.88308576015591156</v>
      </c>
      <c r="Z354" s="7">
        <f t="shared" si="58"/>
        <v>-0.69504160517726232</v>
      </c>
      <c r="AA354" s="7">
        <f t="shared" si="59"/>
        <v>-0.38073204388210957</v>
      </c>
    </row>
    <row r="355" spans="1:27" x14ac:dyDescent="0.25">
      <c r="A355" s="1" t="s">
        <v>1670</v>
      </c>
      <c r="B355" s="1" t="s">
        <v>861</v>
      </c>
      <c r="C355" s="1">
        <v>5</v>
      </c>
      <c r="D355" s="1">
        <v>5</v>
      </c>
      <c r="E355" s="1">
        <v>5</v>
      </c>
      <c r="F355" s="1">
        <v>5</v>
      </c>
      <c r="G355" s="1">
        <v>7</v>
      </c>
      <c r="H355" s="1">
        <v>7</v>
      </c>
      <c r="I355" s="1">
        <v>6</v>
      </c>
      <c r="J355" s="1">
        <v>6</v>
      </c>
      <c r="K355" s="1">
        <v>6</v>
      </c>
      <c r="L355" s="1">
        <v>4</v>
      </c>
      <c r="M355" s="1">
        <v>20</v>
      </c>
      <c r="N355" s="1">
        <v>26</v>
      </c>
      <c r="O355" s="1">
        <v>10</v>
      </c>
      <c r="P355" s="1">
        <v>56</v>
      </c>
      <c r="Q355" s="7">
        <v>0.96609178307929577</v>
      </c>
      <c r="R355" s="7">
        <f t="shared" si="50"/>
        <v>23.196700507614214</v>
      </c>
      <c r="S355" s="7">
        <f t="shared" si="51"/>
        <v>6.4306002317777482</v>
      </c>
      <c r="T355" s="7">
        <f t="shared" si="52"/>
        <v>22.771573604060915</v>
      </c>
      <c r="U355" s="7">
        <f t="shared" si="53"/>
        <v>6.5356886776680962</v>
      </c>
      <c r="V355" s="7">
        <f t="shared" si="54"/>
        <v>11.434010152284264</v>
      </c>
      <c r="W355" s="7">
        <f t="shared" si="55"/>
        <v>3.5019632409825281</v>
      </c>
      <c r="X355" s="7">
        <f t="shared" si="56"/>
        <v>-0.49710764040614003</v>
      </c>
      <c r="Y355" s="7">
        <f t="shared" si="57"/>
        <v>0.49396881570726414</v>
      </c>
      <c r="Z355" s="7">
        <f t="shared" si="58"/>
        <v>-0.40948749418681252</v>
      </c>
      <c r="AA355" s="7">
        <f t="shared" si="59"/>
        <v>-0.13754210629522948</v>
      </c>
    </row>
    <row r="356" spans="1:27" x14ac:dyDescent="0.25">
      <c r="A356" s="1" t="s">
        <v>1670</v>
      </c>
      <c r="B356" s="1" t="s">
        <v>861</v>
      </c>
      <c r="C356" s="1">
        <v>7</v>
      </c>
      <c r="D356" s="1">
        <v>6</v>
      </c>
      <c r="E356" s="1">
        <v>6</v>
      </c>
      <c r="F356" s="1">
        <v>7</v>
      </c>
      <c r="G356" s="1">
        <v>6</v>
      </c>
      <c r="H356" s="1">
        <v>7</v>
      </c>
      <c r="I356" s="1">
        <v>7</v>
      </c>
      <c r="J356" s="1">
        <v>6</v>
      </c>
      <c r="K356" s="1">
        <v>7</v>
      </c>
      <c r="L356" s="1">
        <v>6</v>
      </c>
      <c r="M356" s="1">
        <v>26</v>
      </c>
      <c r="N356" s="1">
        <v>26</v>
      </c>
      <c r="O356" s="1">
        <v>13</v>
      </c>
      <c r="P356" s="1">
        <v>65</v>
      </c>
      <c r="Q356" s="7">
        <v>0.52704627669472992</v>
      </c>
      <c r="R356" s="7">
        <f t="shared" si="50"/>
        <v>23.196700507614214</v>
      </c>
      <c r="S356" s="7">
        <f t="shared" si="51"/>
        <v>6.4306002317777482</v>
      </c>
      <c r="T356" s="7">
        <f t="shared" si="52"/>
        <v>22.771573604060915</v>
      </c>
      <c r="U356" s="7">
        <f t="shared" si="53"/>
        <v>6.5356886776680962</v>
      </c>
      <c r="V356" s="7">
        <f t="shared" si="54"/>
        <v>11.434010152284264</v>
      </c>
      <c r="W356" s="7">
        <f t="shared" si="55"/>
        <v>3.5019632409825281</v>
      </c>
      <c r="X356" s="7">
        <f t="shared" si="56"/>
        <v>0.43593123368684517</v>
      </c>
      <c r="Y356" s="7">
        <f t="shared" si="57"/>
        <v>0.49396881570726414</v>
      </c>
      <c r="Z356" s="7">
        <f t="shared" si="58"/>
        <v>0.44717483878453679</v>
      </c>
      <c r="AA356" s="7">
        <f t="shared" si="59"/>
        <v>0.45902496272621535</v>
      </c>
    </row>
    <row r="357" spans="1:27" x14ac:dyDescent="0.25">
      <c r="A357" s="1" t="s">
        <v>1670</v>
      </c>
      <c r="B357" s="1" t="s">
        <v>861</v>
      </c>
      <c r="C357" s="1">
        <v>7</v>
      </c>
      <c r="D357" s="1">
        <v>4</v>
      </c>
      <c r="E357" s="1">
        <v>5</v>
      </c>
      <c r="F357" s="1">
        <v>4</v>
      </c>
      <c r="G357" s="1">
        <v>4</v>
      </c>
      <c r="H357" s="1">
        <v>5</v>
      </c>
      <c r="I357" s="1">
        <v>6</v>
      </c>
      <c r="J357" s="1">
        <v>6</v>
      </c>
      <c r="K357" s="1">
        <v>5</v>
      </c>
      <c r="L357" s="1">
        <v>4</v>
      </c>
      <c r="M357" s="1">
        <v>20</v>
      </c>
      <c r="N357" s="1">
        <v>21</v>
      </c>
      <c r="O357" s="1">
        <v>9</v>
      </c>
      <c r="P357" s="1">
        <v>50</v>
      </c>
      <c r="Q357" s="7">
        <v>1.0540925533894598</v>
      </c>
      <c r="R357" s="7">
        <f t="shared" si="50"/>
        <v>23.196700507614214</v>
      </c>
      <c r="S357" s="7">
        <f t="shared" si="51"/>
        <v>6.4306002317777482</v>
      </c>
      <c r="T357" s="7">
        <f t="shared" si="52"/>
        <v>22.771573604060915</v>
      </c>
      <c r="U357" s="7">
        <f t="shared" si="53"/>
        <v>6.5356886776680962</v>
      </c>
      <c r="V357" s="7">
        <f t="shared" si="54"/>
        <v>11.434010152284264</v>
      </c>
      <c r="W357" s="7">
        <f t="shared" si="55"/>
        <v>3.5019632409825281</v>
      </c>
      <c r="X357" s="7">
        <f t="shared" si="56"/>
        <v>-0.49710764040614003</v>
      </c>
      <c r="Y357" s="7">
        <f t="shared" si="57"/>
        <v>-0.27106150421672232</v>
      </c>
      <c r="Z357" s="7">
        <f t="shared" si="58"/>
        <v>-0.69504160517726232</v>
      </c>
      <c r="AA357" s="7">
        <f t="shared" si="59"/>
        <v>-0.48773691660004159</v>
      </c>
    </row>
    <row r="358" spans="1:27" x14ac:dyDescent="0.25">
      <c r="A358" s="1" t="s">
        <v>1670</v>
      </c>
      <c r="B358" s="1" t="s">
        <v>861</v>
      </c>
      <c r="C358" s="1">
        <v>6</v>
      </c>
      <c r="D358" s="1">
        <v>4</v>
      </c>
      <c r="E358" s="1">
        <v>5</v>
      </c>
      <c r="F358" s="1">
        <v>4</v>
      </c>
      <c r="G358" s="1">
        <v>4</v>
      </c>
      <c r="H358" s="1">
        <v>6</v>
      </c>
      <c r="I358" s="1">
        <v>6</v>
      </c>
      <c r="J358" s="1">
        <v>5</v>
      </c>
      <c r="K358" s="1">
        <v>6</v>
      </c>
      <c r="L358" s="1">
        <v>6</v>
      </c>
      <c r="M358" s="1">
        <v>19</v>
      </c>
      <c r="N358" s="1">
        <v>21</v>
      </c>
      <c r="O358" s="1">
        <v>12</v>
      </c>
      <c r="P358" s="1">
        <v>52</v>
      </c>
      <c r="Q358" s="7">
        <v>0.91893658347268159</v>
      </c>
      <c r="R358" s="7">
        <f t="shared" si="50"/>
        <v>23.196700507614214</v>
      </c>
      <c r="S358" s="7">
        <f t="shared" si="51"/>
        <v>6.4306002317777482</v>
      </c>
      <c r="T358" s="7">
        <f t="shared" si="52"/>
        <v>22.771573604060915</v>
      </c>
      <c r="U358" s="7">
        <f t="shared" si="53"/>
        <v>6.5356886776680962</v>
      </c>
      <c r="V358" s="7">
        <f t="shared" si="54"/>
        <v>11.434010152284264</v>
      </c>
      <c r="W358" s="7">
        <f t="shared" si="55"/>
        <v>3.5019632409825281</v>
      </c>
      <c r="X358" s="7">
        <f t="shared" si="56"/>
        <v>-0.65261411942163761</v>
      </c>
      <c r="Y358" s="7">
        <f t="shared" si="57"/>
        <v>-0.27106150421672232</v>
      </c>
      <c r="Z358" s="7">
        <f t="shared" si="58"/>
        <v>0.16162072779408701</v>
      </c>
      <c r="AA358" s="7">
        <f t="shared" si="59"/>
        <v>-0.25401829861475761</v>
      </c>
    </row>
    <row r="359" spans="1:27" x14ac:dyDescent="0.25">
      <c r="A359" s="1" t="s">
        <v>1670</v>
      </c>
      <c r="B359" s="1" t="s">
        <v>861</v>
      </c>
      <c r="C359" s="1">
        <v>6</v>
      </c>
      <c r="D359" s="1">
        <v>5</v>
      </c>
      <c r="E359" s="1">
        <v>6</v>
      </c>
      <c r="F359" s="1">
        <v>5</v>
      </c>
      <c r="G359" s="1">
        <v>6</v>
      </c>
      <c r="H359" s="1">
        <v>6</v>
      </c>
      <c r="I359" s="1">
        <v>7</v>
      </c>
      <c r="J359" s="1">
        <v>7</v>
      </c>
      <c r="K359" s="1">
        <v>5</v>
      </c>
      <c r="L359" s="1">
        <v>4</v>
      </c>
      <c r="M359" s="1">
        <v>22</v>
      </c>
      <c r="N359" s="1">
        <v>26</v>
      </c>
      <c r="O359" s="1">
        <v>9</v>
      </c>
      <c r="P359" s="1">
        <v>57</v>
      </c>
      <c r="Q359" s="7">
        <v>0.94868329805051399</v>
      </c>
      <c r="R359" s="7">
        <f t="shared" si="50"/>
        <v>23.196700507614214</v>
      </c>
      <c r="S359" s="7">
        <f t="shared" si="51"/>
        <v>6.4306002317777482</v>
      </c>
      <c r="T359" s="7">
        <f t="shared" si="52"/>
        <v>22.771573604060915</v>
      </c>
      <c r="U359" s="7">
        <f t="shared" si="53"/>
        <v>6.5356886776680962</v>
      </c>
      <c r="V359" s="7">
        <f t="shared" si="54"/>
        <v>11.434010152284264</v>
      </c>
      <c r="W359" s="7">
        <f t="shared" si="55"/>
        <v>3.5019632409825281</v>
      </c>
      <c r="X359" s="7">
        <f t="shared" si="56"/>
        <v>-0.18609468237514495</v>
      </c>
      <c r="Y359" s="7">
        <f t="shared" si="57"/>
        <v>0.49396881570726414</v>
      </c>
      <c r="Z359" s="7">
        <f t="shared" si="58"/>
        <v>-0.69504160517726232</v>
      </c>
      <c r="AA359" s="7">
        <f t="shared" si="59"/>
        <v>-0.12905582394838103</v>
      </c>
    </row>
    <row r="360" spans="1:27" x14ac:dyDescent="0.25">
      <c r="A360" s="1" t="s">
        <v>1670</v>
      </c>
      <c r="B360" s="1" t="s">
        <v>861</v>
      </c>
      <c r="C360" s="1">
        <v>6</v>
      </c>
      <c r="D360" s="1">
        <v>7</v>
      </c>
      <c r="E360" s="1">
        <v>6</v>
      </c>
      <c r="F360" s="1">
        <v>7</v>
      </c>
      <c r="G360" s="1">
        <v>8</v>
      </c>
      <c r="H360" s="1">
        <v>8</v>
      </c>
      <c r="I360" s="1">
        <v>7</v>
      </c>
      <c r="J360" s="1">
        <v>6</v>
      </c>
      <c r="K360" s="1">
        <v>7</v>
      </c>
      <c r="L360" s="1">
        <v>8</v>
      </c>
      <c r="M360" s="1">
        <v>26</v>
      </c>
      <c r="N360" s="1">
        <v>29</v>
      </c>
      <c r="O360" s="1">
        <v>15</v>
      </c>
      <c r="P360" s="1">
        <v>70</v>
      </c>
      <c r="Q360" s="7">
        <v>0.81649658092772603</v>
      </c>
      <c r="R360" s="7">
        <f t="shared" si="50"/>
        <v>23.196700507614214</v>
      </c>
      <c r="S360" s="7">
        <f t="shared" si="51"/>
        <v>6.4306002317777482</v>
      </c>
      <c r="T360" s="7">
        <f t="shared" si="52"/>
        <v>22.771573604060915</v>
      </c>
      <c r="U360" s="7">
        <f t="shared" si="53"/>
        <v>6.5356886776680962</v>
      </c>
      <c r="V360" s="7">
        <f t="shared" si="54"/>
        <v>11.434010152284264</v>
      </c>
      <c r="W360" s="7">
        <f t="shared" si="55"/>
        <v>3.5019632409825281</v>
      </c>
      <c r="X360" s="7">
        <f t="shared" si="56"/>
        <v>0.43593123368684517</v>
      </c>
      <c r="Y360" s="7">
        <f t="shared" si="57"/>
        <v>0.95298700766165612</v>
      </c>
      <c r="Z360" s="7">
        <f t="shared" si="58"/>
        <v>1.0182830607654363</v>
      </c>
      <c r="AA360" s="7">
        <f t="shared" si="59"/>
        <v>0.80240043403797923</v>
      </c>
    </row>
    <row r="361" spans="1:27" x14ac:dyDescent="0.25">
      <c r="A361" s="1" t="s">
        <v>1670</v>
      </c>
      <c r="B361" s="1" t="s">
        <v>861</v>
      </c>
      <c r="C361" s="1">
        <v>7</v>
      </c>
      <c r="D361" s="1">
        <v>7</v>
      </c>
      <c r="E361" s="1">
        <v>6</v>
      </c>
      <c r="F361" s="1">
        <v>6</v>
      </c>
      <c r="G361" s="1">
        <v>7</v>
      </c>
      <c r="H361" s="1">
        <v>5</v>
      </c>
      <c r="I361" s="1">
        <v>5</v>
      </c>
      <c r="J361" s="1">
        <v>5</v>
      </c>
      <c r="K361" s="1">
        <v>5</v>
      </c>
      <c r="L361" s="1">
        <v>8</v>
      </c>
      <c r="M361" s="1">
        <v>26</v>
      </c>
      <c r="N361" s="1">
        <v>22</v>
      </c>
      <c r="O361" s="1">
        <v>13</v>
      </c>
      <c r="P361" s="1">
        <v>61</v>
      </c>
      <c r="Q361" s="7">
        <v>1.1005049346146116</v>
      </c>
      <c r="R361" s="7">
        <f t="shared" si="50"/>
        <v>23.196700507614214</v>
      </c>
      <c r="S361" s="7">
        <f t="shared" si="51"/>
        <v>6.4306002317777482</v>
      </c>
      <c r="T361" s="7">
        <f t="shared" si="52"/>
        <v>22.771573604060915</v>
      </c>
      <c r="U361" s="7">
        <f t="shared" si="53"/>
        <v>6.5356886776680962</v>
      </c>
      <c r="V361" s="7">
        <f t="shared" si="54"/>
        <v>11.434010152284264</v>
      </c>
      <c r="W361" s="7">
        <f t="shared" si="55"/>
        <v>3.5019632409825281</v>
      </c>
      <c r="X361" s="7">
        <f t="shared" si="56"/>
        <v>0.43593123368684517</v>
      </c>
      <c r="Y361" s="7">
        <f t="shared" si="57"/>
        <v>-0.11805544023192505</v>
      </c>
      <c r="Z361" s="7">
        <f t="shared" si="58"/>
        <v>0.44717483878453679</v>
      </c>
      <c r="AA361" s="7">
        <f t="shared" si="59"/>
        <v>0.25501687741315232</v>
      </c>
    </row>
    <row r="362" spans="1:27" x14ac:dyDescent="0.25">
      <c r="A362" s="1" t="s">
        <v>1670</v>
      </c>
      <c r="B362" s="1" t="s">
        <v>861</v>
      </c>
      <c r="C362" s="1">
        <v>8</v>
      </c>
      <c r="D362" s="1">
        <v>8</v>
      </c>
      <c r="E362" s="1">
        <v>8</v>
      </c>
      <c r="F362" s="1">
        <v>8</v>
      </c>
      <c r="G362" s="1">
        <v>7</v>
      </c>
      <c r="H362" s="1">
        <v>7</v>
      </c>
      <c r="I362" s="1">
        <v>7</v>
      </c>
      <c r="J362" s="1">
        <v>6</v>
      </c>
      <c r="K362" s="1">
        <v>8</v>
      </c>
      <c r="L362" s="1">
        <v>8</v>
      </c>
      <c r="M362" s="1">
        <v>32</v>
      </c>
      <c r="N362" s="1">
        <v>27</v>
      </c>
      <c r="O362" s="1">
        <v>16</v>
      </c>
      <c r="P362" s="1">
        <v>75</v>
      </c>
      <c r="Q362" s="7">
        <v>0.70710678118654735</v>
      </c>
      <c r="R362" s="7">
        <f t="shared" si="50"/>
        <v>23.196700507614214</v>
      </c>
      <c r="S362" s="7">
        <f t="shared" si="51"/>
        <v>6.4306002317777482</v>
      </c>
      <c r="T362" s="7">
        <f t="shared" si="52"/>
        <v>22.771573604060915</v>
      </c>
      <c r="U362" s="7">
        <f t="shared" si="53"/>
        <v>6.5356886776680962</v>
      </c>
      <c r="V362" s="7">
        <f t="shared" si="54"/>
        <v>11.434010152284264</v>
      </c>
      <c r="W362" s="7">
        <f t="shared" si="55"/>
        <v>3.5019632409825281</v>
      </c>
      <c r="X362" s="7">
        <f t="shared" si="56"/>
        <v>1.3689701077798304</v>
      </c>
      <c r="Y362" s="7">
        <f t="shared" si="57"/>
        <v>0.64697487969206147</v>
      </c>
      <c r="Z362" s="7">
        <f t="shared" si="58"/>
        <v>1.3038371717558861</v>
      </c>
      <c r="AA362" s="7">
        <f t="shared" si="59"/>
        <v>1.106594053075926</v>
      </c>
    </row>
    <row r="363" spans="1:27" x14ac:dyDescent="0.25">
      <c r="A363" s="1" t="s">
        <v>1670</v>
      </c>
      <c r="B363" s="1" t="s">
        <v>861</v>
      </c>
      <c r="C363" s="1">
        <v>9</v>
      </c>
      <c r="D363" s="1">
        <v>9</v>
      </c>
      <c r="E363" s="1">
        <v>8</v>
      </c>
      <c r="F363" s="1">
        <v>9</v>
      </c>
      <c r="G363" s="1">
        <v>8</v>
      </c>
      <c r="H363" s="1">
        <v>6</v>
      </c>
      <c r="I363" s="1">
        <v>7</v>
      </c>
      <c r="J363" s="1">
        <v>7</v>
      </c>
      <c r="K363" s="1">
        <v>7</v>
      </c>
      <c r="L363" s="1">
        <v>7</v>
      </c>
      <c r="M363" s="1">
        <v>35</v>
      </c>
      <c r="N363" s="1">
        <v>28</v>
      </c>
      <c r="O363" s="1">
        <v>14</v>
      </c>
      <c r="P363" s="1">
        <v>77</v>
      </c>
      <c r="Q363" s="7">
        <v>1.0593499054713797</v>
      </c>
      <c r="R363" s="7">
        <f t="shared" si="50"/>
        <v>23.196700507614214</v>
      </c>
      <c r="S363" s="7">
        <f t="shared" si="51"/>
        <v>6.4306002317777482</v>
      </c>
      <c r="T363" s="7">
        <f t="shared" si="52"/>
        <v>22.771573604060915</v>
      </c>
      <c r="U363" s="7">
        <f t="shared" si="53"/>
        <v>6.5356886776680962</v>
      </c>
      <c r="V363" s="7">
        <f t="shared" si="54"/>
        <v>11.434010152284264</v>
      </c>
      <c r="W363" s="7">
        <f t="shared" si="55"/>
        <v>3.5019632409825281</v>
      </c>
      <c r="X363" s="7">
        <f t="shared" si="56"/>
        <v>1.8354895448263231</v>
      </c>
      <c r="Y363" s="7">
        <f t="shared" si="57"/>
        <v>0.79998094367685879</v>
      </c>
      <c r="Z363" s="7">
        <f t="shared" si="58"/>
        <v>0.73272894977498659</v>
      </c>
      <c r="AA363" s="7">
        <f t="shared" si="59"/>
        <v>1.1227331460927228</v>
      </c>
    </row>
    <row r="364" spans="1:27" x14ac:dyDescent="0.25">
      <c r="A364" s="1" t="s">
        <v>1670</v>
      </c>
      <c r="B364" s="1" t="s">
        <v>861</v>
      </c>
      <c r="C364" s="1">
        <v>8</v>
      </c>
      <c r="D364" s="1">
        <v>8</v>
      </c>
      <c r="E364" s="1">
        <v>7</v>
      </c>
      <c r="F364" s="1">
        <v>8</v>
      </c>
      <c r="G364" s="1">
        <v>7</v>
      </c>
      <c r="H364" s="1">
        <v>8</v>
      </c>
      <c r="I364" s="1">
        <v>7</v>
      </c>
      <c r="J364" s="1">
        <v>8</v>
      </c>
      <c r="K364" s="1">
        <v>8</v>
      </c>
      <c r="L364" s="1">
        <v>7</v>
      </c>
      <c r="M364" s="1">
        <v>31</v>
      </c>
      <c r="N364" s="1">
        <v>30</v>
      </c>
      <c r="O364" s="1">
        <v>15</v>
      </c>
      <c r="P364" s="1">
        <v>76</v>
      </c>
      <c r="Q364" s="7">
        <v>0.51639777949432231</v>
      </c>
      <c r="R364" s="7">
        <f t="shared" si="50"/>
        <v>23.196700507614214</v>
      </c>
      <c r="S364" s="7">
        <f t="shared" si="51"/>
        <v>6.4306002317777482</v>
      </c>
      <c r="T364" s="7">
        <f t="shared" si="52"/>
        <v>22.771573604060915</v>
      </c>
      <c r="U364" s="7">
        <f t="shared" si="53"/>
        <v>6.5356886776680962</v>
      </c>
      <c r="V364" s="7">
        <f t="shared" si="54"/>
        <v>11.434010152284264</v>
      </c>
      <c r="W364" s="7">
        <f t="shared" si="55"/>
        <v>3.5019632409825281</v>
      </c>
      <c r="X364" s="7">
        <f t="shared" si="56"/>
        <v>1.2134636287643328</v>
      </c>
      <c r="Y364" s="7">
        <f t="shared" si="57"/>
        <v>1.1059930716464534</v>
      </c>
      <c r="Z364" s="7">
        <f t="shared" si="58"/>
        <v>1.0182830607654363</v>
      </c>
      <c r="AA364" s="7">
        <f t="shared" si="59"/>
        <v>1.1125799203920741</v>
      </c>
    </row>
    <row r="365" spans="1:27" x14ac:dyDescent="0.25">
      <c r="A365" s="1" t="s">
        <v>1670</v>
      </c>
      <c r="B365" s="1" t="s">
        <v>861</v>
      </c>
      <c r="C365" s="1">
        <v>8</v>
      </c>
      <c r="D365" s="1">
        <v>8</v>
      </c>
      <c r="E365" s="1">
        <v>8</v>
      </c>
      <c r="F365" s="1">
        <v>8</v>
      </c>
      <c r="G365" s="1">
        <v>9</v>
      </c>
      <c r="H365" s="1">
        <v>7</v>
      </c>
      <c r="I365" s="1">
        <v>8</v>
      </c>
      <c r="J365" s="1">
        <v>7</v>
      </c>
      <c r="K365" s="1">
        <v>8</v>
      </c>
      <c r="L365" s="1">
        <v>7</v>
      </c>
      <c r="M365" s="1">
        <v>32</v>
      </c>
      <c r="N365" s="1">
        <v>31</v>
      </c>
      <c r="O365" s="1">
        <v>15</v>
      </c>
      <c r="P365" s="1">
        <v>78</v>
      </c>
      <c r="Q365" s="7">
        <v>0.63245553203367566</v>
      </c>
      <c r="R365" s="7">
        <f t="shared" si="50"/>
        <v>23.196700507614214</v>
      </c>
      <c r="S365" s="7">
        <f t="shared" si="51"/>
        <v>6.4306002317777482</v>
      </c>
      <c r="T365" s="7">
        <f t="shared" si="52"/>
        <v>22.771573604060915</v>
      </c>
      <c r="U365" s="7">
        <f t="shared" si="53"/>
        <v>6.5356886776680962</v>
      </c>
      <c r="V365" s="7">
        <f t="shared" si="54"/>
        <v>11.434010152284264</v>
      </c>
      <c r="W365" s="7">
        <f t="shared" si="55"/>
        <v>3.5019632409825281</v>
      </c>
      <c r="X365" s="7">
        <f t="shared" si="56"/>
        <v>1.3689701077798304</v>
      </c>
      <c r="Y365" s="7">
        <f t="shared" si="57"/>
        <v>1.2589991356312507</v>
      </c>
      <c r="Z365" s="7">
        <f t="shared" si="58"/>
        <v>1.0182830607654363</v>
      </c>
      <c r="AA365" s="7">
        <f t="shared" si="59"/>
        <v>1.2154174347255058</v>
      </c>
    </row>
    <row r="366" spans="1:27" x14ac:dyDescent="0.25">
      <c r="A366" s="1" t="s">
        <v>1670</v>
      </c>
      <c r="B366" s="1" t="s">
        <v>861</v>
      </c>
      <c r="C366" s="1">
        <v>9</v>
      </c>
      <c r="D366" s="1">
        <v>8</v>
      </c>
      <c r="E366" s="1">
        <v>9</v>
      </c>
      <c r="F366" s="1">
        <v>8</v>
      </c>
      <c r="G366" s="1">
        <v>6</v>
      </c>
      <c r="H366" s="1">
        <v>7</v>
      </c>
      <c r="I366" s="1">
        <v>7</v>
      </c>
      <c r="J366" s="1">
        <v>8</v>
      </c>
      <c r="K366" s="1">
        <v>8</v>
      </c>
      <c r="L366" s="1">
        <v>8</v>
      </c>
      <c r="M366" s="1">
        <v>34</v>
      </c>
      <c r="N366" s="1">
        <v>28</v>
      </c>
      <c r="O366" s="1">
        <v>16</v>
      </c>
      <c r="P366" s="1">
        <v>78</v>
      </c>
      <c r="Q366" s="7">
        <v>0.91893658347268137</v>
      </c>
      <c r="R366" s="7">
        <f t="shared" si="50"/>
        <v>23.196700507614214</v>
      </c>
      <c r="S366" s="7">
        <f t="shared" si="51"/>
        <v>6.4306002317777482</v>
      </c>
      <c r="T366" s="7">
        <f t="shared" si="52"/>
        <v>22.771573604060915</v>
      </c>
      <c r="U366" s="7">
        <f t="shared" si="53"/>
        <v>6.5356886776680962</v>
      </c>
      <c r="V366" s="7">
        <f t="shared" si="54"/>
        <v>11.434010152284264</v>
      </c>
      <c r="W366" s="7">
        <f t="shared" si="55"/>
        <v>3.5019632409825281</v>
      </c>
      <c r="X366" s="7">
        <f t="shared" si="56"/>
        <v>1.6799830658108255</v>
      </c>
      <c r="Y366" s="7">
        <f t="shared" si="57"/>
        <v>0.79998094367685879</v>
      </c>
      <c r="Z366" s="7">
        <f t="shared" si="58"/>
        <v>1.3038371717558861</v>
      </c>
      <c r="AA366" s="7">
        <f t="shared" si="59"/>
        <v>1.2612670604145235</v>
      </c>
    </row>
    <row r="367" spans="1:27" x14ac:dyDescent="0.25">
      <c r="A367" s="1" t="s">
        <v>1671</v>
      </c>
      <c r="B367" s="1" t="s">
        <v>861</v>
      </c>
      <c r="C367" s="1">
        <v>6</v>
      </c>
      <c r="D367" s="1">
        <v>6</v>
      </c>
      <c r="E367" s="1">
        <v>5</v>
      </c>
      <c r="F367" s="1">
        <v>6</v>
      </c>
      <c r="G367" s="1">
        <v>6</v>
      </c>
      <c r="H367" s="1">
        <v>5</v>
      </c>
      <c r="I367" s="1">
        <v>6</v>
      </c>
      <c r="J367" s="1">
        <v>5</v>
      </c>
      <c r="K367" s="1">
        <v>6</v>
      </c>
      <c r="L367" s="1">
        <v>6</v>
      </c>
      <c r="M367" s="1">
        <v>23</v>
      </c>
      <c r="N367" s="1">
        <v>22</v>
      </c>
      <c r="O367" s="1">
        <v>12</v>
      </c>
      <c r="P367" s="1">
        <v>57</v>
      </c>
      <c r="Q367" s="7">
        <v>0.48304589153964789</v>
      </c>
      <c r="R367" s="7">
        <f t="shared" si="50"/>
        <v>23.196700507614214</v>
      </c>
      <c r="S367" s="7">
        <f t="shared" si="51"/>
        <v>6.4306002317777482</v>
      </c>
      <c r="T367" s="7">
        <f t="shared" si="52"/>
        <v>22.771573604060915</v>
      </c>
      <c r="U367" s="7">
        <f t="shared" si="53"/>
        <v>6.5356886776680962</v>
      </c>
      <c r="V367" s="7">
        <f t="shared" si="54"/>
        <v>11.434010152284264</v>
      </c>
      <c r="W367" s="7">
        <f t="shared" si="55"/>
        <v>3.5019632409825281</v>
      </c>
      <c r="X367" s="7">
        <f t="shared" si="56"/>
        <v>-3.0588203359647428E-2</v>
      </c>
      <c r="Y367" s="7">
        <f t="shared" si="57"/>
        <v>-0.11805544023192505</v>
      </c>
      <c r="Z367" s="7">
        <f t="shared" si="58"/>
        <v>0.16162072779408701</v>
      </c>
      <c r="AA367" s="7">
        <f t="shared" si="59"/>
        <v>4.3256947341715106E-3</v>
      </c>
    </row>
    <row r="368" spans="1:27" x14ac:dyDescent="0.25">
      <c r="A368" s="1" t="s">
        <v>1671</v>
      </c>
      <c r="B368" s="1" t="s">
        <v>861</v>
      </c>
      <c r="C368" s="1">
        <v>5</v>
      </c>
      <c r="D368" s="1">
        <v>4</v>
      </c>
      <c r="E368" s="1">
        <v>4</v>
      </c>
      <c r="F368" s="1">
        <v>4</v>
      </c>
      <c r="G368" s="1">
        <v>5</v>
      </c>
      <c r="H368" s="1">
        <v>5</v>
      </c>
      <c r="I368" s="1">
        <v>4</v>
      </c>
      <c r="J368" s="1">
        <v>4</v>
      </c>
      <c r="K368" s="1">
        <v>5</v>
      </c>
      <c r="L368" s="1">
        <v>3</v>
      </c>
      <c r="M368" s="1">
        <v>17</v>
      </c>
      <c r="N368" s="1">
        <v>18</v>
      </c>
      <c r="O368" s="1">
        <v>8</v>
      </c>
      <c r="P368" s="1">
        <v>43</v>
      </c>
      <c r="Q368" s="7">
        <v>0.67494855771055284</v>
      </c>
      <c r="R368" s="7">
        <f t="shared" si="50"/>
        <v>23.196700507614214</v>
      </c>
      <c r="S368" s="7">
        <f t="shared" si="51"/>
        <v>6.4306002317777482</v>
      </c>
      <c r="T368" s="7">
        <f t="shared" si="52"/>
        <v>22.771573604060915</v>
      </c>
      <c r="U368" s="7">
        <f t="shared" si="53"/>
        <v>6.5356886776680962</v>
      </c>
      <c r="V368" s="7">
        <f t="shared" si="54"/>
        <v>11.434010152284264</v>
      </c>
      <c r="W368" s="7">
        <f t="shared" si="55"/>
        <v>3.5019632409825281</v>
      </c>
      <c r="X368" s="7">
        <f t="shared" si="56"/>
        <v>-0.96362707745263265</v>
      </c>
      <c r="Y368" s="7">
        <f t="shared" si="57"/>
        <v>-0.73007969617111423</v>
      </c>
      <c r="Z368" s="7">
        <f t="shared" si="58"/>
        <v>-0.98059571616771202</v>
      </c>
      <c r="AA368" s="7">
        <f t="shared" si="59"/>
        <v>-0.89143416326381963</v>
      </c>
    </row>
    <row r="369" spans="1:27" x14ac:dyDescent="0.25">
      <c r="A369" s="1" t="s">
        <v>1671</v>
      </c>
      <c r="B369" s="1" t="s">
        <v>861</v>
      </c>
      <c r="C369" s="1">
        <v>6</v>
      </c>
      <c r="D369" s="1">
        <v>5</v>
      </c>
      <c r="E369" s="1">
        <v>5</v>
      </c>
      <c r="F369" s="1">
        <v>6</v>
      </c>
      <c r="G369" s="1">
        <v>6</v>
      </c>
      <c r="H369" s="1">
        <v>6</v>
      </c>
      <c r="I369" s="1">
        <v>5</v>
      </c>
      <c r="J369" s="1">
        <v>6</v>
      </c>
      <c r="K369" s="1">
        <v>5</v>
      </c>
      <c r="L369" s="1">
        <v>4</v>
      </c>
      <c r="M369" s="1">
        <v>22</v>
      </c>
      <c r="N369" s="1">
        <v>23</v>
      </c>
      <c r="O369" s="1">
        <v>9</v>
      </c>
      <c r="P369" s="1">
        <v>54</v>
      </c>
      <c r="Q369" s="7">
        <v>0.69920589878010087</v>
      </c>
      <c r="R369" s="7">
        <f t="shared" si="50"/>
        <v>23.196700507614214</v>
      </c>
      <c r="S369" s="7">
        <f t="shared" si="51"/>
        <v>6.4306002317777482</v>
      </c>
      <c r="T369" s="7">
        <f t="shared" si="52"/>
        <v>22.771573604060915</v>
      </c>
      <c r="U369" s="7">
        <f t="shared" si="53"/>
        <v>6.5356886776680962</v>
      </c>
      <c r="V369" s="7">
        <f t="shared" si="54"/>
        <v>11.434010152284264</v>
      </c>
      <c r="W369" s="7">
        <f t="shared" si="55"/>
        <v>3.5019632409825281</v>
      </c>
      <c r="X369" s="7">
        <f t="shared" si="56"/>
        <v>-0.18609468237514495</v>
      </c>
      <c r="Y369" s="7">
        <f t="shared" si="57"/>
        <v>3.4950623752872265E-2</v>
      </c>
      <c r="Z369" s="7">
        <f t="shared" si="58"/>
        <v>-0.69504160517726232</v>
      </c>
      <c r="AA369" s="7">
        <f t="shared" si="59"/>
        <v>-0.28206188793317838</v>
      </c>
    </row>
    <row r="370" spans="1:27" x14ac:dyDescent="0.25">
      <c r="A370" s="1" t="s">
        <v>1671</v>
      </c>
      <c r="B370" s="1" t="s">
        <v>861</v>
      </c>
      <c r="C370" s="1">
        <v>6</v>
      </c>
      <c r="D370" s="1">
        <v>4</v>
      </c>
      <c r="E370" s="1">
        <v>4</v>
      </c>
      <c r="F370" s="1">
        <v>5</v>
      </c>
      <c r="G370" s="1">
        <v>6</v>
      </c>
      <c r="H370" s="1">
        <v>7</v>
      </c>
      <c r="I370" s="1">
        <v>5</v>
      </c>
      <c r="J370" s="1">
        <v>7</v>
      </c>
      <c r="K370" s="1">
        <v>5</v>
      </c>
      <c r="L370" s="1">
        <v>4</v>
      </c>
      <c r="M370" s="1">
        <v>19</v>
      </c>
      <c r="N370" s="1">
        <v>25</v>
      </c>
      <c r="O370" s="1">
        <v>9</v>
      </c>
      <c r="P370" s="1">
        <v>53</v>
      </c>
      <c r="Q370" s="7">
        <v>1.1595018087284057</v>
      </c>
      <c r="R370" s="7">
        <f t="shared" si="50"/>
        <v>23.196700507614214</v>
      </c>
      <c r="S370" s="7">
        <f t="shared" si="51"/>
        <v>6.4306002317777482</v>
      </c>
      <c r="T370" s="7">
        <f t="shared" si="52"/>
        <v>22.771573604060915</v>
      </c>
      <c r="U370" s="7">
        <f t="shared" si="53"/>
        <v>6.5356886776680962</v>
      </c>
      <c r="V370" s="7">
        <f t="shared" si="54"/>
        <v>11.434010152284264</v>
      </c>
      <c r="W370" s="7">
        <f t="shared" si="55"/>
        <v>3.5019632409825281</v>
      </c>
      <c r="X370" s="7">
        <f t="shared" si="56"/>
        <v>-0.65261411942163761</v>
      </c>
      <c r="Y370" s="7">
        <f t="shared" si="57"/>
        <v>0.34096275172246687</v>
      </c>
      <c r="Z370" s="7">
        <f t="shared" si="58"/>
        <v>-0.69504160517726232</v>
      </c>
      <c r="AA370" s="7">
        <f t="shared" si="59"/>
        <v>-0.33556432429214439</v>
      </c>
    </row>
    <row r="371" spans="1:27" x14ac:dyDescent="0.25">
      <c r="A371" s="1" t="s">
        <v>1671</v>
      </c>
      <c r="B371" s="1" t="s">
        <v>861</v>
      </c>
      <c r="C371" s="1">
        <v>7</v>
      </c>
      <c r="D371" s="1">
        <v>6</v>
      </c>
      <c r="E371" s="1">
        <v>6</v>
      </c>
      <c r="F371" s="1">
        <v>6</v>
      </c>
      <c r="G371" s="1">
        <v>7</v>
      </c>
      <c r="H371" s="1">
        <v>7</v>
      </c>
      <c r="I371" s="1">
        <v>6</v>
      </c>
      <c r="J371" s="1">
        <v>7</v>
      </c>
      <c r="K371" s="1">
        <v>6</v>
      </c>
      <c r="L371" s="1">
        <v>6</v>
      </c>
      <c r="M371" s="1">
        <v>25</v>
      </c>
      <c r="N371" s="1">
        <v>27</v>
      </c>
      <c r="O371" s="1">
        <v>12</v>
      </c>
      <c r="P371" s="1">
        <v>64</v>
      </c>
      <c r="Q371" s="7">
        <v>0.5163977794943222</v>
      </c>
      <c r="R371" s="7">
        <f t="shared" si="50"/>
        <v>23.196700507614214</v>
      </c>
      <c r="S371" s="7">
        <f t="shared" si="51"/>
        <v>6.4306002317777482</v>
      </c>
      <c r="T371" s="7">
        <f t="shared" si="52"/>
        <v>22.771573604060915</v>
      </c>
      <c r="U371" s="7">
        <f t="shared" si="53"/>
        <v>6.5356886776680962</v>
      </c>
      <c r="V371" s="7">
        <f t="shared" si="54"/>
        <v>11.434010152284264</v>
      </c>
      <c r="W371" s="7">
        <f t="shared" si="55"/>
        <v>3.5019632409825281</v>
      </c>
      <c r="X371" s="7">
        <f t="shared" si="56"/>
        <v>0.28042475467134764</v>
      </c>
      <c r="Y371" s="7">
        <f t="shared" si="57"/>
        <v>0.64697487969206147</v>
      </c>
      <c r="Z371" s="7">
        <f t="shared" si="58"/>
        <v>0.16162072779408701</v>
      </c>
      <c r="AA371" s="7">
        <f t="shared" si="59"/>
        <v>0.36300678738583203</v>
      </c>
    </row>
    <row r="372" spans="1:27" x14ac:dyDescent="0.25">
      <c r="A372" s="1" t="s">
        <v>1671</v>
      </c>
      <c r="B372" s="1" t="s">
        <v>861</v>
      </c>
      <c r="C372" s="1">
        <v>7</v>
      </c>
      <c r="D372" s="1">
        <v>6</v>
      </c>
      <c r="E372" s="1">
        <v>6</v>
      </c>
      <c r="F372" s="1">
        <v>5</v>
      </c>
      <c r="G372" s="1">
        <v>7</v>
      </c>
      <c r="H372" s="1">
        <v>7</v>
      </c>
      <c r="I372" s="1">
        <v>6</v>
      </c>
      <c r="J372" s="1">
        <v>7</v>
      </c>
      <c r="K372" s="1">
        <v>6</v>
      </c>
      <c r="L372" s="1">
        <v>6</v>
      </c>
      <c r="M372" s="1">
        <v>24</v>
      </c>
      <c r="N372" s="1">
        <v>27</v>
      </c>
      <c r="O372" s="1">
        <v>12</v>
      </c>
      <c r="P372" s="1">
        <v>63</v>
      </c>
      <c r="Q372" s="7">
        <v>0.67494855771055284</v>
      </c>
      <c r="R372" s="7">
        <f t="shared" si="50"/>
        <v>23.196700507614214</v>
      </c>
      <c r="S372" s="7">
        <f t="shared" si="51"/>
        <v>6.4306002317777482</v>
      </c>
      <c r="T372" s="7">
        <f t="shared" si="52"/>
        <v>22.771573604060915</v>
      </c>
      <c r="U372" s="7">
        <f t="shared" si="53"/>
        <v>6.5356886776680962</v>
      </c>
      <c r="V372" s="7">
        <f t="shared" si="54"/>
        <v>11.434010152284264</v>
      </c>
      <c r="W372" s="7">
        <f t="shared" si="55"/>
        <v>3.5019632409825281</v>
      </c>
      <c r="X372" s="7">
        <f t="shared" si="56"/>
        <v>0.12491827565585011</v>
      </c>
      <c r="Y372" s="7">
        <f t="shared" si="57"/>
        <v>0.64697487969206147</v>
      </c>
      <c r="Z372" s="7">
        <f t="shared" si="58"/>
        <v>0.16162072779408701</v>
      </c>
      <c r="AA372" s="7">
        <f t="shared" si="59"/>
        <v>0.31117129438066621</v>
      </c>
    </row>
    <row r="373" spans="1:27" x14ac:dyDescent="0.25">
      <c r="A373" s="1" t="s">
        <v>1671</v>
      </c>
      <c r="B373" s="1" t="s">
        <v>861</v>
      </c>
      <c r="C373" s="1">
        <v>7</v>
      </c>
      <c r="D373" s="1">
        <v>5</v>
      </c>
      <c r="E373" s="1">
        <v>5</v>
      </c>
      <c r="F373" s="1">
        <v>4</v>
      </c>
      <c r="G373" s="1">
        <v>6</v>
      </c>
      <c r="H373" s="1">
        <v>7</v>
      </c>
      <c r="I373" s="1">
        <v>5</v>
      </c>
      <c r="J373" s="1">
        <v>6</v>
      </c>
      <c r="K373" s="1">
        <v>6</v>
      </c>
      <c r="L373" s="1">
        <v>7</v>
      </c>
      <c r="M373" s="1">
        <v>21</v>
      </c>
      <c r="N373" s="1">
        <v>24</v>
      </c>
      <c r="O373" s="1">
        <v>13</v>
      </c>
      <c r="P373" s="1">
        <v>58</v>
      </c>
      <c r="Q373" s="7">
        <v>1.0327955589886444</v>
      </c>
      <c r="R373" s="7">
        <f t="shared" si="50"/>
        <v>23.196700507614214</v>
      </c>
      <c r="S373" s="7">
        <f t="shared" si="51"/>
        <v>6.4306002317777482</v>
      </c>
      <c r="T373" s="7">
        <f t="shared" si="52"/>
        <v>22.771573604060915</v>
      </c>
      <c r="U373" s="7">
        <f t="shared" si="53"/>
        <v>6.5356886776680962</v>
      </c>
      <c r="V373" s="7">
        <f t="shared" si="54"/>
        <v>11.434010152284264</v>
      </c>
      <c r="W373" s="7">
        <f t="shared" si="55"/>
        <v>3.5019632409825281</v>
      </c>
      <c r="X373" s="7">
        <f t="shared" si="56"/>
        <v>-0.3416011613906425</v>
      </c>
      <c r="Y373" s="7">
        <f t="shared" si="57"/>
        <v>0.18795668773766958</v>
      </c>
      <c r="Z373" s="7">
        <f t="shared" si="58"/>
        <v>0.44717483878453679</v>
      </c>
      <c r="AA373" s="7">
        <f t="shared" si="59"/>
        <v>9.784345504385461E-2</v>
      </c>
    </row>
    <row r="374" spans="1:27" x14ac:dyDescent="0.25">
      <c r="A374" s="1" t="s">
        <v>1671</v>
      </c>
      <c r="B374" s="1" t="s">
        <v>861</v>
      </c>
      <c r="C374" s="1">
        <v>6</v>
      </c>
      <c r="D374" s="1">
        <v>5</v>
      </c>
      <c r="E374" s="1">
        <v>5</v>
      </c>
      <c r="F374" s="1">
        <v>5</v>
      </c>
      <c r="G374" s="1">
        <v>7</v>
      </c>
      <c r="H374" s="1">
        <v>7</v>
      </c>
      <c r="I374" s="1">
        <v>6</v>
      </c>
      <c r="J374" s="1">
        <v>6</v>
      </c>
      <c r="K374" s="1">
        <v>6</v>
      </c>
      <c r="L374" s="1">
        <v>7</v>
      </c>
      <c r="M374" s="1">
        <v>21</v>
      </c>
      <c r="N374" s="1">
        <v>26</v>
      </c>
      <c r="O374" s="1">
        <v>13</v>
      </c>
      <c r="P374" s="1">
        <v>60</v>
      </c>
      <c r="Q374" s="7">
        <v>0.81649658092772603</v>
      </c>
      <c r="R374" s="7">
        <f t="shared" si="50"/>
        <v>23.196700507614214</v>
      </c>
      <c r="S374" s="7">
        <f t="shared" si="51"/>
        <v>6.4306002317777482</v>
      </c>
      <c r="T374" s="7">
        <f t="shared" si="52"/>
        <v>22.771573604060915</v>
      </c>
      <c r="U374" s="7">
        <f t="shared" si="53"/>
        <v>6.5356886776680962</v>
      </c>
      <c r="V374" s="7">
        <f t="shared" si="54"/>
        <v>11.434010152284264</v>
      </c>
      <c r="W374" s="7">
        <f t="shared" si="55"/>
        <v>3.5019632409825281</v>
      </c>
      <c r="X374" s="7">
        <f t="shared" si="56"/>
        <v>-0.3416011613906425</v>
      </c>
      <c r="Y374" s="7">
        <f t="shared" si="57"/>
        <v>0.49396881570726414</v>
      </c>
      <c r="Z374" s="7">
        <f t="shared" si="58"/>
        <v>0.44717483878453679</v>
      </c>
      <c r="AA374" s="7">
        <f t="shared" si="59"/>
        <v>0.19984749770038612</v>
      </c>
    </row>
    <row r="375" spans="1:27" x14ac:dyDescent="0.25">
      <c r="A375" s="1" t="s">
        <v>1671</v>
      </c>
      <c r="B375" s="1" t="s">
        <v>861</v>
      </c>
      <c r="C375" s="1">
        <v>6</v>
      </c>
      <c r="D375" s="1">
        <v>5</v>
      </c>
      <c r="E375" s="1">
        <v>5</v>
      </c>
      <c r="F375" s="1">
        <v>6</v>
      </c>
      <c r="G375" s="1">
        <v>4</v>
      </c>
      <c r="H375" s="1">
        <v>5</v>
      </c>
      <c r="I375" s="1">
        <v>6</v>
      </c>
      <c r="J375" s="1">
        <v>6</v>
      </c>
      <c r="K375" s="1">
        <v>6</v>
      </c>
      <c r="L375" s="1">
        <v>7</v>
      </c>
      <c r="M375" s="1">
        <v>22</v>
      </c>
      <c r="N375" s="1">
        <v>21</v>
      </c>
      <c r="O375" s="1">
        <v>13</v>
      </c>
      <c r="P375" s="1">
        <v>56</v>
      </c>
      <c r="Q375" s="7">
        <v>0.8432740427115677</v>
      </c>
      <c r="R375" s="7">
        <f t="shared" si="50"/>
        <v>23.196700507614214</v>
      </c>
      <c r="S375" s="7">
        <f t="shared" si="51"/>
        <v>6.4306002317777482</v>
      </c>
      <c r="T375" s="7">
        <f t="shared" si="52"/>
        <v>22.771573604060915</v>
      </c>
      <c r="U375" s="7">
        <f t="shared" si="53"/>
        <v>6.5356886776680962</v>
      </c>
      <c r="V375" s="7">
        <f t="shared" si="54"/>
        <v>11.434010152284264</v>
      </c>
      <c r="W375" s="7">
        <f t="shared" si="55"/>
        <v>3.5019632409825281</v>
      </c>
      <c r="X375" s="7">
        <f t="shared" si="56"/>
        <v>-0.18609468237514495</v>
      </c>
      <c r="Y375" s="7">
        <f t="shared" si="57"/>
        <v>-0.27106150421672232</v>
      </c>
      <c r="Z375" s="7">
        <f t="shared" si="58"/>
        <v>0.44717483878453679</v>
      </c>
      <c r="AA375" s="7">
        <f t="shared" si="59"/>
        <v>-3.3271159357768365E-3</v>
      </c>
    </row>
    <row r="376" spans="1:27" x14ac:dyDescent="0.25">
      <c r="A376" s="1" t="s">
        <v>1671</v>
      </c>
      <c r="B376" s="1" t="s">
        <v>861</v>
      </c>
      <c r="C376" s="1">
        <v>7</v>
      </c>
      <c r="D376" s="1">
        <v>6</v>
      </c>
      <c r="E376" s="1">
        <v>6</v>
      </c>
      <c r="F376" s="1">
        <v>7</v>
      </c>
      <c r="G376" s="1">
        <v>6</v>
      </c>
      <c r="H376" s="1">
        <v>5</v>
      </c>
      <c r="I376" s="1">
        <v>6</v>
      </c>
      <c r="J376" s="1">
        <v>5</v>
      </c>
      <c r="K376" s="1">
        <v>6</v>
      </c>
      <c r="L376" s="1">
        <v>7</v>
      </c>
      <c r="M376" s="1">
        <v>26</v>
      </c>
      <c r="N376" s="1">
        <v>22</v>
      </c>
      <c r="O376" s="1">
        <v>13</v>
      </c>
      <c r="P376" s="1">
        <v>61</v>
      </c>
      <c r="Q376" s="7">
        <v>0.73786478737262207</v>
      </c>
      <c r="R376" s="7">
        <f t="shared" si="50"/>
        <v>23.196700507614214</v>
      </c>
      <c r="S376" s="7">
        <f t="shared" si="51"/>
        <v>6.4306002317777482</v>
      </c>
      <c r="T376" s="7">
        <f t="shared" si="52"/>
        <v>22.771573604060915</v>
      </c>
      <c r="U376" s="7">
        <f t="shared" si="53"/>
        <v>6.5356886776680962</v>
      </c>
      <c r="V376" s="7">
        <f t="shared" si="54"/>
        <v>11.434010152284264</v>
      </c>
      <c r="W376" s="7">
        <f t="shared" si="55"/>
        <v>3.5019632409825281</v>
      </c>
      <c r="X376" s="7">
        <f t="shared" si="56"/>
        <v>0.43593123368684517</v>
      </c>
      <c r="Y376" s="7">
        <f t="shared" si="57"/>
        <v>-0.11805544023192505</v>
      </c>
      <c r="Z376" s="7">
        <f t="shared" si="58"/>
        <v>0.44717483878453679</v>
      </c>
      <c r="AA376" s="7">
        <f t="shared" si="59"/>
        <v>0.25501687741315232</v>
      </c>
    </row>
    <row r="377" spans="1:27" x14ac:dyDescent="0.25">
      <c r="A377" s="1" t="s">
        <v>1671</v>
      </c>
      <c r="B377" s="1" t="s">
        <v>861</v>
      </c>
      <c r="C377" s="1">
        <v>6</v>
      </c>
      <c r="D377" s="1">
        <v>4</v>
      </c>
      <c r="E377" s="1">
        <v>5</v>
      </c>
      <c r="F377" s="1">
        <v>5</v>
      </c>
      <c r="G377" s="1">
        <v>4</v>
      </c>
      <c r="H377" s="1">
        <v>4</v>
      </c>
      <c r="I377" s="1">
        <v>5</v>
      </c>
      <c r="J377" s="1">
        <v>4</v>
      </c>
      <c r="K377" s="1">
        <v>5</v>
      </c>
      <c r="L377" s="1">
        <v>7</v>
      </c>
      <c r="M377" s="1">
        <v>20</v>
      </c>
      <c r="N377" s="1">
        <v>17</v>
      </c>
      <c r="O377" s="1">
        <v>12</v>
      </c>
      <c r="P377" s="1">
        <v>49</v>
      </c>
      <c r="Q377" s="7">
        <v>0.99442892601175337</v>
      </c>
      <c r="R377" s="7">
        <f t="shared" si="50"/>
        <v>23.196700507614214</v>
      </c>
      <c r="S377" s="7">
        <f t="shared" si="51"/>
        <v>6.4306002317777482</v>
      </c>
      <c r="T377" s="7">
        <f t="shared" si="52"/>
        <v>22.771573604060915</v>
      </c>
      <c r="U377" s="7">
        <f t="shared" si="53"/>
        <v>6.5356886776680962</v>
      </c>
      <c r="V377" s="7">
        <f t="shared" si="54"/>
        <v>11.434010152284264</v>
      </c>
      <c r="W377" s="7">
        <f t="shared" si="55"/>
        <v>3.5019632409825281</v>
      </c>
      <c r="X377" s="7">
        <f t="shared" si="56"/>
        <v>-0.49710764040614003</v>
      </c>
      <c r="Y377" s="7">
        <f t="shared" si="57"/>
        <v>-0.88308576015591156</v>
      </c>
      <c r="Z377" s="7">
        <f t="shared" si="58"/>
        <v>0.16162072779408701</v>
      </c>
      <c r="AA377" s="7">
        <f t="shared" si="59"/>
        <v>-0.40619089092265481</v>
      </c>
    </row>
    <row r="378" spans="1:27" x14ac:dyDescent="0.25">
      <c r="A378" s="1" t="s">
        <v>1671</v>
      </c>
      <c r="B378" s="1" t="s">
        <v>861</v>
      </c>
      <c r="C378" s="1">
        <v>4</v>
      </c>
      <c r="D378" s="1">
        <v>3</v>
      </c>
      <c r="E378" s="1">
        <v>4</v>
      </c>
      <c r="F378" s="1">
        <v>3</v>
      </c>
      <c r="G378" s="1">
        <v>3</v>
      </c>
      <c r="H378" s="1">
        <v>4</v>
      </c>
      <c r="I378" s="1">
        <v>3</v>
      </c>
      <c r="J378" s="1">
        <v>4</v>
      </c>
      <c r="K378" s="1">
        <v>4</v>
      </c>
      <c r="L378" s="1">
        <v>3</v>
      </c>
      <c r="M378" s="1">
        <v>14</v>
      </c>
      <c r="N378" s="1">
        <v>14</v>
      </c>
      <c r="O378" s="1">
        <v>7</v>
      </c>
      <c r="P378" s="1">
        <v>35</v>
      </c>
      <c r="Q378" s="7">
        <v>0.52704627669472992</v>
      </c>
      <c r="R378" s="7">
        <f t="shared" si="50"/>
        <v>23.196700507614214</v>
      </c>
      <c r="S378" s="7">
        <f t="shared" si="51"/>
        <v>6.4306002317777482</v>
      </c>
      <c r="T378" s="7">
        <f t="shared" si="52"/>
        <v>22.771573604060915</v>
      </c>
      <c r="U378" s="7">
        <f t="shared" si="53"/>
        <v>6.5356886776680962</v>
      </c>
      <c r="V378" s="7">
        <f t="shared" si="54"/>
        <v>11.434010152284264</v>
      </c>
      <c r="W378" s="7">
        <f t="shared" si="55"/>
        <v>3.5019632409825281</v>
      </c>
      <c r="X378" s="7">
        <f t="shared" si="56"/>
        <v>-1.4301465144991252</v>
      </c>
      <c r="Y378" s="7">
        <f t="shared" si="57"/>
        <v>-1.3421039521103035</v>
      </c>
      <c r="Z378" s="7">
        <f t="shared" si="58"/>
        <v>-1.2661498271581617</v>
      </c>
      <c r="AA378" s="7">
        <f t="shared" si="59"/>
        <v>-1.3461334312558637</v>
      </c>
    </row>
    <row r="379" spans="1:27" x14ac:dyDescent="0.25">
      <c r="A379" s="1" t="s">
        <v>1671</v>
      </c>
      <c r="B379" s="1" t="s">
        <v>861</v>
      </c>
      <c r="C379" s="1">
        <v>7</v>
      </c>
      <c r="D379" s="1">
        <v>6</v>
      </c>
      <c r="E379" s="1">
        <v>7</v>
      </c>
      <c r="F379" s="1">
        <v>7</v>
      </c>
      <c r="G379" s="1">
        <v>7</v>
      </c>
      <c r="H379" s="1">
        <v>6</v>
      </c>
      <c r="I379" s="1">
        <v>7</v>
      </c>
      <c r="J379" s="1">
        <v>7</v>
      </c>
      <c r="K379" s="1">
        <v>7</v>
      </c>
      <c r="L379" s="1">
        <v>6</v>
      </c>
      <c r="M379" s="1">
        <v>27</v>
      </c>
      <c r="N379" s="1">
        <v>27</v>
      </c>
      <c r="O379" s="1">
        <v>13</v>
      </c>
      <c r="P379" s="1">
        <v>67</v>
      </c>
      <c r="Q379" s="7">
        <v>0.48304589153964789</v>
      </c>
      <c r="R379" s="7">
        <f t="shared" si="50"/>
        <v>23.196700507614214</v>
      </c>
      <c r="S379" s="7">
        <f t="shared" si="51"/>
        <v>6.4306002317777482</v>
      </c>
      <c r="T379" s="7">
        <f t="shared" si="52"/>
        <v>22.771573604060915</v>
      </c>
      <c r="U379" s="7">
        <f t="shared" si="53"/>
        <v>6.5356886776680962</v>
      </c>
      <c r="V379" s="7">
        <f t="shared" si="54"/>
        <v>11.434010152284264</v>
      </c>
      <c r="W379" s="7">
        <f t="shared" si="55"/>
        <v>3.5019632409825281</v>
      </c>
      <c r="X379" s="7">
        <f t="shared" si="56"/>
        <v>0.59143771270234269</v>
      </c>
      <c r="Y379" s="7">
        <f t="shared" si="57"/>
        <v>0.64697487969206147</v>
      </c>
      <c r="Z379" s="7">
        <f t="shared" si="58"/>
        <v>0.44717483878453679</v>
      </c>
      <c r="AA379" s="7">
        <f t="shared" si="59"/>
        <v>0.56186247705964698</v>
      </c>
    </row>
    <row r="380" spans="1:27" x14ac:dyDescent="0.25">
      <c r="A380" s="1" t="s">
        <v>1671</v>
      </c>
      <c r="B380" s="1" t="s">
        <v>861</v>
      </c>
      <c r="C380" s="1">
        <v>4</v>
      </c>
      <c r="D380" s="1">
        <v>4</v>
      </c>
      <c r="E380" s="1">
        <v>3</v>
      </c>
      <c r="F380" s="1">
        <v>3</v>
      </c>
      <c r="G380" s="1">
        <v>5</v>
      </c>
      <c r="H380" s="1">
        <v>5</v>
      </c>
      <c r="I380" s="1">
        <v>3</v>
      </c>
      <c r="J380" s="1">
        <v>4</v>
      </c>
      <c r="K380" s="1">
        <v>4</v>
      </c>
      <c r="L380" s="1">
        <v>3</v>
      </c>
      <c r="M380" s="1">
        <v>14</v>
      </c>
      <c r="N380" s="1">
        <v>17</v>
      </c>
      <c r="O380" s="1">
        <v>7</v>
      </c>
      <c r="P380" s="1">
        <v>38</v>
      </c>
      <c r="Q380" s="7">
        <v>0.78881063774661553</v>
      </c>
      <c r="R380" s="7">
        <f t="shared" si="50"/>
        <v>23.196700507614214</v>
      </c>
      <c r="S380" s="7">
        <f t="shared" si="51"/>
        <v>6.4306002317777482</v>
      </c>
      <c r="T380" s="7">
        <f t="shared" si="52"/>
        <v>22.771573604060915</v>
      </c>
      <c r="U380" s="7">
        <f t="shared" si="53"/>
        <v>6.5356886776680962</v>
      </c>
      <c r="V380" s="7">
        <f t="shared" si="54"/>
        <v>11.434010152284264</v>
      </c>
      <c r="W380" s="7">
        <f t="shared" si="55"/>
        <v>3.5019632409825281</v>
      </c>
      <c r="X380" s="7">
        <f t="shared" si="56"/>
        <v>-1.4301465144991252</v>
      </c>
      <c r="Y380" s="7">
        <f t="shared" si="57"/>
        <v>-0.88308576015591156</v>
      </c>
      <c r="Z380" s="7">
        <f t="shared" si="58"/>
        <v>-1.2661498271581617</v>
      </c>
      <c r="AA380" s="7">
        <f t="shared" si="59"/>
        <v>-1.1931273672710663</v>
      </c>
    </row>
    <row r="381" spans="1:27" x14ac:dyDescent="0.25">
      <c r="A381" s="1" t="s">
        <v>1671</v>
      </c>
      <c r="B381" s="1" t="s">
        <v>861</v>
      </c>
      <c r="C381" s="1">
        <v>6</v>
      </c>
      <c r="D381" s="1">
        <v>5</v>
      </c>
      <c r="E381" s="1">
        <v>5</v>
      </c>
      <c r="F381" s="1">
        <v>4</v>
      </c>
      <c r="G381" s="1">
        <v>6</v>
      </c>
      <c r="H381" s="1">
        <v>6</v>
      </c>
      <c r="I381" s="1">
        <v>5</v>
      </c>
      <c r="J381" s="1">
        <v>6</v>
      </c>
      <c r="K381" s="1">
        <v>6</v>
      </c>
      <c r="L381" s="1">
        <v>5</v>
      </c>
      <c r="M381" s="1">
        <v>20</v>
      </c>
      <c r="N381" s="1">
        <v>23</v>
      </c>
      <c r="O381" s="1">
        <v>11</v>
      </c>
      <c r="P381" s="1">
        <v>54</v>
      </c>
      <c r="Q381" s="7">
        <v>0.69920589878010087</v>
      </c>
      <c r="R381" s="7">
        <f t="shared" si="50"/>
        <v>23.196700507614214</v>
      </c>
      <c r="S381" s="7">
        <f t="shared" si="51"/>
        <v>6.4306002317777482</v>
      </c>
      <c r="T381" s="7">
        <f t="shared" si="52"/>
        <v>22.771573604060915</v>
      </c>
      <c r="U381" s="7">
        <f t="shared" si="53"/>
        <v>6.5356886776680962</v>
      </c>
      <c r="V381" s="7">
        <f t="shared" si="54"/>
        <v>11.434010152284264</v>
      </c>
      <c r="W381" s="7">
        <f t="shared" si="55"/>
        <v>3.5019632409825281</v>
      </c>
      <c r="X381" s="7">
        <f t="shared" si="56"/>
        <v>-0.49710764040614003</v>
      </c>
      <c r="Y381" s="7">
        <f t="shared" si="57"/>
        <v>3.4950623752872265E-2</v>
      </c>
      <c r="Z381" s="7">
        <f t="shared" si="58"/>
        <v>-0.12393338319636275</v>
      </c>
      <c r="AA381" s="7">
        <f t="shared" si="59"/>
        <v>-0.1953634666165435</v>
      </c>
    </row>
    <row r="382" spans="1:27" x14ac:dyDescent="0.25">
      <c r="A382" s="1" t="s">
        <v>1671</v>
      </c>
      <c r="B382" s="1" t="s">
        <v>861</v>
      </c>
      <c r="C382" s="1">
        <v>4</v>
      </c>
      <c r="D382" s="1">
        <v>3</v>
      </c>
      <c r="E382" s="1">
        <v>4</v>
      </c>
      <c r="F382" s="1">
        <v>3</v>
      </c>
      <c r="G382" s="1">
        <v>5</v>
      </c>
      <c r="H382" s="1">
        <v>6</v>
      </c>
      <c r="I382" s="1">
        <v>3</v>
      </c>
      <c r="J382" s="1">
        <v>4</v>
      </c>
      <c r="K382" s="1">
        <v>6</v>
      </c>
      <c r="L382" s="1">
        <v>5</v>
      </c>
      <c r="M382" s="1">
        <v>14</v>
      </c>
      <c r="N382" s="1">
        <v>18</v>
      </c>
      <c r="O382" s="1">
        <v>11</v>
      </c>
      <c r="P382" s="1">
        <v>43</v>
      </c>
      <c r="Q382" s="7">
        <v>1.1595018087284061</v>
      </c>
      <c r="R382" s="7">
        <f t="shared" si="50"/>
        <v>23.196700507614214</v>
      </c>
      <c r="S382" s="7">
        <f t="shared" si="51"/>
        <v>6.4306002317777482</v>
      </c>
      <c r="T382" s="7">
        <f t="shared" si="52"/>
        <v>22.771573604060915</v>
      </c>
      <c r="U382" s="7">
        <f t="shared" si="53"/>
        <v>6.5356886776680962</v>
      </c>
      <c r="V382" s="7">
        <f t="shared" si="54"/>
        <v>11.434010152284264</v>
      </c>
      <c r="W382" s="7">
        <f t="shared" si="55"/>
        <v>3.5019632409825281</v>
      </c>
      <c r="X382" s="7">
        <f t="shared" si="56"/>
        <v>-1.4301465144991252</v>
      </c>
      <c r="Y382" s="7">
        <f t="shared" si="57"/>
        <v>-0.73007969617111423</v>
      </c>
      <c r="Z382" s="7">
        <f t="shared" si="58"/>
        <v>-0.12393338319636275</v>
      </c>
      <c r="AA382" s="7">
        <f t="shared" si="59"/>
        <v>-0.76138653128886735</v>
      </c>
    </row>
    <row r="383" spans="1:27" x14ac:dyDescent="0.25">
      <c r="A383" s="1" t="s">
        <v>1671</v>
      </c>
      <c r="B383" s="1" t="s">
        <v>861</v>
      </c>
      <c r="C383" s="1">
        <v>6</v>
      </c>
      <c r="D383" s="1">
        <v>5</v>
      </c>
      <c r="E383" s="1">
        <v>4</v>
      </c>
      <c r="F383" s="1">
        <v>4</v>
      </c>
      <c r="G383" s="1">
        <v>4</v>
      </c>
      <c r="H383" s="1">
        <v>3</v>
      </c>
      <c r="I383" s="1">
        <v>4</v>
      </c>
      <c r="J383" s="1">
        <v>4</v>
      </c>
      <c r="K383" s="1">
        <v>4</v>
      </c>
      <c r="L383" s="1">
        <v>4</v>
      </c>
      <c r="M383" s="1">
        <v>19</v>
      </c>
      <c r="N383" s="1">
        <v>15</v>
      </c>
      <c r="O383" s="1">
        <v>8</v>
      </c>
      <c r="P383" s="1">
        <v>42</v>
      </c>
      <c r="Q383" s="7">
        <v>0.78881063774661531</v>
      </c>
      <c r="R383" s="7">
        <f t="shared" si="50"/>
        <v>23.196700507614214</v>
      </c>
      <c r="S383" s="7">
        <f t="shared" si="51"/>
        <v>6.4306002317777482</v>
      </c>
      <c r="T383" s="7">
        <f t="shared" si="52"/>
        <v>22.771573604060915</v>
      </c>
      <c r="U383" s="7">
        <f t="shared" si="53"/>
        <v>6.5356886776680962</v>
      </c>
      <c r="V383" s="7">
        <f t="shared" si="54"/>
        <v>11.434010152284264</v>
      </c>
      <c r="W383" s="7">
        <f t="shared" si="55"/>
        <v>3.5019632409825281</v>
      </c>
      <c r="X383" s="7">
        <f t="shared" si="56"/>
        <v>-0.65261411942163761</v>
      </c>
      <c r="Y383" s="7">
        <f t="shared" si="57"/>
        <v>-1.1890978881255061</v>
      </c>
      <c r="Z383" s="7">
        <f t="shared" si="58"/>
        <v>-0.98059571616771202</v>
      </c>
      <c r="AA383" s="7">
        <f t="shared" si="59"/>
        <v>-0.9407692412382852</v>
      </c>
    </row>
    <row r="384" spans="1:27" x14ac:dyDescent="0.25">
      <c r="A384" s="1" t="s">
        <v>1671</v>
      </c>
      <c r="B384" s="1" t="s">
        <v>861</v>
      </c>
      <c r="C384" s="1">
        <v>7</v>
      </c>
      <c r="D384" s="1">
        <v>5</v>
      </c>
      <c r="E384" s="1">
        <v>5</v>
      </c>
      <c r="F384" s="1">
        <v>5</v>
      </c>
      <c r="G384" s="1">
        <v>6</v>
      </c>
      <c r="H384" s="1">
        <v>6</v>
      </c>
      <c r="I384" s="1">
        <v>6</v>
      </c>
      <c r="J384" s="1">
        <v>7</v>
      </c>
      <c r="K384" s="1">
        <v>6</v>
      </c>
      <c r="L384" s="1">
        <v>6</v>
      </c>
      <c r="M384" s="1">
        <v>22</v>
      </c>
      <c r="N384" s="1">
        <v>25</v>
      </c>
      <c r="O384" s="1">
        <v>12</v>
      </c>
      <c r="P384" s="1">
        <v>59</v>
      </c>
      <c r="Q384" s="7">
        <v>0.73786478737262207</v>
      </c>
      <c r="R384" s="7">
        <f t="shared" si="50"/>
        <v>23.196700507614214</v>
      </c>
      <c r="S384" s="7">
        <f t="shared" si="51"/>
        <v>6.4306002317777482</v>
      </c>
      <c r="T384" s="7">
        <f t="shared" si="52"/>
        <v>22.771573604060915</v>
      </c>
      <c r="U384" s="7">
        <f t="shared" si="53"/>
        <v>6.5356886776680962</v>
      </c>
      <c r="V384" s="7">
        <f t="shared" si="54"/>
        <v>11.434010152284264</v>
      </c>
      <c r="W384" s="7">
        <f t="shared" si="55"/>
        <v>3.5019632409825281</v>
      </c>
      <c r="X384" s="7">
        <f t="shared" si="56"/>
        <v>-0.18609468237514495</v>
      </c>
      <c r="Y384" s="7">
        <f t="shared" si="57"/>
        <v>0.34096275172246687</v>
      </c>
      <c r="Z384" s="7">
        <f t="shared" si="58"/>
        <v>0.16162072779408701</v>
      </c>
      <c r="AA384" s="7">
        <f t="shared" si="59"/>
        <v>0.10549626571380298</v>
      </c>
    </row>
    <row r="385" spans="1:27" x14ac:dyDescent="0.25">
      <c r="A385" s="1" t="s">
        <v>1671</v>
      </c>
      <c r="B385" s="1" t="s">
        <v>861</v>
      </c>
      <c r="C385" s="1">
        <v>7</v>
      </c>
      <c r="D385" s="1">
        <v>5</v>
      </c>
      <c r="E385" s="1">
        <v>6</v>
      </c>
      <c r="F385" s="1">
        <v>6</v>
      </c>
      <c r="G385" s="1">
        <v>3</v>
      </c>
      <c r="H385" s="1">
        <v>5</v>
      </c>
      <c r="I385" s="1">
        <v>5</v>
      </c>
      <c r="J385" s="1">
        <v>4</v>
      </c>
      <c r="K385" s="1">
        <v>5</v>
      </c>
      <c r="L385" s="1">
        <v>4</v>
      </c>
      <c r="M385" s="1">
        <v>24</v>
      </c>
      <c r="N385" s="1">
        <v>17</v>
      </c>
      <c r="O385" s="1">
        <v>9</v>
      </c>
      <c r="P385" s="1">
        <v>50</v>
      </c>
      <c r="Q385" s="7">
        <v>1.1547005383792517</v>
      </c>
      <c r="R385" s="7">
        <f t="shared" si="50"/>
        <v>23.196700507614214</v>
      </c>
      <c r="S385" s="7">
        <f t="shared" si="51"/>
        <v>6.4306002317777482</v>
      </c>
      <c r="T385" s="7">
        <f t="shared" si="52"/>
        <v>22.771573604060915</v>
      </c>
      <c r="U385" s="7">
        <f t="shared" si="53"/>
        <v>6.5356886776680962</v>
      </c>
      <c r="V385" s="7">
        <f t="shared" si="54"/>
        <v>11.434010152284264</v>
      </c>
      <c r="W385" s="7">
        <f t="shared" si="55"/>
        <v>3.5019632409825281</v>
      </c>
      <c r="X385" s="7">
        <f t="shared" si="56"/>
        <v>0.12491827565585011</v>
      </c>
      <c r="Y385" s="7">
        <f t="shared" si="57"/>
        <v>-0.88308576015591156</v>
      </c>
      <c r="Z385" s="7">
        <f t="shared" si="58"/>
        <v>-0.69504160517726232</v>
      </c>
      <c r="AA385" s="7">
        <f t="shared" si="59"/>
        <v>-0.48440302989244127</v>
      </c>
    </row>
    <row r="386" spans="1:27" x14ac:dyDescent="0.25">
      <c r="A386" s="1" t="s">
        <v>1671</v>
      </c>
      <c r="B386" s="1" t="s">
        <v>861</v>
      </c>
      <c r="C386" s="1">
        <v>6</v>
      </c>
      <c r="D386" s="1">
        <v>5</v>
      </c>
      <c r="E386" s="1">
        <v>5</v>
      </c>
      <c r="F386" s="1">
        <v>5</v>
      </c>
      <c r="G386" s="1">
        <v>4</v>
      </c>
      <c r="H386" s="1">
        <v>5</v>
      </c>
      <c r="I386" s="1">
        <v>6</v>
      </c>
      <c r="J386" s="1">
        <v>5</v>
      </c>
      <c r="K386" s="1">
        <v>6</v>
      </c>
      <c r="L386" s="1">
        <v>4</v>
      </c>
      <c r="M386" s="1">
        <v>21</v>
      </c>
      <c r="N386" s="1">
        <v>20</v>
      </c>
      <c r="O386" s="1">
        <v>10</v>
      </c>
      <c r="P386" s="1">
        <v>51</v>
      </c>
      <c r="Q386" s="7">
        <v>0.73786478737262173</v>
      </c>
      <c r="R386" s="7">
        <f t="shared" si="50"/>
        <v>23.196700507614214</v>
      </c>
      <c r="S386" s="7">
        <f t="shared" si="51"/>
        <v>6.4306002317777482</v>
      </c>
      <c r="T386" s="7">
        <f t="shared" si="52"/>
        <v>22.771573604060915</v>
      </c>
      <c r="U386" s="7">
        <f t="shared" si="53"/>
        <v>6.5356886776680962</v>
      </c>
      <c r="V386" s="7">
        <f t="shared" si="54"/>
        <v>11.434010152284264</v>
      </c>
      <c r="W386" s="7">
        <f t="shared" si="55"/>
        <v>3.5019632409825281</v>
      </c>
      <c r="X386" s="7">
        <f t="shared" si="56"/>
        <v>-0.3416011613906425</v>
      </c>
      <c r="Y386" s="7">
        <f t="shared" si="57"/>
        <v>-0.42406756820151964</v>
      </c>
      <c r="Z386" s="7">
        <f t="shared" si="58"/>
        <v>-0.40948749418681252</v>
      </c>
      <c r="AA386" s="7">
        <f t="shared" si="59"/>
        <v>-0.39171874125965828</v>
      </c>
    </row>
    <row r="387" spans="1:27" x14ac:dyDescent="0.25">
      <c r="A387" s="1" t="s">
        <v>1671</v>
      </c>
      <c r="B387" s="1" t="s">
        <v>861</v>
      </c>
      <c r="C387" s="1">
        <v>6</v>
      </c>
      <c r="D387" s="1">
        <v>4</v>
      </c>
      <c r="E387" s="1">
        <v>4</v>
      </c>
      <c r="F387" s="1">
        <v>5</v>
      </c>
      <c r="G387" s="1">
        <v>6</v>
      </c>
      <c r="H387" s="1">
        <v>5</v>
      </c>
      <c r="I387" s="1">
        <v>5</v>
      </c>
      <c r="J387" s="1">
        <v>4</v>
      </c>
      <c r="K387" s="1">
        <v>5</v>
      </c>
      <c r="L387" s="1">
        <v>4</v>
      </c>
      <c r="M387" s="1">
        <v>19</v>
      </c>
      <c r="N387" s="1">
        <v>20</v>
      </c>
      <c r="O387" s="1">
        <v>9</v>
      </c>
      <c r="P387" s="1">
        <v>48</v>
      </c>
      <c r="Q387" s="7">
        <v>0.78881063774661553</v>
      </c>
      <c r="R387" s="7">
        <f t="shared" ref="R387:R450" si="60">AVERAGE(M:M)</f>
        <v>23.196700507614214</v>
      </c>
      <c r="S387" s="7">
        <f t="shared" ref="S387:S450" si="61">_xlfn.STDEV.S(M:M)</f>
        <v>6.4306002317777482</v>
      </c>
      <c r="T387" s="7">
        <f t="shared" ref="T387:T450" si="62">AVERAGE(N:N)</f>
        <v>22.771573604060915</v>
      </c>
      <c r="U387" s="7">
        <f t="shared" ref="U387:U450" si="63">_xlfn.STDEV.S(N:N)</f>
        <v>6.5356886776680962</v>
      </c>
      <c r="V387" s="7">
        <f t="shared" ref="V387:V450" si="64">AVERAGE(O:O)</f>
        <v>11.434010152284264</v>
      </c>
      <c r="W387" s="7">
        <f t="shared" ref="W387:W450" si="65">_xlfn.STDEV.S(O:O)</f>
        <v>3.5019632409825281</v>
      </c>
      <c r="X387" s="7">
        <f t="shared" ref="X387:X450" si="66">STANDARDIZE(M387,R387,S387)</f>
        <v>-0.65261411942163761</v>
      </c>
      <c r="Y387" s="7">
        <f t="shared" ref="Y387:Y450" si="67">STANDARDIZE(N387,T387,U387)</f>
        <v>-0.42406756820151964</v>
      </c>
      <c r="Z387" s="7">
        <f t="shared" ref="Z387:Z450" si="68">STANDARDIZE(O387,V387,W387)</f>
        <v>-0.69504160517726232</v>
      </c>
      <c r="AA387" s="7">
        <f t="shared" ref="AA387:AA450" si="69">AVERAGE(X387:Z387)</f>
        <v>-0.59057443093347317</v>
      </c>
    </row>
    <row r="388" spans="1:27" x14ac:dyDescent="0.25">
      <c r="A388" s="1" t="s">
        <v>1671</v>
      </c>
      <c r="B388" s="1" t="s">
        <v>861</v>
      </c>
      <c r="C388" s="1">
        <v>5</v>
      </c>
      <c r="D388" s="1">
        <v>3</v>
      </c>
      <c r="E388" s="1">
        <v>4</v>
      </c>
      <c r="F388" s="1">
        <v>4</v>
      </c>
      <c r="G388" s="1">
        <v>5</v>
      </c>
      <c r="H388" s="1">
        <v>3</v>
      </c>
      <c r="I388" s="1">
        <v>3</v>
      </c>
      <c r="J388" s="1">
        <v>3</v>
      </c>
      <c r="K388" s="1">
        <v>3</v>
      </c>
      <c r="L388" s="1">
        <v>3</v>
      </c>
      <c r="M388" s="1">
        <v>16</v>
      </c>
      <c r="N388" s="1">
        <v>14</v>
      </c>
      <c r="O388" s="1">
        <v>6</v>
      </c>
      <c r="P388" s="1">
        <v>36</v>
      </c>
      <c r="Q388" s="7">
        <v>0.84327404271156781</v>
      </c>
      <c r="R388" s="7">
        <f t="shared" si="60"/>
        <v>23.196700507614214</v>
      </c>
      <c r="S388" s="7">
        <f t="shared" si="61"/>
        <v>6.4306002317777482</v>
      </c>
      <c r="T388" s="7">
        <f t="shared" si="62"/>
        <v>22.771573604060915</v>
      </c>
      <c r="U388" s="7">
        <f t="shared" si="63"/>
        <v>6.5356886776680962</v>
      </c>
      <c r="V388" s="7">
        <f t="shared" si="64"/>
        <v>11.434010152284264</v>
      </c>
      <c r="W388" s="7">
        <f t="shared" si="65"/>
        <v>3.5019632409825281</v>
      </c>
      <c r="X388" s="7">
        <f t="shared" si="66"/>
        <v>-1.1191335564681302</v>
      </c>
      <c r="Y388" s="7">
        <f t="shared" si="67"/>
        <v>-1.3421039521103035</v>
      </c>
      <c r="Z388" s="7">
        <f t="shared" si="68"/>
        <v>-1.5517039381486115</v>
      </c>
      <c r="AA388" s="7">
        <f t="shared" si="69"/>
        <v>-1.3376471489090151</v>
      </c>
    </row>
    <row r="389" spans="1:27" x14ac:dyDescent="0.25">
      <c r="A389" s="1" t="s">
        <v>1672</v>
      </c>
      <c r="B389" s="1" t="s">
        <v>861</v>
      </c>
      <c r="C389" s="1">
        <v>5</v>
      </c>
      <c r="D389" s="1">
        <v>6</v>
      </c>
      <c r="E389" s="1">
        <v>4</v>
      </c>
      <c r="F389" s="1">
        <v>5</v>
      </c>
      <c r="G389" s="1">
        <v>4</v>
      </c>
      <c r="H389" s="1">
        <v>5</v>
      </c>
      <c r="I389" s="1">
        <v>6</v>
      </c>
      <c r="J389" s="1">
        <v>5</v>
      </c>
      <c r="K389" s="1">
        <v>5</v>
      </c>
      <c r="L389" s="1">
        <v>6</v>
      </c>
      <c r="M389" s="1">
        <v>20</v>
      </c>
      <c r="N389" s="1">
        <v>20</v>
      </c>
      <c r="O389" s="1">
        <v>11</v>
      </c>
      <c r="P389" s="1">
        <v>51</v>
      </c>
      <c r="Q389" s="7">
        <v>0.73786478737262184</v>
      </c>
      <c r="R389" s="7">
        <f t="shared" si="60"/>
        <v>23.196700507614214</v>
      </c>
      <c r="S389" s="7">
        <f t="shared" si="61"/>
        <v>6.4306002317777482</v>
      </c>
      <c r="T389" s="7">
        <f t="shared" si="62"/>
        <v>22.771573604060915</v>
      </c>
      <c r="U389" s="7">
        <f t="shared" si="63"/>
        <v>6.5356886776680962</v>
      </c>
      <c r="V389" s="7">
        <f t="shared" si="64"/>
        <v>11.434010152284264</v>
      </c>
      <c r="W389" s="7">
        <f t="shared" si="65"/>
        <v>3.5019632409825281</v>
      </c>
      <c r="X389" s="7">
        <f t="shared" si="66"/>
        <v>-0.49710764040614003</v>
      </c>
      <c r="Y389" s="7">
        <f t="shared" si="67"/>
        <v>-0.42406756820151964</v>
      </c>
      <c r="Z389" s="7">
        <f t="shared" si="68"/>
        <v>-0.12393338319636275</v>
      </c>
      <c r="AA389" s="7">
        <f t="shared" si="69"/>
        <v>-0.34836953060134079</v>
      </c>
    </row>
    <row r="390" spans="1:27" x14ac:dyDescent="0.25">
      <c r="A390" s="1" t="s">
        <v>1672</v>
      </c>
      <c r="B390" s="1" t="s">
        <v>861</v>
      </c>
      <c r="C390" s="1">
        <v>5</v>
      </c>
      <c r="D390" s="1">
        <v>4</v>
      </c>
      <c r="E390" s="1">
        <v>4</v>
      </c>
      <c r="F390" s="1">
        <v>4</v>
      </c>
      <c r="G390" s="1">
        <v>5</v>
      </c>
      <c r="H390" s="1">
        <v>6</v>
      </c>
      <c r="I390" s="1">
        <v>5</v>
      </c>
      <c r="J390" s="1">
        <v>4</v>
      </c>
      <c r="K390" s="1">
        <v>4</v>
      </c>
      <c r="L390" s="1">
        <v>5</v>
      </c>
      <c r="M390" s="1">
        <v>17</v>
      </c>
      <c r="N390" s="1">
        <v>20</v>
      </c>
      <c r="O390" s="1">
        <v>9</v>
      </c>
      <c r="P390" s="1">
        <v>46</v>
      </c>
      <c r="Q390" s="7">
        <v>0.69920589878010087</v>
      </c>
      <c r="R390" s="7">
        <f t="shared" si="60"/>
        <v>23.196700507614214</v>
      </c>
      <c r="S390" s="7">
        <f t="shared" si="61"/>
        <v>6.4306002317777482</v>
      </c>
      <c r="T390" s="7">
        <f t="shared" si="62"/>
        <v>22.771573604060915</v>
      </c>
      <c r="U390" s="7">
        <f t="shared" si="63"/>
        <v>6.5356886776680962</v>
      </c>
      <c r="V390" s="7">
        <f t="shared" si="64"/>
        <v>11.434010152284264</v>
      </c>
      <c r="W390" s="7">
        <f t="shared" si="65"/>
        <v>3.5019632409825281</v>
      </c>
      <c r="X390" s="7">
        <f t="shared" si="66"/>
        <v>-0.96362707745263265</v>
      </c>
      <c r="Y390" s="7">
        <f t="shared" si="67"/>
        <v>-0.42406756820151964</v>
      </c>
      <c r="Z390" s="7">
        <f t="shared" si="68"/>
        <v>-0.69504160517726232</v>
      </c>
      <c r="AA390" s="7">
        <f t="shared" si="69"/>
        <v>-0.69424541694380493</v>
      </c>
    </row>
    <row r="391" spans="1:27" x14ac:dyDescent="0.25">
      <c r="A391" s="1" t="s">
        <v>1672</v>
      </c>
      <c r="B391" s="1" t="s">
        <v>861</v>
      </c>
      <c r="C391" s="1">
        <v>6</v>
      </c>
      <c r="D391" s="1">
        <v>5</v>
      </c>
      <c r="E391" s="1">
        <v>4</v>
      </c>
      <c r="F391" s="1">
        <v>5</v>
      </c>
      <c r="G391" s="1">
        <v>6</v>
      </c>
      <c r="H391" s="1">
        <v>5</v>
      </c>
      <c r="I391" s="1">
        <v>5</v>
      </c>
      <c r="J391" s="1">
        <v>6</v>
      </c>
      <c r="K391" s="1">
        <v>6</v>
      </c>
      <c r="L391" s="1">
        <v>5</v>
      </c>
      <c r="M391" s="1">
        <v>20</v>
      </c>
      <c r="N391" s="1">
        <v>22</v>
      </c>
      <c r="O391" s="1">
        <v>11</v>
      </c>
      <c r="P391" s="1">
        <v>53</v>
      </c>
      <c r="Q391" s="7">
        <v>0.67494855771055284</v>
      </c>
      <c r="R391" s="7">
        <f t="shared" si="60"/>
        <v>23.196700507614214</v>
      </c>
      <c r="S391" s="7">
        <f t="shared" si="61"/>
        <v>6.4306002317777482</v>
      </c>
      <c r="T391" s="7">
        <f t="shared" si="62"/>
        <v>22.771573604060915</v>
      </c>
      <c r="U391" s="7">
        <f t="shared" si="63"/>
        <v>6.5356886776680962</v>
      </c>
      <c r="V391" s="7">
        <f t="shared" si="64"/>
        <v>11.434010152284264</v>
      </c>
      <c r="W391" s="7">
        <f t="shared" si="65"/>
        <v>3.5019632409825281</v>
      </c>
      <c r="X391" s="7">
        <f t="shared" si="66"/>
        <v>-0.49710764040614003</v>
      </c>
      <c r="Y391" s="7">
        <f t="shared" si="67"/>
        <v>-0.11805544023192505</v>
      </c>
      <c r="Z391" s="7">
        <f t="shared" si="68"/>
        <v>-0.12393338319636275</v>
      </c>
      <c r="AA391" s="7">
        <f t="shared" si="69"/>
        <v>-0.24636548794480925</v>
      </c>
    </row>
    <row r="392" spans="1:27" x14ac:dyDescent="0.25">
      <c r="A392" s="1" t="s">
        <v>1672</v>
      </c>
      <c r="B392" s="1" t="s">
        <v>861</v>
      </c>
      <c r="C392" s="1">
        <v>4</v>
      </c>
      <c r="D392" s="1">
        <v>4</v>
      </c>
      <c r="E392" s="1">
        <v>3</v>
      </c>
      <c r="F392" s="1">
        <v>4</v>
      </c>
      <c r="G392" s="1">
        <v>5</v>
      </c>
      <c r="H392" s="1">
        <v>4</v>
      </c>
      <c r="I392" s="1">
        <v>3</v>
      </c>
      <c r="J392" s="1">
        <v>4</v>
      </c>
      <c r="K392" s="1">
        <v>4</v>
      </c>
      <c r="L392" s="1">
        <v>3</v>
      </c>
      <c r="M392" s="1">
        <v>15</v>
      </c>
      <c r="N392" s="1">
        <v>16</v>
      </c>
      <c r="O392" s="1">
        <v>7</v>
      </c>
      <c r="P392" s="1">
        <v>38</v>
      </c>
      <c r="Q392" s="7">
        <v>0.63245553203367588</v>
      </c>
      <c r="R392" s="7">
        <f t="shared" si="60"/>
        <v>23.196700507614214</v>
      </c>
      <c r="S392" s="7">
        <f t="shared" si="61"/>
        <v>6.4306002317777482</v>
      </c>
      <c r="T392" s="7">
        <f t="shared" si="62"/>
        <v>22.771573604060915</v>
      </c>
      <c r="U392" s="7">
        <f t="shared" si="63"/>
        <v>6.5356886776680962</v>
      </c>
      <c r="V392" s="7">
        <f t="shared" si="64"/>
        <v>11.434010152284264</v>
      </c>
      <c r="W392" s="7">
        <f t="shared" si="65"/>
        <v>3.5019632409825281</v>
      </c>
      <c r="X392" s="7">
        <f t="shared" si="66"/>
        <v>-1.2746400354836278</v>
      </c>
      <c r="Y392" s="7">
        <f t="shared" si="67"/>
        <v>-1.0360918241407089</v>
      </c>
      <c r="Z392" s="7">
        <f t="shared" si="68"/>
        <v>-1.2661498271581617</v>
      </c>
      <c r="AA392" s="7">
        <f t="shared" si="69"/>
        <v>-1.1922938955941662</v>
      </c>
    </row>
    <row r="393" spans="1:27" x14ac:dyDescent="0.25">
      <c r="A393" s="1" t="s">
        <v>1672</v>
      </c>
      <c r="B393" s="1" t="s">
        <v>861</v>
      </c>
      <c r="C393" s="1">
        <v>6</v>
      </c>
      <c r="D393" s="1">
        <v>6</v>
      </c>
      <c r="E393" s="1">
        <v>6</v>
      </c>
      <c r="F393" s="1">
        <v>5</v>
      </c>
      <c r="G393" s="1">
        <v>5</v>
      </c>
      <c r="H393" s="1">
        <v>5</v>
      </c>
      <c r="I393" s="1">
        <v>6</v>
      </c>
      <c r="J393" s="1">
        <v>6</v>
      </c>
      <c r="K393" s="1">
        <v>5</v>
      </c>
      <c r="L393" s="1">
        <v>4</v>
      </c>
      <c r="M393" s="1">
        <v>23</v>
      </c>
      <c r="N393" s="1">
        <v>22</v>
      </c>
      <c r="O393" s="1">
        <v>9</v>
      </c>
      <c r="P393" s="1">
        <v>54</v>
      </c>
      <c r="Q393" s="7">
        <v>0.69920589878010087</v>
      </c>
      <c r="R393" s="7">
        <f t="shared" si="60"/>
        <v>23.196700507614214</v>
      </c>
      <c r="S393" s="7">
        <f t="shared" si="61"/>
        <v>6.4306002317777482</v>
      </c>
      <c r="T393" s="7">
        <f t="shared" si="62"/>
        <v>22.771573604060915</v>
      </c>
      <c r="U393" s="7">
        <f t="shared" si="63"/>
        <v>6.5356886776680962</v>
      </c>
      <c r="V393" s="7">
        <f t="shared" si="64"/>
        <v>11.434010152284264</v>
      </c>
      <c r="W393" s="7">
        <f t="shared" si="65"/>
        <v>3.5019632409825281</v>
      </c>
      <c r="X393" s="7">
        <f t="shared" si="66"/>
        <v>-3.0588203359647428E-2</v>
      </c>
      <c r="Y393" s="7">
        <f t="shared" si="67"/>
        <v>-0.11805544023192505</v>
      </c>
      <c r="Z393" s="7">
        <f t="shared" si="68"/>
        <v>-0.69504160517726232</v>
      </c>
      <c r="AA393" s="7">
        <f t="shared" si="69"/>
        <v>-0.28122841625627826</v>
      </c>
    </row>
    <row r="394" spans="1:27" x14ac:dyDescent="0.25">
      <c r="A394" s="1" t="s">
        <v>1672</v>
      </c>
      <c r="B394" s="1" t="s">
        <v>861</v>
      </c>
      <c r="C394" s="1">
        <v>5</v>
      </c>
      <c r="D394" s="1">
        <v>6</v>
      </c>
      <c r="E394" s="1">
        <v>4</v>
      </c>
      <c r="F394" s="1">
        <v>4</v>
      </c>
      <c r="G394" s="1">
        <v>5</v>
      </c>
      <c r="H394" s="1">
        <v>4</v>
      </c>
      <c r="I394" s="1">
        <v>4</v>
      </c>
      <c r="J394" s="1">
        <v>5</v>
      </c>
      <c r="K394" s="1">
        <v>5</v>
      </c>
      <c r="L394" s="1">
        <v>6</v>
      </c>
      <c r="M394" s="1">
        <v>19</v>
      </c>
      <c r="N394" s="1">
        <v>18</v>
      </c>
      <c r="O394" s="1">
        <v>11</v>
      </c>
      <c r="P394" s="1">
        <v>48</v>
      </c>
      <c r="Q394" s="7">
        <v>0.78881063774661531</v>
      </c>
      <c r="R394" s="7">
        <f t="shared" si="60"/>
        <v>23.196700507614214</v>
      </c>
      <c r="S394" s="7">
        <f t="shared" si="61"/>
        <v>6.4306002317777482</v>
      </c>
      <c r="T394" s="7">
        <f t="shared" si="62"/>
        <v>22.771573604060915</v>
      </c>
      <c r="U394" s="7">
        <f t="shared" si="63"/>
        <v>6.5356886776680962</v>
      </c>
      <c r="V394" s="7">
        <f t="shared" si="64"/>
        <v>11.434010152284264</v>
      </c>
      <c r="W394" s="7">
        <f t="shared" si="65"/>
        <v>3.5019632409825281</v>
      </c>
      <c r="X394" s="7">
        <f t="shared" si="66"/>
        <v>-0.65261411942163761</v>
      </c>
      <c r="Y394" s="7">
        <f t="shared" si="67"/>
        <v>-0.73007969617111423</v>
      </c>
      <c r="Z394" s="7">
        <f t="shared" si="68"/>
        <v>-0.12393338319636275</v>
      </c>
      <c r="AA394" s="7">
        <f t="shared" si="69"/>
        <v>-0.50220906626303818</v>
      </c>
    </row>
    <row r="395" spans="1:27" x14ac:dyDescent="0.25">
      <c r="A395" s="1" t="s">
        <v>1672</v>
      </c>
      <c r="B395" s="1" t="s">
        <v>861</v>
      </c>
      <c r="C395" s="1">
        <v>6</v>
      </c>
      <c r="D395" s="1">
        <v>6</v>
      </c>
      <c r="E395" s="1">
        <v>5</v>
      </c>
      <c r="F395" s="1">
        <v>5</v>
      </c>
      <c r="G395" s="1">
        <v>5</v>
      </c>
      <c r="H395" s="1">
        <v>4</v>
      </c>
      <c r="I395" s="1">
        <v>5</v>
      </c>
      <c r="J395" s="1">
        <v>6</v>
      </c>
      <c r="K395" s="1">
        <v>4</v>
      </c>
      <c r="L395" s="1">
        <v>6</v>
      </c>
      <c r="M395" s="1">
        <v>22</v>
      </c>
      <c r="N395" s="1">
        <v>20</v>
      </c>
      <c r="O395" s="1">
        <v>10</v>
      </c>
      <c r="P395" s="1">
        <v>52</v>
      </c>
      <c r="Q395" s="7">
        <v>0.78881063774661553</v>
      </c>
      <c r="R395" s="7">
        <f t="shared" si="60"/>
        <v>23.196700507614214</v>
      </c>
      <c r="S395" s="7">
        <f t="shared" si="61"/>
        <v>6.4306002317777482</v>
      </c>
      <c r="T395" s="7">
        <f t="shared" si="62"/>
        <v>22.771573604060915</v>
      </c>
      <c r="U395" s="7">
        <f t="shared" si="63"/>
        <v>6.5356886776680962</v>
      </c>
      <c r="V395" s="7">
        <f t="shared" si="64"/>
        <v>11.434010152284264</v>
      </c>
      <c r="W395" s="7">
        <f t="shared" si="65"/>
        <v>3.5019632409825281</v>
      </c>
      <c r="X395" s="7">
        <f t="shared" si="66"/>
        <v>-0.18609468237514495</v>
      </c>
      <c r="Y395" s="7">
        <f t="shared" si="67"/>
        <v>-0.42406756820151964</v>
      </c>
      <c r="Z395" s="7">
        <f t="shared" si="68"/>
        <v>-0.40948749418681252</v>
      </c>
      <c r="AA395" s="7">
        <f t="shared" si="69"/>
        <v>-0.3398832482544924</v>
      </c>
    </row>
    <row r="396" spans="1:27" x14ac:dyDescent="0.25">
      <c r="A396" s="1" t="s">
        <v>1672</v>
      </c>
      <c r="B396" s="1" t="s">
        <v>861</v>
      </c>
      <c r="C396" s="1">
        <v>6</v>
      </c>
      <c r="D396" s="1">
        <v>6</v>
      </c>
      <c r="E396" s="1">
        <v>6</v>
      </c>
      <c r="F396" s="1">
        <v>6</v>
      </c>
      <c r="G396" s="1">
        <v>5</v>
      </c>
      <c r="H396" s="1">
        <v>5</v>
      </c>
      <c r="I396" s="1">
        <v>5</v>
      </c>
      <c r="J396" s="1">
        <v>5</v>
      </c>
      <c r="K396" s="1">
        <v>6</v>
      </c>
      <c r="L396" s="1">
        <v>5</v>
      </c>
      <c r="M396" s="1">
        <v>24</v>
      </c>
      <c r="N396" s="1">
        <v>20</v>
      </c>
      <c r="O396" s="1">
        <v>11</v>
      </c>
      <c r="P396" s="1">
        <v>55</v>
      </c>
      <c r="Q396" s="7">
        <v>0.5270462766947297</v>
      </c>
      <c r="R396" s="7">
        <f t="shared" si="60"/>
        <v>23.196700507614214</v>
      </c>
      <c r="S396" s="7">
        <f t="shared" si="61"/>
        <v>6.4306002317777482</v>
      </c>
      <c r="T396" s="7">
        <f t="shared" si="62"/>
        <v>22.771573604060915</v>
      </c>
      <c r="U396" s="7">
        <f t="shared" si="63"/>
        <v>6.5356886776680962</v>
      </c>
      <c r="V396" s="7">
        <f t="shared" si="64"/>
        <v>11.434010152284264</v>
      </c>
      <c r="W396" s="7">
        <f t="shared" si="65"/>
        <v>3.5019632409825281</v>
      </c>
      <c r="X396" s="7">
        <f t="shared" si="66"/>
        <v>0.12491827565585011</v>
      </c>
      <c r="Y396" s="7">
        <f t="shared" si="67"/>
        <v>-0.42406756820151964</v>
      </c>
      <c r="Z396" s="7">
        <f t="shared" si="68"/>
        <v>-0.12393338319636275</v>
      </c>
      <c r="AA396" s="7">
        <f t="shared" si="69"/>
        <v>-0.14102755858067742</v>
      </c>
    </row>
    <row r="397" spans="1:27" x14ac:dyDescent="0.25">
      <c r="A397" s="1" t="s">
        <v>1672</v>
      </c>
      <c r="B397" s="1" t="s">
        <v>861</v>
      </c>
      <c r="C397" s="1">
        <v>6</v>
      </c>
      <c r="D397" s="1">
        <v>5</v>
      </c>
      <c r="E397" s="1">
        <v>4</v>
      </c>
      <c r="F397" s="1">
        <v>5</v>
      </c>
      <c r="G397" s="1">
        <v>4</v>
      </c>
      <c r="H397" s="1">
        <v>4</v>
      </c>
      <c r="I397" s="1">
        <v>5</v>
      </c>
      <c r="J397" s="1">
        <v>5</v>
      </c>
      <c r="K397" s="1">
        <v>5</v>
      </c>
      <c r="L397" s="1">
        <v>6</v>
      </c>
      <c r="M397" s="1">
        <v>20</v>
      </c>
      <c r="N397" s="1">
        <v>18</v>
      </c>
      <c r="O397" s="1">
        <v>11</v>
      </c>
      <c r="P397" s="1">
        <v>49</v>
      </c>
      <c r="Q397" s="7">
        <v>0.73786478737262207</v>
      </c>
      <c r="R397" s="7">
        <f t="shared" si="60"/>
        <v>23.196700507614214</v>
      </c>
      <c r="S397" s="7">
        <f t="shared" si="61"/>
        <v>6.4306002317777482</v>
      </c>
      <c r="T397" s="7">
        <f t="shared" si="62"/>
        <v>22.771573604060915</v>
      </c>
      <c r="U397" s="7">
        <f t="shared" si="63"/>
        <v>6.5356886776680962</v>
      </c>
      <c r="V397" s="7">
        <f t="shared" si="64"/>
        <v>11.434010152284264</v>
      </c>
      <c r="W397" s="7">
        <f t="shared" si="65"/>
        <v>3.5019632409825281</v>
      </c>
      <c r="X397" s="7">
        <f t="shared" si="66"/>
        <v>-0.49710764040614003</v>
      </c>
      <c r="Y397" s="7">
        <f t="shared" si="67"/>
        <v>-0.73007969617111423</v>
      </c>
      <c r="Z397" s="7">
        <f t="shared" si="68"/>
        <v>-0.12393338319636275</v>
      </c>
      <c r="AA397" s="7">
        <f t="shared" si="69"/>
        <v>-0.45037357325787236</v>
      </c>
    </row>
    <row r="398" spans="1:27" x14ac:dyDescent="0.25">
      <c r="A398" s="1" t="s">
        <v>1672</v>
      </c>
      <c r="B398" s="1" t="s">
        <v>861</v>
      </c>
      <c r="C398" s="1">
        <v>4</v>
      </c>
      <c r="D398" s="1">
        <v>3</v>
      </c>
      <c r="E398" s="1">
        <v>3</v>
      </c>
      <c r="F398" s="1">
        <v>4</v>
      </c>
      <c r="G398" s="1">
        <v>4</v>
      </c>
      <c r="H398" s="1">
        <v>4</v>
      </c>
      <c r="I398" s="1">
        <v>3</v>
      </c>
      <c r="J398" s="1">
        <v>4</v>
      </c>
      <c r="K398" s="1">
        <v>4</v>
      </c>
      <c r="L398" s="1">
        <v>4</v>
      </c>
      <c r="M398" s="1">
        <v>14</v>
      </c>
      <c r="N398" s="1">
        <v>15</v>
      </c>
      <c r="O398" s="1">
        <v>8</v>
      </c>
      <c r="P398" s="1">
        <v>37</v>
      </c>
      <c r="Q398" s="7">
        <v>0.48304589153964794</v>
      </c>
      <c r="R398" s="7">
        <f t="shared" si="60"/>
        <v>23.196700507614214</v>
      </c>
      <c r="S398" s="7">
        <f t="shared" si="61"/>
        <v>6.4306002317777482</v>
      </c>
      <c r="T398" s="7">
        <f t="shared" si="62"/>
        <v>22.771573604060915</v>
      </c>
      <c r="U398" s="7">
        <f t="shared" si="63"/>
        <v>6.5356886776680962</v>
      </c>
      <c r="V398" s="7">
        <f t="shared" si="64"/>
        <v>11.434010152284264</v>
      </c>
      <c r="W398" s="7">
        <f t="shared" si="65"/>
        <v>3.5019632409825281</v>
      </c>
      <c r="X398" s="7">
        <f t="shared" si="66"/>
        <v>-1.4301465144991252</v>
      </c>
      <c r="Y398" s="7">
        <f t="shared" si="67"/>
        <v>-1.1890978881255061</v>
      </c>
      <c r="Z398" s="7">
        <f t="shared" si="68"/>
        <v>-0.98059571616771202</v>
      </c>
      <c r="AA398" s="7">
        <f t="shared" si="69"/>
        <v>-1.1999467062641145</v>
      </c>
    </row>
    <row r="399" spans="1:27" x14ac:dyDescent="0.25">
      <c r="A399" s="1" t="s">
        <v>1672</v>
      </c>
      <c r="B399" s="1" t="s">
        <v>861</v>
      </c>
      <c r="C399" s="1">
        <v>5</v>
      </c>
      <c r="D399" s="1">
        <v>6</v>
      </c>
      <c r="E399" s="1">
        <v>5</v>
      </c>
      <c r="F399" s="1">
        <v>6</v>
      </c>
      <c r="G399" s="1">
        <v>5</v>
      </c>
      <c r="H399" s="1">
        <v>6</v>
      </c>
      <c r="I399" s="1">
        <v>6</v>
      </c>
      <c r="J399" s="1">
        <v>6</v>
      </c>
      <c r="K399" s="1">
        <v>6</v>
      </c>
      <c r="L399" s="1">
        <v>5</v>
      </c>
      <c r="M399" s="1">
        <v>22</v>
      </c>
      <c r="N399" s="1">
        <v>23</v>
      </c>
      <c r="O399" s="1">
        <v>11</v>
      </c>
      <c r="P399" s="1">
        <v>56</v>
      </c>
      <c r="Q399" s="7">
        <v>0.51639777949432231</v>
      </c>
      <c r="R399" s="7">
        <f t="shared" si="60"/>
        <v>23.196700507614214</v>
      </c>
      <c r="S399" s="7">
        <f t="shared" si="61"/>
        <v>6.4306002317777482</v>
      </c>
      <c r="T399" s="7">
        <f t="shared" si="62"/>
        <v>22.771573604060915</v>
      </c>
      <c r="U399" s="7">
        <f t="shared" si="63"/>
        <v>6.5356886776680962</v>
      </c>
      <c r="V399" s="7">
        <f t="shared" si="64"/>
        <v>11.434010152284264</v>
      </c>
      <c r="W399" s="7">
        <f t="shared" si="65"/>
        <v>3.5019632409825281</v>
      </c>
      <c r="X399" s="7">
        <f t="shared" si="66"/>
        <v>-0.18609468237514495</v>
      </c>
      <c r="Y399" s="7">
        <f t="shared" si="67"/>
        <v>3.4950623752872265E-2</v>
      </c>
      <c r="Z399" s="7">
        <f t="shared" si="68"/>
        <v>-0.12393338319636275</v>
      </c>
      <c r="AA399" s="7">
        <f t="shared" si="69"/>
        <v>-9.1692480606211824E-2</v>
      </c>
    </row>
    <row r="400" spans="1:27" x14ac:dyDescent="0.25">
      <c r="A400" s="1" t="s">
        <v>1672</v>
      </c>
      <c r="B400" s="1" t="s">
        <v>861</v>
      </c>
      <c r="C400" s="1">
        <v>5</v>
      </c>
      <c r="D400" s="1">
        <v>6</v>
      </c>
      <c r="E400" s="1">
        <v>4</v>
      </c>
      <c r="F400" s="1">
        <v>6</v>
      </c>
      <c r="G400" s="1">
        <v>4</v>
      </c>
      <c r="H400" s="1">
        <v>4</v>
      </c>
      <c r="I400" s="1">
        <v>5</v>
      </c>
      <c r="J400" s="1">
        <v>5</v>
      </c>
      <c r="K400" s="1">
        <v>4</v>
      </c>
      <c r="L400" s="1">
        <v>4</v>
      </c>
      <c r="M400" s="1">
        <v>21</v>
      </c>
      <c r="N400" s="1">
        <v>18</v>
      </c>
      <c r="O400" s="1">
        <v>8</v>
      </c>
      <c r="P400" s="1">
        <v>47</v>
      </c>
      <c r="Q400" s="7">
        <v>0.82327260234856459</v>
      </c>
      <c r="R400" s="7">
        <f t="shared" si="60"/>
        <v>23.196700507614214</v>
      </c>
      <c r="S400" s="7">
        <f t="shared" si="61"/>
        <v>6.4306002317777482</v>
      </c>
      <c r="T400" s="7">
        <f t="shared" si="62"/>
        <v>22.771573604060915</v>
      </c>
      <c r="U400" s="7">
        <f t="shared" si="63"/>
        <v>6.5356886776680962</v>
      </c>
      <c r="V400" s="7">
        <f t="shared" si="64"/>
        <v>11.434010152284264</v>
      </c>
      <c r="W400" s="7">
        <f t="shared" si="65"/>
        <v>3.5019632409825281</v>
      </c>
      <c r="X400" s="7">
        <f t="shared" si="66"/>
        <v>-0.3416011613906425</v>
      </c>
      <c r="Y400" s="7">
        <f t="shared" si="67"/>
        <v>-0.73007969617111423</v>
      </c>
      <c r="Z400" s="7">
        <f t="shared" si="68"/>
        <v>-0.98059571616771202</v>
      </c>
      <c r="AA400" s="7">
        <f t="shared" si="69"/>
        <v>-0.68409219124315623</v>
      </c>
    </row>
    <row r="401" spans="1:27" x14ac:dyDescent="0.25">
      <c r="A401" s="1" t="s">
        <v>1672</v>
      </c>
      <c r="B401" s="1" t="s">
        <v>861</v>
      </c>
      <c r="C401" s="1">
        <v>5</v>
      </c>
      <c r="D401" s="1">
        <v>6</v>
      </c>
      <c r="E401" s="1">
        <v>5</v>
      </c>
      <c r="F401" s="1">
        <v>4</v>
      </c>
      <c r="G401" s="1">
        <v>4</v>
      </c>
      <c r="H401" s="1">
        <v>6</v>
      </c>
      <c r="I401" s="1">
        <v>6</v>
      </c>
      <c r="J401" s="1">
        <v>6</v>
      </c>
      <c r="K401" s="1">
        <v>5</v>
      </c>
      <c r="L401" s="1">
        <v>5</v>
      </c>
      <c r="M401" s="1">
        <v>20</v>
      </c>
      <c r="N401" s="1">
        <v>22</v>
      </c>
      <c r="O401" s="1">
        <v>10</v>
      </c>
      <c r="P401" s="1">
        <v>52</v>
      </c>
      <c r="Q401" s="7">
        <v>0.78881063774661531</v>
      </c>
      <c r="R401" s="7">
        <f t="shared" si="60"/>
        <v>23.196700507614214</v>
      </c>
      <c r="S401" s="7">
        <f t="shared" si="61"/>
        <v>6.4306002317777482</v>
      </c>
      <c r="T401" s="7">
        <f t="shared" si="62"/>
        <v>22.771573604060915</v>
      </c>
      <c r="U401" s="7">
        <f t="shared" si="63"/>
        <v>6.5356886776680962</v>
      </c>
      <c r="V401" s="7">
        <f t="shared" si="64"/>
        <v>11.434010152284264</v>
      </c>
      <c r="W401" s="7">
        <f t="shared" si="65"/>
        <v>3.5019632409825281</v>
      </c>
      <c r="X401" s="7">
        <f t="shared" si="66"/>
        <v>-0.49710764040614003</v>
      </c>
      <c r="Y401" s="7">
        <f t="shared" si="67"/>
        <v>-0.11805544023192505</v>
      </c>
      <c r="Z401" s="7">
        <f t="shared" si="68"/>
        <v>-0.40948749418681252</v>
      </c>
      <c r="AA401" s="7">
        <f t="shared" si="69"/>
        <v>-0.34155019160829253</v>
      </c>
    </row>
    <row r="402" spans="1:27" x14ac:dyDescent="0.25">
      <c r="A402" s="1" t="s">
        <v>1672</v>
      </c>
      <c r="B402" s="1" t="s">
        <v>861</v>
      </c>
      <c r="C402" s="1">
        <v>4</v>
      </c>
      <c r="D402" s="1">
        <v>4</v>
      </c>
      <c r="E402" s="1">
        <v>4</v>
      </c>
      <c r="F402" s="1">
        <v>5</v>
      </c>
      <c r="G402" s="1">
        <v>5</v>
      </c>
      <c r="H402" s="1">
        <v>5</v>
      </c>
      <c r="I402" s="1">
        <v>4</v>
      </c>
      <c r="J402" s="1">
        <v>5</v>
      </c>
      <c r="K402" s="1">
        <v>4</v>
      </c>
      <c r="L402" s="1">
        <v>4</v>
      </c>
      <c r="M402" s="1">
        <v>17</v>
      </c>
      <c r="N402" s="1">
        <v>19</v>
      </c>
      <c r="O402" s="1">
        <v>8</v>
      </c>
      <c r="P402" s="1">
        <v>44</v>
      </c>
      <c r="Q402" s="7">
        <v>0.5163977794943222</v>
      </c>
      <c r="R402" s="7">
        <f t="shared" si="60"/>
        <v>23.196700507614214</v>
      </c>
      <c r="S402" s="7">
        <f t="shared" si="61"/>
        <v>6.4306002317777482</v>
      </c>
      <c r="T402" s="7">
        <f t="shared" si="62"/>
        <v>22.771573604060915</v>
      </c>
      <c r="U402" s="7">
        <f t="shared" si="63"/>
        <v>6.5356886776680962</v>
      </c>
      <c r="V402" s="7">
        <f t="shared" si="64"/>
        <v>11.434010152284264</v>
      </c>
      <c r="W402" s="7">
        <f t="shared" si="65"/>
        <v>3.5019632409825281</v>
      </c>
      <c r="X402" s="7">
        <f t="shared" si="66"/>
        <v>-0.96362707745263265</v>
      </c>
      <c r="Y402" s="7">
        <f t="shared" si="67"/>
        <v>-0.57707363218631691</v>
      </c>
      <c r="Z402" s="7">
        <f t="shared" si="68"/>
        <v>-0.98059571616771202</v>
      </c>
      <c r="AA402" s="7">
        <f t="shared" si="69"/>
        <v>-0.84043214193555382</v>
      </c>
    </row>
    <row r="403" spans="1:27" x14ac:dyDescent="0.25">
      <c r="A403" s="1" t="s">
        <v>1672</v>
      </c>
      <c r="B403" s="1" t="s">
        <v>861</v>
      </c>
      <c r="C403" s="1">
        <v>5</v>
      </c>
      <c r="D403" s="1">
        <v>3</v>
      </c>
      <c r="E403" s="1">
        <v>3</v>
      </c>
      <c r="F403" s="1">
        <v>3</v>
      </c>
      <c r="G403" s="1">
        <v>4</v>
      </c>
      <c r="H403" s="1">
        <v>3</v>
      </c>
      <c r="I403" s="1">
        <v>4</v>
      </c>
      <c r="J403" s="1">
        <v>4</v>
      </c>
      <c r="K403" s="1">
        <v>3</v>
      </c>
      <c r="L403" s="1">
        <v>3</v>
      </c>
      <c r="M403" s="1">
        <v>14</v>
      </c>
      <c r="N403" s="1">
        <v>15</v>
      </c>
      <c r="O403" s="1">
        <v>6</v>
      </c>
      <c r="P403" s="1">
        <v>35</v>
      </c>
      <c r="Q403" s="7">
        <v>0.70710678118654757</v>
      </c>
      <c r="R403" s="7">
        <f t="shared" si="60"/>
        <v>23.196700507614214</v>
      </c>
      <c r="S403" s="7">
        <f t="shared" si="61"/>
        <v>6.4306002317777482</v>
      </c>
      <c r="T403" s="7">
        <f t="shared" si="62"/>
        <v>22.771573604060915</v>
      </c>
      <c r="U403" s="7">
        <f t="shared" si="63"/>
        <v>6.5356886776680962</v>
      </c>
      <c r="V403" s="7">
        <f t="shared" si="64"/>
        <v>11.434010152284264</v>
      </c>
      <c r="W403" s="7">
        <f t="shared" si="65"/>
        <v>3.5019632409825281</v>
      </c>
      <c r="X403" s="7">
        <f t="shared" si="66"/>
        <v>-1.4301465144991252</v>
      </c>
      <c r="Y403" s="7">
        <f t="shared" si="67"/>
        <v>-1.1890978881255061</v>
      </c>
      <c r="Z403" s="7">
        <f t="shared" si="68"/>
        <v>-1.5517039381486115</v>
      </c>
      <c r="AA403" s="7">
        <f t="shared" si="69"/>
        <v>-1.3903161135910811</v>
      </c>
    </row>
    <row r="404" spans="1:27" x14ac:dyDescent="0.25">
      <c r="A404" s="1" t="s">
        <v>1672</v>
      </c>
      <c r="B404" s="1" t="s">
        <v>861</v>
      </c>
      <c r="C404" s="1">
        <v>7</v>
      </c>
      <c r="D404" s="1">
        <v>7</v>
      </c>
      <c r="E404" s="1">
        <v>6</v>
      </c>
      <c r="F404" s="1">
        <v>7</v>
      </c>
      <c r="G404" s="1">
        <v>6</v>
      </c>
      <c r="H404" s="1">
        <v>7</v>
      </c>
      <c r="I404" s="1">
        <v>6</v>
      </c>
      <c r="J404" s="1">
        <v>6</v>
      </c>
      <c r="K404" s="1">
        <v>5</v>
      </c>
      <c r="L404" s="1">
        <v>4</v>
      </c>
      <c r="M404" s="1">
        <v>27</v>
      </c>
      <c r="N404" s="1">
        <v>25</v>
      </c>
      <c r="O404" s="1">
        <v>9</v>
      </c>
      <c r="P404" s="1">
        <v>61</v>
      </c>
      <c r="Q404" s="7">
        <v>0.99442892601175314</v>
      </c>
      <c r="R404" s="7">
        <f t="shared" si="60"/>
        <v>23.196700507614214</v>
      </c>
      <c r="S404" s="7">
        <f t="shared" si="61"/>
        <v>6.4306002317777482</v>
      </c>
      <c r="T404" s="7">
        <f t="shared" si="62"/>
        <v>22.771573604060915</v>
      </c>
      <c r="U404" s="7">
        <f t="shared" si="63"/>
        <v>6.5356886776680962</v>
      </c>
      <c r="V404" s="7">
        <f t="shared" si="64"/>
        <v>11.434010152284264</v>
      </c>
      <c r="W404" s="7">
        <f t="shared" si="65"/>
        <v>3.5019632409825281</v>
      </c>
      <c r="X404" s="7">
        <f t="shared" si="66"/>
        <v>0.59143771270234269</v>
      </c>
      <c r="Y404" s="7">
        <f t="shared" si="67"/>
        <v>0.34096275172246687</v>
      </c>
      <c r="Z404" s="7">
        <f t="shared" si="68"/>
        <v>-0.69504160517726232</v>
      </c>
      <c r="AA404" s="7">
        <f t="shared" si="69"/>
        <v>7.9119619749182427E-2</v>
      </c>
    </row>
    <row r="405" spans="1:27" x14ac:dyDescent="0.25">
      <c r="A405" s="1" t="s">
        <v>1672</v>
      </c>
      <c r="B405" s="1" t="s">
        <v>861</v>
      </c>
      <c r="C405" s="1">
        <v>6</v>
      </c>
      <c r="D405" s="1">
        <v>4</v>
      </c>
      <c r="E405" s="1">
        <v>5</v>
      </c>
      <c r="F405" s="1">
        <v>7</v>
      </c>
      <c r="G405" s="1">
        <v>6</v>
      </c>
      <c r="H405" s="1">
        <v>5</v>
      </c>
      <c r="I405" s="1">
        <v>4</v>
      </c>
      <c r="J405" s="1">
        <v>5</v>
      </c>
      <c r="K405" s="1">
        <v>5</v>
      </c>
      <c r="L405" s="1">
        <v>5</v>
      </c>
      <c r="M405" s="1">
        <v>22</v>
      </c>
      <c r="N405" s="1">
        <v>20</v>
      </c>
      <c r="O405" s="1">
        <v>10</v>
      </c>
      <c r="P405" s="1">
        <v>52</v>
      </c>
      <c r="Q405" s="7">
        <v>0.91893658347268148</v>
      </c>
      <c r="R405" s="7">
        <f t="shared" si="60"/>
        <v>23.196700507614214</v>
      </c>
      <c r="S405" s="7">
        <f t="shared" si="61"/>
        <v>6.4306002317777482</v>
      </c>
      <c r="T405" s="7">
        <f t="shared" si="62"/>
        <v>22.771573604060915</v>
      </c>
      <c r="U405" s="7">
        <f t="shared" si="63"/>
        <v>6.5356886776680962</v>
      </c>
      <c r="V405" s="7">
        <f t="shared" si="64"/>
        <v>11.434010152284264</v>
      </c>
      <c r="W405" s="7">
        <f t="shared" si="65"/>
        <v>3.5019632409825281</v>
      </c>
      <c r="X405" s="7">
        <f t="shared" si="66"/>
        <v>-0.18609468237514495</v>
      </c>
      <c r="Y405" s="7">
        <f t="shared" si="67"/>
        <v>-0.42406756820151964</v>
      </c>
      <c r="Z405" s="7">
        <f t="shared" si="68"/>
        <v>-0.40948749418681252</v>
      </c>
      <c r="AA405" s="7">
        <f t="shared" si="69"/>
        <v>-0.3398832482544924</v>
      </c>
    </row>
    <row r="406" spans="1:27" x14ac:dyDescent="0.25">
      <c r="A406" s="1" t="s">
        <v>1672</v>
      </c>
      <c r="B406" s="1" t="s">
        <v>861</v>
      </c>
      <c r="C406" s="1">
        <v>7</v>
      </c>
      <c r="D406" s="1">
        <v>5</v>
      </c>
      <c r="E406" s="1">
        <v>5</v>
      </c>
      <c r="F406" s="1">
        <v>5</v>
      </c>
      <c r="G406" s="1">
        <v>4</v>
      </c>
      <c r="H406" s="1">
        <v>5</v>
      </c>
      <c r="I406" s="1">
        <v>5</v>
      </c>
      <c r="J406" s="1">
        <v>6</v>
      </c>
      <c r="K406" s="1">
        <v>5</v>
      </c>
      <c r="L406" s="1">
        <v>4</v>
      </c>
      <c r="M406" s="1">
        <v>22</v>
      </c>
      <c r="N406" s="1">
        <v>20</v>
      </c>
      <c r="O406" s="1">
        <v>9</v>
      </c>
      <c r="P406" s="1">
        <v>51</v>
      </c>
      <c r="Q406" s="7">
        <v>0.87559503577091313</v>
      </c>
      <c r="R406" s="7">
        <f t="shared" si="60"/>
        <v>23.196700507614214</v>
      </c>
      <c r="S406" s="7">
        <f t="shared" si="61"/>
        <v>6.4306002317777482</v>
      </c>
      <c r="T406" s="7">
        <f t="shared" si="62"/>
        <v>22.771573604060915</v>
      </c>
      <c r="U406" s="7">
        <f t="shared" si="63"/>
        <v>6.5356886776680962</v>
      </c>
      <c r="V406" s="7">
        <f t="shared" si="64"/>
        <v>11.434010152284264</v>
      </c>
      <c r="W406" s="7">
        <f t="shared" si="65"/>
        <v>3.5019632409825281</v>
      </c>
      <c r="X406" s="7">
        <f t="shared" si="66"/>
        <v>-0.18609468237514495</v>
      </c>
      <c r="Y406" s="7">
        <f t="shared" si="67"/>
        <v>-0.42406756820151964</v>
      </c>
      <c r="Z406" s="7">
        <f t="shared" si="68"/>
        <v>-0.69504160517726232</v>
      </c>
      <c r="AA406" s="7">
        <f t="shared" si="69"/>
        <v>-0.43506795191797565</v>
      </c>
    </row>
    <row r="407" spans="1:27" x14ac:dyDescent="0.25">
      <c r="A407" s="1" t="s">
        <v>1672</v>
      </c>
      <c r="B407" s="1" t="s">
        <v>861</v>
      </c>
      <c r="C407" s="1">
        <v>7</v>
      </c>
      <c r="D407" s="1">
        <v>6</v>
      </c>
      <c r="E407" s="1">
        <v>7</v>
      </c>
      <c r="F407" s="1">
        <v>5</v>
      </c>
      <c r="G407" s="1">
        <v>4</v>
      </c>
      <c r="H407" s="1">
        <v>5</v>
      </c>
      <c r="I407" s="1">
        <v>6</v>
      </c>
      <c r="J407" s="1">
        <v>5</v>
      </c>
      <c r="K407" s="1">
        <v>4</v>
      </c>
      <c r="L407" s="1">
        <v>4</v>
      </c>
      <c r="M407" s="1">
        <v>25</v>
      </c>
      <c r="N407" s="1">
        <v>20</v>
      </c>
      <c r="O407" s="1">
        <v>8</v>
      </c>
      <c r="P407" s="1">
        <v>53</v>
      </c>
      <c r="Q407" s="7">
        <v>1.1595018087284055</v>
      </c>
      <c r="R407" s="7">
        <f t="shared" si="60"/>
        <v>23.196700507614214</v>
      </c>
      <c r="S407" s="7">
        <f t="shared" si="61"/>
        <v>6.4306002317777482</v>
      </c>
      <c r="T407" s="7">
        <f t="shared" si="62"/>
        <v>22.771573604060915</v>
      </c>
      <c r="U407" s="7">
        <f t="shared" si="63"/>
        <v>6.5356886776680962</v>
      </c>
      <c r="V407" s="7">
        <f t="shared" si="64"/>
        <v>11.434010152284264</v>
      </c>
      <c r="W407" s="7">
        <f t="shared" si="65"/>
        <v>3.5019632409825281</v>
      </c>
      <c r="X407" s="7">
        <f t="shared" si="66"/>
        <v>0.28042475467134764</v>
      </c>
      <c r="Y407" s="7">
        <f t="shared" si="67"/>
        <v>-0.42406756820151964</v>
      </c>
      <c r="Z407" s="7">
        <f t="shared" si="68"/>
        <v>-0.98059571616771202</v>
      </c>
      <c r="AA407" s="7">
        <f t="shared" si="69"/>
        <v>-0.37474617656596138</v>
      </c>
    </row>
    <row r="408" spans="1:27" x14ac:dyDescent="0.25">
      <c r="A408" s="1" t="s">
        <v>1672</v>
      </c>
      <c r="B408" s="1" t="s">
        <v>861</v>
      </c>
      <c r="C408" s="1">
        <v>7</v>
      </c>
      <c r="D408" s="1">
        <v>5</v>
      </c>
      <c r="E408" s="1">
        <v>6</v>
      </c>
      <c r="F408" s="1">
        <v>6</v>
      </c>
      <c r="G408" s="1">
        <v>5</v>
      </c>
      <c r="H408" s="1">
        <v>5</v>
      </c>
      <c r="I408" s="1">
        <v>6</v>
      </c>
      <c r="J408" s="1">
        <v>5</v>
      </c>
      <c r="K408" s="1">
        <v>7</v>
      </c>
      <c r="L408" s="1">
        <v>6</v>
      </c>
      <c r="M408" s="1">
        <v>24</v>
      </c>
      <c r="N408" s="1">
        <v>21</v>
      </c>
      <c r="O408" s="1">
        <v>13</v>
      </c>
      <c r="P408" s="1">
        <v>58</v>
      </c>
      <c r="Q408" s="7">
        <v>0.78881063774661564</v>
      </c>
      <c r="R408" s="7">
        <f t="shared" si="60"/>
        <v>23.196700507614214</v>
      </c>
      <c r="S408" s="7">
        <f t="shared" si="61"/>
        <v>6.4306002317777482</v>
      </c>
      <c r="T408" s="7">
        <f t="shared" si="62"/>
        <v>22.771573604060915</v>
      </c>
      <c r="U408" s="7">
        <f t="shared" si="63"/>
        <v>6.5356886776680962</v>
      </c>
      <c r="V408" s="7">
        <f t="shared" si="64"/>
        <v>11.434010152284264</v>
      </c>
      <c r="W408" s="7">
        <f t="shared" si="65"/>
        <v>3.5019632409825281</v>
      </c>
      <c r="X408" s="7">
        <f t="shared" si="66"/>
        <v>0.12491827565585011</v>
      </c>
      <c r="Y408" s="7">
        <f t="shared" si="67"/>
        <v>-0.27106150421672232</v>
      </c>
      <c r="Z408" s="7">
        <f t="shared" si="68"/>
        <v>0.44717483878453679</v>
      </c>
      <c r="AA408" s="7">
        <f t="shared" si="69"/>
        <v>0.10034387007455486</v>
      </c>
    </row>
    <row r="409" spans="1:27" x14ac:dyDescent="0.25">
      <c r="A409" s="1" t="s">
        <v>1672</v>
      </c>
      <c r="B409" s="1" t="s">
        <v>861</v>
      </c>
      <c r="C409" s="1">
        <v>7</v>
      </c>
      <c r="D409" s="1">
        <v>5</v>
      </c>
      <c r="E409" s="1">
        <v>6</v>
      </c>
      <c r="F409" s="1">
        <v>6</v>
      </c>
      <c r="G409" s="1">
        <v>7</v>
      </c>
      <c r="H409" s="1">
        <v>6</v>
      </c>
      <c r="I409" s="1">
        <v>7</v>
      </c>
      <c r="J409" s="1">
        <v>7</v>
      </c>
      <c r="K409" s="1">
        <v>6</v>
      </c>
      <c r="L409" s="1">
        <v>5</v>
      </c>
      <c r="M409" s="1">
        <v>24</v>
      </c>
      <c r="N409" s="1">
        <v>27</v>
      </c>
      <c r="O409" s="1">
        <v>11</v>
      </c>
      <c r="P409" s="1">
        <v>62</v>
      </c>
      <c r="Q409" s="7">
        <v>0.78881063774661531</v>
      </c>
      <c r="R409" s="7">
        <f t="shared" si="60"/>
        <v>23.196700507614214</v>
      </c>
      <c r="S409" s="7">
        <f t="shared" si="61"/>
        <v>6.4306002317777482</v>
      </c>
      <c r="T409" s="7">
        <f t="shared" si="62"/>
        <v>22.771573604060915</v>
      </c>
      <c r="U409" s="7">
        <f t="shared" si="63"/>
        <v>6.5356886776680962</v>
      </c>
      <c r="V409" s="7">
        <f t="shared" si="64"/>
        <v>11.434010152284264</v>
      </c>
      <c r="W409" s="7">
        <f t="shared" si="65"/>
        <v>3.5019632409825281</v>
      </c>
      <c r="X409" s="7">
        <f t="shared" si="66"/>
        <v>0.12491827565585011</v>
      </c>
      <c r="Y409" s="7">
        <f t="shared" si="67"/>
        <v>0.64697487969206147</v>
      </c>
      <c r="Z409" s="7">
        <f t="shared" si="68"/>
        <v>-0.12393338319636275</v>
      </c>
      <c r="AA409" s="7">
        <f t="shared" si="69"/>
        <v>0.21598659071718296</v>
      </c>
    </row>
    <row r="410" spans="1:27" x14ac:dyDescent="0.25">
      <c r="A410" s="1" t="s">
        <v>1672</v>
      </c>
      <c r="B410" s="1" t="s">
        <v>861</v>
      </c>
      <c r="C410" s="1">
        <v>7</v>
      </c>
      <c r="D410" s="1">
        <v>7</v>
      </c>
      <c r="E410" s="1">
        <v>6</v>
      </c>
      <c r="F410" s="1">
        <v>7</v>
      </c>
      <c r="G410" s="1">
        <v>5</v>
      </c>
      <c r="H410" s="1">
        <v>5</v>
      </c>
      <c r="I410" s="1">
        <v>7</v>
      </c>
      <c r="J410" s="1">
        <v>6</v>
      </c>
      <c r="K410" s="1">
        <v>5</v>
      </c>
      <c r="L410" s="1">
        <v>6</v>
      </c>
      <c r="M410" s="1">
        <v>27</v>
      </c>
      <c r="N410" s="1">
        <v>23</v>
      </c>
      <c r="O410" s="1">
        <v>11</v>
      </c>
      <c r="P410" s="1">
        <v>61</v>
      </c>
      <c r="Q410" s="7">
        <v>0.87559503577091324</v>
      </c>
      <c r="R410" s="7">
        <f t="shared" si="60"/>
        <v>23.196700507614214</v>
      </c>
      <c r="S410" s="7">
        <f t="shared" si="61"/>
        <v>6.4306002317777482</v>
      </c>
      <c r="T410" s="7">
        <f t="shared" si="62"/>
        <v>22.771573604060915</v>
      </c>
      <c r="U410" s="7">
        <f t="shared" si="63"/>
        <v>6.5356886776680962</v>
      </c>
      <c r="V410" s="7">
        <f t="shared" si="64"/>
        <v>11.434010152284264</v>
      </c>
      <c r="W410" s="7">
        <f t="shared" si="65"/>
        <v>3.5019632409825281</v>
      </c>
      <c r="X410" s="7">
        <f t="shared" si="66"/>
        <v>0.59143771270234269</v>
      </c>
      <c r="Y410" s="7">
        <f t="shared" si="67"/>
        <v>3.4950623752872265E-2</v>
      </c>
      <c r="Z410" s="7">
        <f t="shared" si="68"/>
        <v>-0.12393338319636275</v>
      </c>
      <c r="AA410" s="7">
        <f t="shared" si="69"/>
        <v>0.16748498441961743</v>
      </c>
    </row>
    <row r="411" spans="1:27" x14ac:dyDescent="0.25">
      <c r="A411" s="1" t="s">
        <v>1673</v>
      </c>
      <c r="B411" s="1" t="s">
        <v>861</v>
      </c>
      <c r="C411" s="1">
        <v>6</v>
      </c>
      <c r="D411" s="1">
        <v>6</v>
      </c>
      <c r="E411" s="1">
        <v>6</v>
      </c>
      <c r="F411" s="1">
        <v>6</v>
      </c>
      <c r="G411" s="1">
        <v>5</v>
      </c>
      <c r="H411" s="1">
        <v>6</v>
      </c>
      <c r="I411" s="1">
        <v>6</v>
      </c>
      <c r="J411" s="1">
        <v>6</v>
      </c>
      <c r="K411" s="1">
        <v>7</v>
      </c>
      <c r="L411" s="1">
        <v>9</v>
      </c>
      <c r="M411" s="1">
        <v>24</v>
      </c>
      <c r="N411" s="1">
        <v>23</v>
      </c>
      <c r="O411" s="1">
        <v>16</v>
      </c>
      <c r="P411" s="1">
        <v>63</v>
      </c>
      <c r="Q411" s="7">
        <v>1.0593499054713804</v>
      </c>
      <c r="R411" s="7">
        <f t="shared" si="60"/>
        <v>23.196700507614214</v>
      </c>
      <c r="S411" s="7">
        <f t="shared" si="61"/>
        <v>6.4306002317777482</v>
      </c>
      <c r="T411" s="7">
        <f t="shared" si="62"/>
        <v>22.771573604060915</v>
      </c>
      <c r="U411" s="7">
        <f t="shared" si="63"/>
        <v>6.5356886776680962</v>
      </c>
      <c r="V411" s="7">
        <f t="shared" si="64"/>
        <v>11.434010152284264</v>
      </c>
      <c r="W411" s="7">
        <f t="shared" si="65"/>
        <v>3.5019632409825281</v>
      </c>
      <c r="X411" s="7">
        <f t="shared" si="66"/>
        <v>0.12491827565585011</v>
      </c>
      <c r="Y411" s="7">
        <f t="shared" si="67"/>
        <v>3.4950623752872265E-2</v>
      </c>
      <c r="Z411" s="7">
        <f t="shared" si="68"/>
        <v>1.3038371717558861</v>
      </c>
      <c r="AA411" s="7">
        <f t="shared" si="69"/>
        <v>0.48790202372153613</v>
      </c>
    </row>
    <row r="412" spans="1:27" x14ac:dyDescent="0.25">
      <c r="A412" s="1" t="s">
        <v>1673</v>
      </c>
      <c r="B412" s="1" t="s">
        <v>861</v>
      </c>
      <c r="C412" s="1">
        <v>7</v>
      </c>
      <c r="D412" s="1">
        <v>6</v>
      </c>
      <c r="E412" s="1">
        <v>7</v>
      </c>
      <c r="F412" s="1">
        <v>6</v>
      </c>
      <c r="G412" s="1">
        <v>6</v>
      </c>
      <c r="H412" s="1">
        <v>6</v>
      </c>
      <c r="I412" s="1">
        <v>7</v>
      </c>
      <c r="J412" s="1">
        <v>7</v>
      </c>
      <c r="K412" s="1">
        <v>7</v>
      </c>
      <c r="L412" s="1">
        <v>7</v>
      </c>
      <c r="M412" s="1">
        <v>26</v>
      </c>
      <c r="N412" s="1">
        <v>26</v>
      </c>
      <c r="O412" s="1">
        <v>14</v>
      </c>
      <c r="P412" s="1">
        <v>66</v>
      </c>
      <c r="Q412" s="7">
        <v>0.51639777949432231</v>
      </c>
      <c r="R412" s="7">
        <f t="shared" si="60"/>
        <v>23.196700507614214</v>
      </c>
      <c r="S412" s="7">
        <f t="shared" si="61"/>
        <v>6.4306002317777482</v>
      </c>
      <c r="T412" s="7">
        <f t="shared" si="62"/>
        <v>22.771573604060915</v>
      </c>
      <c r="U412" s="7">
        <f t="shared" si="63"/>
        <v>6.5356886776680962</v>
      </c>
      <c r="V412" s="7">
        <f t="shared" si="64"/>
        <v>11.434010152284264</v>
      </c>
      <c r="W412" s="7">
        <f t="shared" si="65"/>
        <v>3.5019632409825281</v>
      </c>
      <c r="X412" s="7">
        <f t="shared" si="66"/>
        <v>0.43593123368684517</v>
      </c>
      <c r="Y412" s="7">
        <f t="shared" si="67"/>
        <v>0.49396881570726414</v>
      </c>
      <c r="Z412" s="7">
        <f t="shared" si="68"/>
        <v>0.73272894977498659</v>
      </c>
      <c r="AA412" s="7">
        <f t="shared" si="69"/>
        <v>0.5542096663896986</v>
      </c>
    </row>
    <row r="413" spans="1:27" x14ac:dyDescent="0.25">
      <c r="A413" s="1" t="s">
        <v>1673</v>
      </c>
      <c r="B413" s="1" t="s">
        <v>861</v>
      </c>
      <c r="C413" s="1">
        <v>5</v>
      </c>
      <c r="D413" s="1">
        <v>4</v>
      </c>
      <c r="E413" s="1">
        <v>5</v>
      </c>
      <c r="F413" s="1">
        <v>4</v>
      </c>
      <c r="G413" s="1">
        <v>6</v>
      </c>
      <c r="H413" s="1">
        <v>6</v>
      </c>
      <c r="I413" s="1">
        <v>4</v>
      </c>
      <c r="J413" s="1">
        <v>6</v>
      </c>
      <c r="K413" s="1">
        <v>6</v>
      </c>
      <c r="L413" s="1">
        <v>7</v>
      </c>
      <c r="M413" s="1">
        <v>18</v>
      </c>
      <c r="N413" s="1">
        <v>22</v>
      </c>
      <c r="O413" s="1">
        <v>13</v>
      </c>
      <c r="P413" s="1">
        <v>53</v>
      </c>
      <c r="Q413" s="7">
        <v>1.0593499054713804</v>
      </c>
      <c r="R413" s="7">
        <f t="shared" si="60"/>
        <v>23.196700507614214</v>
      </c>
      <c r="S413" s="7">
        <f t="shared" si="61"/>
        <v>6.4306002317777482</v>
      </c>
      <c r="T413" s="7">
        <f t="shared" si="62"/>
        <v>22.771573604060915</v>
      </c>
      <c r="U413" s="7">
        <f t="shared" si="63"/>
        <v>6.5356886776680962</v>
      </c>
      <c r="V413" s="7">
        <f t="shared" si="64"/>
        <v>11.434010152284264</v>
      </c>
      <c r="W413" s="7">
        <f t="shared" si="65"/>
        <v>3.5019632409825281</v>
      </c>
      <c r="X413" s="7">
        <f t="shared" si="66"/>
        <v>-0.80812059843713513</v>
      </c>
      <c r="Y413" s="7">
        <f t="shared" si="67"/>
        <v>-0.11805544023192505</v>
      </c>
      <c r="Z413" s="7">
        <f t="shared" si="68"/>
        <v>0.44717483878453679</v>
      </c>
      <c r="AA413" s="7">
        <f t="shared" si="69"/>
        <v>-0.15966706662817445</v>
      </c>
    </row>
    <row r="414" spans="1:27" x14ac:dyDescent="0.25">
      <c r="A414" s="1" t="s">
        <v>1673</v>
      </c>
      <c r="B414" s="1" t="s">
        <v>861</v>
      </c>
      <c r="C414" s="1">
        <v>6</v>
      </c>
      <c r="D414" s="1">
        <v>4</v>
      </c>
      <c r="E414" s="1">
        <v>5</v>
      </c>
      <c r="F414" s="1">
        <v>5</v>
      </c>
      <c r="G414" s="1">
        <v>4</v>
      </c>
      <c r="H414" s="1">
        <v>5</v>
      </c>
      <c r="I414" s="1">
        <v>4</v>
      </c>
      <c r="J414" s="1">
        <v>5</v>
      </c>
      <c r="K414" s="1">
        <v>5</v>
      </c>
      <c r="L414" s="1">
        <v>5</v>
      </c>
      <c r="M414" s="1">
        <v>20</v>
      </c>
      <c r="N414" s="1">
        <v>18</v>
      </c>
      <c r="O414" s="1">
        <v>10</v>
      </c>
      <c r="P414" s="1">
        <v>48</v>
      </c>
      <c r="Q414" s="7">
        <v>0.63245553203367577</v>
      </c>
      <c r="R414" s="7">
        <f t="shared" si="60"/>
        <v>23.196700507614214</v>
      </c>
      <c r="S414" s="7">
        <f t="shared" si="61"/>
        <v>6.4306002317777482</v>
      </c>
      <c r="T414" s="7">
        <f t="shared" si="62"/>
        <v>22.771573604060915</v>
      </c>
      <c r="U414" s="7">
        <f t="shared" si="63"/>
        <v>6.5356886776680962</v>
      </c>
      <c r="V414" s="7">
        <f t="shared" si="64"/>
        <v>11.434010152284264</v>
      </c>
      <c r="W414" s="7">
        <f t="shared" si="65"/>
        <v>3.5019632409825281</v>
      </c>
      <c r="X414" s="7">
        <f t="shared" si="66"/>
        <v>-0.49710764040614003</v>
      </c>
      <c r="Y414" s="7">
        <f t="shared" si="67"/>
        <v>-0.73007969617111423</v>
      </c>
      <c r="Z414" s="7">
        <f t="shared" si="68"/>
        <v>-0.40948749418681252</v>
      </c>
      <c r="AA414" s="7">
        <f t="shared" si="69"/>
        <v>-0.54555827692135561</v>
      </c>
    </row>
    <row r="415" spans="1:27" x14ac:dyDescent="0.25">
      <c r="A415" s="1" t="s">
        <v>1673</v>
      </c>
      <c r="B415" s="1" t="s">
        <v>861</v>
      </c>
      <c r="C415" s="1">
        <v>5</v>
      </c>
      <c r="D415" s="1">
        <v>7</v>
      </c>
      <c r="E415" s="1">
        <v>7</v>
      </c>
      <c r="F415" s="1">
        <v>7</v>
      </c>
      <c r="G415" s="1">
        <v>7</v>
      </c>
      <c r="H415" s="1">
        <v>7</v>
      </c>
      <c r="I415" s="1">
        <v>7</v>
      </c>
      <c r="J415" s="1">
        <v>7</v>
      </c>
      <c r="K415" s="1">
        <v>7</v>
      </c>
      <c r="L415" s="1">
        <v>8</v>
      </c>
      <c r="M415" s="1">
        <v>26</v>
      </c>
      <c r="N415" s="1">
        <v>28</v>
      </c>
      <c r="O415" s="1">
        <v>15</v>
      </c>
      <c r="P415" s="1">
        <v>69</v>
      </c>
      <c r="Q415" s="7">
        <v>0.73786478737262207</v>
      </c>
      <c r="R415" s="7">
        <f t="shared" si="60"/>
        <v>23.196700507614214</v>
      </c>
      <c r="S415" s="7">
        <f t="shared" si="61"/>
        <v>6.4306002317777482</v>
      </c>
      <c r="T415" s="7">
        <f t="shared" si="62"/>
        <v>22.771573604060915</v>
      </c>
      <c r="U415" s="7">
        <f t="shared" si="63"/>
        <v>6.5356886776680962</v>
      </c>
      <c r="V415" s="7">
        <f t="shared" si="64"/>
        <v>11.434010152284264</v>
      </c>
      <c r="W415" s="7">
        <f t="shared" si="65"/>
        <v>3.5019632409825281</v>
      </c>
      <c r="X415" s="7">
        <f t="shared" si="66"/>
        <v>0.43593123368684517</v>
      </c>
      <c r="Y415" s="7">
        <f t="shared" si="67"/>
        <v>0.79998094367685879</v>
      </c>
      <c r="Z415" s="7">
        <f t="shared" si="68"/>
        <v>1.0182830607654363</v>
      </c>
      <c r="AA415" s="7">
        <f t="shared" si="69"/>
        <v>0.75139841270971353</v>
      </c>
    </row>
    <row r="416" spans="1:27" x14ac:dyDescent="0.25">
      <c r="A416" s="1" t="s">
        <v>1673</v>
      </c>
      <c r="B416" s="1" t="s">
        <v>861</v>
      </c>
      <c r="C416" s="1">
        <v>4</v>
      </c>
      <c r="D416" s="1">
        <v>4</v>
      </c>
      <c r="E416" s="1">
        <v>4</v>
      </c>
      <c r="F416" s="1">
        <v>4</v>
      </c>
      <c r="G416" s="1">
        <v>3</v>
      </c>
      <c r="H416" s="1">
        <v>4</v>
      </c>
      <c r="I416" s="1">
        <v>3</v>
      </c>
      <c r="J416" s="1">
        <v>5</v>
      </c>
      <c r="K416" s="1">
        <v>5</v>
      </c>
      <c r="L416" s="1">
        <v>4</v>
      </c>
      <c r="M416" s="1">
        <v>16</v>
      </c>
      <c r="N416" s="1">
        <v>15</v>
      </c>
      <c r="O416" s="1">
        <v>9</v>
      </c>
      <c r="P416" s="1">
        <v>40</v>
      </c>
      <c r="Q416" s="7">
        <v>0.66666666666666674</v>
      </c>
      <c r="R416" s="7">
        <f t="shared" si="60"/>
        <v>23.196700507614214</v>
      </c>
      <c r="S416" s="7">
        <f t="shared" si="61"/>
        <v>6.4306002317777482</v>
      </c>
      <c r="T416" s="7">
        <f t="shared" si="62"/>
        <v>22.771573604060915</v>
      </c>
      <c r="U416" s="7">
        <f t="shared" si="63"/>
        <v>6.5356886776680962</v>
      </c>
      <c r="V416" s="7">
        <f t="shared" si="64"/>
        <v>11.434010152284264</v>
      </c>
      <c r="W416" s="7">
        <f t="shared" si="65"/>
        <v>3.5019632409825281</v>
      </c>
      <c r="X416" s="7">
        <f t="shared" si="66"/>
        <v>-1.1191335564681302</v>
      </c>
      <c r="Y416" s="7">
        <f t="shared" si="67"/>
        <v>-1.1890978881255061</v>
      </c>
      <c r="Z416" s="7">
        <f t="shared" si="68"/>
        <v>-0.69504160517726232</v>
      </c>
      <c r="AA416" s="7">
        <f t="shared" si="69"/>
        <v>-1.0010910165902995</v>
      </c>
    </row>
    <row r="417" spans="1:27" x14ac:dyDescent="0.25">
      <c r="A417" s="1" t="s">
        <v>1673</v>
      </c>
      <c r="B417" s="1" t="s">
        <v>861</v>
      </c>
      <c r="C417" s="1">
        <v>5</v>
      </c>
      <c r="D417" s="1">
        <v>5</v>
      </c>
      <c r="E417" s="1">
        <v>6</v>
      </c>
      <c r="F417" s="1">
        <v>6</v>
      </c>
      <c r="G417" s="1">
        <v>6</v>
      </c>
      <c r="H417" s="1">
        <v>6</v>
      </c>
      <c r="I417" s="1">
        <v>7</v>
      </c>
      <c r="J417" s="1">
        <v>6</v>
      </c>
      <c r="K417" s="1">
        <v>7</v>
      </c>
      <c r="L417" s="1">
        <v>7</v>
      </c>
      <c r="M417" s="1">
        <v>22</v>
      </c>
      <c r="N417" s="1">
        <v>25</v>
      </c>
      <c r="O417" s="1">
        <v>14</v>
      </c>
      <c r="P417" s="1">
        <v>61</v>
      </c>
      <c r="Q417" s="7">
        <v>0.73786478737262207</v>
      </c>
      <c r="R417" s="7">
        <f t="shared" si="60"/>
        <v>23.196700507614214</v>
      </c>
      <c r="S417" s="7">
        <f t="shared" si="61"/>
        <v>6.4306002317777482</v>
      </c>
      <c r="T417" s="7">
        <f t="shared" si="62"/>
        <v>22.771573604060915</v>
      </c>
      <c r="U417" s="7">
        <f t="shared" si="63"/>
        <v>6.5356886776680962</v>
      </c>
      <c r="V417" s="7">
        <f t="shared" si="64"/>
        <v>11.434010152284264</v>
      </c>
      <c r="W417" s="7">
        <f t="shared" si="65"/>
        <v>3.5019632409825281</v>
      </c>
      <c r="X417" s="7">
        <f t="shared" si="66"/>
        <v>-0.18609468237514495</v>
      </c>
      <c r="Y417" s="7">
        <f t="shared" si="67"/>
        <v>0.34096275172246687</v>
      </c>
      <c r="Z417" s="7">
        <f t="shared" si="68"/>
        <v>0.73272894977498659</v>
      </c>
      <c r="AA417" s="7">
        <f t="shared" si="69"/>
        <v>0.29586567304076949</v>
      </c>
    </row>
    <row r="418" spans="1:27" x14ac:dyDescent="0.25">
      <c r="A418" s="1" t="s">
        <v>1673</v>
      </c>
      <c r="B418" s="1" t="s">
        <v>861</v>
      </c>
      <c r="C418" s="1">
        <v>5</v>
      </c>
      <c r="D418" s="1">
        <v>3</v>
      </c>
      <c r="E418" s="1">
        <v>4</v>
      </c>
      <c r="F418" s="1">
        <v>3</v>
      </c>
      <c r="G418" s="1">
        <v>5</v>
      </c>
      <c r="H418" s="1">
        <v>5</v>
      </c>
      <c r="I418" s="1">
        <v>4</v>
      </c>
      <c r="J418" s="1">
        <v>5</v>
      </c>
      <c r="K418" s="1">
        <v>4</v>
      </c>
      <c r="L418" s="1">
        <v>4</v>
      </c>
      <c r="M418" s="1">
        <v>15</v>
      </c>
      <c r="N418" s="1">
        <v>19</v>
      </c>
      <c r="O418" s="1">
        <v>8</v>
      </c>
      <c r="P418" s="1">
        <v>42</v>
      </c>
      <c r="Q418" s="7">
        <v>0.78881063774661542</v>
      </c>
      <c r="R418" s="7">
        <f t="shared" si="60"/>
        <v>23.196700507614214</v>
      </c>
      <c r="S418" s="7">
        <f t="shared" si="61"/>
        <v>6.4306002317777482</v>
      </c>
      <c r="T418" s="7">
        <f t="shared" si="62"/>
        <v>22.771573604060915</v>
      </c>
      <c r="U418" s="7">
        <f t="shared" si="63"/>
        <v>6.5356886776680962</v>
      </c>
      <c r="V418" s="7">
        <f t="shared" si="64"/>
        <v>11.434010152284264</v>
      </c>
      <c r="W418" s="7">
        <f t="shared" si="65"/>
        <v>3.5019632409825281</v>
      </c>
      <c r="X418" s="7">
        <f t="shared" si="66"/>
        <v>-1.2746400354836278</v>
      </c>
      <c r="Y418" s="7">
        <f t="shared" si="67"/>
        <v>-0.57707363218631691</v>
      </c>
      <c r="Z418" s="7">
        <f t="shared" si="68"/>
        <v>-0.98059571616771202</v>
      </c>
      <c r="AA418" s="7">
        <f t="shared" si="69"/>
        <v>-0.94410312794588558</v>
      </c>
    </row>
    <row r="419" spans="1:27" x14ac:dyDescent="0.25">
      <c r="A419" s="1" t="s">
        <v>1673</v>
      </c>
      <c r="B419" s="1" t="s">
        <v>861</v>
      </c>
      <c r="C419" s="1">
        <v>6</v>
      </c>
      <c r="D419" s="1">
        <v>4</v>
      </c>
      <c r="E419" s="1">
        <v>6</v>
      </c>
      <c r="F419" s="1">
        <v>5</v>
      </c>
      <c r="G419" s="1">
        <v>5</v>
      </c>
      <c r="H419" s="1">
        <v>4</v>
      </c>
      <c r="I419" s="1">
        <v>5</v>
      </c>
      <c r="J419" s="1">
        <v>6</v>
      </c>
      <c r="K419" s="1">
        <v>6</v>
      </c>
      <c r="L419" s="1">
        <v>7</v>
      </c>
      <c r="M419" s="1">
        <v>21</v>
      </c>
      <c r="N419" s="1">
        <v>20</v>
      </c>
      <c r="O419" s="1">
        <v>13</v>
      </c>
      <c r="P419" s="1">
        <v>54</v>
      </c>
      <c r="Q419" s="7">
        <v>0.96609178307929577</v>
      </c>
      <c r="R419" s="7">
        <f t="shared" si="60"/>
        <v>23.196700507614214</v>
      </c>
      <c r="S419" s="7">
        <f t="shared" si="61"/>
        <v>6.4306002317777482</v>
      </c>
      <c r="T419" s="7">
        <f t="shared" si="62"/>
        <v>22.771573604060915</v>
      </c>
      <c r="U419" s="7">
        <f t="shared" si="63"/>
        <v>6.5356886776680962</v>
      </c>
      <c r="V419" s="7">
        <f t="shared" si="64"/>
        <v>11.434010152284264</v>
      </c>
      <c r="W419" s="7">
        <f t="shared" si="65"/>
        <v>3.5019632409825281</v>
      </c>
      <c r="X419" s="7">
        <f t="shared" si="66"/>
        <v>-0.3416011613906425</v>
      </c>
      <c r="Y419" s="7">
        <f t="shared" si="67"/>
        <v>-0.42406756820151964</v>
      </c>
      <c r="Z419" s="7">
        <f t="shared" si="68"/>
        <v>0.44717483878453679</v>
      </c>
      <c r="AA419" s="7">
        <f t="shared" si="69"/>
        <v>-0.10616463026920846</v>
      </c>
    </row>
    <row r="420" spans="1:27" x14ac:dyDescent="0.25">
      <c r="A420" s="1" t="s">
        <v>1673</v>
      </c>
      <c r="B420" s="1" t="s">
        <v>861</v>
      </c>
      <c r="C420" s="1">
        <v>7</v>
      </c>
      <c r="D420" s="1">
        <v>6</v>
      </c>
      <c r="E420" s="1">
        <v>7</v>
      </c>
      <c r="F420" s="1">
        <v>6</v>
      </c>
      <c r="G420" s="1">
        <v>6</v>
      </c>
      <c r="H420" s="1">
        <v>5</v>
      </c>
      <c r="I420" s="1">
        <v>5</v>
      </c>
      <c r="J420" s="1">
        <v>5</v>
      </c>
      <c r="K420" s="1">
        <v>6</v>
      </c>
      <c r="L420" s="1">
        <v>5</v>
      </c>
      <c r="M420" s="1">
        <v>26</v>
      </c>
      <c r="N420" s="1">
        <v>21</v>
      </c>
      <c r="O420" s="1">
        <v>11</v>
      </c>
      <c r="P420" s="1">
        <v>58</v>
      </c>
      <c r="Q420" s="7">
        <v>0.78881063774661564</v>
      </c>
      <c r="R420" s="7">
        <f t="shared" si="60"/>
        <v>23.196700507614214</v>
      </c>
      <c r="S420" s="7">
        <f t="shared" si="61"/>
        <v>6.4306002317777482</v>
      </c>
      <c r="T420" s="7">
        <f t="shared" si="62"/>
        <v>22.771573604060915</v>
      </c>
      <c r="U420" s="7">
        <f t="shared" si="63"/>
        <v>6.5356886776680962</v>
      </c>
      <c r="V420" s="7">
        <f t="shared" si="64"/>
        <v>11.434010152284264</v>
      </c>
      <c r="W420" s="7">
        <f t="shared" si="65"/>
        <v>3.5019632409825281</v>
      </c>
      <c r="X420" s="7">
        <f t="shared" si="66"/>
        <v>0.43593123368684517</v>
      </c>
      <c r="Y420" s="7">
        <f t="shared" si="67"/>
        <v>-0.27106150421672232</v>
      </c>
      <c r="Z420" s="7">
        <f t="shared" si="68"/>
        <v>-0.12393338319636275</v>
      </c>
      <c r="AA420" s="7">
        <f t="shared" si="69"/>
        <v>1.3645448757920032E-2</v>
      </c>
    </row>
    <row r="421" spans="1:27" x14ac:dyDescent="0.25">
      <c r="A421" s="1" t="s">
        <v>1673</v>
      </c>
      <c r="B421" s="1" t="s">
        <v>861</v>
      </c>
      <c r="C421" s="1">
        <v>8</v>
      </c>
      <c r="D421" s="1">
        <v>7</v>
      </c>
      <c r="E421" s="1">
        <v>7</v>
      </c>
      <c r="F421" s="1">
        <v>8</v>
      </c>
      <c r="G421" s="1">
        <v>7</v>
      </c>
      <c r="H421" s="1">
        <v>7</v>
      </c>
      <c r="I421" s="1">
        <v>7</v>
      </c>
      <c r="J421" s="1">
        <v>7</v>
      </c>
      <c r="K421" s="1">
        <v>8</v>
      </c>
      <c r="L421" s="1">
        <v>8</v>
      </c>
      <c r="M421" s="1">
        <v>30</v>
      </c>
      <c r="N421" s="1">
        <v>28</v>
      </c>
      <c r="O421" s="1">
        <v>16</v>
      </c>
      <c r="P421" s="1">
        <v>74</v>
      </c>
      <c r="Q421" s="7">
        <v>0.5163977794943222</v>
      </c>
      <c r="R421" s="7">
        <f t="shared" si="60"/>
        <v>23.196700507614214</v>
      </c>
      <c r="S421" s="7">
        <f t="shared" si="61"/>
        <v>6.4306002317777482</v>
      </c>
      <c r="T421" s="7">
        <f t="shared" si="62"/>
        <v>22.771573604060915</v>
      </c>
      <c r="U421" s="7">
        <f t="shared" si="63"/>
        <v>6.5356886776680962</v>
      </c>
      <c r="V421" s="7">
        <f t="shared" si="64"/>
        <v>11.434010152284264</v>
      </c>
      <c r="W421" s="7">
        <f t="shared" si="65"/>
        <v>3.5019632409825281</v>
      </c>
      <c r="X421" s="7">
        <f t="shared" si="66"/>
        <v>1.0579571497488354</v>
      </c>
      <c r="Y421" s="7">
        <f t="shared" si="67"/>
        <v>0.79998094367685879</v>
      </c>
      <c r="Z421" s="7">
        <f t="shared" si="68"/>
        <v>1.3038371717558861</v>
      </c>
      <c r="AA421" s="7">
        <f t="shared" si="69"/>
        <v>1.05392508839386</v>
      </c>
    </row>
    <row r="422" spans="1:27" x14ac:dyDescent="0.25">
      <c r="A422" s="1" t="s">
        <v>1673</v>
      </c>
      <c r="B422" s="1" t="s">
        <v>861</v>
      </c>
      <c r="C422" s="1">
        <v>6</v>
      </c>
      <c r="D422" s="1">
        <v>4</v>
      </c>
      <c r="E422" s="1">
        <v>4</v>
      </c>
      <c r="F422" s="1">
        <v>3</v>
      </c>
      <c r="G422" s="1">
        <v>5</v>
      </c>
      <c r="H422" s="1">
        <v>3</v>
      </c>
      <c r="I422" s="1">
        <v>3</v>
      </c>
      <c r="J422" s="1">
        <v>3</v>
      </c>
      <c r="K422" s="1">
        <v>3</v>
      </c>
      <c r="L422" s="1">
        <v>3</v>
      </c>
      <c r="M422" s="1">
        <v>17</v>
      </c>
      <c r="N422" s="1">
        <v>14</v>
      </c>
      <c r="O422" s="1">
        <v>6</v>
      </c>
      <c r="P422" s="1">
        <v>37</v>
      </c>
      <c r="Q422" s="7">
        <v>1.0593499054713804</v>
      </c>
      <c r="R422" s="7">
        <f t="shared" si="60"/>
        <v>23.196700507614214</v>
      </c>
      <c r="S422" s="7">
        <f t="shared" si="61"/>
        <v>6.4306002317777482</v>
      </c>
      <c r="T422" s="7">
        <f t="shared" si="62"/>
        <v>22.771573604060915</v>
      </c>
      <c r="U422" s="7">
        <f t="shared" si="63"/>
        <v>6.5356886776680962</v>
      </c>
      <c r="V422" s="7">
        <f t="shared" si="64"/>
        <v>11.434010152284264</v>
      </c>
      <c r="W422" s="7">
        <f t="shared" si="65"/>
        <v>3.5019632409825281</v>
      </c>
      <c r="X422" s="7">
        <f t="shared" si="66"/>
        <v>-0.96362707745263265</v>
      </c>
      <c r="Y422" s="7">
        <f t="shared" si="67"/>
        <v>-1.3421039521103035</v>
      </c>
      <c r="Z422" s="7">
        <f t="shared" si="68"/>
        <v>-1.5517039381486115</v>
      </c>
      <c r="AA422" s="7">
        <f t="shared" si="69"/>
        <v>-1.2858116559038493</v>
      </c>
    </row>
    <row r="423" spans="1:27" x14ac:dyDescent="0.25">
      <c r="A423" s="1" t="s">
        <v>1673</v>
      </c>
      <c r="B423" s="1" t="s">
        <v>861</v>
      </c>
      <c r="C423" s="1">
        <v>8</v>
      </c>
      <c r="D423" s="1">
        <v>7</v>
      </c>
      <c r="E423" s="1">
        <v>8</v>
      </c>
      <c r="F423" s="1">
        <v>8</v>
      </c>
      <c r="G423" s="1">
        <v>8</v>
      </c>
      <c r="H423" s="1">
        <v>7</v>
      </c>
      <c r="I423" s="1">
        <v>7</v>
      </c>
      <c r="J423" s="1">
        <v>7</v>
      </c>
      <c r="K423" s="1">
        <v>8</v>
      </c>
      <c r="L423" s="1">
        <v>8</v>
      </c>
      <c r="M423" s="1">
        <v>31</v>
      </c>
      <c r="N423" s="1">
        <v>29</v>
      </c>
      <c r="O423" s="1">
        <v>16</v>
      </c>
      <c r="P423" s="1">
        <v>76</v>
      </c>
      <c r="Q423" s="7">
        <v>0.5163977794943222</v>
      </c>
      <c r="R423" s="7">
        <f t="shared" si="60"/>
        <v>23.196700507614214</v>
      </c>
      <c r="S423" s="7">
        <f t="shared" si="61"/>
        <v>6.4306002317777482</v>
      </c>
      <c r="T423" s="7">
        <f t="shared" si="62"/>
        <v>22.771573604060915</v>
      </c>
      <c r="U423" s="7">
        <f t="shared" si="63"/>
        <v>6.5356886776680962</v>
      </c>
      <c r="V423" s="7">
        <f t="shared" si="64"/>
        <v>11.434010152284264</v>
      </c>
      <c r="W423" s="7">
        <f t="shared" si="65"/>
        <v>3.5019632409825281</v>
      </c>
      <c r="X423" s="7">
        <f t="shared" si="66"/>
        <v>1.2134636287643328</v>
      </c>
      <c r="Y423" s="7">
        <f t="shared" si="67"/>
        <v>0.95298700766165612</v>
      </c>
      <c r="Z423" s="7">
        <f t="shared" si="68"/>
        <v>1.3038371717558861</v>
      </c>
      <c r="AA423" s="7">
        <f t="shared" si="69"/>
        <v>1.1567626027272917</v>
      </c>
    </row>
    <row r="424" spans="1:27" x14ac:dyDescent="0.25">
      <c r="A424" s="1" t="s">
        <v>1673</v>
      </c>
      <c r="B424" s="1" t="s">
        <v>861</v>
      </c>
      <c r="C424" s="1">
        <v>5</v>
      </c>
      <c r="D424" s="1">
        <v>6</v>
      </c>
      <c r="E424" s="1">
        <v>5</v>
      </c>
      <c r="F424" s="1">
        <v>6</v>
      </c>
      <c r="G424" s="1">
        <v>6</v>
      </c>
      <c r="H424" s="1">
        <v>6</v>
      </c>
      <c r="I424" s="1">
        <v>5</v>
      </c>
      <c r="J424" s="1">
        <v>5</v>
      </c>
      <c r="K424" s="1">
        <v>6</v>
      </c>
      <c r="L424" s="1">
        <v>7</v>
      </c>
      <c r="M424" s="1">
        <v>22</v>
      </c>
      <c r="N424" s="1">
        <v>22</v>
      </c>
      <c r="O424" s="1">
        <v>13</v>
      </c>
      <c r="P424" s="1">
        <v>57</v>
      </c>
      <c r="Q424" s="7">
        <v>0.67494855771055284</v>
      </c>
      <c r="R424" s="7">
        <f t="shared" si="60"/>
        <v>23.196700507614214</v>
      </c>
      <c r="S424" s="7">
        <f t="shared" si="61"/>
        <v>6.4306002317777482</v>
      </c>
      <c r="T424" s="7">
        <f t="shared" si="62"/>
        <v>22.771573604060915</v>
      </c>
      <c r="U424" s="7">
        <f t="shared" si="63"/>
        <v>6.5356886776680962</v>
      </c>
      <c r="V424" s="7">
        <f t="shared" si="64"/>
        <v>11.434010152284264</v>
      </c>
      <c r="W424" s="7">
        <f t="shared" si="65"/>
        <v>3.5019632409825281</v>
      </c>
      <c r="X424" s="7">
        <f t="shared" si="66"/>
        <v>-0.18609468237514495</v>
      </c>
      <c r="Y424" s="7">
        <f t="shared" si="67"/>
        <v>-0.11805544023192505</v>
      </c>
      <c r="Z424" s="7">
        <f t="shared" si="68"/>
        <v>0.44717483878453679</v>
      </c>
      <c r="AA424" s="7">
        <f t="shared" si="69"/>
        <v>4.7674905392488941E-2</v>
      </c>
    </row>
    <row r="425" spans="1:27" x14ac:dyDescent="0.25">
      <c r="A425" s="1" t="s">
        <v>1673</v>
      </c>
      <c r="B425" s="1" t="s">
        <v>861</v>
      </c>
      <c r="C425" s="1">
        <v>5</v>
      </c>
      <c r="D425" s="1">
        <v>5</v>
      </c>
      <c r="E425" s="1">
        <v>5</v>
      </c>
      <c r="F425" s="1">
        <v>5</v>
      </c>
      <c r="G425" s="1">
        <v>6</v>
      </c>
      <c r="H425" s="1">
        <v>5</v>
      </c>
      <c r="I425" s="1">
        <v>4</v>
      </c>
      <c r="J425" s="1">
        <v>4</v>
      </c>
      <c r="K425" s="1">
        <v>5</v>
      </c>
      <c r="L425" s="1">
        <v>6</v>
      </c>
      <c r="M425" s="1">
        <v>20</v>
      </c>
      <c r="N425" s="1">
        <v>19</v>
      </c>
      <c r="O425" s="1">
        <v>11</v>
      </c>
      <c r="P425" s="1">
        <v>50</v>
      </c>
      <c r="Q425" s="7">
        <v>0.66666666666666663</v>
      </c>
      <c r="R425" s="7">
        <f t="shared" si="60"/>
        <v>23.196700507614214</v>
      </c>
      <c r="S425" s="7">
        <f t="shared" si="61"/>
        <v>6.4306002317777482</v>
      </c>
      <c r="T425" s="7">
        <f t="shared" si="62"/>
        <v>22.771573604060915</v>
      </c>
      <c r="U425" s="7">
        <f t="shared" si="63"/>
        <v>6.5356886776680962</v>
      </c>
      <c r="V425" s="7">
        <f t="shared" si="64"/>
        <v>11.434010152284264</v>
      </c>
      <c r="W425" s="7">
        <f t="shared" si="65"/>
        <v>3.5019632409825281</v>
      </c>
      <c r="X425" s="7">
        <f t="shared" si="66"/>
        <v>-0.49710764040614003</v>
      </c>
      <c r="Y425" s="7">
        <f t="shared" si="67"/>
        <v>-0.57707363218631691</v>
      </c>
      <c r="Z425" s="7">
        <f t="shared" si="68"/>
        <v>-0.12393338319636275</v>
      </c>
      <c r="AA425" s="7">
        <f t="shared" si="69"/>
        <v>-0.39937155192960655</v>
      </c>
    </row>
    <row r="426" spans="1:27" x14ac:dyDescent="0.25">
      <c r="A426" s="1" t="s">
        <v>1673</v>
      </c>
      <c r="B426" s="1" t="s">
        <v>861</v>
      </c>
      <c r="C426" s="1">
        <v>6</v>
      </c>
      <c r="D426" s="1">
        <v>7</v>
      </c>
      <c r="E426" s="1">
        <v>5</v>
      </c>
      <c r="F426" s="1">
        <v>7</v>
      </c>
      <c r="G426" s="1">
        <v>6</v>
      </c>
      <c r="H426" s="1">
        <v>6</v>
      </c>
      <c r="I426" s="1">
        <v>5</v>
      </c>
      <c r="J426" s="1">
        <v>5</v>
      </c>
      <c r="K426" s="1">
        <v>5</v>
      </c>
      <c r="L426" s="1">
        <v>6</v>
      </c>
      <c r="M426" s="1">
        <v>25</v>
      </c>
      <c r="N426" s="1">
        <v>22</v>
      </c>
      <c r="O426" s="1">
        <v>11</v>
      </c>
      <c r="P426" s="1">
        <v>58</v>
      </c>
      <c r="Q426" s="7">
        <v>0.78881063774661553</v>
      </c>
      <c r="R426" s="7">
        <f t="shared" si="60"/>
        <v>23.196700507614214</v>
      </c>
      <c r="S426" s="7">
        <f t="shared" si="61"/>
        <v>6.4306002317777482</v>
      </c>
      <c r="T426" s="7">
        <f t="shared" si="62"/>
        <v>22.771573604060915</v>
      </c>
      <c r="U426" s="7">
        <f t="shared" si="63"/>
        <v>6.5356886776680962</v>
      </c>
      <c r="V426" s="7">
        <f t="shared" si="64"/>
        <v>11.434010152284264</v>
      </c>
      <c r="W426" s="7">
        <f t="shared" si="65"/>
        <v>3.5019632409825281</v>
      </c>
      <c r="X426" s="7">
        <f t="shared" si="66"/>
        <v>0.28042475467134764</v>
      </c>
      <c r="Y426" s="7">
        <f t="shared" si="67"/>
        <v>-0.11805544023192505</v>
      </c>
      <c r="Z426" s="7">
        <f t="shared" si="68"/>
        <v>-0.12393338319636275</v>
      </c>
      <c r="AA426" s="7">
        <f t="shared" si="69"/>
        <v>1.2811977081019948E-2</v>
      </c>
    </row>
    <row r="427" spans="1:27" x14ac:dyDescent="0.25">
      <c r="A427" s="1" t="s">
        <v>1673</v>
      </c>
      <c r="B427" s="1" t="s">
        <v>861</v>
      </c>
      <c r="C427" s="1">
        <v>6</v>
      </c>
      <c r="D427" s="1">
        <v>7</v>
      </c>
      <c r="E427" s="1">
        <v>7</v>
      </c>
      <c r="F427" s="1">
        <v>7</v>
      </c>
      <c r="G427" s="1">
        <v>6</v>
      </c>
      <c r="H427" s="1">
        <v>5</v>
      </c>
      <c r="I427" s="1">
        <v>5</v>
      </c>
      <c r="J427" s="1">
        <v>5</v>
      </c>
      <c r="K427" s="1">
        <v>5</v>
      </c>
      <c r="L427" s="1">
        <v>5</v>
      </c>
      <c r="M427" s="1">
        <v>27</v>
      </c>
      <c r="N427" s="1">
        <v>21</v>
      </c>
      <c r="O427" s="1">
        <v>10</v>
      </c>
      <c r="P427" s="1">
        <v>58</v>
      </c>
      <c r="Q427" s="7">
        <v>0.91893658347268137</v>
      </c>
      <c r="R427" s="7">
        <f t="shared" si="60"/>
        <v>23.196700507614214</v>
      </c>
      <c r="S427" s="7">
        <f t="shared" si="61"/>
        <v>6.4306002317777482</v>
      </c>
      <c r="T427" s="7">
        <f t="shared" si="62"/>
        <v>22.771573604060915</v>
      </c>
      <c r="U427" s="7">
        <f t="shared" si="63"/>
        <v>6.5356886776680962</v>
      </c>
      <c r="V427" s="7">
        <f t="shared" si="64"/>
        <v>11.434010152284264</v>
      </c>
      <c r="W427" s="7">
        <f t="shared" si="65"/>
        <v>3.5019632409825281</v>
      </c>
      <c r="X427" s="7">
        <f t="shared" si="66"/>
        <v>0.59143771270234269</v>
      </c>
      <c r="Y427" s="7">
        <f t="shared" si="67"/>
        <v>-0.27106150421672232</v>
      </c>
      <c r="Z427" s="7">
        <f t="shared" si="68"/>
        <v>-0.40948749418681252</v>
      </c>
      <c r="AA427" s="7">
        <f t="shared" si="69"/>
        <v>-2.970376190039738E-2</v>
      </c>
    </row>
    <row r="428" spans="1:27" x14ac:dyDescent="0.25">
      <c r="A428" s="1" t="s">
        <v>1673</v>
      </c>
      <c r="B428" s="1" t="s">
        <v>861</v>
      </c>
      <c r="C428" s="1">
        <v>6</v>
      </c>
      <c r="D428" s="1">
        <v>6</v>
      </c>
      <c r="E428" s="1">
        <v>6</v>
      </c>
      <c r="F428" s="1">
        <v>7</v>
      </c>
      <c r="G428" s="1">
        <v>7</v>
      </c>
      <c r="H428" s="1">
        <v>7</v>
      </c>
      <c r="I428" s="1">
        <v>6</v>
      </c>
      <c r="J428" s="1">
        <v>6</v>
      </c>
      <c r="K428" s="1">
        <v>7</v>
      </c>
      <c r="L428" s="1">
        <v>6</v>
      </c>
      <c r="M428" s="1">
        <v>25</v>
      </c>
      <c r="N428" s="1">
        <v>26</v>
      </c>
      <c r="O428" s="1">
        <v>13</v>
      </c>
      <c r="P428" s="1">
        <v>64</v>
      </c>
      <c r="Q428" s="7">
        <v>0.5163977794943222</v>
      </c>
      <c r="R428" s="7">
        <f t="shared" si="60"/>
        <v>23.196700507614214</v>
      </c>
      <c r="S428" s="7">
        <f t="shared" si="61"/>
        <v>6.4306002317777482</v>
      </c>
      <c r="T428" s="7">
        <f t="shared" si="62"/>
        <v>22.771573604060915</v>
      </c>
      <c r="U428" s="7">
        <f t="shared" si="63"/>
        <v>6.5356886776680962</v>
      </c>
      <c r="V428" s="7">
        <f t="shared" si="64"/>
        <v>11.434010152284264</v>
      </c>
      <c r="W428" s="7">
        <f t="shared" si="65"/>
        <v>3.5019632409825281</v>
      </c>
      <c r="X428" s="7">
        <f t="shared" si="66"/>
        <v>0.28042475467134764</v>
      </c>
      <c r="Y428" s="7">
        <f t="shared" si="67"/>
        <v>0.49396881570726414</v>
      </c>
      <c r="Z428" s="7">
        <f t="shared" si="68"/>
        <v>0.44717483878453679</v>
      </c>
      <c r="AA428" s="7">
        <f t="shared" si="69"/>
        <v>0.40718946972104958</v>
      </c>
    </row>
    <row r="429" spans="1:27" x14ac:dyDescent="0.25">
      <c r="A429" s="1" t="s">
        <v>1673</v>
      </c>
      <c r="B429" s="1" t="s">
        <v>861</v>
      </c>
      <c r="C429" s="1">
        <v>5</v>
      </c>
      <c r="D429" s="1">
        <v>5</v>
      </c>
      <c r="E429" s="1">
        <v>6</v>
      </c>
      <c r="F429" s="1">
        <v>5</v>
      </c>
      <c r="G429" s="1">
        <v>6</v>
      </c>
      <c r="H429" s="1">
        <v>5</v>
      </c>
      <c r="I429" s="1">
        <v>5</v>
      </c>
      <c r="J429" s="1">
        <v>7</v>
      </c>
      <c r="K429" s="1">
        <v>7</v>
      </c>
      <c r="L429" s="1">
        <v>5</v>
      </c>
      <c r="M429" s="1">
        <v>21</v>
      </c>
      <c r="N429" s="1">
        <v>23</v>
      </c>
      <c r="O429" s="1">
        <v>12</v>
      </c>
      <c r="P429" s="1">
        <v>56</v>
      </c>
      <c r="Q429" s="7">
        <v>0.8432740427115677</v>
      </c>
      <c r="R429" s="7">
        <f t="shared" si="60"/>
        <v>23.196700507614214</v>
      </c>
      <c r="S429" s="7">
        <f t="shared" si="61"/>
        <v>6.4306002317777482</v>
      </c>
      <c r="T429" s="7">
        <f t="shared" si="62"/>
        <v>22.771573604060915</v>
      </c>
      <c r="U429" s="7">
        <f t="shared" si="63"/>
        <v>6.5356886776680962</v>
      </c>
      <c r="V429" s="7">
        <f t="shared" si="64"/>
        <v>11.434010152284264</v>
      </c>
      <c r="W429" s="7">
        <f t="shared" si="65"/>
        <v>3.5019632409825281</v>
      </c>
      <c r="X429" s="7">
        <f t="shared" si="66"/>
        <v>-0.3416011613906425</v>
      </c>
      <c r="Y429" s="7">
        <f t="shared" si="67"/>
        <v>3.4950623752872265E-2</v>
      </c>
      <c r="Z429" s="7">
        <f t="shared" si="68"/>
        <v>0.16162072779408701</v>
      </c>
      <c r="AA429" s="7">
        <f t="shared" si="69"/>
        <v>-4.8343269947894403E-2</v>
      </c>
    </row>
    <row r="430" spans="1:27" x14ac:dyDescent="0.25">
      <c r="A430" s="1" t="s">
        <v>1673</v>
      </c>
      <c r="B430" s="1" t="s">
        <v>861</v>
      </c>
      <c r="C430" s="1">
        <v>6</v>
      </c>
      <c r="D430" s="1">
        <v>4</v>
      </c>
      <c r="E430" s="1">
        <v>3</v>
      </c>
      <c r="F430" s="1">
        <v>4</v>
      </c>
      <c r="G430" s="1">
        <v>5</v>
      </c>
      <c r="H430" s="1">
        <v>5</v>
      </c>
      <c r="I430" s="1">
        <v>4</v>
      </c>
      <c r="J430" s="1">
        <v>5</v>
      </c>
      <c r="K430" s="1">
        <v>6</v>
      </c>
      <c r="L430" s="1">
        <v>4</v>
      </c>
      <c r="M430" s="1">
        <v>17</v>
      </c>
      <c r="N430" s="1">
        <v>19</v>
      </c>
      <c r="O430" s="1">
        <v>10</v>
      </c>
      <c r="P430" s="1">
        <v>46</v>
      </c>
      <c r="Q430" s="7">
        <v>0.96609178307929577</v>
      </c>
      <c r="R430" s="7">
        <f t="shared" si="60"/>
        <v>23.196700507614214</v>
      </c>
      <c r="S430" s="7">
        <f t="shared" si="61"/>
        <v>6.4306002317777482</v>
      </c>
      <c r="T430" s="7">
        <f t="shared" si="62"/>
        <v>22.771573604060915</v>
      </c>
      <c r="U430" s="7">
        <f t="shared" si="63"/>
        <v>6.5356886776680962</v>
      </c>
      <c r="V430" s="7">
        <f t="shared" si="64"/>
        <v>11.434010152284264</v>
      </c>
      <c r="W430" s="7">
        <f t="shared" si="65"/>
        <v>3.5019632409825281</v>
      </c>
      <c r="X430" s="7">
        <f t="shared" si="66"/>
        <v>-0.96362707745263265</v>
      </c>
      <c r="Y430" s="7">
        <f t="shared" si="67"/>
        <v>-0.57707363218631691</v>
      </c>
      <c r="Z430" s="7">
        <f t="shared" si="68"/>
        <v>-0.40948749418681252</v>
      </c>
      <c r="AA430" s="7">
        <f t="shared" si="69"/>
        <v>-0.65006273460858732</v>
      </c>
    </row>
    <row r="431" spans="1:27" x14ac:dyDescent="0.25">
      <c r="A431" s="1" t="s">
        <v>1673</v>
      </c>
      <c r="B431" s="1" t="s">
        <v>861</v>
      </c>
      <c r="C431" s="1">
        <v>6</v>
      </c>
      <c r="D431" s="1">
        <v>5</v>
      </c>
      <c r="E431" s="1">
        <v>5</v>
      </c>
      <c r="F431" s="1">
        <v>5</v>
      </c>
      <c r="G431" s="1">
        <v>5</v>
      </c>
      <c r="H431" s="1">
        <v>5</v>
      </c>
      <c r="I431" s="1">
        <v>4</v>
      </c>
      <c r="J431" s="1">
        <v>5</v>
      </c>
      <c r="K431" s="1">
        <v>5</v>
      </c>
      <c r="L431" s="1">
        <v>4</v>
      </c>
      <c r="M431" s="1">
        <v>21</v>
      </c>
      <c r="N431" s="1">
        <v>19</v>
      </c>
      <c r="O431" s="1">
        <v>9</v>
      </c>
      <c r="P431" s="1">
        <v>49</v>
      </c>
      <c r="Q431" s="7">
        <v>0.56764621219754674</v>
      </c>
      <c r="R431" s="7">
        <f t="shared" si="60"/>
        <v>23.196700507614214</v>
      </c>
      <c r="S431" s="7">
        <f t="shared" si="61"/>
        <v>6.4306002317777482</v>
      </c>
      <c r="T431" s="7">
        <f t="shared" si="62"/>
        <v>22.771573604060915</v>
      </c>
      <c r="U431" s="7">
        <f t="shared" si="63"/>
        <v>6.5356886776680962</v>
      </c>
      <c r="V431" s="7">
        <f t="shared" si="64"/>
        <v>11.434010152284264</v>
      </c>
      <c r="W431" s="7">
        <f t="shared" si="65"/>
        <v>3.5019632409825281</v>
      </c>
      <c r="X431" s="7">
        <f t="shared" si="66"/>
        <v>-0.3416011613906425</v>
      </c>
      <c r="Y431" s="7">
        <f t="shared" si="67"/>
        <v>-0.57707363218631691</v>
      </c>
      <c r="Z431" s="7">
        <f t="shared" si="68"/>
        <v>-0.69504160517726232</v>
      </c>
      <c r="AA431" s="7">
        <f t="shared" si="69"/>
        <v>-0.53790546625140723</v>
      </c>
    </row>
    <row r="432" spans="1:27" x14ac:dyDescent="0.25">
      <c r="A432" s="1" t="s">
        <v>1673</v>
      </c>
      <c r="B432" s="1" t="s">
        <v>861</v>
      </c>
      <c r="C432" s="1">
        <v>7</v>
      </c>
      <c r="D432" s="1">
        <v>4</v>
      </c>
      <c r="E432" s="1">
        <v>6</v>
      </c>
      <c r="F432" s="1">
        <v>7</v>
      </c>
      <c r="G432" s="1">
        <v>7</v>
      </c>
      <c r="H432" s="1">
        <v>7</v>
      </c>
      <c r="I432" s="1">
        <v>7</v>
      </c>
      <c r="J432" s="1">
        <v>7</v>
      </c>
      <c r="K432" s="1">
        <v>7</v>
      </c>
      <c r="L432" s="1">
        <v>7</v>
      </c>
      <c r="M432" s="1">
        <v>24</v>
      </c>
      <c r="N432" s="1">
        <v>28</v>
      </c>
      <c r="O432" s="1">
        <v>14</v>
      </c>
      <c r="P432" s="1">
        <v>66</v>
      </c>
      <c r="Q432" s="7">
        <v>0.96609178307929577</v>
      </c>
      <c r="R432" s="7">
        <f t="shared" si="60"/>
        <v>23.196700507614214</v>
      </c>
      <c r="S432" s="7">
        <f t="shared" si="61"/>
        <v>6.4306002317777482</v>
      </c>
      <c r="T432" s="7">
        <f t="shared" si="62"/>
        <v>22.771573604060915</v>
      </c>
      <c r="U432" s="7">
        <f t="shared" si="63"/>
        <v>6.5356886776680962</v>
      </c>
      <c r="V432" s="7">
        <f t="shared" si="64"/>
        <v>11.434010152284264</v>
      </c>
      <c r="W432" s="7">
        <f t="shared" si="65"/>
        <v>3.5019632409825281</v>
      </c>
      <c r="X432" s="7">
        <f t="shared" si="66"/>
        <v>0.12491827565585011</v>
      </c>
      <c r="Y432" s="7">
        <f t="shared" si="67"/>
        <v>0.79998094367685879</v>
      </c>
      <c r="Z432" s="7">
        <f t="shared" si="68"/>
        <v>0.73272894977498659</v>
      </c>
      <c r="AA432" s="7">
        <f t="shared" si="69"/>
        <v>0.55254272303589846</v>
      </c>
    </row>
    <row r="433" spans="1:27" x14ac:dyDescent="0.25">
      <c r="A433" s="1" t="s">
        <v>1669</v>
      </c>
      <c r="B433" s="1" t="s">
        <v>861</v>
      </c>
      <c r="C433" s="1">
        <v>9</v>
      </c>
      <c r="D433" s="1">
        <v>7</v>
      </c>
      <c r="E433" s="1">
        <v>5</v>
      </c>
      <c r="F433" s="1">
        <v>8</v>
      </c>
      <c r="G433" s="1">
        <v>8</v>
      </c>
      <c r="H433" s="1">
        <v>9</v>
      </c>
      <c r="I433" s="1">
        <v>8</v>
      </c>
      <c r="J433" s="1">
        <v>8</v>
      </c>
      <c r="K433" s="1">
        <v>6</v>
      </c>
      <c r="L433" s="1">
        <v>9</v>
      </c>
      <c r="M433" s="1">
        <v>29</v>
      </c>
      <c r="N433" s="1">
        <v>33</v>
      </c>
      <c r="O433" s="1">
        <v>15</v>
      </c>
      <c r="P433" s="1">
        <v>77</v>
      </c>
      <c r="Q433" s="7">
        <v>1.3374935098492586</v>
      </c>
      <c r="R433" s="7">
        <f t="shared" si="60"/>
        <v>23.196700507614214</v>
      </c>
      <c r="S433" s="7">
        <f t="shared" si="61"/>
        <v>6.4306002317777482</v>
      </c>
      <c r="T433" s="7">
        <f t="shared" si="62"/>
        <v>22.771573604060915</v>
      </c>
      <c r="U433" s="7">
        <f t="shared" si="63"/>
        <v>6.5356886776680962</v>
      </c>
      <c r="V433" s="7">
        <f t="shared" si="64"/>
        <v>11.434010152284264</v>
      </c>
      <c r="W433" s="7">
        <f t="shared" si="65"/>
        <v>3.5019632409825281</v>
      </c>
      <c r="X433" s="7">
        <f t="shared" si="66"/>
        <v>0.90245067073333785</v>
      </c>
      <c r="Y433" s="7">
        <f t="shared" si="67"/>
        <v>1.5650112636008453</v>
      </c>
      <c r="Z433" s="7">
        <f t="shared" si="68"/>
        <v>1.0182830607654363</v>
      </c>
      <c r="AA433" s="7">
        <f t="shared" si="69"/>
        <v>1.1619149983665398</v>
      </c>
    </row>
    <row r="434" spans="1:27" x14ac:dyDescent="0.25">
      <c r="A434" s="1" t="s">
        <v>1669</v>
      </c>
      <c r="B434" s="1" t="s">
        <v>861</v>
      </c>
      <c r="C434" s="1">
        <v>1</v>
      </c>
      <c r="D434" s="1">
        <v>1</v>
      </c>
      <c r="E434" s="1">
        <v>1</v>
      </c>
      <c r="F434" s="1">
        <v>2</v>
      </c>
      <c r="G434" s="1">
        <v>4</v>
      </c>
      <c r="H434" s="1">
        <v>4</v>
      </c>
      <c r="I434" s="1">
        <v>2</v>
      </c>
      <c r="J434" s="1">
        <v>3</v>
      </c>
      <c r="K434" s="1">
        <v>2</v>
      </c>
      <c r="L434" s="1">
        <v>1</v>
      </c>
      <c r="M434" s="1">
        <v>5</v>
      </c>
      <c r="N434" s="1">
        <v>13</v>
      </c>
      <c r="O434" s="1">
        <v>3</v>
      </c>
      <c r="P434" s="1">
        <v>21</v>
      </c>
      <c r="Q434" s="7">
        <v>1.1972189997378648</v>
      </c>
      <c r="R434" s="7">
        <f t="shared" si="60"/>
        <v>23.196700507614214</v>
      </c>
      <c r="S434" s="7">
        <f t="shared" si="61"/>
        <v>6.4306002317777482</v>
      </c>
      <c r="T434" s="7">
        <f t="shared" si="62"/>
        <v>22.771573604060915</v>
      </c>
      <c r="U434" s="7">
        <f t="shared" si="63"/>
        <v>6.5356886776680962</v>
      </c>
      <c r="V434" s="7">
        <f t="shared" si="64"/>
        <v>11.434010152284264</v>
      </c>
      <c r="W434" s="7">
        <f t="shared" si="65"/>
        <v>3.5019632409825281</v>
      </c>
      <c r="X434" s="7">
        <f t="shared" si="66"/>
        <v>-2.8297048256386033</v>
      </c>
      <c r="Y434" s="7">
        <f t="shared" si="67"/>
        <v>-1.4951100160951007</v>
      </c>
      <c r="Z434" s="7">
        <f t="shared" si="68"/>
        <v>-2.4083662711199607</v>
      </c>
      <c r="AA434" s="7">
        <f t="shared" si="69"/>
        <v>-2.2443937042845548</v>
      </c>
    </row>
    <row r="435" spans="1:27" x14ac:dyDescent="0.25">
      <c r="A435" s="1" t="s">
        <v>1669</v>
      </c>
      <c r="B435" s="1" t="s">
        <v>861</v>
      </c>
      <c r="C435" s="1">
        <v>6</v>
      </c>
      <c r="D435" s="1">
        <v>5</v>
      </c>
      <c r="E435" s="1">
        <v>7</v>
      </c>
      <c r="F435" s="1">
        <v>5</v>
      </c>
      <c r="G435" s="1">
        <v>4</v>
      </c>
      <c r="H435" s="1">
        <v>6</v>
      </c>
      <c r="I435" s="1">
        <v>6</v>
      </c>
      <c r="J435" s="1">
        <v>5</v>
      </c>
      <c r="K435" s="1">
        <v>6</v>
      </c>
      <c r="L435" s="1">
        <v>8</v>
      </c>
      <c r="M435" s="1">
        <v>23</v>
      </c>
      <c r="N435" s="1">
        <v>21</v>
      </c>
      <c r="O435" s="1">
        <v>14</v>
      </c>
      <c r="P435" s="1">
        <v>58</v>
      </c>
      <c r="Q435" s="7">
        <v>1.1352924243950935</v>
      </c>
      <c r="R435" s="7">
        <f t="shared" si="60"/>
        <v>23.196700507614214</v>
      </c>
      <c r="S435" s="7">
        <f t="shared" si="61"/>
        <v>6.4306002317777482</v>
      </c>
      <c r="T435" s="7">
        <f t="shared" si="62"/>
        <v>22.771573604060915</v>
      </c>
      <c r="U435" s="7">
        <f t="shared" si="63"/>
        <v>6.5356886776680962</v>
      </c>
      <c r="V435" s="7">
        <f t="shared" si="64"/>
        <v>11.434010152284264</v>
      </c>
      <c r="W435" s="7">
        <f t="shared" si="65"/>
        <v>3.5019632409825281</v>
      </c>
      <c r="X435" s="7">
        <f t="shared" si="66"/>
        <v>-3.0588203359647428E-2</v>
      </c>
      <c r="Y435" s="7">
        <f t="shared" si="67"/>
        <v>-0.27106150421672232</v>
      </c>
      <c r="Z435" s="7">
        <f t="shared" si="68"/>
        <v>0.73272894977498659</v>
      </c>
      <c r="AA435" s="7">
        <f t="shared" si="69"/>
        <v>0.14369308073287229</v>
      </c>
    </row>
    <row r="436" spans="1:27" x14ac:dyDescent="0.25">
      <c r="A436" s="1" t="s">
        <v>1669</v>
      </c>
      <c r="B436" s="1" t="s">
        <v>861</v>
      </c>
      <c r="C436" s="1">
        <v>2</v>
      </c>
      <c r="D436" s="1">
        <v>3</v>
      </c>
      <c r="E436" s="1">
        <v>5</v>
      </c>
      <c r="F436" s="1">
        <v>3</v>
      </c>
      <c r="G436" s="1">
        <v>2</v>
      </c>
      <c r="H436" s="1">
        <v>2</v>
      </c>
      <c r="I436" s="1">
        <v>5</v>
      </c>
      <c r="J436" s="1">
        <v>4</v>
      </c>
      <c r="K436" s="1">
        <v>7</v>
      </c>
      <c r="L436" s="1">
        <v>8</v>
      </c>
      <c r="M436" s="1">
        <v>13</v>
      </c>
      <c r="N436" s="1">
        <v>13</v>
      </c>
      <c r="O436" s="1">
        <v>15</v>
      </c>
      <c r="P436" s="1">
        <v>41</v>
      </c>
      <c r="Q436" s="7">
        <v>2.1317702607092643</v>
      </c>
      <c r="R436" s="7">
        <f t="shared" si="60"/>
        <v>23.196700507614214</v>
      </c>
      <c r="S436" s="7">
        <f t="shared" si="61"/>
        <v>6.4306002317777482</v>
      </c>
      <c r="T436" s="7">
        <f t="shared" si="62"/>
        <v>22.771573604060915</v>
      </c>
      <c r="U436" s="7">
        <f t="shared" si="63"/>
        <v>6.5356886776680962</v>
      </c>
      <c r="V436" s="7">
        <f t="shared" si="64"/>
        <v>11.434010152284264</v>
      </c>
      <c r="W436" s="7">
        <f t="shared" si="65"/>
        <v>3.5019632409825281</v>
      </c>
      <c r="X436" s="7">
        <f t="shared" si="66"/>
        <v>-1.5856529935146229</v>
      </c>
      <c r="Y436" s="7">
        <f t="shared" si="67"/>
        <v>-1.4951100160951007</v>
      </c>
      <c r="Z436" s="7">
        <f t="shared" si="68"/>
        <v>1.0182830607654363</v>
      </c>
      <c r="AA436" s="7">
        <f t="shared" si="69"/>
        <v>-0.68749331628142907</v>
      </c>
    </row>
    <row r="437" spans="1:27" x14ac:dyDescent="0.25">
      <c r="A437" s="1" t="s">
        <v>1669</v>
      </c>
      <c r="B437" s="1" t="s">
        <v>861</v>
      </c>
      <c r="C437" s="1">
        <v>6</v>
      </c>
      <c r="D437" s="1">
        <v>9</v>
      </c>
      <c r="E437" s="1">
        <v>9</v>
      </c>
      <c r="F437" s="1">
        <v>7</v>
      </c>
      <c r="G437" s="1">
        <v>8</v>
      </c>
      <c r="H437" s="1">
        <v>7</v>
      </c>
      <c r="I437" s="1">
        <v>6</v>
      </c>
      <c r="J437" s="1">
        <v>8</v>
      </c>
      <c r="K437" s="1">
        <v>5</v>
      </c>
      <c r="L437" s="1">
        <v>9</v>
      </c>
      <c r="M437" s="1">
        <v>31</v>
      </c>
      <c r="N437" s="1">
        <v>29</v>
      </c>
      <c r="O437" s="1">
        <v>14</v>
      </c>
      <c r="P437" s="1">
        <v>74</v>
      </c>
      <c r="Q437" s="7">
        <v>1.429840705968481</v>
      </c>
      <c r="R437" s="7">
        <f t="shared" si="60"/>
        <v>23.196700507614214</v>
      </c>
      <c r="S437" s="7">
        <f t="shared" si="61"/>
        <v>6.4306002317777482</v>
      </c>
      <c r="T437" s="7">
        <f t="shared" si="62"/>
        <v>22.771573604060915</v>
      </c>
      <c r="U437" s="7">
        <f t="shared" si="63"/>
        <v>6.5356886776680962</v>
      </c>
      <c r="V437" s="7">
        <f t="shared" si="64"/>
        <v>11.434010152284264</v>
      </c>
      <c r="W437" s="7">
        <f t="shared" si="65"/>
        <v>3.5019632409825281</v>
      </c>
      <c r="X437" s="7">
        <f t="shared" si="66"/>
        <v>1.2134636287643328</v>
      </c>
      <c r="Y437" s="7">
        <f t="shared" si="67"/>
        <v>0.95298700766165612</v>
      </c>
      <c r="Z437" s="7">
        <f t="shared" si="68"/>
        <v>0.73272894977498659</v>
      </c>
      <c r="AA437" s="7">
        <f t="shared" si="69"/>
        <v>0.9663931954003252</v>
      </c>
    </row>
    <row r="438" spans="1:27" x14ac:dyDescent="0.25">
      <c r="A438" s="1" t="s">
        <v>1669</v>
      </c>
      <c r="B438" s="1" t="s">
        <v>861</v>
      </c>
      <c r="C438" s="1">
        <v>6</v>
      </c>
      <c r="D438" s="1">
        <v>5</v>
      </c>
      <c r="E438" s="1">
        <v>4</v>
      </c>
      <c r="F438" s="1">
        <v>8</v>
      </c>
      <c r="G438" s="1">
        <v>7</v>
      </c>
      <c r="H438" s="1">
        <v>9</v>
      </c>
      <c r="I438" s="1">
        <v>9</v>
      </c>
      <c r="J438" s="1">
        <v>8</v>
      </c>
      <c r="K438" s="1">
        <v>8</v>
      </c>
      <c r="L438" s="1">
        <v>9</v>
      </c>
      <c r="M438" s="1">
        <v>23</v>
      </c>
      <c r="N438" s="1">
        <v>33</v>
      </c>
      <c r="O438" s="1">
        <v>17</v>
      </c>
      <c r="P438" s="1">
        <v>73</v>
      </c>
      <c r="Q438" s="7">
        <v>1.7669811040931429</v>
      </c>
      <c r="R438" s="7">
        <f t="shared" si="60"/>
        <v>23.196700507614214</v>
      </c>
      <c r="S438" s="7">
        <f t="shared" si="61"/>
        <v>6.4306002317777482</v>
      </c>
      <c r="T438" s="7">
        <f t="shared" si="62"/>
        <v>22.771573604060915</v>
      </c>
      <c r="U438" s="7">
        <f t="shared" si="63"/>
        <v>6.5356886776680962</v>
      </c>
      <c r="V438" s="7">
        <f t="shared" si="64"/>
        <v>11.434010152284264</v>
      </c>
      <c r="W438" s="7">
        <f t="shared" si="65"/>
        <v>3.5019632409825281</v>
      </c>
      <c r="X438" s="7">
        <f t="shared" si="66"/>
        <v>-3.0588203359647428E-2</v>
      </c>
      <c r="Y438" s="7">
        <f t="shared" si="67"/>
        <v>1.5650112636008453</v>
      </c>
      <c r="Z438" s="7">
        <f t="shared" si="68"/>
        <v>1.5893912827463359</v>
      </c>
      <c r="AA438" s="7">
        <f t="shared" si="69"/>
        <v>1.0412714476625113</v>
      </c>
    </row>
    <row r="439" spans="1:27" x14ac:dyDescent="0.25">
      <c r="A439" s="1" t="s">
        <v>1669</v>
      </c>
      <c r="B439" s="1" t="s">
        <v>861</v>
      </c>
      <c r="C439" s="1">
        <v>8</v>
      </c>
      <c r="D439" s="1">
        <v>2</v>
      </c>
      <c r="E439" s="1">
        <v>5</v>
      </c>
      <c r="F439" s="1">
        <v>4</v>
      </c>
      <c r="G439" s="1">
        <v>9</v>
      </c>
      <c r="H439" s="1">
        <v>8</v>
      </c>
      <c r="I439" s="1">
        <v>7</v>
      </c>
      <c r="J439" s="1">
        <v>7</v>
      </c>
      <c r="K439" s="1">
        <v>8</v>
      </c>
      <c r="L439" s="1">
        <v>6</v>
      </c>
      <c r="M439" s="1">
        <v>19</v>
      </c>
      <c r="N439" s="1">
        <v>31</v>
      </c>
      <c r="O439" s="1">
        <v>14</v>
      </c>
      <c r="P439" s="1">
        <v>64</v>
      </c>
      <c r="Q439" s="7">
        <v>2.1705094128132942</v>
      </c>
      <c r="R439" s="7">
        <f t="shared" si="60"/>
        <v>23.196700507614214</v>
      </c>
      <c r="S439" s="7">
        <f t="shared" si="61"/>
        <v>6.4306002317777482</v>
      </c>
      <c r="T439" s="7">
        <f t="shared" si="62"/>
        <v>22.771573604060915</v>
      </c>
      <c r="U439" s="7">
        <f t="shared" si="63"/>
        <v>6.5356886776680962</v>
      </c>
      <c r="V439" s="7">
        <f t="shared" si="64"/>
        <v>11.434010152284264</v>
      </c>
      <c r="W439" s="7">
        <f t="shared" si="65"/>
        <v>3.5019632409825281</v>
      </c>
      <c r="X439" s="7">
        <f t="shared" si="66"/>
        <v>-0.65261411942163761</v>
      </c>
      <c r="Y439" s="7">
        <f t="shared" si="67"/>
        <v>1.2589991356312507</v>
      </c>
      <c r="Z439" s="7">
        <f t="shared" si="68"/>
        <v>0.73272894977498659</v>
      </c>
      <c r="AA439" s="7">
        <f t="shared" si="69"/>
        <v>0.44637132199486657</v>
      </c>
    </row>
    <row r="440" spans="1:27" x14ac:dyDescent="0.25">
      <c r="A440" s="1" t="s">
        <v>1669</v>
      </c>
      <c r="B440" s="1" t="s">
        <v>861</v>
      </c>
      <c r="C440" s="1">
        <v>6</v>
      </c>
      <c r="D440" s="1">
        <v>7</v>
      </c>
      <c r="E440" s="1">
        <v>8</v>
      </c>
      <c r="F440" s="1">
        <v>5</v>
      </c>
      <c r="G440" s="1">
        <v>9</v>
      </c>
      <c r="H440" s="1">
        <v>7</v>
      </c>
      <c r="I440" s="1">
        <v>9</v>
      </c>
      <c r="J440" s="1">
        <v>9</v>
      </c>
      <c r="K440" s="1">
        <v>4</v>
      </c>
      <c r="L440" s="1">
        <v>3</v>
      </c>
      <c r="M440" s="1">
        <v>26</v>
      </c>
      <c r="N440" s="1">
        <v>34</v>
      </c>
      <c r="O440" s="1">
        <v>7</v>
      </c>
      <c r="P440" s="1">
        <v>67</v>
      </c>
      <c r="Q440" s="7">
        <v>2.1628170930011112</v>
      </c>
      <c r="R440" s="7">
        <f t="shared" si="60"/>
        <v>23.196700507614214</v>
      </c>
      <c r="S440" s="7">
        <f t="shared" si="61"/>
        <v>6.4306002317777482</v>
      </c>
      <c r="T440" s="7">
        <f t="shared" si="62"/>
        <v>22.771573604060915</v>
      </c>
      <c r="U440" s="7">
        <f t="shared" si="63"/>
        <v>6.5356886776680962</v>
      </c>
      <c r="V440" s="7">
        <f t="shared" si="64"/>
        <v>11.434010152284264</v>
      </c>
      <c r="W440" s="7">
        <f t="shared" si="65"/>
        <v>3.5019632409825281</v>
      </c>
      <c r="X440" s="7">
        <f t="shared" si="66"/>
        <v>0.43593123368684517</v>
      </c>
      <c r="Y440" s="7">
        <f t="shared" si="67"/>
        <v>1.7180173275856425</v>
      </c>
      <c r="Z440" s="7">
        <f t="shared" si="68"/>
        <v>-1.2661498271581617</v>
      </c>
      <c r="AA440" s="7">
        <f t="shared" si="69"/>
        <v>0.29593291137144201</v>
      </c>
    </row>
    <row r="441" spans="1:27" x14ac:dyDescent="0.25">
      <c r="A441" s="1" t="s">
        <v>1675</v>
      </c>
      <c r="B441" s="1" t="s">
        <v>861</v>
      </c>
      <c r="C441" s="1">
        <v>7</v>
      </c>
      <c r="D441" s="1">
        <v>6</v>
      </c>
      <c r="E441" s="1">
        <v>6</v>
      </c>
      <c r="F441" s="1">
        <v>7</v>
      </c>
      <c r="G441" s="1">
        <v>7</v>
      </c>
      <c r="H441" s="1">
        <v>5</v>
      </c>
      <c r="I441" s="1">
        <v>7</v>
      </c>
      <c r="J441" s="1">
        <v>5</v>
      </c>
      <c r="K441" s="1">
        <v>8</v>
      </c>
      <c r="L441" s="1">
        <v>5</v>
      </c>
      <c r="M441" s="1">
        <v>26</v>
      </c>
      <c r="N441" s="1">
        <v>24</v>
      </c>
      <c r="O441" s="1">
        <v>13</v>
      </c>
      <c r="P441" s="1">
        <v>63</v>
      </c>
      <c r="Q441" s="7">
        <v>1.05934990547138</v>
      </c>
      <c r="R441" s="7">
        <f t="shared" si="60"/>
        <v>23.196700507614214</v>
      </c>
      <c r="S441" s="7">
        <f t="shared" si="61"/>
        <v>6.4306002317777482</v>
      </c>
      <c r="T441" s="7">
        <f t="shared" si="62"/>
        <v>22.771573604060915</v>
      </c>
      <c r="U441" s="7">
        <f t="shared" si="63"/>
        <v>6.5356886776680962</v>
      </c>
      <c r="V441" s="7">
        <f t="shared" si="64"/>
        <v>11.434010152284264</v>
      </c>
      <c r="W441" s="7">
        <f t="shared" si="65"/>
        <v>3.5019632409825281</v>
      </c>
      <c r="X441" s="7">
        <f t="shared" si="66"/>
        <v>0.43593123368684517</v>
      </c>
      <c r="Y441" s="7">
        <f t="shared" si="67"/>
        <v>0.18795668773766958</v>
      </c>
      <c r="Z441" s="7">
        <f t="shared" si="68"/>
        <v>0.44717483878453679</v>
      </c>
      <c r="AA441" s="7">
        <f t="shared" si="69"/>
        <v>0.35702092006968389</v>
      </c>
    </row>
    <row r="442" spans="1:27" x14ac:dyDescent="0.25">
      <c r="A442" s="1" t="s">
        <v>1675</v>
      </c>
      <c r="B442" s="1" t="s">
        <v>861</v>
      </c>
      <c r="C442" s="1">
        <v>6</v>
      </c>
      <c r="D442" s="1">
        <v>3</v>
      </c>
      <c r="E442" s="1">
        <v>4</v>
      </c>
      <c r="F442" s="1">
        <v>3</v>
      </c>
      <c r="G442" s="1">
        <v>3</v>
      </c>
      <c r="H442" s="1">
        <v>4</v>
      </c>
      <c r="I442" s="1">
        <v>2</v>
      </c>
      <c r="J442" s="1">
        <v>2</v>
      </c>
      <c r="K442" s="1">
        <v>2</v>
      </c>
      <c r="L442" s="1">
        <v>2</v>
      </c>
      <c r="M442" s="1">
        <v>16</v>
      </c>
      <c r="N442" s="1">
        <v>11</v>
      </c>
      <c r="O442" s="1">
        <v>4</v>
      </c>
      <c r="P442" s="1">
        <v>31</v>
      </c>
      <c r="Q442" s="7">
        <v>1.2866839377079187</v>
      </c>
      <c r="R442" s="7">
        <f t="shared" si="60"/>
        <v>23.196700507614214</v>
      </c>
      <c r="S442" s="7">
        <f t="shared" si="61"/>
        <v>6.4306002317777482</v>
      </c>
      <c r="T442" s="7">
        <f t="shared" si="62"/>
        <v>22.771573604060915</v>
      </c>
      <c r="U442" s="7">
        <f t="shared" si="63"/>
        <v>6.5356886776680962</v>
      </c>
      <c r="V442" s="7">
        <f t="shared" si="64"/>
        <v>11.434010152284264</v>
      </c>
      <c r="W442" s="7">
        <f t="shared" si="65"/>
        <v>3.5019632409825281</v>
      </c>
      <c r="X442" s="7">
        <f t="shared" si="66"/>
        <v>-1.1191335564681302</v>
      </c>
      <c r="Y442" s="7">
        <f t="shared" si="67"/>
        <v>-1.8011221440646954</v>
      </c>
      <c r="Z442" s="7">
        <f t="shared" si="68"/>
        <v>-2.1228121601295111</v>
      </c>
      <c r="AA442" s="7">
        <f t="shared" si="69"/>
        <v>-1.681022620220779</v>
      </c>
    </row>
    <row r="443" spans="1:27" x14ac:dyDescent="0.25">
      <c r="A443" s="1" t="s">
        <v>1675</v>
      </c>
      <c r="B443" s="1" t="s">
        <v>861</v>
      </c>
      <c r="C443" s="1">
        <v>7</v>
      </c>
      <c r="D443" s="1">
        <v>7</v>
      </c>
      <c r="E443" s="1">
        <v>6</v>
      </c>
      <c r="F443" s="1">
        <v>7</v>
      </c>
      <c r="G443" s="1">
        <v>8</v>
      </c>
      <c r="H443" s="1">
        <v>8</v>
      </c>
      <c r="I443" s="1">
        <v>7</v>
      </c>
      <c r="J443" s="1">
        <v>8</v>
      </c>
      <c r="K443" s="1">
        <v>7</v>
      </c>
      <c r="L443" s="1">
        <v>4</v>
      </c>
      <c r="M443" s="1">
        <v>27</v>
      </c>
      <c r="N443" s="1">
        <v>31</v>
      </c>
      <c r="O443" s="1">
        <v>11</v>
      </c>
      <c r="P443" s="1">
        <v>69</v>
      </c>
      <c r="Q443" s="7">
        <v>1.1972189997378646</v>
      </c>
      <c r="R443" s="7">
        <f t="shared" si="60"/>
        <v>23.196700507614214</v>
      </c>
      <c r="S443" s="7">
        <f t="shared" si="61"/>
        <v>6.4306002317777482</v>
      </c>
      <c r="T443" s="7">
        <f t="shared" si="62"/>
        <v>22.771573604060915</v>
      </c>
      <c r="U443" s="7">
        <f t="shared" si="63"/>
        <v>6.5356886776680962</v>
      </c>
      <c r="V443" s="7">
        <f t="shared" si="64"/>
        <v>11.434010152284264</v>
      </c>
      <c r="W443" s="7">
        <f t="shared" si="65"/>
        <v>3.5019632409825281</v>
      </c>
      <c r="X443" s="7">
        <f t="shared" si="66"/>
        <v>0.59143771270234269</v>
      </c>
      <c r="Y443" s="7">
        <f t="shared" si="67"/>
        <v>1.2589991356312507</v>
      </c>
      <c r="Z443" s="7">
        <f t="shared" si="68"/>
        <v>-0.12393338319636275</v>
      </c>
      <c r="AA443" s="7">
        <f t="shared" si="69"/>
        <v>0.57550115504574351</v>
      </c>
    </row>
    <row r="444" spans="1:27" x14ac:dyDescent="0.25">
      <c r="A444" s="1" t="s">
        <v>1675</v>
      </c>
      <c r="B444" s="1" t="s">
        <v>861</v>
      </c>
      <c r="C444" s="1">
        <v>6</v>
      </c>
      <c r="D444" s="1">
        <v>6</v>
      </c>
      <c r="E444" s="1">
        <v>6</v>
      </c>
      <c r="F444" s="1">
        <v>4</v>
      </c>
      <c r="G444" s="1">
        <v>4</v>
      </c>
      <c r="H444" s="1">
        <v>6</v>
      </c>
      <c r="I444" s="1">
        <v>5</v>
      </c>
      <c r="J444" s="1">
        <v>7</v>
      </c>
      <c r="K444" s="1">
        <v>5</v>
      </c>
      <c r="L444" s="1">
        <v>5</v>
      </c>
      <c r="M444" s="1">
        <v>22</v>
      </c>
      <c r="N444" s="1">
        <v>22</v>
      </c>
      <c r="O444" s="1">
        <v>10</v>
      </c>
      <c r="P444" s="1">
        <v>54</v>
      </c>
      <c r="Q444" s="7">
        <v>0.96609178307929588</v>
      </c>
      <c r="R444" s="7">
        <f t="shared" si="60"/>
        <v>23.196700507614214</v>
      </c>
      <c r="S444" s="7">
        <f t="shared" si="61"/>
        <v>6.4306002317777482</v>
      </c>
      <c r="T444" s="7">
        <f t="shared" si="62"/>
        <v>22.771573604060915</v>
      </c>
      <c r="U444" s="7">
        <f t="shared" si="63"/>
        <v>6.5356886776680962</v>
      </c>
      <c r="V444" s="7">
        <f t="shared" si="64"/>
        <v>11.434010152284264</v>
      </c>
      <c r="W444" s="7">
        <f t="shared" si="65"/>
        <v>3.5019632409825281</v>
      </c>
      <c r="X444" s="7">
        <f t="shared" si="66"/>
        <v>-0.18609468237514495</v>
      </c>
      <c r="Y444" s="7">
        <f t="shared" si="67"/>
        <v>-0.11805544023192505</v>
      </c>
      <c r="Z444" s="7">
        <f t="shared" si="68"/>
        <v>-0.40948749418681252</v>
      </c>
      <c r="AA444" s="7">
        <f t="shared" si="69"/>
        <v>-0.23787920559796083</v>
      </c>
    </row>
    <row r="445" spans="1:27" x14ac:dyDescent="0.25">
      <c r="A445" s="1" t="s">
        <v>1675</v>
      </c>
      <c r="B445" s="1" t="s">
        <v>861</v>
      </c>
      <c r="C445" s="1">
        <v>6</v>
      </c>
      <c r="D445" s="1">
        <v>6</v>
      </c>
      <c r="E445" s="1">
        <v>6</v>
      </c>
      <c r="F445" s="1">
        <v>3</v>
      </c>
      <c r="G445" s="1">
        <v>5</v>
      </c>
      <c r="H445" s="1">
        <v>6</v>
      </c>
      <c r="I445" s="1">
        <v>4</v>
      </c>
      <c r="J445" s="1">
        <v>5</v>
      </c>
      <c r="K445" s="1">
        <v>4</v>
      </c>
      <c r="L445" s="1">
        <v>3</v>
      </c>
      <c r="M445" s="1">
        <v>21</v>
      </c>
      <c r="N445" s="1">
        <v>20</v>
      </c>
      <c r="O445" s="1">
        <v>7</v>
      </c>
      <c r="P445" s="1">
        <v>48</v>
      </c>
      <c r="Q445" s="7">
        <v>1.2292725943057183</v>
      </c>
      <c r="R445" s="7">
        <f t="shared" si="60"/>
        <v>23.196700507614214</v>
      </c>
      <c r="S445" s="7">
        <f t="shared" si="61"/>
        <v>6.4306002317777482</v>
      </c>
      <c r="T445" s="7">
        <f t="shared" si="62"/>
        <v>22.771573604060915</v>
      </c>
      <c r="U445" s="7">
        <f t="shared" si="63"/>
        <v>6.5356886776680962</v>
      </c>
      <c r="V445" s="7">
        <f t="shared" si="64"/>
        <v>11.434010152284264</v>
      </c>
      <c r="W445" s="7">
        <f t="shared" si="65"/>
        <v>3.5019632409825281</v>
      </c>
      <c r="X445" s="7">
        <f t="shared" si="66"/>
        <v>-0.3416011613906425</v>
      </c>
      <c r="Y445" s="7">
        <f t="shared" si="67"/>
        <v>-0.42406756820151964</v>
      </c>
      <c r="Z445" s="7">
        <f t="shared" si="68"/>
        <v>-1.2661498271581617</v>
      </c>
      <c r="AA445" s="7">
        <f t="shared" si="69"/>
        <v>-0.67727285225010803</v>
      </c>
    </row>
    <row r="446" spans="1:27" x14ac:dyDescent="0.25">
      <c r="A446" s="1" t="s">
        <v>1675</v>
      </c>
      <c r="B446" s="1" t="s">
        <v>861</v>
      </c>
      <c r="C446" s="1">
        <v>2</v>
      </c>
      <c r="D446" s="1">
        <v>3</v>
      </c>
      <c r="E446" s="1">
        <v>3</v>
      </c>
      <c r="F446" s="1">
        <v>4</v>
      </c>
      <c r="G446" s="1">
        <v>3</v>
      </c>
      <c r="H446" s="1">
        <v>5</v>
      </c>
      <c r="I446" s="1">
        <v>3</v>
      </c>
      <c r="J446" s="1">
        <v>4</v>
      </c>
      <c r="K446" s="1">
        <v>4</v>
      </c>
      <c r="L446" s="1">
        <v>5</v>
      </c>
      <c r="M446" s="1">
        <v>12</v>
      </c>
      <c r="N446" s="1">
        <v>15</v>
      </c>
      <c r="O446" s="1">
        <v>9</v>
      </c>
      <c r="P446" s="1">
        <v>36</v>
      </c>
      <c r="Q446" s="7">
        <v>0.96609178307929577</v>
      </c>
      <c r="R446" s="7">
        <f t="shared" si="60"/>
        <v>23.196700507614214</v>
      </c>
      <c r="S446" s="7">
        <f t="shared" si="61"/>
        <v>6.4306002317777482</v>
      </c>
      <c r="T446" s="7">
        <f t="shared" si="62"/>
        <v>22.771573604060915</v>
      </c>
      <c r="U446" s="7">
        <f t="shared" si="63"/>
        <v>6.5356886776680962</v>
      </c>
      <c r="V446" s="7">
        <f t="shared" si="64"/>
        <v>11.434010152284264</v>
      </c>
      <c r="W446" s="7">
        <f t="shared" si="65"/>
        <v>3.5019632409825281</v>
      </c>
      <c r="X446" s="7">
        <f t="shared" si="66"/>
        <v>-1.7411594725301203</v>
      </c>
      <c r="Y446" s="7">
        <f t="shared" si="67"/>
        <v>-1.1890978881255061</v>
      </c>
      <c r="Z446" s="7">
        <f t="shared" si="68"/>
        <v>-0.69504160517726232</v>
      </c>
      <c r="AA446" s="7">
        <f t="shared" si="69"/>
        <v>-1.2084329886109628</v>
      </c>
    </row>
    <row r="447" spans="1:27" x14ac:dyDescent="0.25">
      <c r="A447" s="1" t="s">
        <v>1675</v>
      </c>
      <c r="B447" s="1" t="s">
        <v>861</v>
      </c>
      <c r="C447" s="1">
        <v>6</v>
      </c>
      <c r="D447" s="1">
        <v>2</v>
      </c>
      <c r="E447" s="1">
        <v>8</v>
      </c>
      <c r="F447" s="1">
        <v>7</v>
      </c>
      <c r="G447" s="1">
        <v>7</v>
      </c>
      <c r="H447" s="1">
        <v>7</v>
      </c>
      <c r="I447" s="1">
        <v>7</v>
      </c>
      <c r="J447" s="1">
        <v>7</v>
      </c>
      <c r="K447" s="1">
        <v>6</v>
      </c>
      <c r="L447" s="1">
        <v>5</v>
      </c>
      <c r="M447" s="1">
        <v>23</v>
      </c>
      <c r="N447" s="1">
        <v>28</v>
      </c>
      <c r="O447" s="1">
        <v>11</v>
      </c>
      <c r="P447" s="1">
        <v>62</v>
      </c>
      <c r="Q447" s="7">
        <v>1.6865480854231356</v>
      </c>
      <c r="R447" s="7">
        <f t="shared" si="60"/>
        <v>23.196700507614214</v>
      </c>
      <c r="S447" s="7">
        <f t="shared" si="61"/>
        <v>6.4306002317777482</v>
      </c>
      <c r="T447" s="7">
        <f t="shared" si="62"/>
        <v>22.771573604060915</v>
      </c>
      <c r="U447" s="7">
        <f t="shared" si="63"/>
        <v>6.5356886776680962</v>
      </c>
      <c r="V447" s="7">
        <f t="shared" si="64"/>
        <v>11.434010152284264</v>
      </c>
      <c r="W447" s="7">
        <f t="shared" si="65"/>
        <v>3.5019632409825281</v>
      </c>
      <c r="X447" s="7">
        <f t="shared" si="66"/>
        <v>-3.0588203359647428E-2</v>
      </c>
      <c r="Y447" s="7">
        <f t="shared" si="67"/>
        <v>0.79998094367685879</v>
      </c>
      <c r="Z447" s="7">
        <f t="shared" si="68"/>
        <v>-0.12393338319636275</v>
      </c>
      <c r="AA447" s="7">
        <f t="shared" si="69"/>
        <v>0.21515311904028289</v>
      </c>
    </row>
    <row r="448" spans="1:27" x14ac:dyDescent="0.25">
      <c r="A448" s="1" t="s">
        <v>1675</v>
      </c>
      <c r="B448" s="1" t="s">
        <v>861</v>
      </c>
      <c r="C448" s="1">
        <v>9</v>
      </c>
      <c r="D448" s="1">
        <v>9</v>
      </c>
      <c r="E448" s="1">
        <v>9</v>
      </c>
      <c r="F448" s="1">
        <v>9</v>
      </c>
      <c r="G448" s="1">
        <v>8</v>
      </c>
      <c r="H448" s="1">
        <v>9</v>
      </c>
      <c r="I448" s="1">
        <v>8</v>
      </c>
      <c r="J448" s="1">
        <v>9</v>
      </c>
      <c r="K448" s="1">
        <v>8</v>
      </c>
      <c r="L448" s="1">
        <v>9</v>
      </c>
      <c r="M448" s="1">
        <v>36</v>
      </c>
      <c r="N448" s="1">
        <v>34</v>
      </c>
      <c r="O448" s="1">
        <v>17</v>
      </c>
      <c r="P448" s="1">
        <v>87</v>
      </c>
      <c r="Q448" s="7">
        <v>0.48304589153964811</v>
      </c>
      <c r="R448" s="7">
        <f t="shared" si="60"/>
        <v>23.196700507614214</v>
      </c>
      <c r="S448" s="7">
        <f t="shared" si="61"/>
        <v>6.4306002317777482</v>
      </c>
      <c r="T448" s="7">
        <f t="shared" si="62"/>
        <v>22.771573604060915</v>
      </c>
      <c r="U448" s="7">
        <f t="shared" si="63"/>
        <v>6.5356886776680962</v>
      </c>
      <c r="V448" s="7">
        <f t="shared" si="64"/>
        <v>11.434010152284264</v>
      </c>
      <c r="W448" s="7">
        <f t="shared" si="65"/>
        <v>3.5019632409825281</v>
      </c>
      <c r="X448" s="7">
        <f t="shared" si="66"/>
        <v>1.9909960238418205</v>
      </c>
      <c r="Y448" s="7">
        <f t="shared" si="67"/>
        <v>1.7180173275856425</v>
      </c>
      <c r="Z448" s="7">
        <f t="shared" si="68"/>
        <v>1.5893912827463359</v>
      </c>
      <c r="AA448" s="7">
        <f t="shared" si="69"/>
        <v>1.7661348780579329</v>
      </c>
    </row>
    <row r="449" spans="1:27" x14ac:dyDescent="0.25">
      <c r="A449" s="1" t="s">
        <v>1675</v>
      </c>
      <c r="B449" s="1" t="s">
        <v>861</v>
      </c>
      <c r="C449" s="1">
        <v>6</v>
      </c>
      <c r="D449" s="1">
        <v>7</v>
      </c>
      <c r="E449" s="1">
        <v>6</v>
      </c>
      <c r="F449" s="1">
        <v>6</v>
      </c>
      <c r="G449" s="1">
        <v>6</v>
      </c>
      <c r="H449" s="1">
        <v>6</v>
      </c>
      <c r="I449" s="1">
        <v>6</v>
      </c>
      <c r="J449" s="1">
        <v>8</v>
      </c>
      <c r="K449" s="1">
        <v>6</v>
      </c>
      <c r="L449" s="1">
        <v>5</v>
      </c>
      <c r="M449" s="1">
        <v>25</v>
      </c>
      <c r="N449" s="1">
        <v>26</v>
      </c>
      <c r="O449" s="1">
        <v>11</v>
      </c>
      <c r="P449" s="1">
        <v>62</v>
      </c>
      <c r="Q449" s="7">
        <v>0.78881063774661531</v>
      </c>
      <c r="R449" s="7">
        <f t="shared" si="60"/>
        <v>23.196700507614214</v>
      </c>
      <c r="S449" s="7">
        <f t="shared" si="61"/>
        <v>6.4306002317777482</v>
      </c>
      <c r="T449" s="7">
        <f t="shared" si="62"/>
        <v>22.771573604060915</v>
      </c>
      <c r="U449" s="7">
        <f t="shared" si="63"/>
        <v>6.5356886776680962</v>
      </c>
      <c r="V449" s="7">
        <f t="shared" si="64"/>
        <v>11.434010152284264</v>
      </c>
      <c r="W449" s="7">
        <f t="shared" si="65"/>
        <v>3.5019632409825281</v>
      </c>
      <c r="X449" s="7">
        <f t="shared" si="66"/>
        <v>0.28042475467134764</v>
      </c>
      <c r="Y449" s="7">
        <f t="shared" si="67"/>
        <v>0.49396881570726414</v>
      </c>
      <c r="Z449" s="7">
        <f t="shared" si="68"/>
        <v>-0.12393338319636275</v>
      </c>
      <c r="AA449" s="7">
        <f t="shared" si="69"/>
        <v>0.21682006239408302</v>
      </c>
    </row>
    <row r="450" spans="1:27" x14ac:dyDescent="0.25">
      <c r="A450" s="1" t="s">
        <v>1675</v>
      </c>
      <c r="B450" s="1" t="s">
        <v>861</v>
      </c>
      <c r="C450" s="1">
        <v>5</v>
      </c>
      <c r="D450" s="1">
        <v>6</v>
      </c>
      <c r="E450" s="1">
        <v>6</v>
      </c>
      <c r="F450" s="1">
        <v>6</v>
      </c>
      <c r="G450" s="1">
        <v>6</v>
      </c>
      <c r="H450" s="1">
        <v>5</v>
      </c>
      <c r="I450" s="1">
        <v>6</v>
      </c>
      <c r="J450" s="1">
        <v>6</v>
      </c>
      <c r="K450" s="1">
        <v>6</v>
      </c>
      <c r="L450" s="1">
        <v>6</v>
      </c>
      <c r="M450" s="1">
        <v>23</v>
      </c>
      <c r="N450" s="1">
        <v>23</v>
      </c>
      <c r="O450" s="1">
        <v>12</v>
      </c>
      <c r="P450" s="1">
        <v>58</v>
      </c>
      <c r="Q450" s="7">
        <v>0.42163702135578407</v>
      </c>
      <c r="R450" s="7">
        <f t="shared" si="60"/>
        <v>23.196700507614214</v>
      </c>
      <c r="S450" s="7">
        <f t="shared" si="61"/>
        <v>6.4306002317777482</v>
      </c>
      <c r="T450" s="7">
        <f t="shared" si="62"/>
        <v>22.771573604060915</v>
      </c>
      <c r="U450" s="7">
        <f t="shared" si="63"/>
        <v>6.5356886776680962</v>
      </c>
      <c r="V450" s="7">
        <f t="shared" si="64"/>
        <v>11.434010152284264</v>
      </c>
      <c r="W450" s="7">
        <f t="shared" si="65"/>
        <v>3.5019632409825281</v>
      </c>
      <c r="X450" s="7">
        <f t="shared" si="66"/>
        <v>-3.0588203359647428E-2</v>
      </c>
      <c r="Y450" s="7">
        <f t="shared" si="67"/>
        <v>3.4950623752872265E-2</v>
      </c>
      <c r="Z450" s="7">
        <f t="shared" si="68"/>
        <v>0.16162072779408701</v>
      </c>
      <c r="AA450" s="7">
        <f t="shared" si="69"/>
        <v>5.5327716062437284E-2</v>
      </c>
    </row>
    <row r="451" spans="1:27" x14ac:dyDescent="0.25">
      <c r="A451" s="1" t="s">
        <v>1675</v>
      </c>
      <c r="B451" s="1" t="s">
        <v>861</v>
      </c>
      <c r="C451" s="1">
        <v>5</v>
      </c>
      <c r="D451" s="1">
        <v>3</v>
      </c>
      <c r="E451" s="1">
        <v>4</v>
      </c>
      <c r="F451" s="1">
        <v>4</v>
      </c>
      <c r="G451" s="1">
        <v>3</v>
      </c>
      <c r="H451" s="1">
        <v>3</v>
      </c>
      <c r="I451" s="1">
        <v>2</v>
      </c>
      <c r="J451" s="1">
        <v>3</v>
      </c>
      <c r="K451" s="1">
        <v>3</v>
      </c>
      <c r="L451" s="1">
        <v>2</v>
      </c>
      <c r="M451" s="1">
        <v>16</v>
      </c>
      <c r="N451" s="1">
        <v>11</v>
      </c>
      <c r="O451" s="1">
        <v>5</v>
      </c>
      <c r="P451" s="1">
        <v>32</v>
      </c>
      <c r="Q451" s="7">
        <v>0.91893658347268148</v>
      </c>
      <c r="R451" s="7">
        <f t="shared" ref="R451:R514" si="70">AVERAGE(M:M)</f>
        <v>23.196700507614214</v>
      </c>
      <c r="S451" s="7">
        <f t="shared" ref="S451:S514" si="71">_xlfn.STDEV.S(M:M)</f>
        <v>6.4306002317777482</v>
      </c>
      <c r="T451" s="7">
        <f t="shared" ref="T451:T514" si="72">AVERAGE(N:N)</f>
        <v>22.771573604060915</v>
      </c>
      <c r="U451" s="7">
        <f t="shared" ref="U451:U514" si="73">_xlfn.STDEV.S(N:N)</f>
        <v>6.5356886776680962</v>
      </c>
      <c r="V451" s="7">
        <f t="shared" ref="V451:V514" si="74">AVERAGE(O:O)</f>
        <v>11.434010152284264</v>
      </c>
      <c r="W451" s="7">
        <f t="shared" ref="W451:W514" si="75">_xlfn.STDEV.S(O:O)</f>
        <v>3.5019632409825281</v>
      </c>
      <c r="X451" s="7">
        <f t="shared" ref="X451:X514" si="76">STANDARDIZE(M451,R451,S451)</f>
        <v>-1.1191335564681302</v>
      </c>
      <c r="Y451" s="7">
        <f t="shared" ref="Y451:Y514" si="77">STANDARDIZE(N451,T451,U451)</f>
        <v>-1.8011221440646954</v>
      </c>
      <c r="Z451" s="7">
        <f t="shared" ref="Z451:Z514" si="78">STANDARDIZE(O451,V451,W451)</f>
        <v>-1.8372580491390613</v>
      </c>
      <c r="AA451" s="7">
        <f t="shared" ref="AA451:AA514" si="79">AVERAGE(X451:Z451)</f>
        <v>-1.5858379165572956</v>
      </c>
    </row>
    <row r="452" spans="1:27" x14ac:dyDescent="0.25">
      <c r="A452" s="1" t="s">
        <v>1675</v>
      </c>
      <c r="B452" s="1" t="s">
        <v>861</v>
      </c>
      <c r="C452" s="1">
        <v>8</v>
      </c>
      <c r="D452" s="1">
        <v>9</v>
      </c>
      <c r="E452" s="1">
        <v>8</v>
      </c>
      <c r="F452" s="1">
        <v>8</v>
      </c>
      <c r="G452" s="1">
        <v>8</v>
      </c>
      <c r="H452" s="1">
        <v>9</v>
      </c>
      <c r="I452" s="1">
        <v>7</v>
      </c>
      <c r="J452" s="1">
        <v>9</v>
      </c>
      <c r="K452" s="1">
        <v>9</v>
      </c>
      <c r="L452" s="1">
        <v>9</v>
      </c>
      <c r="M452" s="1">
        <v>33</v>
      </c>
      <c r="N452" s="1">
        <v>33</v>
      </c>
      <c r="O452" s="1">
        <v>18</v>
      </c>
      <c r="P452" s="1">
        <v>84</v>
      </c>
      <c r="Q452" s="7">
        <v>0.69920589878010087</v>
      </c>
      <c r="R452" s="7">
        <f t="shared" si="70"/>
        <v>23.196700507614214</v>
      </c>
      <c r="S452" s="7">
        <f t="shared" si="71"/>
        <v>6.4306002317777482</v>
      </c>
      <c r="T452" s="7">
        <f t="shared" si="72"/>
        <v>22.771573604060915</v>
      </c>
      <c r="U452" s="7">
        <f t="shared" si="73"/>
        <v>6.5356886776680962</v>
      </c>
      <c r="V452" s="7">
        <f t="shared" si="74"/>
        <v>11.434010152284264</v>
      </c>
      <c r="W452" s="7">
        <f t="shared" si="75"/>
        <v>3.5019632409825281</v>
      </c>
      <c r="X452" s="7">
        <f t="shared" si="76"/>
        <v>1.524476586795328</v>
      </c>
      <c r="Y452" s="7">
        <f t="shared" si="77"/>
        <v>1.5650112636008453</v>
      </c>
      <c r="Z452" s="7">
        <f t="shared" si="78"/>
        <v>1.8749453937367857</v>
      </c>
      <c r="AA452" s="7">
        <f t="shared" si="79"/>
        <v>1.6548110813776529</v>
      </c>
    </row>
    <row r="453" spans="1:27" x14ac:dyDescent="0.25">
      <c r="A453" s="1" t="s">
        <v>1675</v>
      </c>
      <c r="B453" s="1" t="s">
        <v>861</v>
      </c>
      <c r="C453" s="1">
        <v>6</v>
      </c>
      <c r="D453" s="1">
        <v>5</v>
      </c>
      <c r="E453" s="1">
        <v>6</v>
      </c>
      <c r="F453" s="1">
        <v>5</v>
      </c>
      <c r="G453" s="1">
        <v>5</v>
      </c>
      <c r="H453" s="1">
        <v>6</v>
      </c>
      <c r="I453" s="1">
        <v>7</v>
      </c>
      <c r="J453" s="1">
        <v>7</v>
      </c>
      <c r="K453" s="1">
        <v>7</v>
      </c>
      <c r="L453" s="1">
        <v>6</v>
      </c>
      <c r="M453" s="1">
        <v>22</v>
      </c>
      <c r="N453" s="1">
        <v>25</v>
      </c>
      <c r="O453" s="1">
        <v>13</v>
      </c>
      <c r="P453" s="1">
        <v>60</v>
      </c>
      <c r="Q453" s="7">
        <v>0.81649658092772603</v>
      </c>
      <c r="R453" s="7">
        <f t="shared" si="70"/>
        <v>23.196700507614214</v>
      </c>
      <c r="S453" s="7">
        <f t="shared" si="71"/>
        <v>6.4306002317777482</v>
      </c>
      <c r="T453" s="7">
        <f t="shared" si="72"/>
        <v>22.771573604060915</v>
      </c>
      <c r="U453" s="7">
        <f t="shared" si="73"/>
        <v>6.5356886776680962</v>
      </c>
      <c r="V453" s="7">
        <f t="shared" si="74"/>
        <v>11.434010152284264</v>
      </c>
      <c r="W453" s="7">
        <f t="shared" si="75"/>
        <v>3.5019632409825281</v>
      </c>
      <c r="X453" s="7">
        <f t="shared" si="76"/>
        <v>-0.18609468237514495</v>
      </c>
      <c r="Y453" s="7">
        <f t="shared" si="77"/>
        <v>0.34096275172246687</v>
      </c>
      <c r="Z453" s="7">
        <f t="shared" si="78"/>
        <v>0.44717483878453679</v>
      </c>
      <c r="AA453" s="7">
        <f t="shared" si="79"/>
        <v>0.20068096937728622</v>
      </c>
    </row>
    <row r="454" spans="1:27" x14ac:dyDescent="0.25">
      <c r="A454" s="1" t="s">
        <v>1675</v>
      </c>
      <c r="B454" s="1" t="s">
        <v>861</v>
      </c>
      <c r="C454" s="1">
        <v>6</v>
      </c>
      <c r="D454" s="1">
        <v>6</v>
      </c>
      <c r="E454" s="1">
        <v>6</v>
      </c>
      <c r="F454" s="1">
        <v>5</v>
      </c>
      <c r="G454" s="1">
        <v>7</v>
      </c>
      <c r="H454" s="1">
        <v>8</v>
      </c>
      <c r="I454" s="1">
        <v>7</v>
      </c>
      <c r="J454" s="1">
        <v>7</v>
      </c>
      <c r="K454" s="1">
        <v>7</v>
      </c>
      <c r="L454" s="1">
        <v>6</v>
      </c>
      <c r="M454" s="1">
        <v>23</v>
      </c>
      <c r="N454" s="1">
        <v>29</v>
      </c>
      <c r="O454" s="1">
        <v>13</v>
      </c>
      <c r="P454" s="1">
        <v>65</v>
      </c>
      <c r="Q454" s="7">
        <v>0.8498365855987976</v>
      </c>
      <c r="R454" s="7">
        <f t="shared" si="70"/>
        <v>23.196700507614214</v>
      </c>
      <c r="S454" s="7">
        <f t="shared" si="71"/>
        <v>6.4306002317777482</v>
      </c>
      <c r="T454" s="7">
        <f t="shared" si="72"/>
        <v>22.771573604060915</v>
      </c>
      <c r="U454" s="7">
        <f t="shared" si="73"/>
        <v>6.5356886776680962</v>
      </c>
      <c r="V454" s="7">
        <f t="shared" si="74"/>
        <v>11.434010152284264</v>
      </c>
      <c r="W454" s="7">
        <f t="shared" si="75"/>
        <v>3.5019632409825281</v>
      </c>
      <c r="X454" s="7">
        <f t="shared" si="76"/>
        <v>-3.0588203359647428E-2</v>
      </c>
      <c r="Y454" s="7">
        <f t="shared" si="77"/>
        <v>0.95298700766165612</v>
      </c>
      <c r="Z454" s="7">
        <f t="shared" si="78"/>
        <v>0.44717483878453679</v>
      </c>
      <c r="AA454" s="7">
        <f t="shared" si="79"/>
        <v>0.45652454769551515</v>
      </c>
    </row>
    <row r="455" spans="1:27" x14ac:dyDescent="0.25">
      <c r="A455" s="1" t="s">
        <v>1675</v>
      </c>
      <c r="B455" s="1" t="s">
        <v>861</v>
      </c>
      <c r="C455" s="1">
        <v>7</v>
      </c>
      <c r="D455" s="1">
        <v>6</v>
      </c>
      <c r="E455" s="1">
        <v>5</v>
      </c>
      <c r="F455" s="1">
        <v>5</v>
      </c>
      <c r="G455" s="1">
        <v>6</v>
      </c>
      <c r="H455" s="1">
        <v>6</v>
      </c>
      <c r="I455" s="1">
        <v>7</v>
      </c>
      <c r="J455" s="1">
        <v>6</v>
      </c>
      <c r="K455" s="1">
        <v>6</v>
      </c>
      <c r="L455" s="1">
        <v>6</v>
      </c>
      <c r="M455" s="1">
        <v>23</v>
      </c>
      <c r="N455" s="1">
        <v>25</v>
      </c>
      <c r="O455" s="1">
        <v>12</v>
      </c>
      <c r="P455" s="1">
        <v>60</v>
      </c>
      <c r="Q455" s="7">
        <v>0.66666666666666663</v>
      </c>
      <c r="R455" s="7">
        <f t="shared" si="70"/>
        <v>23.196700507614214</v>
      </c>
      <c r="S455" s="7">
        <f t="shared" si="71"/>
        <v>6.4306002317777482</v>
      </c>
      <c r="T455" s="7">
        <f t="shared" si="72"/>
        <v>22.771573604060915</v>
      </c>
      <c r="U455" s="7">
        <f t="shared" si="73"/>
        <v>6.5356886776680962</v>
      </c>
      <c r="V455" s="7">
        <f t="shared" si="74"/>
        <v>11.434010152284264</v>
      </c>
      <c r="W455" s="7">
        <f t="shared" si="75"/>
        <v>3.5019632409825281</v>
      </c>
      <c r="X455" s="7">
        <f t="shared" si="76"/>
        <v>-3.0588203359647428E-2</v>
      </c>
      <c r="Y455" s="7">
        <f t="shared" si="77"/>
        <v>0.34096275172246687</v>
      </c>
      <c r="Z455" s="7">
        <f t="shared" si="78"/>
        <v>0.16162072779408701</v>
      </c>
      <c r="AA455" s="7">
        <f t="shared" si="79"/>
        <v>0.15733175871896884</v>
      </c>
    </row>
    <row r="456" spans="1:27" x14ac:dyDescent="0.25">
      <c r="A456" s="1" t="s">
        <v>1675</v>
      </c>
      <c r="B456" s="1" t="s">
        <v>861</v>
      </c>
      <c r="C456" s="1">
        <v>8</v>
      </c>
      <c r="D456" s="1">
        <v>7</v>
      </c>
      <c r="E456" s="1">
        <v>6</v>
      </c>
      <c r="F456" s="1">
        <v>6</v>
      </c>
      <c r="G456" s="1">
        <v>7</v>
      </c>
      <c r="H456" s="1">
        <v>5</v>
      </c>
      <c r="I456" s="1">
        <v>6</v>
      </c>
      <c r="J456" s="1">
        <v>6</v>
      </c>
      <c r="K456" s="1">
        <v>6</v>
      </c>
      <c r="L456" s="1">
        <v>6</v>
      </c>
      <c r="M456" s="1">
        <v>27</v>
      </c>
      <c r="N456" s="1">
        <v>24</v>
      </c>
      <c r="O456" s="1">
        <v>12</v>
      </c>
      <c r="P456" s="1">
        <v>63</v>
      </c>
      <c r="Q456" s="7">
        <v>0.82327260234856459</v>
      </c>
      <c r="R456" s="7">
        <f t="shared" si="70"/>
        <v>23.196700507614214</v>
      </c>
      <c r="S456" s="7">
        <f t="shared" si="71"/>
        <v>6.4306002317777482</v>
      </c>
      <c r="T456" s="7">
        <f t="shared" si="72"/>
        <v>22.771573604060915</v>
      </c>
      <c r="U456" s="7">
        <f t="shared" si="73"/>
        <v>6.5356886776680962</v>
      </c>
      <c r="V456" s="7">
        <f t="shared" si="74"/>
        <v>11.434010152284264</v>
      </c>
      <c r="W456" s="7">
        <f t="shared" si="75"/>
        <v>3.5019632409825281</v>
      </c>
      <c r="X456" s="7">
        <f t="shared" si="76"/>
        <v>0.59143771270234269</v>
      </c>
      <c r="Y456" s="7">
        <f t="shared" si="77"/>
        <v>0.18795668773766958</v>
      </c>
      <c r="Z456" s="7">
        <f t="shared" si="78"/>
        <v>0.16162072779408701</v>
      </c>
      <c r="AA456" s="7">
        <f t="shared" si="79"/>
        <v>0.31367170941136641</v>
      </c>
    </row>
    <row r="457" spans="1:27" x14ac:dyDescent="0.25">
      <c r="A457" s="1" t="s">
        <v>1675</v>
      </c>
      <c r="B457" s="1" t="s">
        <v>861</v>
      </c>
      <c r="C457" s="1">
        <v>6</v>
      </c>
      <c r="D457" s="1">
        <v>5</v>
      </c>
      <c r="E457" s="1">
        <v>6</v>
      </c>
      <c r="F457" s="1">
        <v>4</v>
      </c>
      <c r="G457" s="1">
        <v>6</v>
      </c>
      <c r="H457" s="1">
        <v>5</v>
      </c>
      <c r="I457" s="1">
        <v>5</v>
      </c>
      <c r="J457" s="1">
        <v>5</v>
      </c>
      <c r="K457" s="1">
        <v>5</v>
      </c>
      <c r="L457" s="1">
        <v>4</v>
      </c>
      <c r="M457" s="1">
        <v>21</v>
      </c>
      <c r="N457" s="1">
        <v>21</v>
      </c>
      <c r="O457" s="1">
        <v>9</v>
      </c>
      <c r="P457" s="1">
        <v>51</v>
      </c>
      <c r="Q457" s="7">
        <v>0.73786478737262207</v>
      </c>
      <c r="R457" s="7">
        <f t="shared" si="70"/>
        <v>23.196700507614214</v>
      </c>
      <c r="S457" s="7">
        <f t="shared" si="71"/>
        <v>6.4306002317777482</v>
      </c>
      <c r="T457" s="7">
        <f t="shared" si="72"/>
        <v>22.771573604060915</v>
      </c>
      <c r="U457" s="7">
        <f t="shared" si="73"/>
        <v>6.5356886776680962</v>
      </c>
      <c r="V457" s="7">
        <f t="shared" si="74"/>
        <v>11.434010152284264</v>
      </c>
      <c r="W457" s="7">
        <f t="shared" si="75"/>
        <v>3.5019632409825281</v>
      </c>
      <c r="X457" s="7">
        <f t="shared" si="76"/>
        <v>-0.3416011613906425</v>
      </c>
      <c r="Y457" s="7">
        <f t="shared" si="77"/>
        <v>-0.27106150421672232</v>
      </c>
      <c r="Z457" s="7">
        <f t="shared" si="78"/>
        <v>-0.69504160517726232</v>
      </c>
      <c r="AA457" s="7">
        <f t="shared" si="79"/>
        <v>-0.43590142359487571</v>
      </c>
    </row>
    <row r="458" spans="1:27" x14ac:dyDescent="0.25">
      <c r="A458" s="1" t="s">
        <v>1675</v>
      </c>
      <c r="B458" s="1" t="s">
        <v>861</v>
      </c>
      <c r="C458" s="1">
        <v>7</v>
      </c>
      <c r="D458" s="1">
        <v>7</v>
      </c>
      <c r="E458" s="1">
        <v>6</v>
      </c>
      <c r="F458" s="1">
        <v>6</v>
      </c>
      <c r="G458" s="1">
        <v>6</v>
      </c>
      <c r="H458" s="1">
        <v>6</v>
      </c>
      <c r="I458" s="1">
        <v>6</v>
      </c>
      <c r="J458" s="1">
        <v>6</v>
      </c>
      <c r="K458" s="1">
        <v>7</v>
      </c>
      <c r="L458" s="1">
        <v>7</v>
      </c>
      <c r="M458" s="1">
        <v>26</v>
      </c>
      <c r="N458" s="1">
        <v>24</v>
      </c>
      <c r="O458" s="1">
        <v>14</v>
      </c>
      <c r="P458" s="1">
        <v>64</v>
      </c>
      <c r="Q458" s="7">
        <v>0.51639777949432231</v>
      </c>
      <c r="R458" s="7">
        <f t="shared" si="70"/>
        <v>23.196700507614214</v>
      </c>
      <c r="S458" s="7">
        <f t="shared" si="71"/>
        <v>6.4306002317777482</v>
      </c>
      <c r="T458" s="7">
        <f t="shared" si="72"/>
        <v>22.771573604060915</v>
      </c>
      <c r="U458" s="7">
        <f t="shared" si="73"/>
        <v>6.5356886776680962</v>
      </c>
      <c r="V458" s="7">
        <f t="shared" si="74"/>
        <v>11.434010152284264</v>
      </c>
      <c r="W458" s="7">
        <f t="shared" si="75"/>
        <v>3.5019632409825281</v>
      </c>
      <c r="X458" s="7">
        <f t="shared" si="76"/>
        <v>0.43593123368684517</v>
      </c>
      <c r="Y458" s="7">
        <f t="shared" si="77"/>
        <v>0.18795668773766958</v>
      </c>
      <c r="Z458" s="7">
        <f t="shared" si="78"/>
        <v>0.73272894977498659</v>
      </c>
      <c r="AA458" s="7">
        <f t="shared" si="79"/>
        <v>0.45220562373316708</v>
      </c>
    </row>
    <row r="459" spans="1:27" x14ac:dyDescent="0.25">
      <c r="A459" s="1" t="s">
        <v>1675</v>
      </c>
      <c r="B459" s="1" t="s">
        <v>861</v>
      </c>
      <c r="C459" s="1">
        <v>6</v>
      </c>
      <c r="D459" s="1">
        <v>5</v>
      </c>
      <c r="E459" s="1">
        <v>6</v>
      </c>
      <c r="F459" s="1">
        <v>4</v>
      </c>
      <c r="G459" s="1">
        <v>7</v>
      </c>
      <c r="H459" s="1">
        <v>7</v>
      </c>
      <c r="I459" s="1">
        <v>7</v>
      </c>
      <c r="J459" s="1">
        <v>7</v>
      </c>
      <c r="K459" s="1">
        <v>6</v>
      </c>
      <c r="L459" s="1">
        <v>6</v>
      </c>
      <c r="M459" s="1">
        <v>21</v>
      </c>
      <c r="N459" s="1">
        <v>28</v>
      </c>
      <c r="O459" s="1">
        <v>12</v>
      </c>
      <c r="P459" s="1">
        <v>61</v>
      </c>
      <c r="Q459" s="7">
        <v>0.99442892601175348</v>
      </c>
      <c r="R459" s="7">
        <f t="shared" si="70"/>
        <v>23.196700507614214</v>
      </c>
      <c r="S459" s="7">
        <f t="shared" si="71"/>
        <v>6.4306002317777482</v>
      </c>
      <c r="T459" s="7">
        <f t="shared" si="72"/>
        <v>22.771573604060915</v>
      </c>
      <c r="U459" s="7">
        <f t="shared" si="73"/>
        <v>6.5356886776680962</v>
      </c>
      <c r="V459" s="7">
        <f t="shared" si="74"/>
        <v>11.434010152284264</v>
      </c>
      <c r="W459" s="7">
        <f t="shared" si="75"/>
        <v>3.5019632409825281</v>
      </c>
      <c r="X459" s="7">
        <f t="shared" si="76"/>
        <v>-0.3416011613906425</v>
      </c>
      <c r="Y459" s="7">
        <f t="shared" si="77"/>
        <v>0.79998094367685879</v>
      </c>
      <c r="Z459" s="7">
        <f t="shared" si="78"/>
        <v>0.16162072779408701</v>
      </c>
      <c r="AA459" s="7">
        <f t="shared" si="79"/>
        <v>0.20666683669343444</v>
      </c>
    </row>
    <row r="460" spans="1:27" x14ac:dyDescent="0.25">
      <c r="A460" s="1" t="s">
        <v>1675</v>
      </c>
      <c r="B460" s="1" t="s">
        <v>861</v>
      </c>
      <c r="C460" s="1">
        <v>6</v>
      </c>
      <c r="D460" s="1">
        <v>7</v>
      </c>
      <c r="E460" s="1">
        <v>6</v>
      </c>
      <c r="F460" s="1">
        <v>6</v>
      </c>
      <c r="G460" s="1">
        <v>5</v>
      </c>
      <c r="H460" s="1">
        <v>5</v>
      </c>
      <c r="I460" s="1">
        <v>4</v>
      </c>
      <c r="J460" s="1">
        <v>5</v>
      </c>
      <c r="K460" s="1">
        <v>5</v>
      </c>
      <c r="L460" s="1">
        <v>7</v>
      </c>
      <c r="M460" s="1">
        <v>25</v>
      </c>
      <c r="N460" s="1">
        <v>19</v>
      </c>
      <c r="O460" s="1">
        <v>12</v>
      </c>
      <c r="P460" s="1">
        <v>56</v>
      </c>
      <c r="Q460" s="7">
        <v>0.96609178307929577</v>
      </c>
      <c r="R460" s="7">
        <f t="shared" si="70"/>
        <v>23.196700507614214</v>
      </c>
      <c r="S460" s="7">
        <f t="shared" si="71"/>
        <v>6.4306002317777482</v>
      </c>
      <c r="T460" s="7">
        <f t="shared" si="72"/>
        <v>22.771573604060915</v>
      </c>
      <c r="U460" s="7">
        <f t="shared" si="73"/>
        <v>6.5356886776680962</v>
      </c>
      <c r="V460" s="7">
        <f t="shared" si="74"/>
        <v>11.434010152284264</v>
      </c>
      <c r="W460" s="7">
        <f t="shared" si="75"/>
        <v>3.5019632409825281</v>
      </c>
      <c r="X460" s="7">
        <f t="shared" si="76"/>
        <v>0.28042475467134764</v>
      </c>
      <c r="Y460" s="7">
        <f t="shared" si="77"/>
        <v>-0.57707363218631691</v>
      </c>
      <c r="Z460" s="7">
        <f t="shared" si="78"/>
        <v>0.16162072779408701</v>
      </c>
      <c r="AA460" s="7">
        <f t="shared" si="79"/>
        <v>-4.5009383240294083E-2</v>
      </c>
    </row>
    <row r="461" spans="1:27" x14ac:dyDescent="0.25">
      <c r="A461" s="1" t="s">
        <v>1675</v>
      </c>
      <c r="B461" s="1" t="s">
        <v>861</v>
      </c>
      <c r="C461" s="1">
        <v>7</v>
      </c>
      <c r="D461" s="1">
        <v>7</v>
      </c>
      <c r="E461" s="1">
        <v>6</v>
      </c>
      <c r="F461" s="1">
        <v>7</v>
      </c>
      <c r="G461" s="1">
        <v>6</v>
      </c>
      <c r="H461" s="1">
        <v>7</v>
      </c>
      <c r="I461" s="1">
        <v>8</v>
      </c>
      <c r="J461" s="1">
        <v>7</v>
      </c>
      <c r="K461" s="1">
        <v>8</v>
      </c>
      <c r="L461" s="1">
        <v>8</v>
      </c>
      <c r="M461" s="1">
        <v>27</v>
      </c>
      <c r="N461" s="1">
        <v>28</v>
      </c>
      <c r="O461" s="1">
        <v>16</v>
      </c>
      <c r="P461" s="1">
        <v>71</v>
      </c>
      <c r="Q461" s="7">
        <v>0.73786478737262207</v>
      </c>
      <c r="R461" s="7">
        <f t="shared" si="70"/>
        <v>23.196700507614214</v>
      </c>
      <c r="S461" s="7">
        <f t="shared" si="71"/>
        <v>6.4306002317777482</v>
      </c>
      <c r="T461" s="7">
        <f t="shared" si="72"/>
        <v>22.771573604060915</v>
      </c>
      <c r="U461" s="7">
        <f t="shared" si="73"/>
        <v>6.5356886776680962</v>
      </c>
      <c r="V461" s="7">
        <f t="shared" si="74"/>
        <v>11.434010152284264</v>
      </c>
      <c r="W461" s="7">
        <f t="shared" si="75"/>
        <v>3.5019632409825281</v>
      </c>
      <c r="X461" s="7">
        <f t="shared" si="76"/>
        <v>0.59143771270234269</v>
      </c>
      <c r="Y461" s="7">
        <f t="shared" si="77"/>
        <v>0.79998094367685879</v>
      </c>
      <c r="Z461" s="7">
        <f t="shared" si="78"/>
        <v>1.3038371717558861</v>
      </c>
      <c r="AA461" s="7">
        <f t="shared" si="79"/>
        <v>0.89841860937836249</v>
      </c>
    </row>
    <row r="462" spans="1:27" x14ac:dyDescent="0.25">
      <c r="A462" s="1" t="s">
        <v>1675</v>
      </c>
      <c r="B462" s="1" t="s">
        <v>861</v>
      </c>
      <c r="C462" s="1">
        <v>7</v>
      </c>
      <c r="D462" s="1">
        <v>7</v>
      </c>
      <c r="E462" s="1">
        <v>7</v>
      </c>
      <c r="F462" s="1">
        <v>7</v>
      </c>
      <c r="G462" s="1">
        <v>8</v>
      </c>
      <c r="H462" s="1">
        <v>7</v>
      </c>
      <c r="I462" s="1">
        <v>6</v>
      </c>
      <c r="J462" s="1">
        <v>7</v>
      </c>
      <c r="K462" s="1">
        <v>5</v>
      </c>
      <c r="L462" s="1">
        <v>6</v>
      </c>
      <c r="M462" s="1">
        <v>28</v>
      </c>
      <c r="N462" s="1">
        <v>28</v>
      </c>
      <c r="O462" s="1">
        <v>11</v>
      </c>
      <c r="P462" s="1">
        <v>67</v>
      </c>
      <c r="Q462" s="7">
        <v>0.82327260234856459</v>
      </c>
      <c r="R462" s="7">
        <f t="shared" si="70"/>
        <v>23.196700507614214</v>
      </c>
      <c r="S462" s="7">
        <f t="shared" si="71"/>
        <v>6.4306002317777482</v>
      </c>
      <c r="T462" s="7">
        <f t="shared" si="72"/>
        <v>22.771573604060915</v>
      </c>
      <c r="U462" s="7">
        <f t="shared" si="73"/>
        <v>6.5356886776680962</v>
      </c>
      <c r="V462" s="7">
        <f t="shared" si="74"/>
        <v>11.434010152284264</v>
      </c>
      <c r="W462" s="7">
        <f t="shared" si="75"/>
        <v>3.5019632409825281</v>
      </c>
      <c r="X462" s="7">
        <f t="shared" si="76"/>
        <v>0.74694419171784021</v>
      </c>
      <c r="Y462" s="7">
        <f t="shared" si="77"/>
        <v>0.79998094367685879</v>
      </c>
      <c r="Z462" s="7">
        <f t="shared" si="78"/>
        <v>-0.12393338319636275</v>
      </c>
      <c r="AA462" s="7">
        <f t="shared" si="79"/>
        <v>0.47433058406611206</v>
      </c>
    </row>
    <row r="463" spans="1:27" x14ac:dyDescent="0.25">
      <c r="A463" s="1" t="s">
        <v>1675</v>
      </c>
      <c r="B463" s="1" t="s">
        <v>861</v>
      </c>
      <c r="C463" s="1">
        <v>8</v>
      </c>
      <c r="D463" s="1">
        <v>7</v>
      </c>
      <c r="E463" s="1">
        <v>7</v>
      </c>
      <c r="F463" s="1">
        <v>7</v>
      </c>
      <c r="G463" s="1">
        <v>5</v>
      </c>
      <c r="H463" s="1">
        <v>8</v>
      </c>
      <c r="I463" s="1">
        <v>6</v>
      </c>
      <c r="J463" s="1">
        <v>6</v>
      </c>
      <c r="K463" s="1">
        <v>5</v>
      </c>
      <c r="L463" s="1">
        <v>6</v>
      </c>
      <c r="M463" s="1">
        <v>29</v>
      </c>
      <c r="N463" s="1">
        <v>25</v>
      </c>
      <c r="O463" s="1">
        <v>11</v>
      </c>
      <c r="P463" s="1">
        <v>65</v>
      </c>
      <c r="Q463" s="7">
        <v>1.0801234497346435</v>
      </c>
      <c r="R463" s="7">
        <f t="shared" si="70"/>
        <v>23.196700507614214</v>
      </c>
      <c r="S463" s="7">
        <f t="shared" si="71"/>
        <v>6.4306002317777482</v>
      </c>
      <c r="T463" s="7">
        <f t="shared" si="72"/>
        <v>22.771573604060915</v>
      </c>
      <c r="U463" s="7">
        <f t="shared" si="73"/>
        <v>6.5356886776680962</v>
      </c>
      <c r="V463" s="7">
        <f t="shared" si="74"/>
        <v>11.434010152284264</v>
      </c>
      <c r="W463" s="7">
        <f t="shared" si="75"/>
        <v>3.5019632409825281</v>
      </c>
      <c r="X463" s="7">
        <f t="shared" si="76"/>
        <v>0.90245067073333785</v>
      </c>
      <c r="Y463" s="7">
        <f t="shared" si="77"/>
        <v>0.34096275172246687</v>
      </c>
      <c r="Z463" s="7">
        <f t="shared" si="78"/>
        <v>-0.12393338319636275</v>
      </c>
      <c r="AA463" s="7">
        <f t="shared" si="79"/>
        <v>0.37316001308648067</v>
      </c>
    </row>
    <row r="464" spans="1:27" x14ac:dyDescent="0.25">
      <c r="A464" s="1" t="s">
        <v>1675</v>
      </c>
      <c r="B464" s="1" t="s">
        <v>861</v>
      </c>
      <c r="C464" s="1">
        <v>8</v>
      </c>
      <c r="D464" s="1">
        <v>8</v>
      </c>
      <c r="E464" s="1">
        <v>8</v>
      </c>
      <c r="F464" s="1">
        <v>6</v>
      </c>
      <c r="G464" s="1">
        <v>7</v>
      </c>
      <c r="H464" s="1">
        <v>7</v>
      </c>
      <c r="I464" s="1">
        <v>7</v>
      </c>
      <c r="J464" s="1">
        <v>7</v>
      </c>
      <c r="K464" s="1">
        <v>7</v>
      </c>
      <c r="L464" s="1">
        <v>7</v>
      </c>
      <c r="M464" s="1">
        <v>30</v>
      </c>
      <c r="N464" s="1">
        <v>28</v>
      </c>
      <c r="O464" s="1">
        <v>14</v>
      </c>
      <c r="P464" s="1">
        <v>72</v>
      </c>
      <c r="Q464" s="7">
        <v>0.6324555320336761</v>
      </c>
      <c r="R464" s="7">
        <f t="shared" si="70"/>
        <v>23.196700507614214</v>
      </c>
      <c r="S464" s="7">
        <f t="shared" si="71"/>
        <v>6.4306002317777482</v>
      </c>
      <c r="T464" s="7">
        <f t="shared" si="72"/>
        <v>22.771573604060915</v>
      </c>
      <c r="U464" s="7">
        <f t="shared" si="73"/>
        <v>6.5356886776680962</v>
      </c>
      <c r="V464" s="7">
        <f t="shared" si="74"/>
        <v>11.434010152284264</v>
      </c>
      <c r="W464" s="7">
        <f t="shared" si="75"/>
        <v>3.5019632409825281</v>
      </c>
      <c r="X464" s="7">
        <f t="shared" si="76"/>
        <v>1.0579571497488354</v>
      </c>
      <c r="Y464" s="7">
        <f t="shared" si="77"/>
        <v>0.79998094367685879</v>
      </c>
      <c r="Z464" s="7">
        <f t="shared" si="78"/>
        <v>0.73272894977498659</v>
      </c>
      <c r="AA464" s="7">
        <f t="shared" si="79"/>
        <v>0.86355568106689351</v>
      </c>
    </row>
    <row r="465" spans="1:27" x14ac:dyDescent="0.25">
      <c r="A465" s="1" t="s">
        <v>1675</v>
      </c>
      <c r="B465" s="1" t="s">
        <v>861</v>
      </c>
      <c r="C465" s="1">
        <v>7</v>
      </c>
      <c r="D465" s="1">
        <v>8</v>
      </c>
      <c r="E465" s="1">
        <v>6</v>
      </c>
      <c r="F465" s="1">
        <v>7</v>
      </c>
      <c r="G465" s="1">
        <v>6</v>
      </c>
      <c r="H465" s="1">
        <v>7</v>
      </c>
      <c r="I465" s="1">
        <v>7</v>
      </c>
      <c r="J465" s="1">
        <v>6</v>
      </c>
      <c r="K465" s="1">
        <v>7</v>
      </c>
      <c r="L465" s="1">
        <v>7</v>
      </c>
      <c r="M465" s="1">
        <v>28</v>
      </c>
      <c r="N465" s="1">
        <v>26</v>
      </c>
      <c r="O465" s="1">
        <v>14</v>
      </c>
      <c r="P465" s="1">
        <v>68</v>
      </c>
      <c r="Q465" s="7">
        <v>0.63245553203367577</v>
      </c>
      <c r="R465" s="7">
        <f t="shared" si="70"/>
        <v>23.196700507614214</v>
      </c>
      <c r="S465" s="7">
        <f t="shared" si="71"/>
        <v>6.4306002317777482</v>
      </c>
      <c r="T465" s="7">
        <f t="shared" si="72"/>
        <v>22.771573604060915</v>
      </c>
      <c r="U465" s="7">
        <f t="shared" si="73"/>
        <v>6.5356886776680962</v>
      </c>
      <c r="V465" s="7">
        <f t="shared" si="74"/>
        <v>11.434010152284264</v>
      </c>
      <c r="W465" s="7">
        <f t="shared" si="75"/>
        <v>3.5019632409825281</v>
      </c>
      <c r="X465" s="7">
        <f t="shared" si="76"/>
        <v>0.74694419171784021</v>
      </c>
      <c r="Y465" s="7">
        <f t="shared" si="77"/>
        <v>0.49396881570726414</v>
      </c>
      <c r="Z465" s="7">
        <f t="shared" si="78"/>
        <v>0.73272894977498659</v>
      </c>
      <c r="AA465" s="7">
        <f t="shared" si="79"/>
        <v>0.65788065240003035</v>
      </c>
    </row>
    <row r="466" spans="1:27" x14ac:dyDescent="0.25">
      <c r="A466" s="1" t="s">
        <v>1675</v>
      </c>
      <c r="B466" s="1" t="s">
        <v>861</v>
      </c>
      <c r="C466" s="1">
        <v>7</v>
      </c>
      <c r="D466" s="1">
        <v>3</v>
      </c>
      <c r="E466" s="1">
        <v>3</v>
      </c>
      <c r="F466" s="1">
        <v>5</v>
      </c>
      <c r="G466" s="1">
        <v>7</v>
      </c>
      <c r="H466" s="1">
        <v>8</v>
      </c>
      <c r="I466" s="1">
        <v>8</v>
      </c>
      <c r="J466" s="1">
        <v>9</v>
      </c>
      <c r="K466" s="1">
        <v>8</v>
      </c>
      <c r="L466" s="1">
        <v>9</v>
      </c>
      <c r="M466" s="1">
        <v>18</v>
      </c>
      <c r="N466" s="1">
        <v>32</v>
      </c>
      <c r="O466" s="1">
        <v>17</v>
      </c>
      <c r="P466" s="1">
        <v>67</v>
      </c>
      <c r="Q466" s="7">
        <v>2.263232692902394</v>
      </c>
      <c r="R466" s="7">
        <f t="shared" si="70"/>
        <v>23.196700507614214</v>
      </c>
      <c r="S466" s="7">
        <f t="shared" si="71"/>
        <v>6.4306002317777482</v>
      </c>
      <c r="T466" s="7">
        <f t="shared" si="72"/>
        <v>22.771573604060915</v>
      </c>
      <c r="U466" s="7">
        <f t="shared" si="73"/>
        <v>6.5356886776680962</v>
      </c>
      <c r="V466" s="7">
        <f t="shared" si="74"/>
        <v>11.434010152284264</v>
      </c>
      <c r="W466" s="7">
        <f t="shared" si="75"/>
        <v>3.5019632409825281</v>
      </c>
      <c r="X466" s="7">
        <f t="shared" si="76"/>
        <v>-0.80812059843713513</v>
      </c>
      <c r="Y466" s="7">
        <f t="shared" si="77"/>
        <v>1.4120051996160479</v>
      </c>
      <c r="Z466" s="7">
        <f t="shared" si="78"/>
        <v>1.5893912827463359</v>
      </c>
      <c r="AA466" s="7">
        <f t="shared" si="79"/>
        <v>0.73109196130841614</v>
      </c>
    </row>
    <row r="467" spans="1:27" x14ac:dyDescent="0.25">
      <c r="A467" s="1" t="s">
        <v>1675</v>
      </c>
      <c r="B467" s="1" t="s">
        <v>861</v>
      </c>
      <c r="C467" s="1">
        <v>6</v>
      </c>
      <c r="D467" s="1">
        <v>5</v>
      </c>
      <c r="E467" s="1">
        <v>5</v>
      </c>
      <c r="F467" s="1">
        <v>4</v>
      </c>
      <c r="G467" s="1">
        <v>6</v>
      </c>
      <c r="H467" s="1">
        <v>7</v>
      </c>
      <c r="I467" s="1">
        <v>5</v>
      </c>
      <c r="J467" s="1">
        <v>4</v>
      </c>
      <c r="K467" s="1">
        <v>5</v>
      </c>
      <c r="L467" s="1">
        <v>3</v>
      </c>
      <c r="M467" s="1">
        <v>20</v>
      </c>
      <c r="N467" s="1">
        <v>22</v>
      </c>
      <c r="O467" s="1">
        <v>8</v>
      </c>
      <c r="P467" s="1">
        <v>50</v>
      </c>
      <c r="Q467" s="7">
        <v>1.1547005383792515</v>
      </c>
      <c r="R467" s="7">
        <f t="shared" si="70"/>
        <v>23.196700507614214</v>
      </c>
      <c r="S467" s="7">
        <f t="shared" si="71"/>
        <v>6.4306002317777482</v>
      </c>
      <c r="T467" s="7">
        <f t="shared" si="72"/>
        <v>22.771573604060915</v>
      </c>
      <c r="U467" s="7">
        <f t="shared" si="73"/>
        <v>6.5356886776680962</v>
      </c>
      <c r="V467" s="7">
        <f t="shared" si="74"/>
        <v>11.434010152284264</v>
      </c>
      <c r="W467" s="7">
        <f t="shared" si="75"/>
        <v>3.5019632409825281</v>
      </c>
      <c r="X467" s="7">
        <f t="shared" si="76"/>
        <v>-0.49710764040614003</v>
      </c>
      <c r="Y467" s="7">
        <f t="shared" si="77"/>
        <v>-0.11805544023192505</v>
      </c>
      <c r="Z467" s="7">
        <f t="shared" si="78"/>
        <v>-0.98059571616771202</v>
      </c>
      <c r="AA467" s="7">
        <f t="shared" si="79"/>
        <v>-0.53191959893525897</v>
      </c>
    </row>
    <row r="468" spans="1:27" x14ac:dyDescent="0.25">
      <c r="A468" s="1" t="s">
        <v>1675</v>
      </c>
      <c r="B468" s="1" t="s">
        <v>861</v>
      </c>
      <c r="C468" s="1">
        <v>6</v>
      </c>
      <c r="D468" s="1">
        <v>6</v>
      </c>
      <c r="E468" s="1">
        <v>6</v>
      </c>
      <c r="F468" s="1">
        <v>5</v>
      </c>
      <c r="G468" s="1">
        <v>5</v>
      </c>
      <c r="H468" s="1">
        <v>6</v>
      </c>
      <c r="I468" s="1">
        <v>6</v>
      </c>
      <c r="J468" s="1">
        <v>4</v>
      </c>
      <c r="K468" s="1">
        <v>5</v>
      </c>
      <c r="L468" s="1">
        <v>6</v>
      </c>
      <c r="M468" s="1">
        <v>23</v>
      </c>
      <c r="N468" s="1">
        <v>21</v>
      </c>
      <c r="O468" s="1">
        <v>11</v>
      </c>
      <c r="P468" s="1">
        <v>55</v>
      </c>
      <c r="Q468" s="7">
        <v>0.70710678118654735</v>
      </c>
      <c r="R468" s="7">
        <f t="shared" si="70"/>
        <v>23.196700507614214</v>
      </c>
      <c r="S468" s="7">
        <f t="shared" si="71"/>
        <v>6.4306002317777482</v>
      </c>
      <c r="T468" s="7">
        <f t="shared" si="72"/>
        <v>22.771573604060915</v>
      </c>
      <c r="U468" s="7">
        <f t="shared" si="73"/>
        <v>6.5356886776680962</v>
      </c>
      <c r="V468" s="7">
        <f t="shared" si="74"/>
        <v>11.434010152284264</v>
      </c>
      <c r="W468" s="7">
        <f t="shared" si="75"/>
        <v>3.5019632409825281</v>
      </c>
      <c r="X468" s="7">
        <f t="shared" si="76"/>
        <v>-3.0588203359647428E-2</v>
      </c>
      <c r="Y468" s="7">
        <f t="shared" si="77"/>
        <v>-0.27106150421672232</v>
      </c>
      <c r="Z468" s="7">
        <f t="shared" si="78"/>
        <v>-0.12393338319636275</v>
      </c>
      <c r="AA468" s="7">
        <f t="shared" si="79"/>
        <v>-0.14186103025757749</v>
      </c>
    </row>
    <row r="469" spans="1:27" x14ac:dyDescent="0.25">
      <c r="A469" s="1" t="s">
        <v>1675</v>
      </c>
      <c r="B469" s="1" t="s">
        <v>861</v>
      </c>
      <c r="C469" s="1">
        <v>8</v>
      </c>
      <c r="D469" s="1">
        <v>6</v>
      </c>
      <c r="E469" s="1">
        <v>8</v>
      </c>
      <c r="F469" s="1">
        <v>8</v>
      </c>
      <c r="G469" s="1">
        <v>8</v>
      </c>
      <c r="H469" s="1">
        <v>8</v>
      </c>
      <c r="I469" s="1">
        <v>8</v>
      </c>
      <c r="J469" s="1">
        <v>8</v>
      </c>
      <c r="K469" s="1">
        <v>8</v>
      </c>
      <c r="L469" s="1">
        <v>7</v>
      </c>
      <c r="M469" s="1">
        <v>30</v>
      </c>
      <c r="N469" s="1">
        <v>32</v>
      </c>
      <c r="O469" s="1">
        <v>15</v>
      </c>
      <c r="P469" s="1">
        <v>77</v>
      </c>
      <c r="Q469" s="7">
        <v>0.67494855771055307</v>
      </c>
      <c r="R469" s="7">
        <f t="shared" si="70"/>
        <v>23.196700507614214</v>
      </c>
      <c r="S469" s="7">
        <f t="shared" si="71"/>
        <v>6.4306002317777482</v>
      </c>
      <c r="T469" s="7">
        <f t="shared" si="72"/>
        <v>22.771573604060915</v>
      </c>
      <c r="U469" s="7">
        <f t="shared" si="73"/>
        <v>6.5356886776680962</v>
      </c>
      <c r="V469" s="7">
        <f t="shared" si="74"/>
        <v>11.434010152284264</v>
      </c>
      <c r="W469" s="7">
        <f t="shared" si="75"/>
        <v>3.5019632409825281</v>
      </c>
      <c r="X469" s="7">
        <f t="shared" si="76"/>
        <v>1.0579571497488354</v>
      </c>
      <c r="Y469" s="7">
        <f t="shared" si="77"/>
        <v>1.4120051996160479</v>
      </c>
      <c r="Z469" s="7">
        <f t="shared" si="78"/>
        <v>1.0182830607654363</v>
      </c>
      <c r="AA469" s="7">
        <f t="shared" si="79"/>
        <v>1.1627484700434401</v>
      </c>
    </row>
    <row r="470" spans="1:27" x14ac:dyDescent="0.25">
      <c r="A470" s="1" t="s">
        <v>1675</v>
      </c>
      <c r="B470" s="1" t="s">
        <v>861</v>
      </c>
      <c r="C470" s="1">
        <v>6</v>
      </c>
      <c r="D470" s="1">
        <v>7</v>
      </c>
      <c r="E470" s="1">
        <v>7</v>
      </c>
      <c r="F470" s="1">
        <v>8</v>
      </c>
      <c r="G470" s="1">
        <v>6</v>
      </c>
      <c r="H470" s="1">
        <v>8</v>
      </c>
      <c r="I470" s="1">
        <v>8</v>
      </c>
      <c r="J470" s="1">
        <v>9</v>
      </c>
      <c r="K470" s="1">
        <v>8</v>
      </c>
      <c r="L470" s="1">
        <v>9</v>
      </c>
      <c r="M470" s="1">
        <v>28</v>
      </c>
      <c r="N470" s="1">
        <v>31</v>
      </c>
      <c r="O470" s="1">
        <v>17</v>
      </c>
      <c r="P470" s="1">
        <v>76</v>
      </c>
      <c r="Q470" s="7">
        <v>1.0749676997731399</v>
      </c>
      <c r="R470" s="7">
        <f t="shared" si="70"/>
        <v>23.196700507614214</v>
      </c>
      <c r="S470" s="7">
        <f t="shared" si="71"/>
        <v>6.4306002317777482</v>
      </c>
      <c r="T470" s="7">
        <f t="shared" si="72"/>
        <v>22.771573604060915</v>
      </c>
      <c r="U470" s="7">
        <f t="shared" si="73"/>
        <v>6.5356886776680962</v>
      </c>
      <c r="V470" s="7">
        <f t="shared" si="74"/>
        <v>11.434010152284264</v>
      </c>
      <c r="W470" s="7">
        <f t="shared" si="75"/>
        <v>3.5019632409825281</v>
      </c>
      <c r="X470" s="7">
        <f t="shared" si="76"/>
        <v>0.74694419171784021</v>
      </c>
      <c r="Y470" s="7">
        <f t="shared" si="77"/>
        <v>1.2589991356312507</v>
      </c>
      <c r="Z470" s="7">
        <f t="shared" si="78"/>
        <v>1.5893912827463359</v>
      </c>
      <c r="AA470" s="7">
        <f t="shared" si="79"/>
        <v>1.1984448700318089</v>
      </c>
    </row>
    <row r="471" spans="1:27" x14ac:dyDescent="0.25">
      <c r="A471" s="1" t="s">
        <v>1676</v>
      </c>
      <c r="B471" s="1" t="s">
        <v>861</v>
      </c>
      <c r="C471" s="1">
        <v>7</v>
      </c>
      <c r="D471" s="1">
        <v>6</v>
      </c>
      <c r="E471" s="1">
        <v>6</v>
      </c>
      <c r="F471" s="1">
        <v>6</v>
      </c>
      <c r="G471" s="1">
        <v>7</v>
      </c>
      <c r="H471" s="1">
        <v>6</v>
      </c>
      <c r="I471" s="1">
        <v>5</v>
      </c>
      <c r="J471" s="1">
        <v>6</v>
      </c>
      <c r="K471" s="1">
        <v>7</v>
      </c>
      <c r="L471" s="1">
        <v>6</v>
      </c>
      <c r="M471" s="1">
        <v>25</v>
      </c>
      <c r="N471" s="1">
        <v>24</v>
      </c>
      <c r="O471" s="1">
        <v>13</v>
      </c>
      <c r="P471" s="1">
        <v>62</v>
      </c>
      <c r="Q471" s="7">
        <v>0.63245553203367599</v>
      </c>
      <c r="R471" s="7">
        <f t="shared" si="70"/>
        <v>23.196700507614214</v>
      </c>
      <c r="S471" s="7">
        <f t="shared" si="71"/>
        <v>6.4306002317777482</v>
      </c>
      <c r="T471" s="7">
        <f t="shared" si="72"/>
        <v>22.771573604060915</v>
      </c>
      <c r="U471" s="7">
        <f t="shared" si="73"/>
        <v>6.5356886776680962</v>
      </c>
      <c r="V471" s="7">
        <f t="shared" si="74"/>
        <v>11.434010152284264</v>
      </c>
      <c r="W471" s="7">
        <f t="shared" si="75"/>
        <v>3.5019632409825281</v>
      </c>
      <c r="X471" s="7">
        <f t="shared" si="76"/>
        <v>0.28042475467134764</v>
      </c>
      <c r="Y471" s="7">
        <f t="shared" si="77"/>
        <v>0.18795668773766958</v>
      </c>
      <c r="Z471" s="7">
        <f t="shared" si="78"/>
        <v>0.44717483878453679</v>
      </c>
      <c r="AA471" s="7">
        <f t="shared" si="79"/>
        <v>0.30518542706451801</v>
      </c>
    </row>
    <row r="472" spans="1:27" x14ac:dyDescent="0.25">
      <c r="A472" s="1" t="s">
        <v>1676</v>
      </c>
      <c r="B472" s="1" t="s">
        <v>861</v>
      </c>
      <c r="C472" s="1">
        <v>4</v>
      </c>
      <c r="D472" s="1">
        <v>4</v>
      </c>
      <c r="E472" s="1">
        <v>4</v>
      </c>
      <c r="F472" s="1">
        <v>4</v>
      </c>
      <c r="G472" s="1">
        <v>3</v>
      </c>
      <c r="H472" s="1">
        <v>4</v>
      </c>
      <c r="I472" s="1">
        <v>3</v>
      </c>
      <c r="J472" s="1">
        <v>4</v>
      </c>
      <c r="K472" s="1">
        <v>3</v>
      </c>
      <c r="L472" s="1">
        <v>4</v>
      </c>
      <c r="M472" s="1">
        <v>16</v>
      </c>
      <c r="N472" s="1">
        <v>14</v>
      </c>
      <c r="O472" s="1">
        <v>7</v>
      </c>
      <c r="P472" s="1">
        <v>37</v>
      </c>
      <c r="Q472" s="7">
        <v>0.48304589153964789</v>
      </c>
      <c r="R472" s="7">
        <f t="shared" si="70"/>
        <v>23.196700507614214</v>
      </c>
      <c r="S472" s="7">
        <f t="shared" si="71"/>
        <v>6.4306002317777482</v>
      </c>
      <c r="T472" s="7">
        <f t="shared" si="72"/>
        <v>22.771573604060915</v>
      </c>
      <c r="U472" s="7">
        <f t="shared" si="73"/>
        <v>6.5356886776680962</v>
      </c>
      <c r="V472" s="7">
        <f t="shared" si="74"/>
        <v>11.434010152284264</v>
      </c>
      <c r="W472" s="7">
        <f t="shared" si="75"/>
        <v>3.5019632409825281</v>
      </c>
      <c r="X472" s="7">
        <f t="shared" si="76"/>
        <v>-1.1191335564681302</v>
      </c>
      <c r="Y472" s="7">
        <f t="shared" si="77"/>
        <v>-1.3421039521103035</v>
      </c>
      <c r="Z472" s="7">
        <f t="shared" si="78"/>
        <v>-1.2661498271581617</v>
      </c>
      <c r="AA472" s="7">
        <f t="shared" si="79"/>
        <v>-1.2424624452455317</v>
      </c>
    </row>
    <row r="473" spans="1:27" x14ac:dyDescent="0.25">
      <c r="A473" s="1" t="s">
        <v>1676</v>
      </c>
      <c r="B473" s="1" t="s">
        <v>861</v>
      </c>
      <c r="C473" s="1">
        <v>6</v>
      </c>
      <c r="D473" s="1">
        <v>4</v>
      </c>
      <c r="E473" s="1">
        <v>4</v>
      </c>
      <c r="F473" s="1">
        <v>5</v>
      </c>
      <c r="G473" s="1">
        <v>5</v>
      </c>
      <c r="H473" s="1">
        <v>4</v>
      </c>
      <c r="I473" s="1">
        <v>4</v>
      </c>
      <c r="J473" s="1">
        <v>5</v>
      </c>
      <c r="K473" s="1">
        <v>4</v>
      </c>
      <c r="L473" s="1">
        <v>5</v>
      </c>
      <c r="M473" s="1">
        <v>19</v>
      </c>
      <c r="N473" s="1">
        <v>18</v>
      </c>
      <c r="O473" s="1">
        <v>9</v>
      </c>
      <c r="P473" s="1">
        <v>46</v>
      </c>
      <c r="Q473" s="7">
        <v>0.69920589878010098</v>
      </c>
      <c r="R473" s="7">
        <f t="shared" si="70"/>
        <v>23.196700507614214</v>
      </c>
      <c r="S473" s="7">
        <f t="shared" si="71"/>
        <v>6.4306002317777482</v>
      </c>
      <c r="T473" s="7">
        <f t="shared" si="72"/>
        <v>22.771573604060915</v>
      </c>
      <c r="U473" s="7">
        <f t="shared" si="73"/>
        <v>6.5356886776680962</v>
      </c>
      <c r="V473" s="7">
        <f t="shared" si="74"/>
        <v>11.434010152284264</v>
      </c>
      <c r="W473" s="7">
        <f t="shared" si="75"/>
        <v>3.5019632409825281</v>
      </c>
      <c r="X473" s="7">
        <f t="shared" si="76"/>
        <v>-0.65261411942163761</v>
      </c>
      <c r="Y473" s="7">
        <f t="shared" si="77"/>
        <v>-0.73007969617111423</v>
      </c>
      <c r="Z473" s="7">
        <f t="shared" si="78"/>
        <v>-0.69504160517726232</v>
      </c>
      <c r="AA473" s="7">
        <f t="shared" si="79"/>
        <v>-0.69257847359000468</v>
      </c>
    </row>
    <row r="474" spans="1:27" x14ac:dyDescent="0.25">
      <c r="A474" s="1" t="s">
        <v>1676</v>
      </c>
      <c r="B474" s="1" t="s">
        <v>861</v>
      </c>
      <c r="C474" s="1">
        <v>6</v>
      </c>
      <c r="D474" s="1">
        <v>5</v>
      </c>
      <c r="E474" s="1">
        <v>5</v>
      </c>
      <c r="F474" s="1">
        <v>5</v>
      </c>
      <c r="G474" s="1">
        <v>4</v>
      </c>
      <c r="H474" s="1">
        <v>4</v>
      </c>
      <c r="I474" s="1">
        <v>3</v>
      </c>
      <c r="J474" s="1">
        <v>4</v>
      </c>
      <c r="K474" s="1">
        <v>4</v>
      </c>
      <c r="L474" s="1">
        <v>5</v>
      </c>
      <c r="M474" s="1">
        <v>21</v>
      </c>
      <c r="N474" s="1">
        <v>15</v>
      </c>
      <c r="O474" s="1">
        <v>9</v>
      </c>
      <c r="P474" s="1">
        <v>45</v>
      </c>
      <c r="Q474" s="7">
        <v>0.84983658559879738</v>
      </c>
      <c r="R474" s="7">
        <f t="shared" si="70"/>
        <v>23.196700507614214</v>
      </c>
      <c r="S474" s="7">
        <f t="shared" si="71"/>
        <v>6.4306002317777482</v>
      </c>
      <c r="T474" s="7">
        <f t="shared" si="72"/>
        <v>22.771573604060915</v>
      </c>
      <c r="U474" s="7">
        <f t="shared" si="73"/>
        <v>6.5356886776680962</v>
      </c>
      <c r="V474" s="7">
        <f t="shared" si="74"/>
        <v>11.434010152284264</v>
      </c>
      <c r="W474" s="7">
        <f t="shared" si="75"/>
        <v>3.5019632409825281</v>
      </c>
      <c r="X474" s="7">
        <f t="shared" si="76"/>
        <v>-0.3416011613906425</v>
      </c>
      <c r="Y474" s="7">
        <f t="shared" si="77"/>
        <v>-1.1890978881255061</v>
      </c>
      <c r="Z474" s="7">
        <f t="shared" si="78"/>
        <v>-0.69504160517726232</v>
      </c>
      <c r="AA474" s="7">
        <f t="shared" si="79"/>
        <v>-0.74191355156447025</v>
      </c>
    </row>
    <row r="475" spans="1:27" x14ac:dyDescent="0.25">
      <c r="A475" s="1" t="s">
        <v>1676</v>
      </c>
      <c r="B475" s="1" t="s">
        <v>861</v>
      </c>
      <c r="C475" s="1">
        <v>6</v>
      </c>
      <c r="D475" s="1">
        <v>6</v>
      </c>
      <c r="E475" s="1">
        <v>6</v>
      </c>
      <c r="F475" s="1">
        <v>6</v>
      </c>
      <c r="G475" s="1">
        <v>7</v>
      </c>
      <c r="H475" s="1">
        <v>7</v>
      </c>
      <c r="I475" s="1">
        <v>6</v>
      </c>
      <c r="J475" s="1">
        <v>6</v>
      </c>
      <c r="K475" s="1">
        <v>6</v>
      </c>
      <c r="L475" s="1">
        <v>6</v>
      </c>
      <c r="M475" s="1">
        <v>24</v>
      </c>
      <c r="N475" s="1">
        <v>26</v>
      </c>
      <c r="O475" s="1">
        <v>12</v>
      </c>
      <c r="P475" s="1">
        <v>62</v>
      </c>
      <c r="Q475" s="7">
        <v>0.42163702135578407</v>
      </c>
      <c r="R475" s="7">
        <f t="shared" si="70"/>
        <v>23.196700507614214</v>
      </c>
      <c r="S475" s="7">
        <f t="shared" si="71"/>
        <v>6.4306002317777482</v>
      </c>
      <c r="T475" s="7">
        <f t="shared" si="72"/>
        <v>22.771573604060915</v>
      </c>
      <c r="U475" s="7">
        <f t="shared" si="73"/>
        <v>6.5356886776680962</v>
      </c>
      <c r="V475" s="7">
        <f t="shared" si="74"/>
        <v>11.434010152284264</v>
      </c>
      <c r="W475" s="7">
        <f t="shared" si="75"/>
        <v>3.5019632409825281</v>
      </c>
      <c r="X475" s="7">
        <f t="shared" si="76"/>
        <v>0.12491827565585011</v>
      </c>
      <c r="Y475" s="7">
        <f t="shared" si="77"/>
        <v>0.49396881570726414</v>
      </c>
      <c r="Z475" s="7">
        <f t="shared" si="78"/>
        <v>0.16162072779408701</v>
      </c>
      <c r="AA475" s="7">
        <f t="shared" si="79"/>
        <v>0.2601692730524004</v>
      </c>
    </row>
    <row r="476" spans="1:27" x14ac:dyDescent="0.25">
      <c r="A476" s="1" t="s">
        <v>1676</v>
      </c>
      <c r="B476" s="1" t="s">
        <v>861</v>
      </c>
      <c r="C476" s="1">
        <v>7</v>
      </c>
      <c r="D476" s="1">
        <v>5</v>
      </c>
      <c r="E476" s="1">
        <v>5</v>
      </c>
      <c r="F476" s="1">
        <v>6</v>
      </c>
      <c r="G476" s="1">
        <v>7</v>
      </c>
      <c r="H476" s="1">
        <v>6</v>
      </c>
      <c r="I476" s="1">
        <v>5</v>
      </c>
      <c r="J476" s="1">
        <v>5</v>
      </c>
      <c r="K476" s="1">
        <v>6</v>
      </c>
      <c r="L476" s="1">
        <v>6</v>
      </c>
      <c r="M476" s="1">
        <v>23</v>
      </c>
      <c r="N476" s="1">
        <v>23</v>
      </c>
      <c r="O476" s="1">
        <v>12</v>
      </c>
      <c r="P476" s="1">
        <v>58</v>
      </c>
      <c r="Q476" s="7">
        <v>0.78881063774661542</v>
      </c>
      <c r="R476" s="7">
        <f t="shared" si="70"/>
        <v>23.196700507614214</v>
      </c>
      <c r="S476" s="7">
        <f t="shared" si="71"/>
        <v>6.4306002317777482</v>
      </c>
      <c r="T476" s="7">
        <f t="shared" si="72"/>
        <v>22.771573604060915</v>
      </c>
      <c r="U476" s="7">
        <f t="shared" si="73"/>
        <v>6.5356886776680962</v>
      </c>
      <c r="V476" s="7">
        <f t="shared" si="74"/>
        <v>11.434010152284264</v>
      </c>
      <c r="W476" s="7">
        <f t="shared" si="75"/>
        <v>3.5019632409825281</v>
      </c>
      <c r="X476" s="7">
        <f t="shared" si="76"/>
        <v>-3.0588203359647428E-2</v>
      </c>
      <c r="Y476" s="7">
        <f t="shared" si="77"/>
        <v>3.4950623752872265E-2</v>
      </c>
      <c r="Z476" s="7">
        <f t="shared" si="78"/>
        <v>0.16162072779408701</v>
      </c>
      <c r="AA476" s="7">
        <f t="shared" si="79"/>
        <v>5.5327716062437284E-2</v>
      </c>
    </row>
    <row r="477" spans="1:27" x14ac:dyDescent="0.25">
      <c r="A477" s="1" t="s">
        <v>1676</v>
      </c>
      <c r="B477" s="1" t="s">
        <v>861</v>
      </c>
      <c r="C477" s="1">
        <v>6</v>
      </c>
      <c r="D477" s="1">
        <v>5</v>
      </c>
      <c r="E477" s="1">
        <v>5</v>
      </c>
      <c r="F477" s="1">
        <v>6</v>
      </c>
      <c r="G477" s="1">
        <v>7</v>
      </c>
      <c r="H477" s="1">
        <v>6</v>
      </c>
      <c r="I477" s="1">
        <v>5</v>
      </c>
      <c r="J477" s="1">
        <v>5</v>
      </c>
      <c r="K477" s="1">
        <v>6</v>
      </c>
      <c r="L477" s="1">
        <v>6</v>
      </c>
      <c r="M477" s="1">
        <v>22</v>
      </c>
      <c r="N477" s="1">
        <v>23</v>
      </c>
      <c r="O477" s="1">
        <v>12</v>
      </c>
      <c r="P477" s="1">
        <v>57</v>
      </c>
      <c r="Q477" s="7">
        <v>0.67494855771055284</v>
      </c>
      <c r="R477" s="7">
        <f t="shared" si="70"/>
        <v>23.196700507614214</v>
      </c>
      <c r="S477" s="7">
        <f t="shared" si="71"/>
        <v>6.4306002317777482</v>
      </c>
      <c r="T477" s="7">
        <f t="shared" si="72"/>
        <v>22.771573604060915</v>
      </c>
      <c r="U477" s="7">
        <f t="shared" si="73"/>
        <v>6.5356886776680962</v>
      </c>
      <c r="V477" s="7">
        <f t="shared" si="74"/>
        <v>11.434010152284264</v>
      </c>
      <c r="W477" s="7">
        <f t="shared" si="75"/>
        <v>3.5019632409825281</v>
      </c>
      <c r="X477" s="7">
        <f t="shared" si="76"/>
        <v>-0.18609468237514495</v>
      </c>
      <c r="Y477" s="7">
        <f t="shared" si="77"/>
        <v>3.4950623752872265E-2</v>
      </c>
      <c r="Z477" s="7">
        <f t="shared" si="78"/>
        <v>0.16162072779408701</v>
      </c>
      <c r="AA477" s="7">
        <f t="shared" si="79"/>
        <v>3.4922230572714355E-3</v>
      </c>
    </row>
    <row r="478" spans="1:27" x14ac:dyDescent="0.25">
      <c r="A478" s="1" t="s">
        <v>1676</v>
      </c>
      <c r="B478" s="1" t="s">
        <v>861</v>
      </c>
      <c r="C478" s="1">
        <v>7</v>
      </c>
      <c r="D478" s="1">
        <v>6</v>
      </c>
      <c r="E478" s="1">
        <v>6</v>
      </c>
      <c r="F478" s="1">
        <v>6</v>
      </c>
      <c r="G478" s="1">
        <v>6</v>
      </c>
      <c r="H478" s="1">
        <v>6</v>
      </c>
      <c r="I478" s="1">
        <v>5</v>
      </c>
      <c r="J478" s="1">
        <v>5</v>
      </c>
      <c r="K478" s="1">
        <v>6</v>
      </c>
      <c r="L478" s="1">
        <v>6</v>
      </c>
      <c r="M478" s="1">
        <v>25</v>
      </c>
      <c r="N478" s="1">
        <v>22</v>
      </c>
      <c r="O478" s="1">
        <v>12</v>
      </c>
      <c r="P478" s="1">
        <v>59</v>
      </c>
      <c r="Q478" s="7">
        <v>0.56764621219754663</v>
      </c>
      <c r="R478" s="7">
        <f t="shared" si="70"/>
        <v>23.196700507614214</v>
      </c>
      <c r="S478" s="7">
        <f t="shared" si="71"/>
        <v>6.4306002317777482</v>
      </c>
      <c r="T478" s="7">
        <f t="shared" si="72"/>
        <v>22.771573604060915</v>
      </c>
      <c r="U478" s="7">
        <f t="shared" si="73"/>
        <v>6.5356886776680962</v>
      </c>
      <c r="V478" s="7">
        <f t="shared" si="74"/>
        <v>11.434010152284264</v>
      </c>
      <c r="W478" s="7">
        <f t="shared" si="75"/>
        <v>3.5019632409825281</v>
      </c>
      <c r="X478" s="7">
        <f t="shared" si="76"/>
        <v>0.28042475467134764</v>
      </c>
      <c r="Y478" s="7">
        <f t="shared" si="77"/>
        <v>-0.11805544023192505</v>
      </c>
      <c r="Z478" s="7">
        <f t="shared" si="78"/>
        <v>0.16162072779408701</v>
      </c>
      <c r="AA478" s="7">
        <f t="shared" si="79"/>
        <v>0.10799668074450319</v>
      </c>
    </row>
    <row r="479" spans="1:27" x14ac:dyDescent="0.25">
      <c r="A479" s="1" t="s">
        <v>1676</v>
      </c>
      <c r="B479" s="1" t="s">
        <v>861</v>
      </c>
      <c r="C479" s="1">
        <v>6</v>
      </c>
      <c r="D479" s="1">
        <v>6</v>
      </c>
      <c r="E479" s="1">
        <v>5</v>
      </c>
      <c r="F479" s="1">
        <v>5</v>
      </c>
      <c r="G479" s="1">
        <v>5</v>
      </c>
      <c r="H479" s="1">
        <v>5</v>
      </c>
      <c r="I479" s="1">
        <v>5</v>
      </c>
      <c r="J479" s="1">
        <v>5</v>
      </c>
      <c r="K479" s="1">
        <v>5</v>
      </c>
      <c r="L479" s="1">
        <v>6</v>
      </c>
      <c r="M479" s="1">
        <v>22</v>
      </c>
      <c r="N479" s="1">
        <v>20</v>
      </c>
      <c r="O479" s="1">
        <v>11</v>
      </c>
      <c r="P479" s="1">
        <v>53</v>
      </c>
      <c r="Q479" s="7">
        <v>0.48304589153964805</v>
      </c>
      <c r="R479" s="7">
        <f t="shared" si="70"/>
        <v>23.196700507614214</v>
      </c>
      <c r="S479" s="7">
        <f t="shared" si="71"/>
        <v>6.4306002317777482</v>
      </c>
      <c r="T479" s="7">
        <f t="shared" si="72"/>
        <v>22.771573604060915</v>
      </c>
      <c r="U479" s="7">
        <f t="shared" si="73"/>
        <v>6.5356886776680962</v>
      </c>
      <c r="V479" s="7">
        <f t="shared" si="74"/>
        <v>11.434010152284264</v>
      </c>
      <c r="W479" s="7">
        <f t="shared" si="75"/>
        <v>3.5019632409825281</v>
      </c>
      <c r="X479" s="7">
        <f t="shared" si="76"/>
        <v>-0.18609468237514495</v>
      </c>
      <c r="Y479" s="7">
        <f t="shared" si="77"/>
        <v>-0.42406756820151964</v>
      </c>
      <c r="Z479" s="7">
        <f t="shared" si="78"/>
        <v>-0.12393338319636275</v>
      </c>
      <c r="AA479" s="7">
        <f t="shared" si="79"/>
        <v>-0.24469854459100912</v>
      </c>
    </row>
    <row r="480" spans="1:27" x14ac:dyDescent="0.25">
      <c r="A480" s="1" t="s">
        <v>1676</v>
      </c>
      <c r="B480" s="1" t="s">
        <v>861</v>
      </c>
      <c r="C480" s="1">
        <v>5</v>
      </c>
      <c r="D480" s="1">
        <v>5</v>
      </c>
      <c r="E480" s="1">
        <v>5</v>
      </c>
      <c r="F480" s="1">
        <v>5</v>
      </c>
      <c r="G480" s="1">
        <v>6</v>
      </c>
      <c r="H480" s="1">
        <v>5</v>
      </c>
      <c r="I480" s="1">
        <v>5</v>
      </c>
      <c r="J480" s="1">
        <v>5</v>
      </c>
      <c r="K480" s="1">
        <v>5</v>
      </c>
      <c r="L480" s="1">
        <v>6</v>
      </c>
      <c r="M480" s="1">
        <v>20</v>
      </c>
      <c r="N480" s="1">
        <v>21</v>
      </c>
      <c r="O480" s="1">
        <v>11</v>
      </c>
      <c r="P480" s="1">
        <v>52</v>
      </c>
      <c r="Q480" s="7">
        <v>0.42163702135578407</v>
      </c>
      <c r="R480" s="7">
        <f t="shared" si="70"/>
        <v>23.196700507614214</v>
      </c>
      <c r="S480" s="7">
        <f t="shared" si="71"/>
        <v>6.4306002317777482</v>
      </c>
      <c r="T480" s="7">
        <f t="shared" si="72"/>
        <v>22.771573604060915</v>
      </c>
      <c r="U480" s="7">
        <f t="shared" si="73"/>
        <v>6.5356886776680962</v>
      </c>
      <c r="V480" s="7">
        <f t="shared" si="74"/>
        <v>11.434010152284264</v>
      </c>
      <c r="W480" s="7">
        <f t="shared" si="75"/>
        <v>3.5019632409825281</v>
      </c>
      <c r="X480" s="7">
        <f t="shared" si="76"/>
        <v>-0.49710764040614003</v>
      </c>
      <c r="Y480" s="7">
        <f t="shared" si="77"/>
        <v>-0.27106150421672232</v>
      </c>
      <c r="Z480" s="7">
        <f t="shared" si="78"/>
        <v>-0.12393338319636275</v>
      </c>
      <c r="AA480" s="7">
        <f t="shared" si="79"/>
        <v>-0.29736750927307504</v>
      </c>
    </row>
    <row r="481" spans="1:27" x14ac:dyDescent="0.25">
      <c r="A481" s="1" t="s">
        <v>1676</v>
      </c>
      <c r="B481" s="1" t="s">
        <v>861</v>
      </c>
      <c r="C481" s="1">
        <v>5</v>
      </c>
      <c r="D481" s="1">
        <v>5</v>
      </c>
      <c r="E481" s="1">
        <v>5</v>
      </c>
      <c r="F481" s="1">
        <v>5</v>
      </c>
      <c r="G481" s="1">
        <v>5</v>
      </c>
      <c r="H481" s="1">
        <v>5</v>
      </c>
      <c r="I481" s="1">
        <v>5</v>
      </c>
      <c r="J481" s="1">
        <v>4</v>
      </c>
      <c r="K481" s="1">
        <v>5</v>
      </c>
      <c r="L481" s="1">
        <v>5</v>
      </c>
      <c r="M481" s="1">
        <v>20</v>
      </c>
      <c r="N481" s="1">
        <v>19</v>
      </c>
      <c r="O481" s="1">
        <v>10</v>
      </c>
      <c r="P481" s="1">
        <v>49</v>
      </c>
      <c r="Q481" s="7">
        <v>0.31622776601683794</v>
      </c>
      <c r="R481" s="7">
        <f t="shared" si="70"/>
        <v>23.196700507614214</v>
      </c>
      <c r="S481" s="7">
        <f t="shared" si="71"/>
        <v>6.4306002317777482</v>
      </c>
      <c r="T481" s="7">
        <f t="shared" si="72"/>
        <v>22.771573604060915</v>
      </c>
      <c r="U481" s="7">
        <f t="shared" si="73"/>
        <v>6.5356886776680962</v>
      </c>
      <c r="V481" s="7">
        <f t="shared" si="74"/>
        <v>11.434010152284264</v>
      </c>
      <c r="W481" s="7">
        <f t="shared" si="75"/>
        <v>3.5019632409825281</v>
      </c>
      <c r="X481" s="7">
        <f t="shared" si="76"/>
        <v>-0.49710764040614003</v>
      </c>
      <c r="Y481" s="7">
        <f t="shared" si="77"/>
        <v>-0.57707363218631691</v>
      </c>
      <c r="Z481" s="7">
        <f t="shared" si="78"/>
        <v>-0.40948749418681252</v>
      </c>
      <c r="AA481" s="7">
        <f t="shared" si="79"/>
        <v>-0.4945562555930898</v>
      </c>
    </row>
    <row r="482" spans="1:27" x14ac:dyDescent="0.25">
      <c r="A482" s="1" t="s">
        <v>1676</v>
      </c>
      <c r="B482" s="1" t="s">
        <v>861</v>
      </c>
      <c r="C482" s="1">
        <v>7</v>
      </c>
      <c r="D482" s="1">
        <v>7</v>
      </c>
      <c r="E482" s="1">
        <v>6</v>
      </c>
      <c r="F482" s="1">
        <v>6</v>
      </c>
      <c r="G482" s="1">
        <v>6</v>
      </c>
      <c r="H482" s="1">
        <v>6</v>
      </c>
      <c r="I482" s="1">
        <v>6</v>
      </c>
      <c r="J482" s="1">
        <v>5</v>
      </c>
      <c r="K482" s="1">
        <v>6</v>
      </c>
      <c r="L482" s="1">
        <v>6</v>
      </c>
      <c r="M482" s="1">
        <v>26</v>
      </c>
      <c r="N482" s="1">
        <v>23</v>
      </c>
      <c r="O482" s="1">
        <v>12</v>
      </c>
      <c r="P482" s="1">
        <v>61</v>
      </c>
      <c r="Q482" s="7">
        <v>0.56764621219754707</v>
      </c>
      <c r="R482" s="7">
        <f t="shared" si="70"/>
        <v>23.196700507614214</v>
      </c>
      <c r="S482" s="7">
        <f t="shared" si="71"/>
        <v>6.4306002317777482</v>
      </c>
      <c r="T482" s="7">
        <f t="shared" si="72"/>
        <v>22.771573604060915</v>
      </c>
      <c r="U482" s="7">
        <f t="shared" si="73"/>
        <v>6.5356886776680962</v>
      </c>
      <c r="V482" s="7">
        <f t="shared" si="74"/>
        <v>11.434010152284264</v>
      </c>
      <c r="W482" s="7">
        <f t="shared" si="75"/>
        <v>3.5019632409825281</v>
      </c>
      <c r="X482" s="7">
        <f t="shared" si="76"/>
        <v>0.43593123368684517</v>
      </c>
      <c r="Y482" s="7">
        <f t="shared" si="77"/>
        <v>3.4950623752872265E-2</v>
      </c>
      <c r="Z482" s="7">
        <f t="shared" si="78"/>
        <v>0.16162072779408701</v>
      </c>
      <c r="AA482" s="7">
        <f t="shared" si="79"/>
        <v>0.2108341950779348</v>
      </c>
    </row>
    <row r="483" spans="1:27" x14ac:dyDescent="0.25">
      <c r="A483" s="1" t="s">
        <v>1676</v>
      </c>
      <c r="B483" s="1" t="s">
        <v>861</v>
      </c>
      <c r="C483" s="1">
        <v>6</v>
      </c>
      <c r="D483" s="1">
        <v>6</v>
      </c>
      <c r="E483" s="1">
        <v>5</v>
      </c>
      <c r="F483" s="1">
        <v>6</v>
      </c>
      <c r="G483" s="1">
        <v>5</v>
      </c>
      <c r="H483" s="1">
        <v>6</v>
      </c>
      <c r="I483" s="1">
        <v>5</v>
      </c>
      <c r="J483" s="1">
        <v>5</v>
      </c>
      <c r="K483" s="1">
        <v>5</v>
      </c>
      <c r="L483" s="1">
        <v>6</v>
      </c>
      <c r="M483" s="1">
        <v>23</v>
      </c>
      <c r="N483" s="1">
        <v>21</v>
      </c>
      <c r="O483" s="1">
        <v>11</v>
      </c>
      <c r="P483" s="1">
        <v>55</v>
      </c>
      <c r="Q483" s="7">
        <v>0.52704627669472992</v>
      </c>
      <c r="R483" s="7">
        <f t="shared" si="70"/>
        <v>23.196700507614214</v>
      </c>
      <c r="S483" s="7">
        <f t="shared" si="71"/>
        <v>6.4306002317777482</v>
      </c>
      <c r="T483" s="7">
        <f t="shared" si="72"/>
        <v>22.771573604060915</v>
      </c>
      <c r="U483" s="7">
        <f t="shared" si="73"/>
        <v>6.5356886776680962</v>
      </c>
      <c r="V483" s="7">
        <f t="shared" si="74"/>
        <v>11.434010152284264</v>
      </c>
      <c r="W483" s="7">
        <f t="shared" si="75"/>
        <v>3.5019632409825281</v>
      </c>
      <c r="X483" s="7">
        <f t="shared" si="76"/>
        <v>-3.0588203359647428E-2</v>
      </c>
      <c r="Y483" s="7">
        <f t="shared" si="77"/>
        <v>-0.27106150421672232</v>
      </c>
      <c r="Z483" s="7">
        <f t="shared" si="78"/>
        <v>-0.12393338319636275</v>
      </c>
      <c r="AA483" s="7">
        <f t="shared" si="79"/>
        <v>-0.14186103025757749</v>
      </c>
    </row>
    <row r="484" spans="1:27" x14ac:dyDescent="0.25">
      <c r="A484" s="1" t="s">
        <v>1676</v>
      </c>
      <c r="B484" s="1" t="s">
        <v>861</v>
      </c>
      <c r="C484" s="1">
        <v>7</v>
      </c>
      <c r="D484" s="1">
        <v>6</v>
      </c>
      <c r="E484" s="1">
        <v>5</v>
      </c>
      <c r="F484" s="1">
        <v>5</v>
      </c>
      <c r="G484" s="1">
        <v>5</v>
      </c>
      <c r="H484" s="1">
        <v>6</v>
      </c>
      <c r="I484" s="1">
        <v>5</v>
      </c>
      <c r="J484" s="1">
        <v>5</v>
      </c>
      <c r="K484" s="1">
        <v>5</v>
      </c>
      <c r="L484" s="1">
        <v>5</v>
      </c>
      <c r="M484" s="1">
        <v>23</v>
      </c>
      <c r="N484" s="1">
        <v>21</v>
      </c>
      <c r="O484" s="1">
        <v>10</v>
      </c>
      <c r="P484" s="1">
        <v>54</v>
      </c>
      <c r="Q484" s="7">
        <v>0.69920589878010098</v>
      </c>
      <c r="R484" s="7">
        <f t="shared" si="70"/>
        <v>23.196700507614214</v>
      </c>
      <c r="S484" s="7">
        <f t="shared" si="71"/>
        <v>6.4306002317777482</v>
      </c>
      <c r="T484" s="7">
        <f t="shared" si="72"/>
        <v>22.771573604060915</v>
      </c>
      <c r="U484" s="7">
        <f t="shared" si="73"/>
        <v>6.5356886776680962</v>
      </c>
      <c r="V484" s="7">
        <f t="shared" si="74"/>
        <v>11.434010152284264</v>
      </c>
      <c r="W484" s="7">
        <f t="shared" si="75"/>
        <v>3.5019632409825281</v>
      </c>
      <c r="X484" s="7">
        <f t="shared" si="76"/>
        <v>-3.0588203359647428E-2</v>
      </c>
      <c r="Y484" s="7">
        <f t="shared" si="77"/>
        <v>-0.27106150421672232</v>
      </c>
      <c r="Z484" s="7">
        <f t="shared" si="78"/>
        <v>-0.40948749418681252</v>
      </c>
      <c r="AA484" s="7">
        <f t="shared" si="79"/>
        <v>-0.23704573392106076</v>
      </c>
    </row>
    <row r="485" spans="1:27" x14ac:dyDescent="0.25">
      <c r="A485" s="1" t="s">
        <v>1676</v>
      </c>
      <c r="B485" s="1" t="s">
        <v>861</v>
      </c>
      <c r="C485" s="1">
        <v>6</v>
      </c>
      <c r="D485" s="1">
        <v>5</v>
      </c>
      <c r="E485" s="1">
        <v>5</v>
      </c>
      <c r="F485" s="1">
        <v>5</v>
      </c>
      <c r="G485" s="1">
        <v>5</v>
      </c>
      <c r="H485" s="1">
        <v>5</v>
      </c>
      <c r="I485" s="1">
        <v>4</v>
      </c>
      <c r="J485" s="1">
        <v>4</v>
      </c>
      <c r="K485" s="1">
        <v>5</v>
      </c>
      <c r="L485" s="1">
        <v>5</v>
      </c>
      <c r="M485" s="1">
        <v>21</v>
      </c>
      <c r="N485" s="1">
        <v>18</v>
      </c>
      <c r="O485" s="1">
        <v>10</v>
      </c>
      <c r="P485" s="1">
        <v>49</v>
      </c>
      <c r="Q485" s="7">
        <v>0.56764621219754663</v>
      </c>
      <c r="R485" s="7">
        <f t="shared" si="70"/>
        <v>23.196700507614214</v>
      </c>
      <c r="S485" s="7">
        <f t="shared" si="71"/>
        <v>6.4306002317777482</v>
      </c>
      <c r="T485" s="7">
        <f t="shared" si="72"/>
        <v>22.771573604060915</v>
      </c>
      <c r="U485" s="7">
        <f t="shared" si="73"/>
        <v>6.5356886776680962</v>
      </c>
      <c r="V485" s="7">
        <f t="shared" si="74"/>
        <v>11.434010152284264</v>
      </c>
      <c r="W485" s="7">
        <f t="shared" si="75"/>
        <v>3.5019632409825281</v>
      </c>
      <c r="X485" s="7">
        <f t="shared" si="76"/>
        <v>-0.3416011613906425</v>
      </c>
      <c r="Y485" s="7">
        <f t="shared" si="77"/>
        <v>-0.73007969617111423</v>
      </c>
      <c r="Z485" s="7">
        <f t="shared" si="78"/>
        <v>-0.40948749418681252</v>
      </c>
      <c r="AA485" s="7">
        <f t="shared" si="79"/>
        <v>-0.49372278391618973</v>
      </c>
    </row>
    <row r="486" spans="1:27" x14ac:dyDescent="0.25">
      <c r="A486" s="1" t="s">
        <v>1676</v>
      </c>
      <c r="B486" s="1" t="s">
        <v>861</v>
      </c>
      <c r="C486" s="1">
        <v>6</v>
      </c>
      <c r="D486" s="1">
        <v>6</v>
      </c>
      <c r="E486" s="1">
        <v>5</v>
      </c>
      <c r="F486" s="1">
        <v>5</v>
      </c>
      <c r="G486" s="1">
        <v>5</v>
      </c>
      <c r="H486" s="1">
        <v>5</v>
      </c>
      <c r="I486" s="1">
        <v>5</v>
      </c>
      <c r="J486" s="1">
        <v>4</v>
      </c>
      <c r="K486" s="1">
        <v>5</v>
      </c>
      <c r="L486" s="1">
        <v>6</v>
      </c>
      <c r="M486" s="1">
        <v>22</v>
      </c>
      <c r="N486" s="1">
        <v>19</v>
      </c>
      <c r="O486" s="1">
        <v>11</v>
      </c>
      <c r="P486" s="1">
        <v>52</v>
      </c>
      <c r="Q486" s="7">
        <v>0.6324555320336761</v>
      </c>
      <c r="R486" s="7">
        <f t="shared" si="70"/>
        <v>23.196700507614214</v>
      </c>
      <c r="S486" s="7">
        <f t="shared" si="71"/>
        <v>6.4306002317777482</v>
      </c>
      <c r="T486" s="7">
        <f t="shared" si="72"/>
        <v>22.771573604060915</v>
      </c>
      <c r="U486" s="7">
        <f t="shared" si="73"/>
        <v>6.5356886776680962</v>
      </c>
      <c r="V486" s="7">
        <f t="shared" si="74"/>
        <v>11.434010152284264</v>
      </c>
      <c r="W486" s="7">
        <f t="shared" si="75"/>
        <v>3.5019632409825281</v>
      </c>
      <c r="X486" s="7">
        <f t="shared" si="76"/>
        <v>-0.18609468237514495</v>
      </c>
      <c r="Y486" s="7">
        <f t="shared" si="77"/>
        <v>-0.57707363218631691</v>
      </c>
      <c r="Z486" s="7">
        <f t="shared" si="78"/>
        <v>-0.12393338319636275</v>
      </c>
      <c r="AA486" s="7">
        <f t="shared" si="79"/>
        <v>-0.29570056591927485</v>
      </c>
    </row>
    <row r="487" spans="1:27" x14ac:dyDescent="0.25">
      <c r="A487" s="1" t="s">
        <v>1676</v>
      </c>
      <c r="B487" s="1" t="s">
        <v>861</v>
      </c>
      <c r="C487" s="1">
        <v>7</v>
      </c>
      <c r="D487" s="1">
        <v>8</v>
      </c>
      <c r="E487" s="1">
        <v>7</v>
      </c>
      <c r="F487" s="1">
        <v>7</v>
      </c>
      <c r="G487" s="1">
        <v>7</v>
      </c>
      <c r="H487" s="1">
        <v>6</v>
      </c>
      <c r="I487" s="1">
        <v>6</v>
      </c>
      <c r="J487" s="1">
        <v>7</v>
      </c>
      <c r="K487" s="1">
        <v>7</v>
      </c>
      <c r="L487" s="1">
        <v>6</v>
      </c>
      <c r="M487" s="1">
        <v>29</v>
      </c>
      <c r="N487" s="1">
        <v>26</v>
      </c>
      <c r="O487" s="1">
        <v>13</v>
      </c>
      <c r="P487" s="1">
        <v>68</v>
      </c>
      <c r="Q487" s="7">
        <v>0.63245553203367588</v>
      </c>
      <c r="R487" s="7">
        <f t="shared" si="70"/>
        <v>23.196700507614214</v>
      </c>
      <c r="S487" s="7">
        <f t="shared" si="71"/>
        <v>6.4306002317777482</v>
      </c>
      <c r="T487" s="7">
        <f t="shared" si="72"/>
        <v>22.771573604060915</v>
      </c>
      <c r="U487" s="7">
        <f t="shared" si="73"/>
        <v>6.5356886776680962</v>
      </c>
      <c r="V487" s="7">
        <f t="shared" si="74"/>
        <v>11.434010152284264</v>
      </c>
      <c r="W487" s="7">
        <f t="shared" si="75"/>
        <v>3.5019632409825281</v>
      </c>
      <c r="X487" s="7">
        <f t="shared" si="76"/>
        <v>0.90245067073333785</v>
      </c>
      <c r="Y487" s="7">
        <f t="shared" si="77"/>
        <v>0.49396881570726414</v>
      </c>
      <c r="Z487" s="7">
        <f t="shared" si="78"/>
        <v>0.44717483878453679</v>
      </c>
      <c r="AA487" s="7">
        <f t="shared" si="79"/>
        <v>0.61453144174171292</v>
      </c>
    </row>
    <row r="488" spans="1:27" x14ac:dyDescent="0.25">
      <c r="A488" s="1" t="s">
        <v>1676</v>
      </c>
      <c r="B488" s="1" t="s">
        <v>861</v>
      </c>
      <c r="C488" s="1">
        <v>6</v>
      </c>
      <c r="D488" s="1">
        <v>6</v>
      </c>
      <c r="E488" s="1">
        <v>6</v>
      </c>
      <c r="F488" s="1">
        <v>5</v>
      </c>
      <c r="G488" s="1">
        <v>6</v>
      </c>
      <c r="H488" s="1">
        <v>6</v>
      </c>
      <c r="I488" s="1">
        <v>6</v>
      </c>
      <c r="J488" s="1">
        <v>5</v>
      </c>
      <c r="K488" s="1">
        <v>6</v>
      </c>
      <c r="L488" s="1">
        <v>6</v>
      </c>
      <c r="M488" s="1">
        <v>23</v>
      </c>
      <c r="N488" s="1">
        <v>23</v>
      </c>
      <c r="O488" s="1">
        <v>12</v>
      </c>
      <c r="P488" s="1">
        <v>58</v>
      </c>
      <c r="Q488" s="7">
        <v>0.4216370213557839</v>
      </c>
      <c r="R488" s="7">
        <f t="shared" si="70"/>
        <v>23.196700507614214</v>
      </c>
      <c r="S488" s="7">
        <f t="shared" si="71"/>
        <v>6.4306002317777482</v>
      </c>
      <c r="T488" s="7">
        <f t="shared" si="72"/>
        <v>22.771573604060915</v>
      </c>
      <c r="U488" s="7">
        <f t="shared" si="73"/>
        <v>6.5356886776680962</v>
      </c>
      <c r="V488" s="7">
        <f t="shared" si="74"/>
        <v>11.434010152284264</v>
      </c>
      <c r="W488" s="7">
        <f t="shared" si="75"/>
        <v>3.5019632409825281</v>
      </c>
      <c r="X488" s="7">
        <f t="shared" si="76"/>
        <v>-3.0588203359647428E-2</v>
      </c>
      <c r="Y488" s="7">
        <f t="shared" si="77"/>
        <v>3.4950623752872265E-2</v>
      </c>
      <c r="Z488" s="7">
        <f t="shared" si="78"/>
        <v>0.16162072779408701</v>
      </c>
      <c r="AA488" s="7">
        <f t="shared" si="79"/>
        <v>5.5327716062437284E-2</v>
      </c>
    </row>
    <row r="489" spans="1:27" x14ac:dyDescent="0.25">
      <c r="A489" s="1" t="s">
        <v>1676</v>
      </c>
      <c r="B489" s="1" t="s">
        <v>861</v>
      </c>
      <c r="C489" s="1">
        <v>7</v>
      </c>
      <c r="D489" s="1">
        <v>6</v>
      </c>
      <c r="E489" s="1">
        <v>6</v>
      </c>
      <c r="F489" s="1">
        <v>5</v>
      </c>
      <c r="G489" s="1">
        <v>6</v>
      </c>
      <c r="H489" s="1">
        <v>6</v>
      </c>
      <c r="I489" s="1">
        <v>6</v>
      </c>
      <c r="J489" s="1">
        <v>5</v>
      </c>
      <c r="K489" s="1">
        <v>5</v>
      </c>
      <c r="L489" s="1">
        <v>6</v>
      </c>
      <c r="M489" s="1">
        <v>24</v>
      </c>
      <c r="N489" s="1">
        <v>23</v>
      </c>
      <c r="O489" s="1">
        <v>11</v>
      </c>
      <c r="P489" s="1">
        <v>58</v>
      </c>
      <c r="Q489" s="7">
        <v>0.63245553203367577</v>
      </c>
      <c r="R489" s="7">
        <f t="shared" si="70"/>
        <v>23.196700507614214</v>
      </c>
      <c r="S489" s="7">
        <f t="shared" si="71"/>
        <v>6.4306002317777482</v>
      </c>
      <c r="T489" s="7">
        <f t="shared" si="72"/>
        <v>22.771573604060915</v>
      </c>
      <c r="U489" s="7">
        <f t="shared" si="73"/>
        <v>6.5356886776680962</v>
      </c>
      <c r="V489" s="7">
        <f t="shared" si="74"/>
        <v>11.434010152284264</v>
      </c>
      <c r="W489" s="7">
        <f t="shared" si="75"/>
        <v>3.5019632409825281</v>
      </c>
      <c r="X489" s="7">
        <f t="shared" si="76"/>
        <v>0.12491827565585011</v>
      </c>
      <c r="Y489" s="7">
        <f t="shared" si="77"/>
        <v>3.4950623752872265E-2</v>
      </c>
      <c r="Z489" s="7">
        <f t="shared" si="78"/>
        <v>-0.12393338319636275</v>
      </c>
      <c r="AA489" s="7">
        <f t="shared" si="79"/>
        <v>1.1978505404119872E-2</v>
      </c>
    </row>
    <row r="490" spans="1:27" x14ac:dyDescent="0.25">
      <c r="A490" s="1" t="s">
        <v>1676</v>
      </c>
      <c r="B490" s="1" t="s">
        <v>861</v>
      </c>
      <c r="C490" s="1">
        <v>7</v>
      </c>
      <c r="D490" s="1">
        <v>5</v>
      </c>
      <c r="E490" s="1">
        <v>6</v>
      </c>
      <c r="F490" s="1">
        <v>6</v>
      </c>
      <c r="G490" s="1">
        <v>7</v>
      </c>
      <c r="H490" s="1">
        <v>5</v>
      </c>
      <c r="I490" s="1">
        <v>6</v>
      </c>
      <c r="J490" s="1">
        <v>6</v>
      </c>
      <c r="K490" s="1">
        <v>6</v>
      </c>
      <c r="L490" s="1">
        <v>6</v>
      </c>
      <c r="M490" s="1">
        <v>24</v>
      </c>
      <c r="N490" s="1">
        <v>24</v>
      </c>
      <c r="O490" s="1">
        <v>12</v>
      </c>
      <c r="P490" s="1">
        <v>60</v>
      </c>
      <c r="Q490" s="7">
        <v>0.66666666666666663</v>
      </c>
      <c r="R490" s="7">
        <f t="shared" si="70"/>
        <v>23.196700507614214</v>
      </c>
      <c r="S490" s="7">
        <f t="shared" si="71"/>
        <v>6.4306002317777482</v>
      </c>
      <c r="T490" s="7">
        <f t="shared" si="72"/>
        <v>22.771573604060915</v>
      </c>
      <c r="U490" s="7">
        <f t="shared" si="73"/>
        <v>6.5356886776680962</v>
      </c>
      <c r="V490" s="7">
        <f t="shared" si="74"/>
        <v>11.434010152284264</v>
      </c>
      <c r="W490" s="7">
        <f t="shared" si="75"/>
        <v>3.5019632409825281</v>
      </c>
      <c r="X490" s="7">
        <f t="shared" si="76"/>
        <v>0.12491827565585011</v>
      </c>
      <c r="Y490" s="7">
        <f t="shared" si="77"/>
        <v>0.18795668773766958</v>
      </c>
      <c r="Z490" s="7">
        <f t="shared" si="78"/>
        <v>0.16162072779408701</v>
      </c>
      <c r="AA490" s="7">
        <f t="shared" si="79"/>
        <v>0.15816523039586891</v>
      </c>
    </row>
    <row r="491" spans="1:27" x14ac:dyDescent="0.25">
      <c r="A491" s="1" t="s">
        <v>1676</v>
      </c>
      <c r="B491" s="1" t="s">
        <v>861</v>
      </c>
      <c r="C491" s="1">
        <v>7</v>
      </c>
      <c r="D491" s="1">
        <v>6</v>
      </c>
      <c r="E491" s="1">
        <v>6</v>
      </c>
      <c r="F491" s="1">
        <v>7</v>
      </c>
      <c r="G491" s="1">
        <v>7</v>
      </c>
      <c r="H491" s="1">
        <v>6</v>
      </c>
      <c r="I491" s="1">
        <v>6</v>
      </c>
      <c r="J491" s="1">
        <v>7</v>
      </c>
      <c r="K491" s="1">
        <v>6</v>
      </c>
      <c r="L491" s="1">
        <v>6</v>
      </c>
      <c r="M491" s="1">
        <v>26</v>
      </c>
      <c r="N491" s="1">
        <v>26</v>
      </c>
      <c r="O491" s="1">
        <v>12</v>
      </c>
      <c r="P491" s="1">
        <v>64</v>
      </c>
      <c r="Q491" s="7">
        <v>0.51639777949432231</v>
      </c>
      <c r="R491" s="7">
        <f t="shared" si="70"/>
        <v>23.196700507614214</v>
      </c>
      <c r="S491" s="7">
        <f t="shared" si="71"/>
        <v>6.4306002317777482</v>
      </c>
      <c r="T491" s="7">
        <f t="shared" si="72"/>
        <v>22.771573604060915</v>
      </c>
      <c r="U491" s="7">
        <f t="shared" si="73"/>
        <v>6.5356886776680962</v>
      </c>
      <c r="V491" s="7">
        <f t="shared" si="74"/>
        <v>11.434010152284264</v>
      </c>
      <c r="W491" s="7">
        <f t="shared" si="75"/>
        <v>3.5019632409825281</v>
      </c>
      <c r="X491" s="7">
        <f t="shared" si="76"/>
        <v>0.43593123368684517</v>
      </c>
      <c r="Y491" s="7">
        <f t="shared" si="77"/>
        <v>0.49396881570726414</v>
      </c>
      <c r="Z491" s="7">
        <f t="shared" si="78"/>
        <v>0.16162072779408701</v>
      </c>
      <c r="AA491" s="7">
        <f t="shared" si="79"/>
        <v>0.3638402590627321</v>
      </c>
    </row>
    <row r="492" spans="1:27" x14ac:dyDescent="0.25">
      <c r="A492" s="1" t="s">
        <v>1676</v>
      </c>
      <c r="B492" s="1" t="s">
        <v>861</v>
      </c>
      <c r="C492" s="1">
        <v>7</v>
      </c>
      <c r="D492" s="1">
        <v>6</v>
      </c>
      <c r="E492" s="1">
        <v>6</v>
      </c>
      <c r="F492" s="1">
        <v>8</v>
      </c>
      <c r="G492" s="1">
        <v>7</v>
      </c>
      <c r="H492" s="1">
        <v>6</v>
      </c>
      <c r="I492" s="1">
        <v>7</v>
      </c>
      <c r="J492" s="1">
        <v>6</v>
      </c>
      <c r="K492" s="1">
        <v>6</v>
      </c>
      <c r="L492" s="1">
        <v>6</v>
      </c>
      <c r="M492" s="1">
        <v>27</v>
      </c>
      <c r="N492" s="1">
        <v>26</v>
      </c>
      <c r="O492" s="1">
        <v>12</v>
      </c>
      <c r="P492" s="1">
        <v>65</v>
      </c>
      <c r="Q492" s="7">
        <v>0.70710678118654735</v>
      </c>
      <c r="R492" s="7">
        <f t="shared" si="70"/>
        <v>23.196700507614214</v>
      </c>
      <c r="S492" s="7">
        <f t="shared" si="71"/>
        <v>6.4306002317777482</v>
      </c>
      <c r="T492" s="7">
        <f t="shared" si="72"/>
        <v>22.771573604060915</v>
      </c>
      <c r="U492" s="7">
        <f t="shared" si="73"/>
        <v>6.5356886776680962</v>
      </c>
      <c r="V492" s="7">
        <f t="shared" si="74"/>
        <v>11.434010152284264</v>
      </c>
      <c r="W492" s="7">
        <f t="shared" si="75"/>
        <v>3.5019632409825281</v>
      </c>
      <c r="X492" s="7">
        <f t="shared" si="76"/>
        <v>0.59143771270234269</v>
      </c>
      <c r="Y492" s="7">
        <f t="shared" si="77"/>
        <v>0.49396881570726414</v>
      </c>
      <c r="Z492" s="7">
        <f t="shared" si="78"/>
        <v>0.16162072779408701</v>
      </c>
      <c r="AA492" s="7">
        <f t="shared" si="79"/>
        <v>0.41567575206789797</v>
      </c>
    </row>
    <row r="493" spans="1:27" x14ac:dyDescent="0.25">
      <c r="A493" s="1" t="s">
        <v>1676</v>
      </c>
      <c r="B493" s="1" t="s">
        <v>861</v>
      </c>
      <c r="C493" s="1">
        <v>7</v>
      </c>
      <c r="D493" s="1">
        <v>7</v>
      </c>
      <c r="E493" s="1">
        <v>8</v>
      </c>
      <c r="F493" s="1">
        <v>7</v>
      </c>
      <c r="G493" s="1">
        <v>7</v>
      </c>
      <c r="H493" s="1">
        <v>6</v>
      </c>
      <c r="I493" s="1">
        <v>7</v>
      </c>
      <c r="J493" s="1">
        <v>6</v>
      </c>
      <c r="K493" s="1">
        <v>6</v>
      </c>
      <c r="L493" s="1">
        <v>6</v>
      </c>
      <c r="M493" s="1">
        <v>29</v>
      </c>
      <c r="N493" s="1">
        <v>26</v>
      </c>
      <c r="O493" s="1">
        <v>12</v>
      </c>
      <c r="P493" s="1">
        <v>67</v>
      </c>
      <c r="Q493" s="7">
        <v>0.67494855771055295</v>
      </c>
      <c r="R493" s="7">
        <f t="shared" si="70"/>
        <v>23.196700507614214</v>
      </c>
      <c r="S493" s="7">
        <f t="shared" si="71"/>
        <v>6.4306002317777482</v>
      </c>
      <c r="T493" s="7">
        <f t="shared" si="72"/>
        <v>22.771573604060915</v>
      </c>
      <c r="U493" s="7">
        <f t="shared" si="73"/>
        <v>6.5356886776680962</v>
      </c>
      <c r="V493" s="7">
        <f t="shared" si="74"/>
        <v>11.434010152284264</v>
      </c>
      <c r="W493" s="7">
        <f t="shared" si="75"/>
        <v>3.5019632409825281</v>
      </c>
      <c r="X493" s="7">
        <f t="shared" si="76"/>
        <v>0.90245067073333785</v>
      </c>
      <c r="Y493" s="7">
        <f t="shared" si="77"/>
        <v>0.49396881570726414</v>
      </c>
      <c r="Z493" s="7">
        <f t="shared" si="78"/>
        <v>0.16162072779408701</v>
      </c>
      <c r="AA493" s="7">
        <f t="shared" si="79"/>
        <v>0.51934673807822962</v>
      </c>
    </row>
    <row r="494" spans="1:27" x14ac:dyDescent="0.25">
      <c r="A494" s="1" t="s">
        <v>1676</v>
      </c>
      <c r="B494" s="1" t="s">
        <v>861</v>
      </c>
      <c r="C494" s="1">
        <v>7</v>
      </c>
      <c r="D494" s="1">
        <v>7</v>
      </c>
      <c r="E494" s="1">
        <v>7</v>
      </c>
      <c r="F494" s="1">
        <v>8</v>
      </c>
      <c r="G494" s="1">
        <v>8</v>
      </c>
      <c r="H494" s="1">
        <v>7</v>
      </c>
      <c r="I494" s="1">
        <v>7</v>
      </c>
      <c r="J494" s="1">
        <v>7</v>
      </c>
      <c r="K494" s="1">
        <v>6</v>
      </c>
      <c r="L494" s="1">
        <v>6</v>
      </c>
      <c r="M494" s="1">
        <v>29</v>
      </c>
      <c r="N494" s="1">
        <v>29</v>
      </c>
      <c r="O494" s="1">
        <v>12</v>
      </c>
      <c r="P494" s="1">
        <v>70</v>
      </c>
      <c r="Q494" s="7">
        <v>0.66666666666666685</v>
      </c>
      <c r="R494" s="7">
        <f t="shared" si="70"/>
        <v>23.196700507614214</v>
      </c>
      <c r="S494" s="7">
        <f t="shared" si="71"/>
        <v>6.4306002317777482</v>
      </c>
      <c r="T494" s="7">
        <f t="shared" si="72"/>
        <v>22.771573604060915</v>
      </c>
      <c r="U494" s="7">
        <f t="shared" si="73"/>
        <v>6.5356886776680962</v>
      </c>
      <c r="V494" s="7">
        <f t="shared" si="74"/>
        <v>11.434010152284264</v>
      </c>
      <c r="W494" s="7">
        <f t="shared" si="75"/>
        <v>3.5019632409825281</v>
      </c>
      <c r="X494" s="7">
        <f t="shared" si="76"/>
        <v>0.90245067073333785</v>
      </c>
      <c r="Y494" s="7">
        <f t="shared" si="77"/>
        <v>0.95298700766165612</v>
      </c>
      <c r="Z494" s="7">
        <f t="shared" si="78"/>
        <v>0.16162072779408701</v>
      </c>
      <c r="AA494" s="7">
        <f t="shared" si="79"/>
        <v>0.67235280206302706</v>
      </c>
    </row>
    <row r="495" spans="1:27" x14ac:dyDescent="0.25">
      <c r="A495" s="1" t="s">
        <v>1676</v>
      </c>
      <c r="B495" s="1" t="s">
        <v>861</v>
      </c>
      <c r="C495" s="1">
        <v>8</v>
      </c>
      <c r="D495" s="1">
        <v>5</v>
      </c>
      <c r="E495" s="1">
        <v>7</v>
      </c>
      <c r="F495" s="1">
        <v>7</v>
      </c>
      <c r="G495" s="1">
        <v>6</v>
      </c>
      <c r="H495" s="1">
        <v>7</v>
      </c>
      <c r="I495" s="1">
        <v>8</v>
      </c>
      <c r="J495" s="1">
        <v>7</v>
      </c>
      <c r="K495" s="1">
        <v>7</v>
      </c>
      <c r="L495" s="1">
        <v>5</v>
      </c>
      <c r="M495" s="1">
        <v>27</v>
      </c>
      <c r="N495" s="1">
        <v>28</v>
      </c>
      <c r="O495" s="1">
        <v>12</v>
      </c>
      <c r="P495" s="1">
        <v>67</v>
      </c>
      <c r="Q495" s="7">
        <v>1.0593499054713804</v>
      </c>
      <c r="R495" s="7">
        <f t="shared" si="70"/>
        <v>23.196700507614214</v>
      </c>
      <c r="S495" s="7">
        <f t="shared" si="71"/>
        <v>6.4306002317777482</v>
      </c>
      <c r="T495" s="7">
        <f t="shared" si="72"/>
        <v>22.771573604060915</v>
      </c>
      <c r="U495" s="7">
        <f t="shared" si="73"/>
        <v>6.5356886776680962</v>
      </c>
      <c r="V495" s="7">
        <f t="shared" si="74"/>
        <v>11.434010152284264</v>
      </c>
      <c r="W495" s="7">
        <f t="shared" si="75"/>
        <v>3.5019632409825281</v>
      </c>
      <c r="X495" s="7">
        <f t="shared" si="76"/>
        <v>0.59143771270234269</v>
      </c>
      <c r="Y495" s="7">
        <f t="shared" si="77"/>
        <v>0.79998094367685879</v>
      </c>
      <c r="Z495" s="7">
        <f t="shared" si="78"/>
        <v>0.16162072779408701</v>
      </c>
      <c r="AA495" s="7">
        <f t="shared" si="79"/>
        <v>0.51767979472442949</v>
      </c>
    </row>
    <row r="496" spans="1:27" x14ac:dyDescent="0.25">
      <c r="A496" s="1" t="s">
        <v>1676</v>
      </c>
      <c r="B496" s="1" t="s">
        <v>861</v>
      </c>
      <c r="C496" s="1">
        <v>7</v>
      </c>
      <c r="D496" s="1">
        <v>6</v>
      </c>
      <c r="E496" s="1">
        <v>6</v>
      </c>
      <c r="F496" s="1">
        <v>6</v>
      </c>
      <c r="G496" s="1">
        <v>6</v>
      </c>
      <c r="H496" s="1">
        <v>6</v>
      </c>
      <c r="I496" s="1">
        <v>5</v>
      </c>
      <c r="J496" s="1">
        <v>6</v>
      </c>
      <c r="K496" s="1">
        <v>6</v>
      </c>
      <c r="L496" s="1">
        <v>6</v>
      </c>
      <c r="M496" s="1">
        <v>25</v>
      </c>
      <c r="N496" s="1">
        <v>23</v>
      </c>
      <c r="O496" s="1">
        <v>12</v>
      </c>
      <c r="P496" s="1">
        <v>60</v>
      </c>
      <c r="Q496" s="7">
        <v>0.47140452079103168</v>
      </c>
      <c r="R496" s="7">
        <f t="shared" si="70"/>
        <v>23.196700507614214</v>
      </c>
      <c r="S496" s="7">
        <f t="shared" si="71"/>
        <v>6.4306002317777482</v>
      </c>
      <c r="T496" s="7">
        <f t="shared" si="72"/>
        <v>22.771573604060915</v>
      </c>
      <c r="U496" s="7">
        <f t="shared" si="73"/>
        <v>6.5356886776680962</v>
      </c>
      <c r="V496" s="7">
        <f t="shared" si="74"/>
        <v>11.434010152284264</v>
      </c>
      <c r="W496" s="7">
        <f t="shared" si="75"/>
        <v>3.5019632409825281</v>
      </c>
      <c r="X496" s="7">
        <f t="shared" si="76"/>
        <v>0.28042475467134764</v>
      </c>
      <c r="Y496" s="7">
        <f t="shared" si="77"/>
        <v>3.4950623752872265E-2</v>
      </c>
      <c r="Z496" s="7">
        <f t="shared" si="78"/>
        <v>0.16162072779408701</v>
      </c>
      <c r="AA496" s="7">
        <f t="shared" si="79"/>
        <v>0.15899870207276898</v>
      </c>
    </row>
    <row r="497" spans="1:27" x14ac:dyDescent="0.25">
      <c r="A497" s="1" t="s">
        <v>1676</v>
      </c>
      <c r="B497" s="1" t="s">
        <v>861</v>
      </c>
      <c r="C497" s="1">
        <v>7</v>
      </c>
      <c r="D497" s="1">
        <v>6</v>
      </c>
      <c r="E497" s="1">
        <v>6</v>
      </c>
      <c r="F497" s="1">
        <v>6</v>
      </c>
      <c r="G497" s="1">
        <v>6</v>
      </c>
      <c r="H497" s="1">
        <v>6</v>
      </c>
      <c r="I497" s="1">
        <v>6</v>
      </c>
      <c r="J497" s="1">
        <v>6</v>
      </c>
      <c r="K497" s="1">
        <v>5</v>
      </c>
      <c r="L497" s="1">
        <v>5</v>
      </c>
      <c r="M497" s="1">
        <v>25</v>
      </c>
      <c r="N497" s="1">
        <v>24</v>
      </c>
      <c r="O497" s="1">
        <v>10</v>
      </c>
      <c r="P497" s="1">
        <v>59</v>
      </c>
      <c r="Q497" s="7">
        <v>0.56764621219754674</v>
      </c>
      <c r="R497" s="7">
        <f t="shared" si="70"/>
        <v>23.196700507614214</v>
      </c>
      <c r="S497" s="7">
        <f t="shared" si="71"/>
        <v>6.4306002317777482</v>
      </c>
      <c r="T497" s="7">
        <f t="shared" si="72"/>
        <v>22.771573604060915</v>
      </c>
      <c r="U497" s="7">
        <f t="shared" si="73"/>
        <v>6.5356886776680962</v>
      </c>
      <c r="V497" s="7">
        <f t="shared" si="74"/>
        <v>11.434010152284264</v>
      </c>
      <c r="W497" s="7">
        <f t="shared" si="75"/>
        <v>3.5019632409825281</v>
      </c>
      <c r="X497" s="7">
        <f t="shared" si="76"/>
        <v>0.28042475467134764</v>
      </c>
      <c r="Y497" s="7">
        <f t="shared" si="77"/>
        <v>0.18795668773766958</v>
      </c>
      <c r="Z497" s="7">
        <f t="shared" si="78"/>
        <v>-0.40948749418681252</v>
      </c>
      <c r="AA497" s="7">
        <f t="shared" si="79"/>
        <v>1.9631316074068244E-2</v>
      </c>
    </row>
    <row r="498" spans="1:27" x14ac:dyDescent="0.25">
      <c r="A498" s="1" t="s">
        <v>1676</v>
      </c>
      <c r="B498" s="1" t="s">
        <v>861</v>
      </c>
      <c r="C498" s="1">
        <v>8</v>
      </c>
      <c r="D498" s="1">
        <v>8</v>
      </c>
      <c r="E498" s="1">
        <v>8</v>
      </c>
      <c r="F498" s="1">
        <v>7</v>
      </c>
      <c r="G498" s="1">
        <v>7</v>
      </c>
      <c r="H498" s="1">
        <v>7</v>
      </c>
      <c r="I498" s="1">
        <v>7</v>
      </c>
      <c r="J498" s="1">
        <v>7</v>
      </c>
      <c r="K498" s="1">
        <v>6</v>
      </c>
      <c r="L498" s="1">
        <v>6</v>
      </c>
      <c r="M498" s="1">
        <v>31</v>
      </c>
      <c r="N498" s="1">
        <v>28</v>
      </c>
      <c r="O498" s="1">
        <v>12</v>
      </c>
      <c r="P498" s="1">
        <v>71</v>
      </c>
      <c r="Q498" s="7">
        <v>0.73786478737262184</v>
      </c>
      <c r="R498" s="7">
        <f t="shared" si="70"/>
        <v>23.196700507614214</v>
      </c>
      <c r="S498" s="7">
        <f t="shared" si="71"/>
        <v>6.4306002317777482</v>
      </c>
      <c r="T498" s="7">
        <f t="shared" si="72"/>
        <v>22.771573604060915</v>
      </c>
      <c r="U498" s="7">
        <f t="shared" si="73"/>
        <v>6.5356886776680962</v>
      </c>
      <c r="V498" s="7">
        <f t="shared" si="74"/>
        <v>11.434010152284264</v>
      </c>
      <c r="W498" s="7">
        <f t="shared" si="75"/>
        <v>3.5019632409825281</v>
      </c>
      <c r="X498" s="7">
        <f t="shared" si="76"/>
        <v>1.2134636287643328</v>
      </c>
      <c r="Y498" s="7">
        <f t="shared" si="77"/>
        <v>0.79998094367685879</v>
      </c>
      <c r="Z498" s="7">
        <f t="shared" si="78"/>
        <v>0.16162072779408701</v>
      </c>
      <c r="AA498" s="7">
        <f t="shared" si="79"/>
        <v>0.72502176674509278</v>
      </c>
    </row>
    <row r="499" spans="1:27" x14ac:dyDescent="0.25">
      <c r="A499" s="1" t="s">
        <v>1676</v>
      </c>
      <c r="B499" s="1" t="s">
        <v>861</v>
      </c>
      <c r="C499" s="1">
        <v>5</v>
      </c>
      <c r="D499" s="1">
        <v>5</v>
      </c>
      <c r="E499" s="1">
        <v>5</v>
      </c>
      <c r="F499" s="1">
        <v>5</v>
      </c>
      <c r="G499" s="1">
        <v>4</v>
      </c>
      <c r="H499" s="1">
        <v>4</v>
      </c>
      <c r="I499" s="1">
        <v>4</v>
      </c>
      <c r="J499" s="1">
        <v>4</v>
      </c>
      <c r="K499" s="1">
        <v>4</v>
      </c>
      <c r="L499" s="1">
        <v>3</v>
      </c>
      <c r="M499" s="1">
        <v>20</v>
      </c>
      <c r="N499" s="1">
        <v>16</v>
      </c>
      <c r="O499" s="1">
        <v>7</v>
      </c>
      <c r="P499" s="1">
        <v>43</v>
      </c>
      <c r="Q499" s="7">
        <v>0.67494855771055284</v>
      </c>
      <c r="R499" s="7">
        <f t="shared" si="70"/>
        <v>23.196700507614214</v>
      </c>
      <c r="S499" s="7">
        <f t="shared" si="71"/>
        <v>6.4306002317777482</v>
      </c>
      <c r="T499" s="7">
        <f t="shared" si="72"/>
        <v>22.771573604060915</v>
      </c>
      <c r="U499" s="7">
        <f t="shared" si="73"/>
        <v>6.5356886776680962</v>
      </c>
      <c r="V499" s="7">
        <f t="shared" si="74"/>
        <v>11.434010152284264</v>
      </c>
      <c r="W499" s="7">
        <f t="shared" si="75"/>
        <v>3.5019632409825281</v>
      </c>
      <c r="X499" s="7">
        <f t="shared" si="76"/>
        <v>-0.49710764040614003</v>
      </c>
      <c r="Y499" s="7">
        <f t="shared" si="77"/>
        <v>-1.0360918241407089</v>
      </c>
      <c r="Z499" s="7">
        <f t="shared" si="78"/>
        <v>-1.2661498271581617</v>
      </c>
      <c r="AA499" s="7">
        <f t="shared" si="79"/>
        <v>-0.93311643056833693</v>
      </c>
    </row>
    <row r="500" spans="1:27" x14ac:dyDescent="0.25">
      <c r="A500" s="1" t="s">
        <v>1676</v>
      </c>
      <c r="B500" s="1" t="s">
        <v>861</v>
      </c>
      <c r="C500" s="1">
        <v>8</v>
      </c>
      <c r="D500" s="1">
        <v>7</v>
      </c>
      <c r="E500" s="1">
        <v>7</v>
      </c>
      <c r="F500" s="1">
        <v>7</v>
      </c>
      <c r="G500" s="1">
        <v>8</v>
      </c>
      <c r="H500" s="1">
        <v>7</v>
      </c>
      <c r="I500" s="1">
        <v>7</v>
      </c>
      <c r="J500" s="1">
        <v>7</v>
      </c>
      <c r="K500" s="1">
        <v>6</v>
      </c>
      <c r="L500" s="1">
        <v>7</v>
      </c>
      <c r="M500" s="1">
        <v>29</v>
      </c>
      <c r="N500" s="1">
        <v>29</v>
      </c>
      <c r="O500" s="1">
        <v>13</v>
      </c>
      <c r="P500" s="1">
        <v>71</v>
      </c>
      <c r="Q500" s="7">
        <v>0.56764621219754696</v>
      </c>
      <c r="R500" s="7">
        <f t="shared" si="70"/>
        <v>23.196700507614214</v>
      </c>
      <c r="S500" s="7">
        <f t="shared" si="71"/>
        <v>6.4306002317777482</v>
      </c>
      <c r="T500" s="7">
        <f t="shared" si="72"/>
        <v>22.771573604060915</v>
      </c>
      <c r="U500" s="7">
        <f t="shared" si="73"/>
        <v>6.5356886776680962</v>
      </c>
      <c r="V500" s="7">
        <f t="shared" si="74"/>
        <v>11.434010152284264</v>
      </c>
      <c r="W500" s="7">
        <f t="shared" si="75"/>
        <v>3.5019632409825281</v>
      </c>
      <c r="X500" s="7">
        <f t="shared" si="76"/>
        <v>0.90245067073333785</v>
      </c>
      <c r="Y500" s="7">
        <f t="shared" si="77"/>
        <v>0.95298700766165612</v>
      </c>
      <c r="Z500" s="7">
        <f t="shared" si="78"/>
        <v>0.44717483878453679</v>
      </c>
      <c r="AA500" s="7">
        <f t="shared" si="79"/>
        <v>0.76753750572651025</v>
      </c>
    </row>
    <row r="501" spans="1:27" x14ac:dyDescent="0.25">
      <c r="A501" s="1" t="s">
        <v>1676</v>
      </c>
      <c r="B501" s="1" t="s">
        <v>861</v>
      </c>
      <c r="C501" s="1">
        <v>7</v>
      </c>
      <c r="D501" s="1">
        <v>5</v>
      </c>
      <c r="E501" s="1">
        <v>5</v>
      </c>
      <c r="F501" s="1">
        <v>6</v>
      </c>
      <c r="G501" s="1">
        <v>6</v>
      </c>
      <c r="H501" s="1">
        <v>6</v>
      </c>
      <c r="I501" s="1">
        <v>6</v>
      </c>
      <c r="J501" s="1">
        <v>6</v>
      </c>
      <c r="K501" s="1">
        <v>6</v>
      </c>
      <c r="L501" s="1">
        <v>5</v>
      </c>
      <c r="M501" s="1">
        <v>23</v>
      </c>
      <c r="N501" s="1">
        <v>24</v>
      </c>
      <c r="O501" s="1">
        <v>11</v>
      </c>
      <c r="P501" s="1">
        <v>58</v>
      </c>
      <c r="Q501" s="7">
        <v>0.63245553203367588</v>
      </c>
      <c r="R501" s="7">
        <f t="shared" si="70"/>
        <v>23.196700507614214</v>
      </c>
      <c r="S501" s="7">
        <f t="shared" si="71"/>
        <v>6.4306002317777482</v>
      </c>
      <c r="T501" s="7">
        <f t="shared" si="72"/>
        <v>22.771573604060915</v>
      </c>
      <c r="U501" s="7">
        <f t="shared" si="73"/>
        <v>6.5356886776680962</v>
      </c>
      <c r="V501" s="7">
        <f t="shared" si="74"/>
        <v>11.434010152284264</v>
      </c>
      <c r="W501" s="7">
        <f t="shared" si="75"/>
        <v>3.5019632409825281</v>
      </c>
      <c r="X501" s="7">
        <f t="shared" si="76"/>
        <v>-3.0588203359647428E-2</v>
      </c>
      <c r="Y501" s="7">
        <f t="shared" si="77"/>
        <v>0.18795668773766958</v>
      </c>
      <c r="Z501" s="7">
        <f t="shared" si="78"/>
        <v>-0.12393338319636275</v>
      </c>
      <c r="AA501" s="7">
        <f t="shared" si="79"/>
        <v>1.1145033727219797E-2</v>
      </c>
    </row>
    <row r="502" spans="1:27" x14ac:dyDescent="0.25">
      <c r="A502" s="1" t="s">
        <v>1677</v>
      </c>
      <c r="B502" s="1" t="s">
        <v>861</v>
      </c>
      <c r="C502" s="1">
        <v>7</v>
      </c>
      <c r="D502" s="1">
        <v>8</v>
      </c>
      <c r="E502" s="1">
        <v>8</v>
      </c>
      <c r="F502" s="1">
        <v>5</v>
      </c>
      <c r="G502" s="1">
        <v>4</v>
      </c>
      <c r="H502" s="1">
        <v>6</v>
      </c>
      <c r="I502" s="1">
        <v>8</v>
      </c>
      <c r="J502" s="1">
        <v>7</v>
      </c>
      <c r="K502" s="1">
        <v>7</v>
      </c>
      <c r="L502" s="1">
        <v>7</v>
      </c>
      <c r="M502" s="1">
        <v>28</v>
      </c>
      <c r="N502" s="1">
        <v>25</v>
      </c>
      <c r="O502" s="1">
        <v>14</v>
      </c>
      <c r="P502" s="1">
        <v>67</v>
      </c>
      <c r="Q502" s="7">
        <v>1.3374935098492586</v>
      </c>
      <c r="R502" s="7">
        <f t="shared" si="70"/>
        <v>23.196700507614214</v>
      </c>
      <c r="S502" s="7">
        <f t="shared" si="71"/>
        <v>6.4306002317777482</v>
      </c>
      <c r="T502" s="7">
        <f t="shared" si="72"/>
        <v>22.771573604060915</v>
      </c>
      <c r="U502" s="7">
        <f t="shared" si="73"/>
        <v>6.5356886776680962</v>
      </c>
      <c r="V502" s="7">
        <f t="shared" si="74"/>
        <v>11.434010152284264</v>
      </c>
      <c r="W502" s="7">
        <f t="shared" si="75"/>
        <v>3.5019632409825281</v>
      </c>
      <c r="X502" s="7">
        <f t="shared" si="76"/>
        <v>0.74694419171784021</v>
      </c>
      <c r="Y502" s="7">
        <f t="shared" si="77"/>
        <v>0.34096275172246687</v>
      </c>
      <c r="Z502" s="7">
        <f t="shared" si="78"/>
        <v>0.73272894977498659</v>
      </c>
      <c r="AA502" s="7">
        <f t="shared" si="79"/>
        <v>0.60687863107176454</v>
      </c>
    </row>
    <row r="503" spans="1:27" x14ac:dyDescent="0.25">
      <c r="A503" s="1" t="s">
        <v>1677</v>
      </c>
      <c r="B503" s="1" t="s">
        <v>861</v>
      </c>
      <c r="C503" s="1">
        <v>8</v>
      </c>
      <c r="D503" s="1">
        <v>9</v>
      </c>
      <c r="E503" s="1">
        <v>10</v>
      </c>
      <c r="F503" s="1">
        <v>10</v>
      </c>
      <c r="G503" s="1">
        <v>6</v>
      </c>
      <c r="H503" s="1">
        <v>10</v>
      </c>
      <c r="I503" s="1">
        <v>10</v>
      </c>
      <c r="J503" s="1">
        <v>8</v>
      </c>
      <c r="K503" s="1">
        <v>10</v>
      </c>
      <c r="L503" s="1">
        <v>8</v>
      </c>
      <c r="M503" s="1">
        <v>37</v>
      </c>
      <c r="N503" s="1">
        <v>34</v>
      </c>
      <c r="O503" s="1">
        <v>18</v>
      </c>
      <c r="P503" s="1">
        <v>89</v>
      </c>
      <c r="Q503" s="7">
        <v>1.3703203194062978</v>
      </c>
      <c r="R503" s="7">
        <f t="shared" si="70"/>
        <v>23.196700507614214</v>
      </c>
      <c r="S503" s="7">
        <f t="shared" si="71"/>
        <v>6.4306002317777482</v>
      </c>
      <c r="T503" s="7">
        <f t="shared" si="72"/>
        <v>22.771573604060915</v>
      </c>
      <c r="U503" s="7">
        <f t="shared" si="73"/>
        <v>6.5356886776680962</v>
      </c>
      <c r="V503" s="7">
        <f t="shared" si="74"/>
        <v>11.434010152284264</v>
      </c>
      <c r="W503" s="7">
        <f t="shared" si="75"/>
        <v>3.5019632409825281</v>
      </c>
      <c r="X503" s="7">
        <f t="shared" si="76"/>
        <v>2.1465025028573179</v>
      </c>
      <c r="Y503" s="7">
        <f t="shared" si="77"/>
        <v>1.7180173275856425</v>
      </c>
      <c r="Z503" s="7">
        <f t="shared" si="78"/>
        <v>1.8749453937367857</v>
      </c>
      <c r="AA503" s="7">
        <f t="shared" si="79"/>
        <v>1.913155074726582</v>
      </c>
    </row>
    <row r="504" spans="1:27" x14ac:dyDescent="0.25">
      <c r="A504" s="1" t="s">
        <v>1677</v>
      </c>
      <c r="B504" s="1" t="s">
        <v>861</v>
      </c>
      <c r="C504" s="1">
        <v>7</v>
      </c>
      <c r="D504" s="1">
        <v>7</v>
      </c>
      <c r="E504" s="1">
        <v>7</v>
      </c>
      <c r="F504" s="1">
        <v>7</v>
      </c>
      <c r="G504" s="1">
        <v>6</v>
      </c>
      <c r="H504" s="1">
        <v>6</v>
      </c>
      <c r="I504" s="1">
        <v>6</v>
      </c>
      <c r="J504" s="1">
        <v>7</v>
      </c>
      <c r="K504" s="1">
        <v>7</v>
      </c>
      <c r="L504" s="1">
        <v>7</v>
      </c>
      <c r="M504" s="1">
        <v>28</v>
      </c>
      <c r="N504" s="1">
        <v>25</v>
      </c>
      <c r="O504" s="1">
        <v>14</v>
      </c>
      <c r="P504" s="1">
        <v>67</v>
      </c>
      <c r="Q504" s="7">
        <v>0.48304589153964778</v>
      </c>
      <c r="R504" s="7">
        <f t="shared" si="70"/>
        <v>23.196700507614214</v>
      </c>
      <c r="S504" s="7">
        <f t="shared" si="71"/>
        <v>6.4306002317777482</v>
      </c>
      <c r="T504" s="7">
        <f t="shared" si="72"/>
        <v>22.771573604060915</v>
      </c>
      <c r="U504" s="7">
        <f t="shared" si="73"/>
        <v>6.5356886776680962</v>
      </c>
      <c r="V504" s="7">
        <f t="shared" si="74"/>
        <v>11.434010152284264</v>
      </c>
      <c r="W504" s="7">
        <f t="shared" si="75"/>
        <v>3.5019632409825281</v>
      </c>
      <c r="X504" s="7">
        <f t="shared" si="76"/>
        <v>0.74694419171784021</v>
      </c>
      <c r="Y504" s="7">
        <f t="shared" si="77"/>
        <v>0.34096275172246687</v>
      </c>
      <c r="Z504" s="7">
        <f t="shared" si="78"/>
        <v>0.73272894977498659</v>
      </c>
      <c r="AA504" s="7">
        <f t="shared" si="79"/>
        <v>0.60687863107176454</v>
      </c>
    </row>
    <row r="505" spans="1:27" x14ac:dyDescent="0.25">
      <c r="A505" s="1" t="s">
        <v>1677</v>
      </c>
      <c r="B505" s="1" t="s">
        <v>861</v>
      </c>
      <c r="C505" s="1">
        <v>6</v>
      </c>
      <c r="D505" s="1">
        <v>5</v>
      </c>
      <c r="E505" s="1">
        <v>5</v>
      </c>
      <c r="F505" s="1">
        <v>5</v>
      </c>
      <c r="G505" s="1">
        <v>6</v>
      </c>
      <c r="H505" s="1">
        <v>7</v>
      </c>
      <c r="I505" s="1">
        <v>5</v>
      </c>
      <c r="J505" s="1">
        <v>7</v>
      </c>
      <c r="K505" s="1">
        <v>7</v>
      </c>
      <c r="L505" s="1">
        <v>7</v>
      </c>
      <c r="M505" s="1">
        <v>21</v>
      </c>
      <c r="N505" s="1">
        <v>25</v>
      </c>
      <c r="O505" s="1">
        <v>14</v>
      </c>
      <c r="P505" s="1">
        <v>60</v>
      </c>
      <c r="Q505" s="7">
        <v>0.94280904158206313</v>
      </c>
      <c r="R505" s="7">
        <f t="shared" si="70"/>
        <v>23.196700507614214</v>
      </c>
      <c r="S505" s="7">
        <f t="shared" si="71"/>
        <v>6.4306002317777482</v>
      </c>
      <c r="T505" s="7">
        <f t="shared" si="72"/>
        <v>22.771573604060915</v>
      </c>
      <c r="U505" s="7">
        <f t="shared" si="73"/>
        <v>6.5356886776680962</v>
      </c>
      <c r="V505" s="7">
        <f t="shared" si="74"/>
        <v>11.434010152284264</v>
      </c>
      <c r="W505" s="7">
        <f t="shared" si="75"/>
        <v>3.5019632409825281</v>
      </c>
      <c r="X505" s="7">
        <f t="shared" si="76"/>
        <v>-0.3416011613906425</v>
      </c>
      <c r="Y505" s="7">
        <f t="shared" si="77"/>
        <v>0.34096275172246687</v>
      </c>
      <c r="Z505" s="7">
        <f t="shared" si="78"/>
        <v>0.73272894977498659</v>
      </c>
      <c r="AA505" s="7">
        <f t="shared" si="79"/>
        <v>0.24403018003560364</v>
      </c>
    </row>
    <row r="506" spans="1:27" x14ac:dyDescent="0.25">
      <c r="A506" s="1" t="s">
        <v>1677</v>
      </c>
      <c r="B506" s="1" t="s">
        <v>861</v>
      </c>
      <c r="C506" s="1">
        <v>8</v>
      </c>
      <c r="D506" s="1">
        <v>7</v>
      </c>
      <c r="E506" s="1">
        <v>6</v>
      </c>
      <c r="F506" s="1">
        <v>6</v>
      </c>
      <c r="G506" s="1">
        <v>7</v>
      </c>
      <c r="H506" s="1">
        <v>9</v>
      </c>
      <c r="I506" s="1">
        <v>8</v>
      </c>
      <c r="J506" s="1">
        <v>8</v>
      </c>
      <c r="K506" s="1">
        <v>8</v>
      </c>
      <c r="L506" s="1">
        <v>8</v>
      </c>
      <c r="M506" s="1">
        <v>27</v>
      </c>
      <c r="N506" s="1">
        <v>32</v>
      </c>
      <c r="O506" s="1">
        <v>16</v>
      </c>
      <c r="P506" s="1">
        <v>75</v>
      </c>
      <c r="Q506" s="7">
        <v>0.97182531580755005</v>
      </c>
      <c r="R506" s="7">
        <f t="shared" si="70"/>
        <v>23.196700507614214</v>
      </c>
      <c r="S506" s="7">
        <f t="shared" si="71"/>
        <v>6.4306002317777482</v>
      </c>
      <c r="T506" s="7">
        <f t="shared" si="72"/>
        <v>22.771573604060915</v>
      </c>
      <c r="U506" s="7">
        <f t="shared" si="73"/>
        <v>6.5356886776680962</v>
      </c>
      <c r="V506" s="7">
        <f t="shared" si="74"/>
        <v>11.434010152284264</v>
      </c>
      <c r="W506" s="7">
        <f t="shared" si="75"/>
        <v>3.5019632409825281</v>
      </c>
      <c r="X506" s="7">
        <f t="shared" si="76"/>
        <v>0.59143771270234269</v>
      </c>
      <c r="Y506" s="7">
        <f t="shared" si="77"/>
        <v>1.4120051996160479</v>
      </c>
      <c r="Z506" s="7">
        <f t="shared" si="78"/>
        <v>1.3038371717558861</v>
      </c>
      <c r="AA506" s="7">
        <f t="shared" si="79"/>
        <v>1.1024266946914254</v>
      </c>
    </row>
    <row r="507" spans="1:27" x14ac:dyDescent="0.25">
      <c r="A507" s="1" t="s">
        <v>1677</v>
      </c>
      <c r="B507" s="1" t="s">
        <v>861</v>
      </c>
      <c r="C507" s="1">
        <v>8</v>
      </c>
      <c r="D507" s="1">
        <v>6</v>
      </c>
      <c r="E507" s="1">
        <v>7</v>
      </c>
      <c r="F507" s="1">
        <v>7</v>
      </c>
      <c r="G507" s="1">
        <v>7</v>
      </c>
      <c r="H507" s="1">
        <v>8</v>
      </c>
      <c r="I507" s="1">
        <v>7</v>
      </c>
      <c r="J507" s="1">
        <v>7</v>
      </c>
      <c r="K507" s="1">
        <v>7</v>
      </c>
      <c r="L507" s="1">
        <v>8</v>
      </c>
      <c r="M507" s="1">
        <v>28</v>
      </c>
      <c r="N507" s="1">
        <v>29</v>
      </c>
      <c r="O507" s="1">
        <v>15</v>
      </c>
      <c r="P507" s="1">
        <v>72</v>
      </c>
      <c r="Q507" s="7">
        <v>0.63245553203367588</v>
      </c>
      <c r="R507" s="7">
        <f t="shared" si="70"/>
        <v>23.196700507614214</v>
      </c>
      <c r="S507" s="7">
        <f t="shared" si="71"/>
        <v>6.4306002317777482</v>
      </c>
      <c r="T507" s="7">
        <f t="shared" si="72"/>
        <v>22.771573604060915</v>
      </c>
      <c r="U507" s="7">
        <f t="shared" si="73"/>
        <v>6.5356886776680962</v>
      </c>
      <c r="V507" s="7">
        <f t="shared" si="74"/>
        <v>11.434010152284264</v>
      </c>
      <c r="W507" s="7">
        <f t="shared" si="75"/>
        <v>3.5019632409825281</v>
      </c>
      <c r="X507" s="7">
        <f t="shared" si="76"/>
        <v>0.74694419171784021</v>
      </c>
      <c r="Y507" s="7">
        <f t="shared" si="77"/>
        <v>0.95298700766165612</v>
      </c>
      <c r="Z507" s="7">
        <f t="shared" si="78"/>
        <v>1.0182830607654363</v>
      </c>
      <c r="AA507" s="7">
        <f t="shared" si="79"/>
        <v>0.90607142004831098</v>
      </c>
    </row>
    <row r="508" spans="1:27" x14ac:dyDescent="0.25">
      <c r="A508" s="1" t="s">
        <v>1677</v>
      </c>
      <c r="B508" s="1" t="s">
        <v>861</v>
      </c>
      <c r="C508" s="1">
        <v>7</v>
      </c>
      <c r="D508" s="1">
        <v>7</v>
      </c>
      <c r="E508" s="1">
        <v>6</v>
      </c>
      <c r="F508" s="1">
        <v>7</v>
      </c>
      <c r="G508" s="1">
        <v>9</v>
      </c>
      <c r="H508" s="1">
        <v>7</v>
      </c>
      <c r="I508" s="1">
        <v>6</v>
      </c>
      <c r="J508" s="1">
        <v>7</v>
      </c>
      <c r="K508" s="1">
        <v>6</v>
      </c>
      <c r="L508" s="1">
        <v>6</v>
      </c>
      <c r="M508" s="1">
        <v>27</v>
      </c>
      <c r="N508" s="1">
        <v>29</v>
      </c>
      <c r="O508" s="1">
        <v>12</v>
      </c>
      <c r="P508" s="1">
        <v>68</v>
      </c>
      <c r="Q508" s="7">
        <v>0.91893658347268148</v>
      </c>
      <c r="R508" s="7">
        <f t="shared" si="70"/>
        <v>23.196700507614214</v>
      </c>
      <c r="S508" s="7">
        <f t="shared" si="71"/>
        <v>6.4306002317777482</v>
      </c>
      <c r="T508" s="7">
        <f t="shared" si="72"/>
        <v>22.771573604060915</v>
      </c>
      <c r="U508" s="7">
        <f t="shared" si="73"/>
        <v>6.5356886776680962</v>
      </c>
      <c r="V508" s="7">
        <f t="shared" si="74"/>
        <v>11.434010152284264</v>
      </c>
      <c r="W508" s="7">
        <f t="shared" si="75"/>
        <v>3.5019632409825281</v>
      </c>
      <c r="X508" s="7">
        <f t="shared" si="76"/>
        <v>0.59143771270234269</v>
      </c>
      <c r="Y508" s="7">
        <f t="shared" si="77"/>
        <v>0.95298700766165612</v>
      </c>
      <c r="Z508" s="7">
        <f t="shared" si="78"/>
        <v>0.16162072779408701</v>
      </c>
      <c r="AA508" s="7">
        <f t="shared" si="79"/>
        <v>0.5686818160526953</v>
      </c>
    </row>
    <row r="509" spans="1:27" x14ac:dyDescent="0.25">
      <c r="A509" s="1" t="s">
        <v>1677</v>
      </c>
      <c r="B509" s="1" t="s">
        <v>861</v>
      </c>
      <c r="C509" s="1">
        <v>5</v>
      </c>
      <c r="D509" s="1">
        <v>5</v>
      </c>
      <c r="E509" s="1">
        <v>5</v>
      </c>
      <c r="F509" s="1">
        <v>5</v>
      </c>
      <c r="G509" s="1">
        <v>8</v>
      </c>
      <c r="H509" s="1">
        <v>7</v>
      </c>
      <c r="I509" s="1">
        <v>7</v>
      </c>
      <c r="J509" s="1">
        <v>6</v>
      </c>
      <c r="K509" s="1">
        <v>6</v>
      </c>
      <c r="L509" s="1">
        <v>7</v>
      </c>
      <c r="M509" s="1">
        <v>20</v>
      </c>
      <c r="N509" s="1">
        <v>28</v>
      </c>
      <c r="O509" s="1">
        <v>13</v>
      </c>
      <c r="P509" s="1">
        <v>61</v>
      </c>
      <c r="Q509" s="7">
        <v>1.1005049346146121</v>
      </c>
      <c r="R509" s="7">
        <f t="shared" si="70"/>
        <v>23.196700507614214</v>
      </c>
      <c r="S509" s="7">
        <f t="shared" si="71"/>
        <v>6.4306002317777482</v>
      </c>
      <c r="T509" s="7">
        <f t="shared" si="72"/>
        <v>22.771573604060915</v>
      </c>
      <c r="U509" s="7">
        <f t="shared" si="73"/>
        <v>6.5356886776680962</v>
      </c>
      <c r="V509" s="7">
        <f t="shared" si="74"/>
        <v>11.434010152284264</v>
      </c>
      <c r="W509" s="7">
        <f t="shared" si="75"/>
        <v>3.5019632409825281</v>
      </c>
      <c r="X509" s="7">
        <f t="shared" si="76"/>
        <v>-0.49710764040614003</v>
      </c>
      <c r="Y509" s="7">
        <f t="shared" si="77"/>
        <v>0.79998094367685879</v>
      </c>
      <c r="Z509" s="7">
        <f t="shared" si="78"/>
        <v>0.44717483878453679</v>
      </c>
      <c r="AA509" s="7">
        <f t="shared" si="79"/>
        <v>0.25001604735175187</v>
      </c>
    </row>
    <row r="510" spans="1:27" x14ac:dyDescent="0.25">
      <c r="A510" s="1" t="s">
        <v>1677</v>
      </c>
      <c r="B510" s="1" t="s">
        <v>861</v>
      </c>
      <c r="C510" s="1">
        <v>8</v>
      </c>
      <c r="D510" s="1">
        <v>5</v>
      </c>
      <c r="E510" s="1">
        <v>6</v>
      </c>
      <c r="F510" s="1">
        <v>5</v>
      </c>
      <c r="G510" s="1">
        <v>6</v>
      </c>
      <c r="H510" s="1">
        <v>7</v>
      </c>
      <c r="I510" s="1">
        <v>6</v>
      </c>
      <c r="J510" s="1">
        <v>7</v>
      </c>
      <c r="K510" s="1">
        <v>7</v>
      </c>
      <c r="L510" s="1">
        <v>5</v>
      </c>
      <c r="M510" s="1">
        <v>24</v>
      </c>
      <c r="N510" s="1">
        <v>26</v>
      </c>
      <c r="O510" s="1">
        <v>12</v>
      </c>
      <c r="P510" s="1">
        <v>62</v>
      </c>
      <c r="Q510" s="7">
        <v>1.0327955589886444</v>
      </c>
      <c r="R510" s="7">
        <f t="shared" si="70"/>
        <v>23.196700507614214</v>
      </c>
      <c r="S510" s="7">
        <f t="shared" si="71"/>
        <v>6.4306002317777482</v>
      </c>
      <c r="T510" s="7">
        <f t="shared" si="72"/>
        <v>22.771573604060915</v>
      </c>
      <c r="U510" s="7">
        <f t="shared" si="73"/>
        <v>6.5356886776680962</v>
      </c>
      <c r="V510" s="7">
        <f t="shared" si="74"/>
        <v>11.434010152284264</v>
      </c>
      <c r="W510" s="7">
        <f t="shared" si="75"/>
        <v>3.5019632409825281</v>
      </c>
      <c r="X510" s="7">
        <f t="shared" si="76"/>
        <v>0.12491827565585011</v>
      </c>
      <c r="Y510" s="7">
        <f t="shared" si="77"/>
        <v>0.49396881570726414</v>
      </c>
      <c r="Z510" s="7">
        <f t="shared" si="78"/>
        <v>0.16162072779408701</v>
      </c>
      <c r="AA510" s="7">
        <f t="shared" si="79"/>
        <v>0.2601692730524004</v>
      </c>
    </row>
    <row r="511" spans="1:27" x14ac:dyDescent="0.25">
      <c r="A511" s="1" t="s">
        <v>1677</v>
      </c>
      <c r="B511" s="1" t="s">
        <v>861</v>
      </c>
      <c r="C511" s="1">
        <v>7</v>
      </c>
      <c r="D511" s="1">
        <v>7</v>
      </c>
      <c r="E511" s="1">
        <v>7</v>
      </c>
      <c r="F511" s="1">
        <v>8</v>
      </c>
      <c r="G511" s="1">
        <v>7</v>
      </c>
      <c r="H511" s="1">
        <v>7</v>
      </c>
      <c r="I511" s="1">
        <v>7</v>
      </c>
      <c r="J511" s="1">
        <v>7</v>
      </c>
      <c r="K511" s="1">
        <v>7</v>
      </c>
      <c r="L511" s="1">
        <v>7</v>
      </c>
      <c r="M511" s="1">
        <v>29</v>
      </c>
      <c r="N511" s="1">
        <v>28</v>
      </c>
      <c r="O511" s="1">
        <v>14</v>
      </c>
      <c r="P511" s="1">
        <v>71</v>
      </c>
      <c r="Q511" s="7">
        <v>0.316227766016838</v>
      </c>
      <c r="R511" s="7">
        <f t="shared" si="70"/>
        <v>23.196700507614214</v>
      </c>
      <c r="S511" s="7">
        <f t="shared" si="71"/>
        <v>6.4306002317777482</v>
      </c>
      <c r="T511" s="7">
        <f t="shared" si="72"/>
        <v>22.771573604060915</v>
      </c>
      <c r="U511" s="7">
        <f t="shared" si="73"/>
        <v>6.5356886776680962</v>
      </c>
      <c r="V511" s="7">
        <f t="shared" si="74"/>
        <v>11.434010152284264</v>
      </c>
      <c r="W511" s="7">
        <f t="shared" si="75"/>
        <v>3.5019632409825281</v>
      </c>
      <c r="X511" s="7">
        <f t="shared" si="76"/>
        <v>0.90245067073333785</v>
      </c>
      <c r="Y511" s="7">
        <f t="shared" si="77"/>
        <v>0.79998094367685879</v>
      </c>
      <c r="Z511" s="7">
        <f t="shared" si="78"/>
        <v>0.73272894977498659</v>
      </c>
      <c r="AA511" s="7">
        <f t="shared" si="79"/>
        <v>0.81172018806172774</v>
      </c>
    </row>
    <row r="512" spans="1:27" x14ac:dyDescent="0.25">
      <c r="A512" s="1" t="s">
        <v>1677</v>
      </c>
      <c r="B512" s="1" t="s">
        <v>861</v>
      </c>
      <c r="C512" s="1">
        <v>8</v>
      </c>
      <c r="D512" s="1">
        <v>7</v>
      </c>
      <c r="E512" s="1">
        <v>7</v>
      </c>
      <c r="F512" s="1">
        <v>7</v>
      </c>
      <c r="G512" s="1">
        <v>7</v>
      </c>
      <c r="H512" s="1">
        <v>8</v>
      </c>
      <c r="I512" s="1">
        <v>8</v>
      </c>
      <c r="J512" s="1">
        <v>7</v>
      </c>
      <c r="K512" s="1">
        <v>7</v>
      </c>
      <c r="L512" s="1">
        <v>8</v>
      </c>
      <c r="M512" s="1">
        <v>29</v>
      </c>
      <c r="N512" s="1">
        <v>30</v>
      </c>
      <c r="O512" s="1">
        <v>15</v>
      </c>
      <c r="P512" s="1">
        <v>74</v>
      </c>
      <c r="Q512" s="7">
        <v>0.5163977794943222</v>
      </c>
      <c r="R512" s="7">
        <f t="shared" si="70"/>
        <v>23.196700507614214</v>
      </c>
      <c r="S512" s="7">
        <f t="shared" si="71"/>
        <v>6.4306002317777482</v>
      </c>
      <c r="T512" s="7">
        <f t="shared" si="72"/>
        <v>22.771573604060915</v>
      </c>
      <c r="U512" s="7">
        <f t="shared" si="73"/>
        <v>6.5356886776680962</v>
      </c>
      <c r="V512" s="7">
        <f t="shared" si="74"/>
        <v>11.434010152284264</v>
      </c>
      <c r="W512" s="7">
        <f t="shared" si="75"/>
        <v>3.5019632409825281</v>
      </c>
      <c r="X512" s="7">
        <f t="shared" si="76"/>
        <v>0.90245067073333785</v>
      </c>
      <c r="Y512" s="7">
        <f t="shared" si="77"/>
        <v>1.1059930716464534</v>
      </c>
      <c r="Z512" s="7">
        <f t="shared" si="78"/>
        <v>1.0182830607654363</v>
      </c>
      <c r="AA512" s="7">
        <f t="shared" si="79"/>
        <v>1.0089089343817426</v>
      </c>
    </row>
    <row r="513" spans="1:27" x14ac:dyDescent="0.25">
      <c r="A513" s="1" t="s">
        <v>1677</v>
      </c>
      <c r="B513" s="1" t="s">
        <v>861</v>
      </c>
      <c r="C513" s="1">
        <v>7</v>
      </c>
      <c r="D513" s="1">
        <v>6</v>
      </c>
      <c r="E513" s="1">
        <v>7</v>
      </c>
      <c r="F513" s="1">
        <v>7</v>
      </c>
      <c r="G513" s="1">
        <v>7</v>
      </c>
      <c r="H513" s="1">
        <v>7</v>
      </c>
      <c r="I513" s="1">
        <v>6</v>
      </c>
      <c r="J513" s="1">
        <v>6</v>
      </c>
      <c r="K513" s="1">
        <v>6</v>
      </c>
      <c r="L513" s="1">
        <v>6</v>
      </c>
      <c r="M513" s="1">
        <v>27</v>
      </c>
      <c r="N513" s="1">
        <v>26</v>
      </c>
      <c r="O513" s="1">
        <v>12</v>
      </c>
      <c r="P513" s="1">
        <v>65</v>
      </c>
      <c r="Q513" s="7">
        <v>0.52704627669472992</v>
      </c>
      <c r="R513" s="7">
        <f t="shared" si="70"/>
        <v>23.196700507614214</v>
      </c>
      <c r="S513" s="7">
        <f t="shared" si="71"/>
        <v>6.4306002317777482</v>
      </c>
      <c r="T513" s="7">
        <f t="shared" si="72"/>
        <v>22.771573604060915</v>
      </c>
      <c r="U513" s="7">
        <f t="shared" si="73"/>
        <v>6.5356886776680962</v>
      </c>
      <c r="V513" s="7">
        <f t="shared" si="74"/>
        <v>11.434010152284264</v>
      </c>
      <c r="W513" s="7">
        <f t="shared" si="75"/>
        <v>3.5019632409825281</v>
      </c>
      <c r="X513" s="7">
        <f t="shared" si="76"/>
        <v>0.59143771270234269</v>
      </c>
      <c r="Y513" s="7">
        <f t="shared" si="77"/>
        <v>0.49396881570726414</v>
      </c>
      <c r="Z513" s="7">
        <f t="shared" si="78"/>
        <v>0.16162072779408701</v>
      </c>
      <c r="AA513" s="7">
        <f t="shared" si="79"/>
        <v>0.41567575206789797</v>
      </c>
    </row>
    <row r="514" spans="1:27" x14ac:dyDescent="0.25">
      <c r="A514" s="1" t="s">
        <v>1678</v>
      </c>
      <c r="B514" s="1" t="s">
        <v>861</v>
      </c>
      <c r="C514" s="1">
        <v>7</v>
      </c>
      <c r="D514" s="1">
        <v>8</v>
      </c>
      <c r="E514" s="1">
        <v>5</v>
      </c>
      <c r="F514" s="1">
        <v>8</v>
      </c>
      <c r="G514" s="1">
        <v>6</v>
      </c>
      <c r="H514" s="1">
        <v>6</v>
      </c>
      <c r="I514" s="1">
        <v>6</v>
      </c>
      <c r="J514" s="1">
        <v>4</v>
      </c>
      <c r="K514" s="1">
        <v>7</v>
      </c>
      <c r="L514" s="1">
        <v>5</v>
      </c>
      <c r="M514" s="1">
        <v>28</v>
      </c>
      <c r="N514" s="1">
        <v>22</v>
      </c>
      <c r="O514" s="1">
        <v>12</v>
      </c>
      <c r="P514" s="1">
        <v>62</v>
      </c>
      <c r="Q514" s="7">
        <v>1.3165611772087666</v>
      </c>
      <c r="R514" s="7">
        <f t="shared" si="70"/>
        <v>23.196700507614214</v>
      </c>
      <c r="S514" s="7">
        <f t="shared" si="71"/>
        <v>6.4306002317777482</v>
      </c>
      <c r="T514" s="7">
        <f t="shared" si="72"/>
        <v>22.771573604060915</v>
      </c>
      <c r="U514" s="7">
        <f t="shared" si="73"/>
        <v>6.5356886776680962</v>
      </c>
      <c r="V514" s="7">
        <f t="shared" si="74"/>
        <v>11.434010152284264</v>
      </c>
      <c r="W514" s="7">
        <f t="shared" si="75"/>
        <v>3.5019632409825281</v>
      </c>
      <c r="X514" s="7">
        <f t="shared" si="76"/>
        <v>0.74694419171784021</v>
      </c>
      <c r="Y514" s="7">
        <f t="shared" si="77"/>
        <v>-0.11805544023192505</v>
      </c>
      <c r="Z514" s="7">
        <f t="shared" si="78"/>
        <v>0.16162072779408701</v>
      </c>
      <c r="AA514" s="7">
        <f t="shared" si="79"/>
        <v>0.26350315976000072</v>
      </c>
    </row>
    <row r="515" spans="1:27" x14ac:dyDescent="0.25">
      <c r="A515" s="1" t="s">
        <v>1678</v>
      </c>
      <c r="B515" s="1" t="s">
        <v>861</v>
      </c>
      <c r="C515" s="1">
        <v>5</v>
      </c>
      <c r="D515" s="1">
        <v>5</v>
      </c>
      <c r="E515" s="1">
        <v>4</v>
      </c>
      <c r="F515" s="1">
        <v>4</v>
      </c>
      <c r="G515" s="1">
        <v>6</v>
      </c>
      <c r="H515" s="1">
        <v>5</v>
      </c>
      <c r="I515" s="1">
        <v>5</v>
      </c>
      <c r="J515" s="1">
        <v>4</v>
      </c>
      <c r="K515" s="1">
        <v>3</v>
      </c>
      <c r="L515" s="1">
        <v>6</v>
      </c>
      <c r="M515" s="1">
        <v>18</v>
      </c>
      <c r="N515" s="1">
        <v>20</v>
      </c>
      <c r="O515" s="1">
        <v>9</v>
      </c>
      <c r="P515" s="1">
        <v>47</v>
      </c>
      <c r="Q515" s="7">
        <v>0.94868329805051377</v>
      </c>
      <c r="R515" s="7">
        <f t="shared" ref="R515:R578" si="80">AVERAGE(M:M)</f>
        <v>23.196700507614214</v>
      </c>
      <c r="S515" s="7">
        <f t="shared" ref="S515:S578" si="81">_xlfn.STDEV.S(M:M)</f>
        <v>6.4306002317777482</v>
      </c>
      <c r="T515" s="7">
        <f t="shared" ref="T515:T578" si="82">AVERAGE(N:N)</f>
        <v>22.771573604060915</v>
      </c>
      <c r="U515" s="7">
        <f t="shared" ref="U515:U578" si="83">_xlfn.STDEV.S(N:N)</f>
        <v>6.5356886776680962</v>
      </c>
      <c r="V515" s="7">
        <f t="shared" ref="V515:V578" si="84">AVERAGE(O:O)</f>
        <v>11.434010152284264</v>
      </c>
      <c r="W515" s="7">
        <f t="shared" ref="W515:W578" si="85">_xlfn.STDEV.S(O:O)</f>
        <v>3.5019632409825281</v>
      </c>
      <c r="X515" s="7">
        <f t="shared" ref="X515:X578" si="86">STANDARDIZE(M515,R515,S515)</f>
        <v>-0.80812059843713513</v>
      </c>
      <c r="Y515" s="7">
        <f t="shared" ref="Y515:Y578" si="87">STANDARDIZE(N515,T515,U515)</f>
        <v>-0.42406756820151964</v>
      </c>
      <c r="Z515" s="7">
        <f t="shared" ref="Z515:Z578" si="88">STANDARDIZE(O515,V515,W515)</f>
        <v>-0.69504160517726232</v>
      </c>
      <c r="AA515" s="7">
        <f t="shared" ref="AA515:AA578" si="89">AVERAGE(X515:Z515)</f>
        <v>-0.64240992393863905</v>
      </c>
    </row>
    <row r="516" spans="1:27" x14ac:dyDescent="0.25">
      <c r="A516" s="1" t="s">
        <v>1678</v>
      </c>
      <c r="B516" s="1" t="s">
        <v>861</v>
      </c>
      <c r="C516" s="1">
        <v>4</v>
      </c>
      <c r="D516" s="1">
        <v>4</v>
      </c>
      <c r="E516" s="1">
        <v>4</v>
      </c>
      <c r="F516" s="1">
        <v>3</v>
      </c>
      <c r="G516" s="1">
        <v>4</v>
      </c>
      <c r="H516" s="1">
        <v>5</v>
      </c>
      <c r="I516" s="1">
        <v>4</v>
      </c>
      <c r="J516" s="1">
        <v>4</v>
      </c>
      <c r="K516" s="1">
        <v>5</v>
      </c>
      <c r="L516" s="1">
        <v>5</v>
      </c>
      <c r="M516" s="1">
        <v>15</v>
      </c>
      <c r="N516" s="1">
        <v>17</v>
      </c>
      <c r="O516" s="1">
        <v>10</v>
      </c>
      <c r="P516" s="1">
        <v>42</v>
      </c>
      <c r="Q516" s="7">
        <v>0.63245553203367599</v>
      </c>
      <c r="R516" s="7">
        <f t="shared" si="80"/>
        <v>23.196700507614214</v>
      </c>
      <c r="S516" s="7">
        <f t="shared" si="81"/>
        <v>6.4306002317777482</v>
      </c>
      <c r="T516" s="7">
        <f t="shared" si="82"/>
        <v>22.771573604060915</v>
      </c>
      <c r="U516" s="7">
        <f t="shared" si="83"/>
        <v>6.5356886776680962</v>
      </c>
      <c r="V516" s="7">
        <f t="shared" si="84"/>
        <v>11.434010152284264</v>
      </c>
      <c r="W516" s="7">
        <f t="shared" si="85"/>
        <v>3.5019632409825281</v>
      </c>
      <c r="X516" s="7">
        <f t="shared" si="86"/>
        <v>-1.2746400354836278</v>
      </c>
      <c r="Y516" s="7">
        <f t="shared" si="87"/>
        <v>-0.88308576015591156</v>
      </c>
      <c r="Z516" s="7">
        <f t="shared" si="88"/>
        <v>-0.40948749418681252</v>
      </c>
      <c r="AA516" s="7">
        <f t="shared" si="89"/>
        <v>-0.8557377632754507</v>
      </c>
    </row>
    <row r="517" spans="1:27" x14ac:dyDescent="0.25">
      <c r="A517" s="1" t="s">
        <v>1678</v>
      </c>
      <c r="B517" s="1" t="s">
        <v>861</v>
      </c>
      <c r="C517" s="1">
        <v>4</v>
      </c>
      <c r="D517" s="1">
        <v>4</v>
      </c>
      <c r="E517" s="1">
        <v>3</v>
      </c>
      <c r="F517" s="1">
        <v>3</v>
      </c>
      <c r="G517" s="1">
        <v>3</v>
      </c>
      <c r="H517" s="1">
        <v>3</v>
      </c>
      <c r="I517" s="1">
        <v>3</v>
      </c>
      <c r="J517" s="1">
        <v>3</v>
      </c>
      <c r="K517" s="1">
        <v>2</v>
      </c>
      <c r="L517" s="1">
        <v>4</v>
      </c>
      <c r="M517" s="1">
        <v>14</v>
      </c>
      <c r="N517" s="1">
        <v>12</v>
      </c>
      <c r="O517" s="1">
        <v>6</v>
      </c>
      <c r="P517" s="1">
        <v>32</v>
      </c>
      <c r="Q517" s="7">
        <v>0.63245553203367577</v>
      </c>
      <c r="R517" s="7">
        <f t="shared" si="80"/>
        <v>23.196700507614214</v>
      </c>
      <c r="S517" s="7">
        <f t="shared" si="81"/>
        <v>6.4306002317777482</v>
      </c>
      <c r="T517" s="7">
        <f t="shared" si="82"/>
        <v>22.771573604060915</v>
      </c>
      <c r="U517" s="7">
        <f t="shared" si="83"/>
        <v>6.5356886776680962</v>
      </c>
      <c r="V517" s="7">
        <f t="shared" si="84"/>
        <v>11.434010152284264</v>
      </c>
      <c r="W517" s="7">
        <f t="shared" si="85"/>
        <v>3.5019632409825281</v>
      </c>
      <c r="X517" s="7">
        <f t="shared" si="86"/>
        <v>-1.4301465144991252</v>
      </c>
      <c r="Y517" s="7">
        <f t="shared" si="87"/>
        <v>-1.648116080079898</v>
      </c>
      <c r="Z517" s="7">
        <f t="shared" si="88"/>
        <v>-1.5517039381486115</v>
      </c>
      <c r="AA517" s="7">
        <f t="shared" si="89"/>
        <v>-1.5433221775758781</v>
      </c>
    </row>
    <row r="518" spans="1:27" x14ac:dyDescent="0.25">
      <c r="A518" s="1" t="s">
        <v>1678</v>
      </c>
      <c r="B518" s="1" t="s">
        <v>861</v>
      </c>
      <c r="C518" s="1">
        <v>7</v>
      </c>
      <c r="D518" s="1">
        <v>6</v>
      </c>
      <c r="E518" s="1">
        <v>5</v>
      </c>
      <c r="F518" s="1">
        <v>5</v>
      </c>
      <c r="G518" s="1">
        <v>6</v>
      </c>
      <c r="H518" s="1">
        <v>7</v>
      </c>
      <c r="I518" s="1">
        <v>8</v>
      </c>
      <c r="J518" s="1">
        <v>6</v>
      </c>
      <c r="K518" s="1">
        <v>6</v>
      </c>
      <c r="L518" s="1">
        <v>5</v>
      </c>
      <c r="M518" s="1">
        <v>23</v>
      </c>
      <c r="N518" s="1">
        <v>27</v>
      </c>
      <c r="O518" s="1">
        <v>11</v>
      </c>
      <c r="P518" s="1">
        <v>61</v>
      </c>
      <c r="Q518" s="7">
        <v>0.99442892601175314</v>
      </c>
      <c r="R518" s="7">
        <f t="shared" si="80"/>
        <v>23.196700507614214</v>
      </c>
      <c r="S518" s="7">
        <f t="shared" si="81"/>
        <v>6.4306002317777482</v>
      </c>
      <c r="T518" s="7">
        <f t="shared" si="82"/>
        <v>22.771573604060915</v>
      </c>
      <c r="U518" s="7">
        <f t="shared" si="83"/>
        <v>6.5356886776680962</v>
      </c>
      <c r="V518" s="7">
        <f t="shared" si="84"/>
        <v>11.434010152284264</v>
      </c>
      <c r="W518" s="7">
        <f t="shared" si="85"/>
        <v>3.5019632409825281</v>
      </c>
      <c r="X518" s="7">
        <f t="shared" si="86"/>
        <v>-3.0588203359647428E-2</v>
      </c>
      <c r="Y518" s="7">
        <f t="shared" si="87"/>
        <v>0.64697487969206147</v>
      </c>
      <c r="Z518" s="7">
        <f t="shared" si="88"/>
        <v>-0.12393338319636275</v>
      </c>
      <c r="AA518" s="7">
        <f t="shared" si="89"/>
        <v>0.16415109771201711</v>
      </c>
    </row>
    <row r="519" spans="1:27" x14ac:dyDescent="0.25">
      <c r="A519" s="1" t="s">
        <v>1678</v>
      </c>
      <c r="B519" s="1" t="s">
        <v>861</v>
      </c>
      <c r="C519" s="1">
        <v>5</v>
      </c>
      <c r="D519" s="1">
        <v>5</v>
      </c>
      <c r="E519" s="1">
        <v>4</v>
      </c>
      <c r="F519" s="1">
        <v>4</v>
      </c>
      <c r="G519" s="1">
        <v>5</v>
      </c>
      <c r="H519" s="1">
        <v>5</v>
      </c>
      <c r="I519" s="1">
        <v>5</v>
      </c>
      <c r="J519" s="1">
        <v>5</v>
      </c>
      <c r="K519" s="1">
        <v>2</v>
      </c>
      <c r="L519" s="1">
        <v>2</v>
      </c>
      <c r="M519" s="1">
        <v>18</v>
      </c>
      <c r="N519" s="1">
        <v>20</v>
      </c>
      <c r="O519" s="1">
        <v>4</v>
      </c>
      <c r="P519" s="1">
        <v>42</v>
      </c>
      <c r="Q519" s="7">
        <v>1.2292725943057181</v>
      </c>
      <c r="R519" s="7">
        <f t="shared" si="80"/>
        <v>23.196700507614214</v>
      </c>
      <c r="S519" s="7">
        <f t="shared" si="81"/>
        <v>6.4306002317777482</v>
      </c>
      <c r="T519" s="7">
        <f t="shared" si="82"/>
        <v>22.771573604060915</v>
      </c>
      <c r="U519" s="7">
        <f t="shared" si="83"/>
        <v>6.5356886776680962</v>
      </c>
      <c r="V519" s="7">
        <f t="shared" si="84"/>
        <v>11.434010152284264</v>
      </c>
      <c r="W519" s="7">
        <f t="shared" si="85"/>
        <v>3.5019632409825281</v>
      </c>
      <c r="X519" s="7">
        <f t="shared" si="86"/>
        <v>-0.80812059843713513</v>
      </c>
      <c r="Y519" s="7">
        <f t="shared" si="87"/>
        <v>-0.42406756820151964</v>
      </c>
      <c r="Z519" s="7">
        <f t="shared" si="88"/>
        <v>-2.1228121601295111</v>
      </c>
      <c r="AA519" s="7">
        <f t="shared" si="89"/>
        <v>-1.1183334422560554</v>
      </c>
    </row>
    <row r="520" spans="1:27" x14ac:dyDescent="0.25">
      <c r="A520" s="1" t="s">
        <v>1678</v>
      </c>
      <c r="B520" s="1" t="s">
        <v>861</v>
      </c>
      <c r="C520" s="1">
        <v>7</v>
      </c>
      <c r="D520" s="1">
        <v>5</v>
      </c>
      <c r="E520" s="1">
        <v>6</v>
      </c>
      <c r="F520" s="1">
        <v>6</v>
      </c>
      <c r="G520" s="1">
        <v>6</v>
      </c>
      <c r="H520" s="1">
        <v>5</v>
      </c>
      <c r="I520" s="1">
        <v>5</v>
      </c>
      <c r="J520" s="1">
        <v>6</v>
      </c>
      <c r="K520" s="1">
        <v>6</v>
      </c>
      <c r="L520" s="1">
        <v>5</v>
      </c>
      <c r="M520" s="1">
        <v>24</v>
      </c>
      <c r="N520" s="1">
        <v>22</v>
      </c>
      <c r="O520" s="1">
        <v>11</v>
      </c>
      <c r="P520" s="1">
        <v>57</v>
      </c>
      <c r="Q520" s="7">
        <v>0.67494855771055284</v>
      </c>
      <c r="R520" s="7">
        <f t="shared" si="80"/>
        <v>23.196700507614214</v>
      </c>
      <c r="S520" s="7">
        <f t="shared" si="81"/>
        <v>6.4306002317777482</v>
      </c>
      <c r="T520" s="7">
        <f t="shared" si="82"/>
        <v>22.771573604060915</v>
      </c>
      <c r="U520" s="7">
        <f t="shared" si="83"/>
        <v>6.5356886776680962</v>
      </c>
      <c r="V520" s="7">
        <f t="shared" si="84"/>
        <v>11.434010152284264</v>
      </c>
      <c r="W520" s="7">
        <f t="shared" si="85"/>
        <v>3.5019632409825281</v>
      </c>
      <c r="X520" s="7">
        <f t="shared" si="86"/>
        <v>0.12491827565585011</v>
      </c>
      <c r="Y520" s="7">
        <f t="shared" si="87"/>
        <v>-0.11805544023192505</v>
      </c>
      <c r="Z520" s="7">
        <f t="shared" si="88"/>
        <v>-0.12393338319636275</v>
      </c>
      <c r="AA520" s="7">
        <f t="shared" si="89"/>
        <v>-3.90235159241459E-2</v>
      </c>
    </row>
    <row r="521" spans="1:27" x14ac:dyDescent="0.25">
      <c r="A521" s="1" t="s">
        <v>1678</v>
      </c>
      <c r="B521" s="1" t="s">
        <v>861</v>
      </c>
      <c r="C521" s="1">
        <v>4</v>
      </c>
      <c r="D521" s="1">
        <v>4</v>
      </c>
      <c r="E521" s="1">
        <v>4</v>
      </c>
      <c r="F521" s="1">
        <v>4</v>
      </c>
      <c r="G521" s="1">
        <v>5</v>
      </c>
      <c r="H521" s="1">
        <v>5</v>
      </c>
      <c r="I521" s="1">
        <v>4</v>
      </c>
      <c r="J521" s="1">
        <v>3</v>
      </c>
      <c r="K521" s="1">
        <v>2</v>
      </c>
      <c r="L521" s="1">
        <v>2</v>
      </c>
      <c r="M521" s="1">
        <v>16</v>
      </c>
      <c r="N521" s="1">
        <v>17</v>
      </c>
      <c r="O521" s="1">
        <v>4</v>
      </c>
      <c r="P521" s="1">
        <v>37</v>
      </c>
      <c r="Q521" s="7">
        <v>1.0593499054713806</v>
      </c>
      <c r="R521" s="7">
        <f t="shared" si="80"/>
        <v>23.196700507614214</v>
      </c>
      <c r="S521" s="7">
        <f t="shared" si="81"/>
        <v>6.4306002317777482</v>
      </c>
      <c r="T521" s="7">
        <f t="shared" si="82"/>
        <v>22.771573604060915</v>
      </c>
      <c r="U521" s="7">
        <f t="shared" si="83"/>
        <v>6.5356886776680962</v>
      </c>
      <c r="V521" s="7">
        <f t="shared" si="84"/>
        <v>11.434010152284264</v>
      </c>
      <c r="W521" s="7">
        <f t="shared" si="85"/>
        <v>3.5019632409825281</v>
      </c>
      <c r="X521" s="7">
        <f t="shared" si="86"/>
        <v>-1.1191335564681302</v>
      </c>
      <c r="Y521" s="7">
        <f t="shared" si="87"/>
        <v>-0.88308576015591156</v>
      </c>
      <c r="Z521" s="7">
        <f t="shared" si="88"/>
        <v>-2.1228121601295111</v>
      </c>
      <c r="AA521" s="7">
        <f t="shared" si="89"/>
        <v>-1.3750104922511843</v>
      </c>
    </row>
    <row r="522" spans="1:27" x14ac:dyDescent="0.25">
      <c r="A522" s="1" t="s">
        <v>1678</v>
      </c>
      <c r="B522" s="1" t="s">
        <v>861</v>
      </c>
      <c r="C522" s="1">
        <v>5</v>
      </c>
      <c r="D522" s="1">
        <v>5</v>
      </c>
      <c r="E522" s="1">
        <v>5</v>
      </c>
      <c r="F522" s="1">
        <v>5</v>
      </c>
      <c r="G522" s="1">
        <v>5</v>
      </c>
      <c r="H522" s="1">
        <v>4</v>
      </c>
      <c r="I522" s="1">
        <v>4</v>
      </c>
      <c r="J522" s="1">
        <v>5</v>
      </c>
      <c r="K522" s="1">
        <v>5</v>
      </c>
      <c r="L522" s="1">
        <v>2</v>
      </c>
      <c r="M522" s="1">
        <v>20</v>
      </c>
      <c r="N522" s="1">
        <v>18</v>
      </c>
      <c r="O522" s="1">
        <v>7</v>
      </c>
      <c r="P522" s="1">
        <v>45</v>
      </c>
      <c r="Q522" s="7">
        <v>0.97182531580755005</v>
      </c>
      <c r="R522" s="7">
        <f t="shared" si="80"/>
        <v>23.196700507614214</v>
      </c>
      <c r="S522" s="7">
        <f t="shared" si="81"/>
        <v>6.4306002317777482</v>
      </c>
      <c r="T522" s="7">
        <f t="shared" si="82"/>
        <v>22.771573604060915</v>
      </c>
      <c r="U522" s="7">
        <f t="shared" si="83"/>
        <v>6.5356886776680962</v>
      </c>
      <c r="V522" s="7">
        <f t="shared" si="84"/>
        <v>11.434010152284264</v>
      </c>
      <c r="W522" s="7">
        <f t="shared" si="85"/>
        <v>3.5019632409825281</v>
      </c>
      <c r="X522" s="7">
        <f t="shared" si="86"/>
        <v>-0.49710764040614003</v>
      </c>
      <c r="Y522" s="7">
        <f t="shared" si="87"/>
        <v>-0.73007969617111423</v>
      </c>
      <c r="Z522" s="7">
        <f t="shared" si="88"/>
        <v>-1.2661498271581617</v>
      </c>
      <c r="AA522" s="7">
        <f t="shared" si="89"/>
        <v>-0.83111238791180531</v>
      </c>
    </row>
    <row r="523" spans="1:27" x14ac:dyDescent="0.25">
      <c r="A523" s="1" t="s">
        <v>1678</v>
      </c>
      <c r="B523" s="1" t="s">
        <v>861</v>
      </c>
      <c r="C523" s="1">
        <v>6</v>
      </c>
      <c r="D523" s="1">
        <v>8</v>
      </c>
      <c r="E523" s="1">
        <v>6</v>
      </c>
      <c r="F523" s="1">
        <v>7</v>
      </c>
      <c r="G523" s="1">
        <v>6</v>
      </c>
      <c r="H523" s="1">
        <v>5</v>
      </c>
      <c r="I523" s="1">
        <v>7</v>
      </c>
      <c r="J523" s="1">
        <v>5</v>
      </c>
      <c r="K523" s="1">
        <v>5</v>
      </c>
      <c r="L523" s="1">
        <v>7</v>
      </c>
      <c r="M523" s="1">
        <v>27</v>
      </c>
      <c r="N523" s="1">
        <v>23</v>
      </c>
      <c r="O523" s="1">
        <v>12</v>
      </c>
      <c r="P523" s="1">
        <v>62</v>
      </c>
      <c r="Q523" s="7">
        <v>1.0327955589886444</v>
      </c>
      <c r="R523" s="7">
        <f t="shared" si="80"/>
        <v>23.196700507614214</v>
      </c>
      <c r="S523" s="7">
        <f t="shared" si="81"/>
        <v>6.4306002317777482</v>
      </c>
      <c r="T523" s="7">
        <f t="shared" si="82"/>
        <v>22.771573604060915</v>
      </c>
      <c r="U523" s="7">
        <f t="shared" si="83"/>
        <v>6.5356886776680962</v>
      </c>
      <c r="V523" s="7">
        <f t="shared" si="84"/>
        <v>11.434010152284264</v>
      </c>
      <c r="W523" s="7">
        <f t="shared" si="85"/>
        <v>3.5019632409825281</v>
      </c>
      <c r="X523" s="7">
        <f t="shared" si="86"/>
        <v>0.59143771270234269</v>
      </c>
      <c r="Y523" s="7">
        <f t="shared" si="87"/>
        <v>3.4950623752872265E-2</v>
      </c>
      <c r="Z523" s="7">
        <f t="shared" si="88"/>
        <v>0.16162072779408701</v>
      </c>
      <c r="AA523" s="7">
        <f t="shared" si="89"/>
        <v>0.26266968808310065</v>
      </c>
    </row>
    <row r="524" spans="1:27" x14ac:dyDescent="0.25">
      <c r="A524" s="1" t="s">
        <v>1678</v>
      </c>
      <c r="B524" s="1" t="s">
        <v>861</v>
      </c>
      <c r="C524" s="1">
        <v>5</v>
      </c>
      <c r="D524" s="1">
        <v>4</v>
      </c>
      <c r="E524" s="1">
        <v>4</v>
      </c>
      <c r="F524" s="1">
        <v>4</v>
      </c>
      <c r="G524" s="1">
        <v>5</v>
      </c>
      <c r="H524" s="1">
        <v>4</v>
      </c>
      <c r="I524" s="1">
        <v>4</v>
      </c>
      <c r="J524" s="1">
        <v>4</v>
      </c>
      <c r="K524" s="1">
        <v>2</v>
      </c>
      <c r="L524" s="1">
        <v>2</v>
      </c>
      <c r="M524" s="1">
        <v>17</v>
      </c>
      <c r="N524" s="1">
        <v>17</v>
      </c>
      <c r="O524" s="1">
        <v>4</v>
      </c>
      <c r="P524" s="1">
        <v>38</v>
      </c>
      <c r="Q524" s="7">
        <v>1.0327955589886448</v>
      </c>
      <c r="R524" s="7">
        <f t="shared" si="80"/>
        <v>23.196700507614214</v>
      </c>
      <c r="S524" s="7">
        <f t="shared" si="81"/>
        <v>6.4306002317777482</v>
      </c>
      <c r="T524" s="7">
        <f t="shared" si="82"/>
        <v>22.771573604060915</v>
      </c>
      <c r="U524" s="7">
        <f t="shared" si="83"/>
        <v>6.5356886776680962</v>
      </c>
      <c r="V524" s="7">
        <f t="shared" si="84"/>
        <v>11.434010152284264</v>
      </c>
      <c r="W524" s="7">
        <f t="shared" si="85"/>
        <v>3.5019632409825281</v>
      </c>
      <c r="X524" s="7">
        <f t="shared" si="86"/>
        <v>-0.96362707745263265</v>
      </c>
      <c r="Y524" s="7">
        <f t="shared" si="87"/>
        <v>-0.88308576015591156</v>
      </c>
      <c r="Z524" s="7">
        <f t="shared" si="88"/>
        <v>-2.1228121601295111</v>
      </c>
      <c r="AA524" s="7">
        <f t="shared" si="89"/>
        <v>-1.3231749992460184</v>
      </c>
    </row>
    <row r="525" spans="1:27" x14ac:dyDescent="0.25">
      <c r="A525" s="1" t="s">
        <v>1678</v>
      </c>
      <c r="B525" s="1" t="s">
        <v>861</v>
      </c>
      <c r="C525" s="1">
        <v>6</v>
      </c>
      <c r="D525" s="1">
        <v>8</v>
      </c>
      <c r="E525" s="1">
        <v>6</v>
      </c>
      <c r="F525" s="1">
        <v>8</v>
      </c>
      <c r="G525" s="1">
        <v>7</v>
      </c>
      <c r="H525" s="1">
        <v>8</v>
      </c>
      <c r="I525" s="1">
        <v>6</v>
      </c>
      <c r="J525" s="1">
        <v>7</v>
      </c>
      <c r="K525" s="1">
        <v>8</v>
      </c>
      <c r="L525" s="1">
        <v>8</v>
      </c>
      <c r="M525" s="1">
        <v>28</v>
      </c>
      <c r="N525" s="1">
        <v>28</v>
      </c>
      <c r="O525" s="1">
        <v>16</v>
      </c>
      <c r="P525" s="1">
        <v>72</v>
      </c>
      <c r="Q525" s="7">
        <v>0.91893658347268148</v>
      </c>
      <c r="R525" s="7">
        <f t="shared" si="80"/>
        <v>23.196700507614214</v>
      </c>
      <c r="S525" s="7">
        <f t="shared" si="81"/>
        <v>6.4306002317777482</v>
      </c>
      <c r="T525" s="7">
        <f t="shared" si="82"/>
        <v>22.771573604060915</v>
      </c>
      <c r="U525" s="7">
        <f t="shared" si="83"/>
        <v>6.5356886776680962</v>
      </c>
      <c r="V525" s="7">
        <f t="shared" si="84"/>
        <v>11.434010152284264</v>
      </c>
      <c r="W525" s="7">
        <f t="shared" si="85"/>
        <v>3.5019632409825281</v>
      </c>
      <c r="X525" s="7">
        <f t="shared" si="86"/>
        <v>0.74694419171784021</v>
      </c>
      <c r="Y525" s="7">
        <f t="shared" si="87"/>
        <v>0.79998094367685879</v>
      </c>
      <c r="Z525" s="7">
        <f t="shared" si="88"/>
        <v>1.3038371717558861</v>
      </c>
      <c r="AA525" s="7">
        <f t="shared" si="89"/>
        <v>0.95025410238352837</v>
      </c>
    </row>
    <row r="526" spans="1:27" x14ac:dyDescent="0.25">
      <c r="A526" s="1" t="s">
        <v>1678</v>
      </c>
      <c r="B526" s="1" t="s">
        <v>861</v>
      </c>
      <c r="C526" s="1">
        <v>5</v>
      </c>
      <c r="D526" s="1">
        <v>5</v>
      </c>
      <c r="E526" s="1">
        <v>5</v>
      </c>
      <c r="F526" s="1">
        <v>5</v>
      </c>
      <c r="G526" s="1">
        <v>5</v>
      </c>
      <c r="H526" s="1">
        <v>5</v>
      </c>
      <c r="I526" s="1">
        <v>5</v>
      </c>
      <c r="J526" s="1">
        <v>5</v>
      </c>
      <c r="K526" s="1">
        <v>7</v>
      </c>
      <c r="L526" s="1">
        <v>7</v>
      </c>
      <c r="M526" s="1">
        <v>20</v>
      </c>
      <c r="N526" s="1">
        <v>20</v>
      </c>
      <c r="O526" s="1">
        <v>14</v>
      </c>
      <c r="P526" s="1">
        <v>54</v>
      </c>
      <c r="Q526" s="7">
        <v>0.8432740427115677</v>
      </c>
      <c r="R526" s="7">
        <f t="shared" si="80"/>
        <v>23.196700507614214</v>
      </c>
      <c r="S526" s="7">
        <f t="shared" si="81"/>
        <v>6.4306002317777482</v>
      </c>
      <c r="T526" s="7">
        <f t="shared" si="82"/>
        <v>22.771573604060915</v>
      </c>
      <c r="U526" s="7">
        <f t="shared" si="83"/>
        <v>6.5356886776680962</v>
      </c>
      <c r="V526" s="7">
        <f t="shared" si="84"/>
        <v>11.434010152284264</v>
      </c>
      <c r="W526" s="7">
        <f t="shared" si="85"/>
        <v>3.5019632409825281</v>
      </c>
      <c r="X526" s="7">
        <f t="shared" si="86"/>
        <v>-0.49710764040614003</v>
      </c>
      <c r="Y526" s="7">
        <f t="shared" si="87"/>
        <v>-0.42406756820151964</v>
      </c>
      <c r="Z526" s="7">
        <f t="shared" si="88"/>
        <v>0.73272894977498659</v>
      </c>
      <c r="AA526" s="7">
        <f t="shared" si="89"/>
        <v>-6.281541961089103E-2</v>
      </c>
    </row>
    <row r="527" spans="1:27" x14ac:dyDescent="0.25">
      <c r="A527" s="1" t="s">
        <v>1678</v>
      </c>
      <c r="B527" s="1" t="s">
        <v>861</v>
      </c>
      <c r="C527" s="1">
        <v>9</v>
      </c>
      <c r="D527" s="1">
        <v>9</v>
      </c>
      <c r="E527" s="1">
        <v>9</v>
      </c>
      <c r="F527" s="1">
        <v>9</v>
      </c>
      <c r="G527" s="1">
        <v>9</v>
      </c>
      <c r="H527" s="1">
        <v>8</v>
      </c>
      <c r="I527" s="1">
        <v>9</v>
      </c>
      <c r="J527" s="1">
        <v>8</v>
      </c>
      <c r="K527" s="1">
        <v>9</v>
      </c>
      <c r="L527" s="1">
        <v>8</v>
      </c>
      <c r="M527" s="1">
        <v>36</v>
      </c>
      <c r="N527" s="1">
        <v>34</v>
      </c>
      <c r="O527" s="1">
        <v>17</v>
      </c>
      <c r="P527" s="1">
        <v>87</v>
      </c>
      <c r="Q527" s="7">
        <v>0.48304589153964822</v>
      </c>
      <c r="R527" s="7">
        <f t="shared" si="80"/>
        <v>23.196700507614214</v>
      </c>
      <c r="S527" s="7">
        <f t="shared" si="81"/>
        <v>6.4306002317777482</v>
      </c>
      <c r="T527" s="7">
        <f t="shared" si="82"/>
        <v>22.771573604060915</v>
      </c>
      <c r="U527" s="7">
        <f t="shared" si="83"/>
        <v>6.5356886776680962</v>
      </c>
      <c r="V527" s="7">
        <f t="shared" si="84"/>
        <v>11.434010152284264</v>
      </c>
      <c r="W527" s="7">
        <f t="shared" si="85"/>
        <v>3.5019632409825281</v>
      </c>
      <c r="X527" s="7">
        <f t="shared" si="86"/>
        <v>1.9909960238418205</v>
      </c>
      <c r="Y527" s="7">
        <f t="shared" si="87"/>
        <v>1.7180173275856425</v>
      </c>
      <c r="Z527" s="7">
        <f t="shared" si="88"/>
        <v>1.5893912827463359</v>
      </c>
      <c r="AA527" s="7">
        <f t="shared" si="89"/>
        <v>1.7661348780579329</v>
      </c>
    </row>
    <row r="528" spans="1:27" x14ac:dyDescent="0.25">
      <c r="A528" s="1" t="s">
        <v>1678</v>
      </c>
      <c r="B528" s="1" t="s">
        <v>861</v>
      </c>
      <c r="C528" s="1">
        <v>5</v>
      </c>
      <c r="D528" s="1">
        <v>5</v>
      </c>
      <c r="E528" s="1">
        <v>5</v>
      </c>
      <c r="F528" s="1">
        <v>5</v>
      </c>
      <c r="G528" s="1">
        <v>5</v>
      </c>
      <c r="H528" s="1">
        <v>5</v>
      </c>
      <c r="I528" s="1">
        <v>5</v>
      </c>
      <c r="J528" s="1">
        <v>5</v>
      </c>
      <c r="K528" s="1">
        <v>6</v>
      </c>
      <c r="L528" s="1">
        <v>6</v>
      </c>
      <c r="M528" s="1">
        <v>20</v>
      </c>
      <c r="N528" s="1">
        <v>20</v>
      </c>
      <c r="O528" s="1">
        <v>12</v>
      </c>
      <c r="P528" s="1">
        <v>52</v>
      </c>
      <c r="Q528" s="7">
        <v>0.42163702135578407</v>
      </c>
      <c r="R528" s="7">
        <f t="shared" si="80"/>
        <v>23.196700507614214</v>
      </c>
      <c r="S528" s="7">
        <f t="shared" si="81"/>
        <v>6.4306002317777482</v>
      </c>
      <c r="T528" s="7">
        <f t="shared" si="82"/>
        <v>22.771573604060915</v>
      </c>
      <c r="U528" s="7">
        <f t="shared" si="83"/>
        <v>6.5356886776680962</v>
      </c>
      <c r="V528" s="7">
        <f t="shared" si="84"/>
        <v>11.434010152284264</v>
      </c>
      <c r="W528" s="7">
        <f t="shared" si="85"/>
        <v>3.5019632409825281</v>
      </c>
      <c r="X528" s="7">
        <f t="shared" si="86"/>
        <v>-0.49710764040614003</v>
      </c>
      <c r="Y528" s="7">
        <f t="shared" si="87"/>
        <v>-0.42406756820151964</v>
      </c>
      <c r="Z528" s="7">
        <f t="shared" si="88"/>
        <v>0.16162072779408701</v>
      </c>
      <c r="AA528" s="7">
        <f t="shared" si="89"/>
        <v>-0.25318482693785754</v>
      </c>
    </row>
    <row r="529" spans="1:27" x14ac:dyDescent="0.25">
      <c r="A529" s="1" t="s">
        <v>1678</v>
      </c>
      <c r="B529" s="1" t="s">
        <v>861</v>
      </c>
      <c r="C529" s="1">
        <v>6</v>
      </c>
      <c r="D529" s="1">
        <v>6</v>
      </c>
      <c r="E529" s="1">
        <v>6</v>
      </c>
      <c r="F529" s="1">
        <v>6</v>
      </c>
      <c r="G529" s="1">
        <v>5</v>
      </c>
      <c r="H529" s="1">
        <v>6</v>
      </c>
      <c r="I529" s="1">
        <v>5</v>
      </c>
      <c r="J529" s="1">
        <v>6</v>
      </c>
      <c r="K529" s="1">
        <v>5</v>
      </c>
      <c r="L529" s="1">
        <v>2</v>
      </c>
      <c r="M529" s="1">
        <v>24</v>
      </c>
      <c r="N529" s="1">
        <v>22</v>
      </c>
      <c r="O529" s="1">
        <v>7</v>
      </c>
      <c r="P529" s="1">
        <v>53</v>
      </c>
      <c r="Q529" s="7">
        <v>1.2516655570345727</v>
      </c>
      <c r="R529" s="7">
        <f t="shared" si="80"/>
        <v>23.196700507614214</v>
      </c>
      <c r="S529" s="7">
        <f t="shared" si="81"/>
        <v>6.4306002317777482</v>
      </c>
      <c r="T529" s="7">
        <f t="shared" si="82"/>
        <v>22.771573604060915</v>
      </c>
      <c r="U529" s="7">
        <f t="shared" si="83"/>
        <v>6.5356886776680962</v>
      </c>
      <c r="V529" s="7">
        <f t="shared" si="84"/>
        <v>11.434010152284264</v>
      </c>
      <c r="W529" s="7">
        <f t="shared" si="85"/>
        <v>3.5019632409825281</v>
      </c>
      <c r="X529" s="7">
        <f t="shared" si="86"/>
        <v>0.12491827565585011</v>
      </c>
      <c r="Y529" s="7">
        <f t="shared" si="87"/>
        <v>-0.11805544023192505</v>
      </c>
      <c r="Z529" s="7">
        <f t="shared" si="88"/>
        <v>-1.2661498271581617</v>
      </c>
      <c r="AA529" s="7">
        <f t="shared" si="89"/>
        <v>-0.41976233057807888</v>
      </c>
    </row>
    <row r="530" spans="1:27" x14ac:dyDescent="0.25">
      <c r="A530" s="1" t="s">
        <v>1678</v>
      </c>
      <c r="B530" s="1" t="s">
        <v>861</v>
      </c>
      <c r="C530" s="1">
        <v>5</v>
      </c>
      <c r="D530" s="1">
        <v>6</v>
      </c>
      <c r="E530" s="1">
        <v>5</v>
      </c>
      <c r="F530" s="1">
        <v>5</v>
      </c>
      <c r="G530" s="1">
        <v>7</v>
      </c>
      <c r="H530" s="1">
        <v>7</v>
      </c>
      <c r="I530" s="1">
        <v>7</v>
      </c>
      <c r="J530" s="1">
        <v>7</v>
      </c>
      <c r="K530" s="1">
        <v>6</v>
      </c>
      <c r="L530" s="1">
        <v>6</v>
      </c>
      <c r="M530" s="1">
        <v>21</v>
      </c>
      <c r="N530" s="1">
        <v>28</v>
      </c>
      <c r="O530" s="1">
        <v>12</v>
      </c>
      <c r="P530" s="1">
        <v>61</v>
      </c>
      <c r="Q530" s="7">
        <v>0.87559503577091313</v>
      </c>
      <c r="R530" s="7">
        <f t="shared" si="80"/>
        <v>23.196700507614214</v>
      </c>
      <c r="S530" s="7">
        <f t="shared" si="81"/>
        <v>6.4306002317777482</v>
      </c>
      <c r="T530" s="7">
        <f t="shared" si="82"/>
        <v>22.771573604060915</v>
      </c>
      <c r="U530" s="7">
        <f t="shared" si="83"/>
        <v>6.5356886776680962</v>
      </c>
      <c r="V530" s="7">
        <f t="shared" si="84"/>
        <v>11.434010152284264</v>
      </c>
      <c r="W530" s="7">
        <f t="shared" si="85"/>
        <v>3.5019632409825281</v>
      </c>
      <c r="X530" s="7">
        <f t="shared" si="86"/>
        <v>-0.3416011613906425</v>
      </c>
      <c r="Y530" s="7">
        <f t="shared" si="87"/>
        <v>0.79998094367685879</v>
      </c>
      <c r="Z530" s="7">
        <f t="shared" si="88"/>
        <v>0.16162072779408701</v>
      </c>
      <c r="AA530" s="7">
        <f t="shared" si="89"/>
        <v>0.20666683669343444</v>
      </c>
    </row>
    <row r="531" spans="1:27" x14ac:dyDescent="0.25">
      <c r="A531" s="1" t="s">
        <v>1678</v>
      </c>
      <c r="B531" s="1" t="s">
        <v>861</v>
      </c>
      <c r="C531" s="1">
        <v>6</v>
      </c>
      <c r="D531" s="1">
        <v>6</v>
      </c>
      <c r="E531" s="1">
        <v>7</v>
      </c>
      <c r="F531" s="1">
        <v>6</v>
      </c>
      <c r="G531" s="1">
        <v>7</v>
      </c>
      <c r="H531" s="1">
        <v>8</v>
      </c>
      <c r="I531" s="1">
        <v>8</v>
      </c>
      <c r="J531" s="1">
        <v>7</v>
      </c>
      <c r="K531" s="1">
        <v>7</v>
      </c>
      <c r="L531" s="1">
        <v>7</v>
      </c>
      <c r="M531" s="1">
        <v>25</v>
      </c>
      <c r="N531" s="1">
        <v>30</v>
      </c>
      <c r="O531" s="1">
        <v>14</v>
      </c>
      <c r="P531" s="1">
        <v>69</v>
      </c>
      <c r="Q531" s="7">
        <v>0.73786478737262173</v>
      </c>
      <c r="R531" s="7">
        <f t="shared" si="80"/>
        <v>23.196700507614214</v>
      </c>
      <c r="S531" s="7">
        <f t="shared" si="81"/>
        <v>6.4306002317777482</v>
      </c>
      <c r="T531" s="7">
        <f t="shared" si="82"/>
        <v>22.771573604060915</v>
      </c>
      <c r="U531" s="7">
        <f t="shared" si="83"/>
        <v>6.5356886776680962</v>
      </c>
      <c r="V531" s="7">
        <f t="shared" si="84"/>
        <v>11.434010152284264</v>
      </c>
      <c r="W531" s="7">
        <f t="shared" si="85"/>
        <v>3.5019632409825281</v>
      </c>
      <c r="X531" s="7">
        <f t="shared" si="86"/>
        <v>0.28042475467134764</v>
      </c>
      <c r="Y531" s="7">
        <f t="shared" si="87"/>
        <v>1.1059930716464534</v>
      </c>
      <c r="Z531" s="7">
        <f t="shared" si="88"/>
        <v>0.73272894977498659</v>
      </c>
      <c r="AA531" s="7">
        <f t="shared" si="89"/>
        <v>0.70638225869759586</v>
      </c>
    </row>
    <row r="532" spans="1:27" x14ac:dyDescent="0.25">
      <c r="A532" s="1" t="s">
        <v>1678</v>
      </c>
      <c r="B532" s="1" t="s">
        <v>861</v>
      </c>
      <c r="C532" s="1">
        <v>7</v>
      </c>
      <c r="D532" s="1">
        <v>7</v>
      </c>
      <c r="E532" s="1">
        <v>7</v>
      </c>
      <c r="F532" s="1">
        <v>7</v>
      </c>
      <c r="G532" s="1">
        <v>6</v>
      </c>
      <c r="H532" s="1">
        <v>6</v>
      </c>
      <c r="I532" s="1">
        <v>6</v>
      </c>
      <c r="J532" s="1">
        <v>7</v>
      </c>
      <c r="K532" s="1">
        <v>7</v>
      </c>
      <c r="L532" s="1">
        <v>7</v>
      </c>
      <c r="M532" s="1">
        <v>28</v>
      </c>
      <c r="N532" s="1">
        <v>25</v>
      </c>
      <c r="O532" s="1">
        <v>14</v>
      </c>
      <c r="P532" s="1">
        <v>67</v>
      </c>
      <c r="Q532" s="7">
        <v>0.48304589153964778</v>
      </c>
      <c r="R532" s="7">
        <f t="shared" si="80"/>
        <v>23.196700507614214</v>
      </c>
      <c r="S532" s="7">
        <f t="shared" si="81"/>
        <v>6.4306002317777482</v>
      </c>
      <c r="T532" s="7">
        <f t="shared" si="82"/>
        <v>22.771573604060915</v>
      </c>
      <c r="U532" s="7">
        <f t="shared" si="83"/>
        <v>6.5356886776680962</v>
      </c>
      <c r="V532" s="7">
        <f t="shared" si="84"/>
        <v>11.434010152284264</v>
      </c>
      <c r="W532" s="7">
        <f t="shared" si="85"/>
        <v>3.5019632409825281</v>
      </c>
      <c r="X532" s="7">
        <f t="shared" si="86"/>
        <v>0.74694419171784021</v>
      </c>
      <c r="Y532" s="7">
        <f t="shared" si="87"/>
        <v>0.34096275172246687</v>
      </c>
      <c r="Z532" s="7">
        <f t="shared" si="88"/>
        <v>0.73272894977498659</v>
      </c>
      <c r="AA532" s="7">
        <f t="shared" si="89"/>
        <v>0.60687863107176454</v>
      </c>
    </row>
    <row r="533" spans="1:27" x14ac:dyDescent="0.25">
      <c r="A533" s="1" t="s">
        <v>1678</v>
      </c>
      <c r="B533" s="1" t="s">
        <v>861</v>
      </c>
      <c r="C533" s="1">
        <v>6</v>
      </c>
      <c r="D533" s="1">
        <v>5</v>
      </c>
      <c r="E533" s="1">
        <v>5</v>
      </c>
      <c r="F533" s="1">
        <v>5</v>
      </c>
      <c r="G533" s="1">
        <v>5</v>
      </c>
      <c r="H533" s="1">
        <v>5</v>
      </c>
      <c r="I533" s="1">
        <v>5</v>
      </c>
      <c r="J533" s="1">
        <v>6</v>
      </c>
      <c r="K533" s="1">
        <v>6</v>
      </c>
      <c r="L533" s="1">
        <v>5</v>
      </c>
      <c r="M533" s="1">
        <v>21</v>
      </c>
      <c r="N533" s="1">
        <v>21</v>
      </c>
      <c r="O533" s="1">
        <v>11</v>
      </c>
      <c r="P533" s="1">
        <v>53</v>
      </c>
      <c r="Q533" s="7">
        <v>0.48304589153964789</v>
      </c>
      <c r="R533" s="7">
        <f t="shared" si="80"/>
        <v>23.196700507614214</v>
      </c>
      <c r="S533" s="7">
        <f t="shared" si="81"/>
        <v>6.4306002317777482</v>
      </c>
      <c r="T533" s="7">
        <f t="shared" si="82"/>
        <v>22.771573604060915</v>
      </c>
      <c r="U533" s="7">
        <f t="shared" si="83"/>
        <v>6.5356886776680962</v>
      </c>
      <c r="V533" s="7">
        <f t="shared" si="84"/>
        <v>11.434010152284264</v>
      </c>
      <c r="W533" s="7">
        <f t="shared" si="85"/>
        <v>3.5019632409825281</v>
      </c>
      <c r="X533" s="7">
        <f t="shared" si="86"/>
        <v>-0.3416011613906425</v>
      </c>
      <c r="Y533" s="7">
        <f t="shared" si="87"/>
        <v>-0.27106150421672232</v>
      </c>
      <c r="Z533" s="7">
        <f t="shared" si="88"/>
        <v>-0.12393338319636275</v>
      </c>
      <c r="AA533" s="7">
        <f t="shared" si="89"/>
        <v>-0.24553201626790919</v>
      </c>
    </row>
    <row r="534" spans="1:27" x14ac:dyDescent="0.25">
      <c r="A534" s="1" t="s">
        <v>1678</v>
      </c>
      <c r="B534" s="1" t="s">
        <v>861</v>
      </c>
      <c r="C534" s="1">
        <v>9</v>
      </c>
      <c r="D534" s="1">
        <v>8</v>
      </c>
      <c r="E534" s="1">
        <v>9</v>
      </c>
      <c r="F534" s="1">
        <v>8</v>
      </c>
      <c r="G534" s="1">
        <v>9</v>
      </c>
      <c r="H534" s="1">
        <v>8</v>
      </c>
      <c r="I534" s="1">
        <v>8</v>
      </c>
      <c r="J534" s="1">
        <v>9</v>
      </c>
      <c r="K534" s="1">
        <v>9</v>
      </c>
      <c r="L534" s="1">
        <v>8</v>
      </c>
      <c r="M534" s="1">
        <v>34</v>
      </c>
      <c r="N534" s="1">
        <v>34</v>
      </c>
      <c r="O534" s="1">
        <v>17</v>
      </c>
      <c r="P534" s="1">
        <v>85</v>
      </c>
      <c r="Q534" s="7">
        <v>0.52704627669472992</v>
      </c>
      <c r="R534" s="7">
        <f t="shared" si="80"/>
        <v>23.196700507614214</v>
      </c>
      <c r="S534" s="7">
        <f t="shared" si="81"/>
        <v>6.4306002317777482</v>
      </c>
      <c r="T534" s="7">
        <f t="shared" si="82"/>
        <v>22.771573604060915</v>
      </c>
      <c r="U534" s="7">
        <f t="shared" si="83"/>
        <v>6.5356886776680962</v>
      </c>
      <c r="V534" s="7">
        <f t="shared" si="84"/>
        <v>11.434010152284264</v>
      </c>
      <c r="W534" s="7">
        <f t="shared" si="85"/>
        <v>3.5019632409825281</v>
      </c>
      <c r="X534" s="7">
        <f t="shared" si="86"/>
        <v>1.6799830658108255</v>
      </c>
      <c r="Y534" s="7">
        <f t="shared" si="87"/>
        <v>1.7180173275856425</v>
      </c>
      <c r="Z534" s="7">
        <f t="shared" si="88"/>
        <v>1.5893912827463359</v>
      </c>
      <c r="AA534" s="7">
        <f t="shared" si="89"/>
        <v>1.6624638920476011</v>
      </c>
    </row>
    <row r="535" spans="1:27" x14ac:dyDescent="0.25">
      <c r="A535" s="1" t="s">
        <v>1678</v>
      </c>
      <c r="B535" s="1" t="s">
        <v>861</v>
      </c>
      <c r="C535" s="1">
        <v>7</v>
      </c>
      <c r="D535" s="1">
        <v>6</v>
      </c>
      <c r="E535" s="1">
        <v>6</v>
      </c>
      <c r="F535" s="1">
        <v>6</v>
      </c>
      <c r="G535" s="1">
        <v>5</v>
      </c>
      <c r="H535" s="1">
        <v>5</v>
      </c>
      <c r="I535" s="1">
        <v>5</v>
      </c>
      <c r="J535" s="1">
        <v>6</v>
      </c>
      <c r="K535" s="1">
        <v>5</v>
      </c>
      <c r="L535" s="1">
        <v>7</v>
      </c>
      <c r="M535" s="1">
        <v>25</v>
      </c>
      <c r="N535" s="1">
        <v>21</v>
      </c>
      <c r="O535" s="1">
        <v>12</v>
      </c>
      <c r="P535" s="1">
        <v>58</v>
      </c>
      <c r="Q535" s="7">
        <v>0.78881063774661531</v>
      </c>
      <c r="R535" s="7">
        <f t="shared" si="80"/>
        <v>23.196700507614214</v>
      </c>
      <c r="S535" s="7">
        <f t="shared" si="81"/>
        <v>6.4306002317777482</v>
      </c>
      <c r="T535" s="7">
        <f t="shared" si="82"/>
        <v>22.771573604060915</v>
      </c>
      <c r="U535" s="7">
        <f t="shared" si="83"/>
        <v>6.5356886776680962</v>
      </c>
      <c r="V535" s="7">
        <f t="shared" si="84"/>
        <v>11.434010152284264</v>
      </c>
      <c r="W535" s="7">
        <f t="shared" si="85"/>
        <v>3.5019632409825281</v>
      </c>
      <c r="X535" s="7">
        <f t="shared" si="86"/>
        <v>0.28042475467134764</v>
      </c>
      <c r="Y535" s="7">
        <f t="shared" si="87"/>
        <v>-0.27106150421672232</v>
      </c>
      <c r="Z535" s="7">
        <f t="shared" si="88"/>
        <v>0.16162072779408701</v>
      </c>
      <c r="AA535" s="7">
        <f t="shared" si="89"/>
        <v>5.6994659416237443E-2</v>
      </c>
    </row>
    <row r="536" spans="1:27" x14ac:dyDescent="0.25">
      <c r="A536" s="1" t="s">
        <v>1678</v>
      </c>
      <c r="B536" s="1" t="s">
        <v>861</v>
      </c>
      <c r="C536" s="1">
        <v>6</v>
      </c>
      <c r="D536" s="1">
        <v>6</v>
      </c>
      <c r="E536" s="1">
        <v>7</v>
      </c>
      <c r="F536" s="1">
        <v>7</v>
      </c>
      <c r="G536" s="1">
        <v>7</v>
      </c>
      <c r="H536" s="1">
        <v>6</v>
      </c>
      <c r="I536" s="1">
        <v>6</v>
      </c>
      <c r="J536" s="1">
        <v>6</v>
      </c>
      <c r="K536" s="1">
        <v>6</v>
      </c>
      <c r="L536" s="1">
        <v>6</v>
      </c>
      <c r="M536" s="1">
        <v>26</v>
      </c>
      <c r="N536" s="1">
        <v>25</v>
      </c>
      <c r="O536" s="1">
        <v>12</v>
      </c>
      <c r="P536" s="1">
        <v>63</v>
      </c>
      <c r="Q536" s="7">
        <v>0.48304589153964794</v>
      </c>
      <c r="R536" s="7">
        <f t="shared" si="80"/>
        <v>23.196700507614214</v>
      </c>
      <c r="S536" s="7">
        <f t="shared" si="81"/>
        <v>6.4306002317777482</v>
      </c>
      <c r="T536" s="7">
        <f t="shared" si="82"/>
        <v>22.771573604060915</v>
      </c>
      <c r="U536" s="7">
        <f t="shared" si="83"/>
        <v>6.5356886776680962</v>
      </c>
      <c r="V536" s="7">
        <f t="shared" si="84"/>
        <v>11.434010152284264</v>
      </c>
      <c r="W536" s="7">
        <f t="shared" si="85"/>
        <v>3.5019632409825281</v>
      </c>
      <c r="X536" s="7">
        <f t="shared" si="86"/>
        <v>0.43593123368684517</v>
      </c>
      <c r="Y536" s="7">
        <f t="shared" si="87"/>
        <v>0.34096275172246687</v>
      </c>
      <c r="Z536" s="7">
        <f t="shared" si="88"/>
        <v>0.16162072779408701</v>
      </c>
      <c r="AA536" s="7">
        <f t="shared" si="89"/>
        <v>0.31283823773446634</v>
      </c>
    </row>
    <row r="537" spans="1:27" x14ac:dyDescent="0.25">
      <c r="A537" s="1" t="s">
        <v>1678</v>
      </c>
      <c r="B537" s="1" t="s">
        <v>861</v>
      </c>
      <c r="C537" s="1">
        <v>9</v>
      </c>
      <c r="D537" s="1">
        <v>9</v>
      </c>
      <c r="E537" s="1">
        <v>9</v>
      </c>
      <c r="F537" s="1">
        <v>9</v>
      </c>
      <c r="G537" s="1">
        <v>9</v>
      </c>
      <c r="H537" s="1">
        <v>8</v>
      </c>
      <c r="I537" s="1">
        <v>9</v>
      </c>
      <c r="J537" s="1">
        <v>9</v>
      </c>
      <c r="K537" s="1">
        <v>8</v>
      </c>
      <c r="L537" s="1">
        <v>8</v>
      </c>
      <c r="M537" s="1">
        <v>36</v>
      </c>
      <c r="N537" s="1">
        <v>35</v>
      </c>
      <c r="O537" s="1">
        <v>16</v>
      </c>
      <c r="P537" s="1">
        <v>87</v>
      </c>
      <c r="Q537" s="7">
        <v>0.48304589153964822</v>
      </c>
      <c r="R537" s="7">
        <f t="shared" si="80"/>
        <v>23.196700507614214</v>
      </c>
      <c r="S537" s="7">
        <f t="shared" si="81"/>
        <v>6.4306002317777482</v>
      </c>
      <c r="T537" s="7">
        <f t="shared" si="82"/>
        <v>22.771573604060915</v>
      </c>
      <c r="U537" s="7">
        <f t="shared" si="83"/>
        <v>6.5356886776680962</v>
      </c>
      <c r="V537" s="7">
        <f t="shared" si="84"/>
        <v>11.434010152284264</v>
      </c>
      <c r="W537" s="7">
        <f t="shared" si="85"/>
        <v>3.5019632409825281</v>
      </c>
      <c r="X537" s="7">
        <f t="shared" si="86"/>
        <v>1.9909960238418205</v>
      </c>
      <c r="Y537" s="7">
        <f t="shared" si="87"/>
        <v>1.87102339157044</v>
      </c>
      <c r="Z537" s="7">
        <f t="shared" si="88"/>
        <v>1.3038371717558861</v>
      </c>
      <c r="AA537" s="7">
        <f t="shared" si="89"/>
        <v>1.7219521957227155</v>
      </c>
    </row>
    <row r="538" spans="1:27" x14ac:dyDescent="0.25">
      <c r="A538" s="1" t="s">
        <v>1678</v>
      </c>
      <c r="B538" s="1" t="s">
        <v>861</v>
      </c>
      <c r="C538" s="1">
        <v>6</v>
      </c>
      <c r="D538" s="1">
        <v>6</v>
      </c>
      <c r="E538" s="1">
        <v>5</v>
      </c>
      <c r="F538" s="1">
        <v>6</v>
      </c>
      <c r="G538" s="1">
        <v>7</v>
      </c>
      <c r="H538" s="1">
        <v>7</v>
      </c>
      <c r="I538" s="1">
        <v>7</v>
      </c>
      <c r="J538" s="1">
        <v>7</v>
      </c>
      <c r="K538" s="1">
        <v>7</v>
      </c>
      <c r="L538" s="1">
        <v>4</v>
      </c>
      <c r="M538" s="1">
        <v>23</v>
      </c>
      <c r="N538" s="1">
        <v>28</v>
      </c>
      <c r="O538" s="1">
        <v>11</v>
      </c>
      <c r="P538" s="1">
        <v>62</v>
      </c>
      <c r="Q538" s="7">
        <v>1.0327955589886444</v>
      </c>
      <c r="R538" s="7">
        <f t="shared" si="80"/>
        <v>23.196700507614214</v>
      </c>
      <c r="S538" s="7">
        <f t="shared" si="81"/>
        <v>6.4306002317777482</v>
      </c>
      <c r="T538" s="7">
        <f t="shared" si="82"/>
        <v>22.771573604060915</v>
      </c>
      <c r="U538" s="7">
        <f t="shared" si="83"/>
        <v>6.5356886776680962</v>
      </c>
      <c r="V538" s="7">
        <f t="shared" si="84"/>
        <v>11.434010152284264</v>
      </c>
      <c r="W538" s="7">
        <f t="shared" si="85"/>
        <v>3.5019632409825281</v>
      </c>
      <c r="X538" s="7">
        <f t="shared" si="86"/>
        <v>-3.0588203359647428E-2</v>
      </c>
      <c r="Y538" s="7">
        <f t="shared" si="87"/>
        <v>0.79998094367685879</v>
      </c>
      <c r="Z538" s="7">
        <f t="shared" si="88"/>
        <v>-0.12393338319636275</v>
      </c>
      <c r="AA538" s="7">
        <f t="shared" si="89"/>
        <v>0.21515311904028289</v>
      </c>
    </row>
    <row r="539" spans="1:27" x14ac:dyDescent="0.25">
      <c r="A539" s="1" t="s">
        <v>1678</v>
      </c>
      <c r="B539" s="1" t="s">
        <v>861</v>
      </c>
      <c r="C539" s="1">
        <v>8</v>
      </c>
      <c r="D539" s="1">
        <v>7</v>
      </c>
      <c r="E539" s="1">
        <v>8</v>
      </c>
      <c r="F539" s="1">
        <v>8</v>
      </c>
      <c r="G539" s="1">
        <v>8</v>
      </c>
      <c r="H539" s="1">
        <v>8</v>
      </c>
      <c r="I539" s="1">
        <v>8</v>
      </c>
      <c r="J539" s="1">
        <v>7</v>
      </c>
      <c r="K539" s="1">
        <v>9</v>
      </c>
      <c r="L539" s="1">
        <v>9</v>
      </c>
      <c r="M539" s="1">
        <v>31</v>
      </c>
      <c r="N539" s="1">
        <v>31</v>
      </c>
      <c r="O539" s="1">
        <v>18</v>
      </c>
      <c r="P539" s="1">
        <v>80</v>
      </c>
      <c r="Q539" s="7">
        <v>0.66666666666666663</v>
      </c>
      <c r="R539" s="7">
        <f t="shared" si="80"/>
        <v>23.196700507614214</v>
      </c>
      <c r="S539" s="7">
        <f t="shared" si="81"/>
        <v>6.4306002317777482</v>
      </c>
      <c r="T539" s="7">
        <f t="shared" si="82"/>
        <v>22.771573604060915</v>
      </c>
      <c r="U539" s="7">
        <f t="shared" si="83"/>
        <v>6.5356886776680962</v>
      </c>
      <c r="V539" s="7">
        <f t="shared" si="84"/>
        <v>11.434010152284264</v>
      </c>
      <c r="W539" s="7">
        <f t="shared" si="85"/>
        <v>3.5019632409825281</v>
      </c>
      <c r="X539" s="7">
        <f t="shared" si="86"/>
        <v>1.2134636287643328</v>
      </c>
      <c r="Y539" s="7">
        <f t="shared" si="87"/>
        <v>1.2589991356312507</v>
      </c>
      <c r="Z539" s="7">
        <f t="shared" si="88"/>
        <v>1.8749453937367857</v>
      </c>
      <c r="AA539" s="7">
        <f t="shared" si="89"/>
        <v>1.4491360527107897</v>
      </c>
    </row>
    <row r="540" spans="1:27" x14ac:dyDescent="0.25">
      <c r="A540" s="1" t="s">
        <v>1678</v>
      </c>
      <c r="B540" s="1" t="s">
        <v>861</v>
      </c>
      <c r="C540" s="1">
        <v>6</v>
      </c>
      <c r="D540" s="1">
        <v>6</v>
      </c>
      <c r="E540" s="1">
        <v>6</v>
      </c>
      <c r="F540" s="1">
        <v>7</v>
      </c>
      <c r="G540" s="1">
        <v>5</v>
      </c>
      <c r="H540" s="1">
        <v>5</v>
      </c>
      <c r="I540" s="1">
        <v>5</v>
      </c>
      <c r="J540" s="1">
        <v>6</v>
      </c>
      <c r="K540" s="1">
        <v>7</v>
      </c>
      <c r="L540" s="1">
        <v>6</v>
      </c>
      <c r="M540" s="1">
        <v>25</v>
      </c>
      <c r="N540" s="1">
        <v>21</v>
      </c>
      <c r="O540" s="1">
        <v>13</v>
      </c>
      <c r="P540" s="1">
        <v>59</v>
      </c>
      <c r="Q540" s="7">
        <v>0.73786478737262173</v>
      </c>
      <c r="R540" s="7">
        <f t="shared" si="80"/>
        <v>23.196700507614214</v>
      </c>
      <c r="S540" s="7">
        <f t="shared" si="81"/>
        <v>6.4306002317777482</v>
      </c>
      <c r="T540" s="7">
        <f t="shared" si="82"/>
        <v>22.771573604060915</v>
      </c>
      <c r="U540" s="7">
        <f t="shared" si="83"/>
        <v>6.5356886776680962</v>
      </c>
      <c r="V540" s="7">
        <f t="shared" si="84"/>
        <v>11.434010152284264</v>
      </c>
      <c r="W540" s="7">
        <f t="shared" si="85"/>
        <v>3.5019632409825281</v>
      </c>
      <c r="X540" s="7">
        <f t="shared" si="86"/>
        <v>0.28042475467134764</v>
      </c>
      <c r="Y540" s="7">
        <f t="shared" si="87"/>
        <v>-0.27106150421672232</v>
      </c>
      <c r="Z540" s="7">
        <f t="shared" si="88"/>
        <v>0.44717483878453679</v>
      </c>
      <c r="AA540" s="7">
        <f t="shared" si="89"/>
        <v>0.15217936307972071</v>
      </c>
    </row>
    <row r="541" spans="1:27" x14ac:dyDescent="0.25">
      <c r="A541" s="1" t="s">
        <v>1678</v>
      </c>
      <c r="B541" s="1" t="s">
        <v>861</v>
      </c>
      <c r="C541" s="1">
        <v>9</v>
      </c>
      <c r="D541" s="1">
        <v>9</v>
      </c>
      <c r="E541" s="1">
        <v>9</v>
      </c>
      <c r="F541" s="1">
        <v>9</v>
      </c>
      <c r="G541" s="1">
        <v>5</v>
      </c>
      <c r="H541" s="1">
        <v>5</v>
      </c>
      <c r="I541" s="1">
        <v>5</v>
      </c>
      <c r="J541" s="1">
        <v>5</v>
      </c>
      <c r="K541" s="1">
        <v>6</v>
      </c>
      <c r="L541" s="1">
        <v>6</v>
      </c>
      <c r="M541" s="1">
        <v>36</v>
      </c>
      <c r="N541" s="1">
        <v>20</v>
      </c>
      <c r="O541" s="1">
        <v>12</v>
      </c>
      <c r="P541" s="1">
        <v>68</v>
      </c>
      <c r="Q541" s="7">
        <v>1.9321835661585915</v>
      </c>
      <c r="R541" s="7">
        <f t="shared" si="80"/>
        <v>23.196700507614214</v>
      </c>
      <c r="S541" s="7">
        <f t="shared" si="81"/>
        <v>6.4306002317777482</v>
      </c>
      <c r="T541" s="7">
        <f t="shared" si="82"/>
        <v>22.771573604060915</v>
      </c>
      <c r="U541" s="7">
        <f t="shared" si="83"/>
        <v>6.5356886776680962</v>
      </c>
      <c r="V541" s="7">
        <f t="shared" si="84"/>
        <v>11.434010152284264</v>
      </c>
      <c r="W541" s="7">
        <f t="shared" si="85"/>
        <v>3.5019632409825281</v>
      </c>
      <c r="X541" s="7">
        <f t="shared" si="86"/>
        <v>1.9909960238418205</v>
      </c>
      <c r="Y541" s="7">
        <f t="shared" si="87"/>
        <v>-0.42406756820151964</v>
      </c>
      <c r="Z541" s="7">
        <f t="shared" si="88"/>
        <v>0.16162072779408701</v>
      </c>
      <c r="AA541" s="7">
        <f t="shared" si="89"/>
        <v>0.576183061144796</v>
      </c>
    </row>
    <row r="542" spans="1:27" x14ac:dyDescent="0.25">
      <c r="A542" s="1" t="s">
        <v>1678</v>
      </c>
      <c r="B542" s="1" t="s">
        <v>861</v>
      </c>
      <c r="C542" s="1">
        <v>8</v>
      </c>
      <c r="D542" s="1">
        <v>7</v>
      </c>
      <c r="E542" s="1">
        <v>8</v>
      </c>
      <c r="F542" s="1">
        <v>7</v>
      </c>
      <c r="G542" s="1">
        <v>7</v>
      </c>
      <c r="H542" s="1">
        <v>7</v>
      </c>
      <c r="I542" s="1">
        <v>8</v>
      </c>
      <c r="J542" s="1">
        <v>7</v>
      </c>
      <c r="K542" s="1">
        <v>9</v>
      </c>
      <c r="L542" s="1">
        <v>8</v>
      </c>
      <c r="M542" s="1">
        <v>30</v>
      </c>
      <c r="N542" s="1">
        <v>29</v>
      </c>
      <c r="O542" s="1">
        <v>17</v>
      </c>
      <c r="P542" s="1">
        <v>76</v>
      </c>
      <c r="Q542" s="7">
        <v>0.69920589878010109</v>
      </c>
      <c r="R542" s="7">
        <f t="shared" si="80"/>
        <v>23.196700507614214</v>
      </c>
      <c r="S542" s="7">
        <f t="shared" si="81"/>
        <v>6.4306002317777482</v>
      </c>
      <c r="T542" s="7">
        <f t="shared" si="82"/>
        <v>22.771573604060915</v>
      </c>
      <c r="U542" s="7">
        <f t="shared" si="83"/>
        <v>6.5356886776680962</v>
      </c>
      <c r="V542" s="7">
        <f t="shared" si="84"/>
        <v>11.434010152284264</v>
      </c>
      <c r="W542" s="7">
        <f t="shared" si="85"/>
        <v>3.5019632409825281</v>
      </c>
      <c r="X542" s="7">
        <f t="shared" si="86"/>
        <v>1.0579571497488354</v>
      </c>
      <c r="Y542" s="7">
        <f t="shared" si="87"/>
        <v>0.95298700766165612</v>
      </c>
      <c r="Z542" s="7">
        <f t="shared" si="88"/>
        <v>1.5893912827463359</v>
      </c>
      <c r="AA542" s="7">
        <f t="shared" si="89"/>
        <v>1.2001118133856092</v>
      </c>
    </row>
    <row r="543" spans="1:27" x14ac:dyDescent="0.25">
      <c r="A543" s="1" t="s">
        <v>1678</v>
      </c>
      <c r="B543" s="1" t="s">
        <v>861</v>
      </c>
      <c r="C543" s="1">
        <v>5</v>
      </c>
      <c r="D543" s="1">
        <v>4</v>
      </c>
      <c r="E543" s="1">
        <v>5</v>
      </c>
      <c r="F543" s="1">
        <v>5</v>
      </c>
      <c r="G543" s="1">
        <v>6</v>
      </c>
      <c r="H543" s="1">
        <v>5</v>
      </c>
      <c r="I543" s="1">
        <v>5</v>
      </c>
      <c r="J543" s="1">
        <v>5</v>
      </c>
      <c r="K543" s="1">
        <v>5</v>
      </c>
      <c r="L543" s="1">
        <v>4</v>
      </c>
      <c r="M543" s="1">
        <v>19</v>
      </c>
      <c r="N543" s="1">
        <v>21</v>
      </c>
      <c r="O543" s="1">
        <v>9</v>
      </c>
      <c r="P543" s="1">
        <v>49</v>
      </c>
      <c r="Q543" s="7">
        <v>0.56764621219754674</v>
      </c>
      <c r="R543" s="7">
        <f t="shared" si="80"/>
        <v>23.196700507614214</v>
      </c>
      <c r="S543" s="7">
        <f t="shared" si="81"/>
        <v>6.4306002317777482</v>
      </c>
      <c r="T543" s="7">
        <f t="shared" si="82"/>
        <v>22.771573604060915</v>
      </c>
      <c r="U543" s="7">
        <f t="shared" si="83"/>
        <v>6.5356886776680962</v>
      </c>
      <c r="V543" s="7">
        <f t="shared" si="84"/>
        <v>11.434010152284264</v>
      </c>
      <c r="W543" s="7">
        <f t="shared" si="85"/>
        <v>3.5019632409825281</v>
      </c>
      <c r="X543" s="7">
        <f t="shared" si="86"/>
        <v>-0.65261411942163761</v>
      </c>
      <c r="Y543" s="7">
        <f t="shared" si="87"/>
        <v>-0.27106150421672232</v>
      </c>
      <c r="Z543" s="7">
        <f t="shared" si="88"/>
        <v>-0.69504160517726232</v>
      </c>
      <c r="AA543" s="7">
        <f t="shared" si="89"/>
        <v>-0.53957240960520736</v>
      </c>
    </row>
    <row r="544" spans="1:27" x14ac:dyDescent="0.25">
      <c r="A544" s="1" t="s">
        <v>1678</v>
      </c>
      <c r="B544" s="1" t="s">
        <v>861</v>
      </c>
      <c r="C544" s="1">
        <v>5</v>
      </c>
      <c r="D544" s="1">
        <v>6</v>
      </c>
      <c r="E544" s="1">
        <v>5</v>
      </c>
      <c r="F544" s="1">
        <v>5</v>
      </c>
      <c r="G544" s="1">
        <v>4</v>
      </c>
      <c r="H544" s="1">
        <v>4</v>
      </c>
      <c r="I544" s="1">
        <v>4</v>
      </c>
      <c r="J544" s="1">
        <v>5</v>
      </c>
      <c r="K544" s="1">
        <v>5</v>
      </c>
      <c r="L544" s="1">
        <v>4</v>
      </c>
      <c r="M544" s="1">
        <v>21</v>
      </c>
      <c r="N544" s="1">
        <v>17</v>
      </c>
      <c r="O544" s="1">
        <v>9</v>
      </c>
      <c r="P544" s="1">
        <v>47</v>
      </c>
      <c r="Q544" s="7">
        <v>0.67494855771055284</v>
      </c>
      <c r="R544" s="7">
        <f t="shared" si="80"/>
        <v>23.196700507614214</v>
      </c>
      <c r="S544" s="7">
        <f t="shared" si="81"/>
        <v>6.4306002317777482</v>
      </c>
      <c r="T544" s="7">
        <f t="shared" si="82"/>
        <v>22.771573604060915</v>
      </c>
      <c r="U544" s="7">
        <f t="shared" si="83"/>
        <v>6.5356886776680962</v>
      </c>
      <c r="V544" s="7">
        <f t="shared" si="84"/>
        <v>11.434010152284264</v>
      </c>
      <c r="W544" s="7">
        <f t="shared" si="85"/>
        <v>3.5019632409825281</v>
      </c>
      <c r="X544" s="7">
        <f t="shared" si="86"/>
        <v>-0.3416011613906425</v>
      </c>
      <c r="Y544" s="7">
        <f t="shared" si="87"/>
        <v>-0.88308576015591156</v>
      </c>
      <c r="Z544" s="7">
        <f t="shared" si="88"/>
        <v>-0.69504160517726232</v>
      </c>
      <c r="AA544" s="7">
        <f t="shared" si="89"/>
        <v>-0.63990950890793885</v>
      </c>
    </row>
    <row r="545" spans="1:27" x14ac:dyDescent="0.25">
      <c r="A545" s="1" t="s">
        <v>1678</v>
      </c>
      <c r="B545" s="1" t="s">
        <v>861</v>
      </c>
      <c r="C545" s="1">
        <v>7</v>
      </c>
      <c r="D545" s="1">
        <v>6</v>
      </c>
      <c r="E545" s="1">
        <v>7</v>
      </c>
      <c r="F545" s="1">
        <v>6</v>
      </c>
      <c r="G545" s="1">
        <v>8</v>
      </c>
      <c r="H545" s="1">
        <v>8</v>
      </c>
      <c r="I545" s="1">
        <v>8</v>
      </c>
      <c r="J545" s="1">
        <v>7</v>
      </c>
      <c r="K545" s="1">
        <v>8</v>
      </c>
      <c r="L545" s="1">
        <v>7</v>
      </c>
      <c r="M545" s="1">
        <v>26</v>
      </c>
      <c r="N545" s="1">
        <v>31</v>
      </c>
      <c r="O545" s="1">
        <v>15</v>
      </c>
      <c r="P545" s="1">
        <v>72</v>
      </c>
      <c r="Q545" s="7">
        <v>0.78881063774661553</v>
      </c>
      <c r="R545" s="7">
        <f t="shared" si="80"/>
        <v>23.196700507614214</v>
      </c>
      <c r="S545" s="7">
        <f t="shared" si="81"/>
        <v>6.4306002317777482</v>
      </c>
      <c r="T545" s="7">
        <f t="shared" si="82"/>
        <v>22.771573604060915</v>
      </c>
      <c r="U545" s="7">
        <f t="shared" si="83"/>
        <v>6.5356886776680962</v>
      </c>
      <c r="V545" s="7">
        <f t="shared" si="84"/>
        <v>11.434010152284264</v>
      </c>
      <c r="W545" s="7">
        <f t="shared" si="85"/>
        <v>3.5019632409825281</v>
      </c>
      <c r="X545" s="7">
        <f t="shared" si="86"/>
        <v>0.43593123368684517</v>
      </c>
      <c r="Y545" s="7">
        <f t="shared" si="87"/>
        <v>1.2589991356312507</v>
      </c>
      <c r="Z545" s="7">
        <f t="shared" si="88"/>
        <v>1.0182830607654363</v>
      </c>
      <c r="AA545" s="7">
        <f t="shared" si="89"/>
        <v>0.90440447669451063</v>
      </c>
    </row>
    <row r="546" spans="1:27" x14ac:dyDescent="0.25">
      <c r="A546" s="1" t="s">
        <v>1678</v>
      </c>
      <c r="B546" s="1" t="s">
        <v>861</v>
      </c>
      <c r="C546" s="1">
        <v>8</v>
      </c>
      <c r="D546" s="1">
        <v>8</v>
      </c>
      <c r="E546" s="1">
        <v>7</v>
      </c>
      <c r="F546" s="1">
        <v>7</v>
      </c>
      <c r="G546" s="1">
        <v>7</v>
      </c>
      <c r="H546" s="1">
        <v>6</v>
      </c>
      <c r="I546" s="1">
        <v>7</v>
      </c>
      <c r="J546" s="1">
        <v>7</v>
      </c>
      <c r="K546" s="1">
        <v>8</v>
      </c>
      <c r="L546" s="1">
        <v>9</v>
      </c>
      <c r="M546" s="1">
        <v>30</v>
      </c>
      <c r="N546" s="1">
        <v>27</v>
      </c>
      <c r="O546" s="1">
        <v>17</v>
      </c>
      <c r="P546" s="1">
        <v>74</v>
      </c>
      <c r="Q546" s="7">
        <v>0.84327404271156781</v>
      </c>
      <c r="R546" s="7">
        <f t="shared" si="80"/>
        <v>23.196700507614214</v>
      </c>
      <c r="S546" s="7">
        <f t="shared" si="81"/>
        <v>6.4306002317777482</v>
      </c>
      <c r="T546" s="7">
        <f t="shared" si="82"/>
        <v>22.771573604060915</v>
      </c>
      <c r="U546" s="7">
        <f t="shared" si="83"/>
        <v>6.5356886776680962</v>
      </c>
      <c r="V546" s="7">
        <f t="shared" si="84"/>
        <v>11.434010152284264</v>
      </c>
      <c r="W546" s="7">
        <f t="shared" si="85"/>
        <v>3.5019632409825281</v>
      </c>
      <c r="X546" s="7">
        <f t="shared" si="86"/>
        <v>1.0579571497488354</v>
      </c>
      <c r="Y546" s="7">
        <f t="shared" si="87"/>
        <v>0.64697487969206147</v>
      </c>
      <c r="Z546" s="7">
        <f t="shared" si="88"/>
        <v>1.5893912827463359</v>
      </c>
      <c r="AA546" s="7">
        <f t="shared" si="89"/>
        <v>1.0981077707290776</v>
      </c>
    </row>
    <row r="547" spans="1:27" x14ac:dyDescent="0.25">
      <c r="A547" s="1" t="s">
        <v>1678</v>
      </c>
      <c r="B547" s="1" t="s">
        <v>861</v>
      </c>
      <c r="C547" s="1">
        <v>8</v>
      </c>
      <c r="D547" s="1">
        <v>8</v>
      </c>
      <c r="E547" s="1">
        <v>9</v>
      </c>
      <c r="F547" s="1">
        <v>8</v>
      </c>
      <c r="G547" s="1">
        <v>6</v>
      </c>
      <c r="H547" s="1">
        <v>8</v>
      </c>
      <c r="I547" s="1">
        <v>8</v>
      </c>
      <c r="J547" s="1">
        <v>8</v>
      </c>
      <c r="K547" s="1">
        <v>8</v>
      </c>
      <c r="L547" s="1">
        <v>7</v>
      </c>
      <c r="M547" s="1">
        <v>33</v>
      </c>
      <c r="N547" s="1">
        <v>30</v>
      </c>
      <c r="O547" s="1">
        <v>15</v>
      </c>
      <c r="P547" s="1">
        <v>78</v>
      </c>
      <c r="Q547" s="7">
        <v>0.78881063774661553</v>
      </c>
      <c r="R547" s="7">
        <f t="shared" si="80"/>
        <v>23.196700507614214</v>
      </c>
      <c r="S547" s="7">
        <f t="shared" si="81"/>
        <v>6.4306002317777482</v>
      </c>
      <c r="T547" s="7">
        <f t="shared" si="82"/>
        <v>22.771573604060915</v>
      </c>
      <c r="U547" s="7">
        <f t="shared" si="83"/>
        <v>6.5356886776680962</v>
      </c>
      <c r="V547" s="7">
        <f t="shared" si="84"/>
        <v>11.434010152284264</v>
      </c>
      <c r="W547" s="7">
        <f t="shared" si="85"/>
        <v>3.5019632409825281</v>
      </c>
      <c r="X547" s="7">
        <f t="shared" si="86"/>
        <v>1.524476586795328</v>
      </c>
      <c r="Y547" s="7">
        <f t="shared" si="87"/>
        <v>1.1059930716464534</v>
      </c>
      <c r="Z547" s="7">
        <f t="shared" si="88"/>
        <v>1.0182830607654363</v>
      </c>
      <c r="AA547" s="7">
        <f t="shared" si="89"/>
        <v>1.2162509064024061</v>
      </c>
    </row>
    <row r="548" spans="1:27" x14ac:dyDescent="0.25">
      <c r="A548" s="1" t="s">
        <v>1678</v>
      </c>
      <c r="B548" s="1" t="s">
        <v>861</v>
      </c>
      <c r="C548" s="1">
        <v>6</v>
      </c>
      <c r="D548" s="1">
        <v>6</v>
      </c>
      <c r="E548" s="1">
        <v>5</v>
      </c>
      <c r="F548" s="1">
        <v>6</v>
      </c>
      <c r="G548" s="1">
        <v>5</v>
      </c>
      <c r="H548" s="1">
        <v>5</v>
      </c>
      <c r="I548" s="1">
        <v>5</v>
      </c>
      <c r="J548" s="1">
        <v>5</v>
      </c>
      <c r="K548" s="1">
        <v>5</v>
      </c>
      <c r="L548" s="1">
        <v>7</v>
      </c>
      <c r="M548" s="1">
        <v>23</v>
      </c>
      <c r="N548" s="1">
        <v>20</v>
      </c>
      <c r="O548" s="1">
        <v>12</v>
      </c>
      <c r="P548" s="1">
        <v>55</v>
      </c>
      <c r="Q548" s="7">
        <v>0.70710678118654757</v>
      </c>
      <c r="R548" s="7">
        <f t="shared" si="80"/>
        <v>23.196700507614214</v>
      </c>
      <c r="S548" s="7">
        <f t="shared" si="81"/>
        <v>6.4306002317777482</v>
      </c>
      <c r="T548" s="7">
        <f t="shared" si="82"/>
        <v>22.771573604060915</v>
      </c>
      <c r="U548" s="7">
        <f t="shared" si="83"/>
        <v>6.5356886776680962</v>
      </c>
      <c r="V548" s="7">
        <f t="shared" si="84"/>
        <v>11.434010152284264</v>
      </c>
      <c r="W548" s="7">
        <f t="shared" si="85"/>
        <v>3.5019632409825281</v>
      </c>
      <c r="X548" s="7">
        <f t="shared" si="86"/>
        <v>-3.0588203359647428E-2</v>
      </c>
      <c r="Y548" s="7">
        <f t="shared" si="87"/>
        <v>-0.42406756820151964</v>
      </c>
      <c r="Z548" s="7">
        <f t="shared" si="88"/>
        <v>0.16162072779408701</v>
      </c>
      <c r="AA548" s="7">
        <f t="shared" si="89"/>
        <v>-9.7678347922360007E-2</v>
      </c>
    </row>
    <row r="549" spans="1:27" x14ac:dyDescent="0.25">
      <c r="A549" s="1" t="s">
        <v>1678</v>
      </c>
      <c r="B549" s="1" t="s">
        <v>861</v>
      </c>
      <c r="C549" s="1">
        <v>7</v>
      </c>
      <c r="D549" s="1">
        <v>7</v>
      </c>
      <c r="E549" s="1">
        <v>6</v>
      </c>
      <c r="F549" s="1">
        <v>7</v>
      </c>
      <c r="G549" s="1">
        <v>7</v>
      </c>
      <c r="H549" s="1">
        <v>7</v>
      </c>
      <c r="I549" s="1">
        <v>6</v>
      </c>
      <c r="J549" s="1">
        <v>6</v>
      </c>
      <c r="K549" s="1">
        <v>6</v>
      </c>
      <c r="L549" s="1">
        <v>7</v>
      </c>
      <c r="M549" s="1">
        <v>27</v>
      </c>
      <c r="N549" s="1">
        <v>26</v>
      </c>
      <c r="O549" s="1">
        <v>13</v>
      </c>
      <c r="P549" s="1">
        <v>66</v>
      </c>
      <c r="Q549" s="7">
        <v>0.51639777949432231</v>
      </c>
      <c r="R549" s="7">
        <f t="shared" si="80"/>
        <v>23.196700507614214</v>
      </c>
      <c r="S549" s="7">
        <f t="shared" si="81"/>
        <v>6.4306002317777482</v>
      </c>
      <c r="T549" s="7">
        <f t="shared" si="82"/>
        <v>22.771573604060915</v>
      </c>
      <c r="U549" s="7">
        <f t="shared" si="83"/>
        <v>6.5356886776680962</v>
      </c>
      <c r="V549" s="7">
        <f t="shared" si="84"/>
        <v>11.434010152284264</v>
      </c>
      <c r="W549" s="7">
        <f t="shared" si="85"/>
        <v>3.5019632409825281</v>
      </c>
      <c r="X549" s="7">
        <f t="shared" si="86"/>
        <v>0.59143771270234269</v>
      </c>
      <c r="Y549" s="7">
        <f t="shared" si="87"/>
        <v>0.49396881570726414</v>
      </c>
      <c r="Z549" s="7">
        <f t="shared" si="88"/>
        <v>0.44717483878453679</v>
      </c>
      <c r="AA549" s="7">
        <f t="shared" si="89"/>
        <v>0.51086045573138117</v>
      </c>
    </row>
    <row r="550" spans="1:27" x14ac:dyDescent="0.25">
      <c r="A550" s="1" t="s">
        <v>1678</v>
      </c>
      <c r="B550" s="1" t="s">
        <v>861</v>
      </c>
      <c r="C550" s="1">
        <v>6</v>
      </c>
      <c r="D550" s="1">
        <v>6</v>
      </c>
      <c r="E550" s="1">
        <v>6</v>
      </c>
      <c r="F550" s="1">
        <v>6</v>
      </c>
      <c r="G550" s="1">
        <v>7</v>
      </c>
      <c r="H550" s="1">
        <v>6</v>
      </c>
      <c r="I550" s="1">
        <v>6</v>
      </c>
      <c r="J550" s="1">
        <v>7</v>
      </c>
      <c r="K550" s="1">
        <v>6</v>
      </c>
      <c r="L550" s="1">
        <v>5</v>
      </c>
      <c r="M550" s="1">
        <v>24</v>
      </c>
      <c r="N550" s="1">
        <v>26</v>
      </c>
      <c r="O550" s="1">
        <v>11</v>
      </c>
      <c r="P550" s="1">
        <v>61</v>
      </c>
      <c r="Q550" s="7">
        <v>0.56764621219754663</v>
      </c>
      <c r="R550" s="7">
        <f t="shared" si="80"/>
        <v>23.196700507614214</v>
      </c>
      <c r="S550" s="7">
        <f t="shared" si="81"/>
        <v>6.4306002317777482</v>
      </c>
      <c r="T550" s="7">
        <f t="shared" si="82"/>
        <v>22.771573604060915</v>
      </c>
      <c r="U550" s="7">
        <f t="shared" si="83"/>
        <v>6.5356886776680962</v>
      </c>
      <c r="V550" s="7">
        <f t="shared" si="84"/>
        <v>11.434010152284264</v>
      </c>
      <c r="W550" s="7">
        <f t="shared" si="85"/>
        <v>3.5019632409825281</v>
      </c>
      <c r="X550" s="7">
        <f t="shared" si="86"/>
        <v>0.12491827565585011</v>
      </c>
      <c r="Y550" s="7">
        <f t="shared" si="87"/>
        <v>0.49396881570726414</v>
      </c>
      <c r="Z550" s="7">
        <f t="shared" si="88"/>
        <v>-0.12393338319636275</v>
      </c>
      <c r="AA550" s="7">
        <f t="shared" si="89"/>
        <v>0.16498456938891717</v>
      </c>
    </row>
    <row r="551" spans="1:27" x14ac:dyDescent="0.25">
      <c r="A551" s="1" t="s">
        <v>1678</v>
      </c>
      <c r="B551" s="1" t="s">
        <v>861</v>
      </c>
      <c r="C551" s="1">
        <v>8</v>
      </c>
      <c r="D551" s="1">
        <v>8</v>
      </c>
      <c r="E551" s="1">
        <v>8</v>
      </c>
      <c r="F551" s="1">
        <v>8</v>
      </c>
      <c r="G551" s="1">
        <v>8</v>
      </c>
      <c r="H551" s="1">
        <v>8</v>
      </c>
      <c r="I551" s="1">
        <v>8</v>
      </c>
      <c r="J551" s="1">
        <v>7</v>
      </c>
      <c r="K551" s="1">
        <v>8</v>
      </c>
      <c r="L551" s="1">
        <v>8</v>
      </c>
      <c r="M551" s="1">
        <v>32</v>
      </c>
      <c r="N551" s="1">
        <v>31</v>
      </c>
      <c r="O551" s="1">
        <v>16</v>
      </c>
      <c r="P551" s="1">
        <v>79</v>
      </c>
      <c r="Q551" s="7">
        <v>0.31622776601683794</v>
      </c>
      <c r="R551" s="7">
        <f t="shared" si="80"/>
        <v>23.196700507614214</v>
      </c>
      <c r="S551" s="7">
        <f t="shared" si="81"/>
        <v>6.4306002317777482</v>
      </c>
      <c r="T551" s="7">
        <f t="shared" si="82"/>
        <v>22.771573604060915</v>
      </c>
      <c r="U551" s="7">
        <f t="shared" si="83"/>
        <v>6.5356886776680962</v>
      </c>
      <c r="V551" s="7">
        <f t="shared" si="84"/>
        <v>11.434010152284264</v>
      </c>
      <c r="W551" s="7">
        <f t="shared" si="85"/>
        <v>3.5019632409825281</v>
      </c>
      <c r="X551" s="7">
        <f t="shared" si="86"/>
        <v>1.3689701077798304</v>
      </c>
      <c r="Y551" s="7">
        <f t="shared" si="87"/>
        <v>1.2589991356312507</v>
      </c>
      <c r="Z551" s="7">
        <f t="shared" si="88"/>
        <v>1.3038371717558861</v>
      </c>
      <c r="AA551" s="7">
        <f t="shared" si="89"/>
        <v>1.310602138388989</v>
      </c>
    </row>
    <row r="552" spans="1:27" x14ac:dyDescent="0.25">
      <c r="A552" s="1" t="s">
        <v>1678</v>
      </c>
      <c r="B552" s="1" t="s">
        <v>861</v>
      </c>
      <c r="C552" s="1">
        <v>9</v>
      </c>
      <c r="D552" s="1">
        <v>9</v>
      </c>
      <c r="E552" s="1">
        <v>9</v>
      </c>
      <c r="F552" s="1">
        <v>9</v>
      </c>
      <c r="G552" s="1">
        <v>6</v>
      </c>
      <c r="H552" s="1">
        <v>7</v>
      </c>
      <c r="I552" s="1">
        <v>7</v>
      </c>
      <c r="J552" s="1">
        <v>8</v>
      </c>
      <c r="K552" s="1">
        <v>8</v>
      </c>
      <c r="L552" s="1">
        <v>7</v>
      </c>
      <c r="M552" s="1">
        <v>36</v>
      </c>
      <c r="N552" s="1">
        <v>28</v>
      </c>
      <c r="O552" s="1">
        <v>15</v>
      </c>
      <c r="P552" s="1">
        <v>79</v>
      </c>
      <c r="Q552" s="7">
        <v>1.1005049346146123</v>
      </c>
      <c r="R552" s="7">
        <f t="shared" si="80"/>
        <v>23.196700507614214</v>
      </c>
      <c r="S552" s="7">
        <f t="shared" si="81"/>
        <v>6.4306002317777482</v>
      </c>
      <c r="T552" s="7">
        <f t="shared" si="82"/>
        <v>22.771573604060915</v>
      </c>
      <c r="U552" s="7">
        <f t="shared" si="83"/>
        <v>6.5356886776680962</v>
      </c>
      <c r="V552" s="7">
        <f t="shared" si="84"/>
        <v>11.434010152284264</v>
      </c>
      <c r="W552" s="7">
        <f t="shared" si="85"/>
        <v>3.5019632409825281</v>
      </c>
      <c r="X552" s="7">
        <f t="shared" si="86"/>
        <v>1.9909960238418205</v>
      </c>
      <c r="Y552" s="7">
        <f t="shared" si="87"/>
        <v>0.79998094367685879</v>
      </c>
      <c r="Z552" s="7">
        <f t="shared" si="88"/>
        <v>1.0182830607654363</v>
      </c>
      <c r="AA552" s="7">
        <f t="shared" si="89"/>
        <v>1.2697533427613719</v>
      </c>
    </row>
    <row r="553" spans="1:27" x14ac:dyDescent="0.25">
      <c r="A553" s="1" t="s">
        <v>1678</v>
      </c>
      <c r="B553" s="1" t="s">
        <v>861</v>
      </c>
      <c r="C553" s="1">
        <v>9</v>
      </c>
      <c r="D553" s="1">
        <v>8</v>
      </c>
      <c r="E553" s="1">
        <v>9</v>
      </c>
      <c r="F553" s="1">
        <v>8</v>
      </c>
      <c r="G553" s="1">
        <v>8</v>
      </c>
      <c r="H553" s="1">
        <v>8</v>
      </c>
      <c r="I553" s="1">
        <v>7</v>
      </c>
      <c r="J553" s="1">
        <v>9</v>
      </c>
      <c r="K553" s="1">
        <v>8</v>
      </c>
      <c r="L553" s="1">
        <v>8</v>
      </c>
      <c r="M553" s="1">
        <v>34</v>
      </c>
      <c r="N553" s="1">
        <v>32</v>
      </c>
      <c r="O553" s="1">
        <v>16</v>
      </c>
      <c r="P553" s="1">
        <v>82</v>
      </c>
      <c r="Q553" s="7">
        <v>0.63245553203367599</v>
      </c>
      <c r="R553" s="7">
        <f t="shared" si="80"/>
        <v>23.196700507614214</v>
      </c>
      <c r="S553" s="7">
        <f t="shared" si="81"/>
        <v>6.4306002317777482</v>
      </c>
      <c r="T553" s="7">
        <f t="shared" si="82"/>
        <v>22.771573604060915</v>
      </c>
      <c r="U553" s="7">
        <f t="shared" si="83"/>
        <v>6.5356886776680962</v>
      </c>
      <c r="V553" s="7">
        <f t="shared" si="84"/>
        <v>11.434010152284264</v>
      </c>
      <c r="W553" s="7">
        <f t="shared" si="85"/>
        <v>3.5019632409825281</v>
      </c>
      <c r="X553" s="7">
        <f t="shared" si="86"/>
        <v>1.6799830658108255</v>
      </c>
      <c r="Y553" s="7">
        <f t="shared" si="87"/>
        <v>1.4120051996160479</v>
      </c>
      <c r="Z553" s="7">
        <f t="shared" si="88"/>
        <v>1.3038371717558861</v>
      </c>
      <c r="AA553" s="7">
        <f t="shared" si="89"/>
        <v>1.4652751457275865</v>
      </c>
    </row>
    <row r="554" spans="1:27" x14ac:dyDescent="0.25">
      <c r="A554" s="1" t="s">
        <v>1678</v>
      </c>
      <c r="B554" s="1" t="s">
        <v>861</v>
      </c>
      <c r="C554" s="1">
        <v>8</v>
      </c>
      <c r="D554" s="1">
        <v>8</v>
      </c>
      <c r="E554" s="1">
        <v>8</v>
      </c>
      <c r="F554" s="1">
        <v>8</v>
      </c>
      <c r="G554" s="1">
        <v>7</v>
      </c>
      <c r="H554" s="1">
        <v>7</v>
      </c>
      <c r="I554" s="1">
        <v>7</v>
      </c>
      <c r="J554" s="1">
        <v>7</v>
      </c>
      <c r="K554" s="1">
        <v>8</v>
      </c>
      <c r="L554" s="1">
        <v>8</v>
      </c>
      <c r="M554" s="1">
        <v>32</v>
      </c>
      <c r="N554" s="1">
        <v>28</v>
      </c>
      <c r="O554" s="1">
        <v>16</v>
      </c>
      <c r="P554" s="1">
        <v>76</v>
      </c>
      <c r="Q554" s="7">
        <v>0.5163977794943222</v>
      </c>
      <c r="R554" s="7">
        <f t="shared" si="80"/>
        <v>23.196700507614214</v>
      </c>
      <c r="S554" s="7">
        <f t="shared" si="81"/>
        <v>6.4306002317777482</v>
      </c>
      <c r="T554" s="7">
        <f t="shared" si="82"/>
        <v>22.771573604060915</v>
      </c>
      <c r="U554" s="7">
        <f t="shared" si="83"/>
        <v>6.5356886776680962</v>
      </c>
      <c r="V554" s="7">
        <f t="shared" si="84"/>
        <v>11.434010152284264</v>
      </c>
      <c r="W554" s="7">
        <f t="shared" si="85"/>
        <v>3.5019632409825281</v>
      </c>
      <c r="X554" s="7">
        <f t="shared" si="86"/>
        <v>1.3689701077798304</v>
      </c>
      <c r="Y554" s="7">
        <f t="shared" si="87"/>
        <v>0.79998094367685879</v>
      </c>
      <c r="Z554" s="7">
        <f t="shared" si="88"/>
        <v>1.3038371717558861</v>
      </c>
      <c r="AA554" s="7">
        <f t="shared" si="89"/>
        <v>1.1575960744041918</v>
      </c>
    </row>
    <row r="555" spans="1:27" x14ac:dyDescent="0.25">
      <c r="A555" s="1" t="s">
        <v>1678</v>
      </c>
      <c r="B555" s="1" t="s">
        <v>861</v>
      </c>
      <c r="C555" s="1">
        <v>7</v>
      </c>
      <c r="D555" s="1">
        <v>7</v>
      </c>
      <c r="E555" s="1">
        <v>7</v>
      </c>
      <c r="F555" s="1">
        <v>7</v>
      </c>
      <c r="G555" s="1">
        <v>7</v>
      </c>
      <c r="H555" s="1">
        <v>8</v>
      </c>
      <c r="I555" s="1">
        <v>7</v>
      </c>
      <c r="J555" s="1">
        <v>8</v>
      </c>
      <c r="K555" s="1">
        <v>8</v>
      </c>
      <c r="L555" s="1">
        <v>7</v>
      </c>
      <c r="M555" s="1">
        <v>28</v>
      </c>
      <c r="N555" s="1">
        <v>30</v>
      </c>
      <c r="O555" s="1">
        <v>15</v>
      </c>
      <c r="P555" s="1">
        <v>73</v>
      </c>
      <c r="Q555" s="7">
        <v>0.48304589153964789</v>
      </c>
      <c r="R555" s="7">
        <f t="shared" si="80"/>
        <v>23.196700507614214</v>
      </c>
      <c r="S555" s="7">
        <f t="shared" si="81"/>
        <v>6.4306002317777482</v>
      </c>
      <c r="T555" s="7">
        <f t="shared" si="82"/>
        <v>22.771573604060915</v>
      </c>
      <c r="U555" s="7">
        <f t="shared" si="83"/>
        <v>6.5356886776680962</v>
      </c>
      <c r="V555" s="7">
        <f t="shared" si="84"/>
        <v>11.434010152284264</v>
      </c>
      <c r="W555" s="7">
        <f t="shared" si="85"/>
        <v>3.5019632409825281</v>
      </c>
      <c r="X555" s="7">
        <f t="shared" si="86"/>
        <v>0.74694419171784021</v>
      </c>
      <c r="Y555" s="7">
        <f t="shared" si="87"/>
        <v>1.1059930716464534</v>
      </c>
      <c r="Z555" s="7">
        <f t="shared" si="88"/>
        <v>1.0182830607654363</v>
      </c>
      <c r="AA555" s="7">
        <f t="shared" si="89"/>
        <v>0.95707344137657679</v>
      </c>
    </row>
    <row r="556" spans="1:27" x14ac:dyDescent="0.25">
      <c r="A556" s="1" t="s">
        <v>1678</v>
      </c>
      <c r="B556" s="1" t="s">
        <v>861</v>
      </c>
      <c r="C556" s="1">
        <v>8</v>
      </c>
      <c r="D556" s="1">
        <v>8</v>
      </c>
      <c r="E556" s="1">
        <v>8</v>
      </c>
      <c r="F556" s="1">
        <v>8</v>
      </c>
      <c r="G556" s="1">
        <v>7</v>
      </c>
      <c r="H556" s="1">
        <v>7</v>
      </c>
      <c r="I556" s="1">
        <v>8</v>
      </c>
      <c r="J556" s="1">
        <v>7</v>
      </c>
      <c r="K556" s="1">
        <v>7</v>
      </c>
      <c r="L556" s="1">
        <v>8</v>
      </c>
      <c r="M556" s="1">
        <v>32</v>
      </c>
      <c r="N556" s="1">
        <v>29</v>
      </c>
      <c r="O556" s="1">
        <v>15</v>
      </c>
      <c r="P556" s="1">
        <v>76</v>
      </c>
      <c r="Q556" s="7">
        <v>0.51639777949432208</v>
      </c>
      <c r="R556" s="7">
        <f t="shared" si="80"/>
        <v>23.196700507614214</v>
      </c>
      <c r="S556" s="7">
        <f t="shared" si="81"/>
        <v>6.4306002317777482</v>
      </c>
      <c r="T556" s="7">
        <f t="shared" si="82"/>
        <v>22.771573604060915</v>
      </c>
      <c r="U556" s="7">
        <f t="shared" si="83"/>
        <v>6.5356886776680962</v>
      </c>
      <c r="V556" s="7">
        <f t="shared" si="84"/>
        <v>11.434010152284264</v>
      </c>
      <c r="W556" s="7">
        <f t="shared" si="85"/>
        <v>3.5019632409825281</v>
      </c>
      <c r="X556" s="7">
        <f t="shared" si="86"/>
        <v>1.3689701077798304</v>
      </c>
      <c r="Y556" s="7">
        <f t="shared" si="87"/>
        <v>0.95298700766165612</v>
      </c>
      <c r="Z556" s="7">
        <f t="shared" si="88"/>
        <v>1.0182830607654363</v>
      </c>
      <c r="AA556" s="7">
        <f t="shared" si="89"/>
        <v>1.1134133920689742</v>
      </c>
    </row>
    <row r="557" spans="1:27" x14ac:dyDescent="0.25">
      <c r="A557" s="1" t="s">
        <v>1678</v>
      </c>
      <c r="B557" s="1" t="s">
        <v>861</v>
      </c>
      <c r="C557" s="1">
        <v>9</v>
      </c>
      <c r="D557" s="1">
        <v>7</v>
      </c>
      <c r="E557" s="1">
        <v>8</v>
      </c>
      <c r="F557" s="1">
        <v>8</v>
      </c>
      <c r="G557" s="1">
        <v>9</v>
      </c>
      <c r="H557" s="1">
        <v>9</v>
      </c>
      <c r="I557" s="1">
        <v>9</v>
      </c>
      <c r="J557" s="1">
        <v>8</v>
      </c>
      <c r="K557" s="1">
        <v>9</v>
      </c>
      <c r="L557" s="1">
        <v>9</v>
      </c>
      <c r="M557" s="1">
        <v>32</v>
      </c>
      <c r="N557" s="1">
        <v>35</v>
      </c>
      <c r="O557" s="1">
        <v>18</v>
      </c>
      <c r="P557" s="1">
        <v>85</v>
      </c>
      <c r="Q557" s="7">
        <v>0.70710678118654802</v>
      </c>
      <c r="R557" s="7">
        <f t="shared" si="80"/>
        <v>23.196700507614214</v>
      </c>
      <c r="S557" s="7">
        <f t="shared" si="81"/>
        <v>6.4306002317777482</v>
      </c>
      <c r="T557" s="7">
        <f t="shared" si="82"/>
        <v>22.771573604060915</v>
      </c>
      <c r="U557" s="7">
        <f t="shared" si="83"/>
        <v>6.5356886776680962</v>
      </c>
      <c r="V557" s="7">
        <f t="shared" si="84"/>
        <v>11.434010152284264</v>
      </c>
      <c r="W557" s="7">
        <f t="shared" si="85"/>
        <v>3.5019632409825281</v>
      </c>
      <c r="X557" s="7">
        <f t="shared" si="86"/>
        <v>1.3689701077798304</v>
      </c>
      <c r="Y557" s="7">
        <f t="shared" si="87"/>
        <v>1.87102339157044</v>
      </c>
      <c r="Z557" s="7">
        <f t="shared" si="88"/>
        <v>1.8749453937367857</v>
      </c>
      <c r="AA557" s="7">
        <f t="shared" si="89"/>
        <v>1.7049796310290188</v>
      </c>
    </row>
    <row r="558" spans="1:27" x14ac:dyDescent="0.25">
      <c r="A558" s="1" t="s">
        <v>1679</v>
      </c>
      <c r="B558" s="1" t="s">
        <v>861</v>
      </c>
      <c r="C558" s="1">
        <v>3</v>
      </c>
      <c r="D558" s="1">
        <v>2</v>
      </c>
      <c r="E558" s="1">
        <v>2</v>
      </c>
      <c r="F558" s="1">
        <v>3</v>
      </c>
      <c r="G558" s="1">
        <v>2</v>
      </c>
      <c r="H558" s="1">
        <v>2</v>
      </c>
      <c r="I558" s="1">
        <v>2</v>
      </c>
      <c r="J558" s="1">
        <v>3</v>
      </c>
      <c r="K558" s="1">
        <v>3</v>
      </c>
      <c r="L558" s="1">
        <v>1</v>
      </c>
      <c r="M558" s="1">
        <v>10</v>
      </c>
      <c r="N558" s="1">
        <v>9</v>
      </c>
      <c r="O558" s="1">
        <v>4</v>
      </c>
      <c r="P558" s="1">
        <v>23</v>
      </c>
      <c r="Q558" s="7">
        <v>0.67494855771055284</v>
      </c>
      <c r="R558" s="7">
        <f t="shared" si="80"/>
        <v>23.196700507614214</v>
      </c>
      <c r="S558" s="7">
        <f t="shared" si="81"/>
        <v>6.4306002317777482</v>
      </c>
      <c r="T558" s="7">
        <f t="shared" si="82"/>
        <v>22.771573604060915</v>
      </c>
      <c r="U558" s="7">
        <f t="shared" si="83"/>
        <v>6.5356886776680962</v>
      </c>
      <c r="V558" s="7">
        <f t="shared" si="84"/>
        <v>11.434010152284264</v>
      </c>
      <c r="W558" s="7">
        <f t="shared" si="85"/>
        <v>3.5019632409825281</v>
      </c>
      <c r="X558" s="7">
        <f t="shared" si="86"/>
        <v>-2.0521724305611153</v>
      </c>
      <c r="Y558" s="7">
        <f t="shared" si="87"/>
        <v>-2.10713427203429</v>
      </c>
      <c r="Z558" s="7">
        <f t="shared" si="88"/>
        <v>-2.1228121601295111</v>
      </c>
      <c r="AA558" s="7">
        <f t="shared" si="89"/>
        <v>-2.0940396209083052</v>
      </c>
    </row>
    <row r="559" spans="1:27" x14ac:dyDescent="0.25">
      <c r="A559" s="1" t="s">
        <v>1679</v>
      </c>
      <c r="B559" s="1" t="s">
        <v>861</v>
      </c>
      <c r="C559" s="1">
        <v>6</v>
      </c>
      <c r="D559" s="1">
        <v>5</v>
      </c>
      <c r="E559" s="1">
        <v>4</v>
      </c>
      <c r="F559" s="1">
        <v>3</v>
      </c>
      <c r="G559" s="1">
        <v>5</v>
      </c>
      <c r="H559" s="1">
        <v>4</v>
      </c>
      <c r="I559" s="1">
        <v>6</v>
      </c>
      <c r="J559" s="1">
        <v>4</v>
      </c>
      <c r="K559" s="1">
        <v>5</v>
      </c>
      <c r="L559" s="1">
        <v>2</v>
      </c>
      <c r="M559" s="1">
        <v>18</v>
      </c>
      <c r="N559" s="1">
        <v>19</v>
      </c>
      <c r="O559" s="1">
        <v>7</v>
      </c>
      <c r="P559" s="1">
        <v>44</v>
      </c>
      <c r="Q559" s="7">
        <v>1.2649110640673518</v>
      </c>
      <c r="R559" s="7">
        <f t="shared" si="80"/>
        <v>23.196700507614214</v>
      </c>
      <c r="S559" s="7">
        <f t="shared" si="81"/>
        <v>6.4306002317777482</v>
      </c>
      <c r="T559" s="7">
        <f t="shared" si="82"/>
        <v>22.771573604060915</v>
      </c>
      <c r="U559" s="7">
        <f t="shared" si="83"/>
        <v>6.5356886776680962</v>
      </c>
      <c r="V559" s="7">
        <f t="shared" si="84"/>
        <v>11.434010152284264</v>
      </c>
      <c r="W559" s="7">
        <f t="shared" si="85"/>
        <v>3.5019632409825281</v>
      </c>
      <c r="X559" s="7">
        <f t="shared" si="86"/>
        <v>-0.80812059843713513</v>
      </c>
      <c r="Y559" s="7">
        <f t="shared" si="87"/>
        <v>-0.57707363218631691</v>
      </c>
      <c r="Z559" s="7">
        <f t="shared" si="88"/>
        <v>-1.2661498271581617</v>
      </c>
      <c r="AA559" s="7">
        <f t="shared" si="89"/>
        <v>-0.88378135259387136</v>
      </c>
    </row>
    <row r="560" spans="1:27" x14ac:dyDescent="0.25">
      <c r="A560" s="1" t="s">
        <v>1679</v>
      </c>
      <c r="B560" s="1" t="s">
        <v>861</v>
      </c>
      <c r="C560" s="1">
        <v>7</v>
      </c>
      <c r="D560" s="1">
        <v>4</v>
      </c>
      <c r="E560" s="1">
        <v>6</v>
      </c>
      <c r="F560" s="1">
        <v>5</v>
      </c>
      <c r="G560" s="1">
        <v>4</v>
      </c>
      <c r="H560" s="1">
        <v>3</v>
      </c>
      <c r="I560" s="1">
        <v>4</v>
      </c>
      <c r="J560" s="1">
        <v>5</v>
      </c>
      <c r="K560" s="1">
        <v>6</v>
      </c>
      <c r="L560" s="1">
        <v>6</v>
      </c>
      <c r="M560" s="1">
        <v>22</v>
      </c>
      <c r="N560" s="1">
        <v>16</v>
      </c>
      <c r="O560" s="1">
        <v>12</v>
      </c>
      <c r="P560" s="1">
        <v>50</v>
      </c>
      <c r="Q560" s="7">
        <v>1.247219128924647</v>
      </c>
      <c r="R560" s="7">
        <f t="shared" si="80"/>
        <v>23.196700507614214</v>
      </c>
      <c r="S560" s="7">
        <f t="shared" si="81"/>
        <v>6.4306002317777482</v>
      </c>
      <c r="T560" s="7">
        <f t="shared" si="82"/>
        <v>22.771573604060915</v>
      </c>
      <c r="U560" s="7">
        <f t="shared" si="83"/>
        <v>6.5356886776680962</v>
      </c>
      <c r="V560" s="7">
        <f t="shared" si="84"/>
        <v>11.434010152284264</v>
      </c>
      <c r="W560" s="7">
        <f t="shared" si="85"/>
        <v>3.5019632409825281</v>
      </c>
      <c r="X560" s="7">
        <f t="shared" si="86"/>
        <v>-0.18609468237514495</v>
      </c>
      <c r="Y560" s="7">
        <f t="shared" si="87"/>
        <v>-1.0360918241407089</v>
      </c>
      <c r="Z560" s="7">
        <f t="shared" si="88"/>
        <v>0.16162072779408701</v>
      </c>
      <c r="AA560" s="7">
        <f t="shared" si="89"/>
        <v>-0.35352192624058892</v>
      </c>
    </row>
    <row r="561" spans="1:27" x14ac:dyDescent="0.25">
      <c r="A561" s="1" t="s">
        <v>1679</v>
      </c>
      <c r="B561" s="1" t="s">
        <v>861</v>
      </c>
      <c r="C561" s="1">
        <v>9</v>
      </c>
      <c r="D561" s="1">
        <v>9</v>
      </c>
      <c r="E561" s="1">
        <v>9</v>
      </c>
      <c r="F561" s="1">
        <v>8</v>
      </c>
      <c r="G561" s="1">
        <v>9</v>
      </c>
      <c r="H561" s="1">
        <v>9</v>
      </c>
      <c r="I561" s="1">
        <v>9</v>
      </c>
      <c r="J561" s="1">
        <v>10</v>
      </c>
      <c r="K561" s="1">
        <v>10</v>
      </c>
      <c r="L561" s="1">
        <v>9</v>
      </c>
      <c r="M561" s="1">
        <v>35</v>
      </c>
      <c r="N561" s="1">
        <v>37</v>
      </c>
      <c r="O561" s="1">
        <v>19</v>
      </c>
      <c r="P561" s="1">
        <v>91</v>
      </c>
      <c r="Q561" s="7">
        <v>0.56764621219754663</v>
      </c>
      <c r="R561" s="7">
        <f t="shared" si="80"/>
        <v>23.196700507614214</v>
      </c>
      <c r="S561" s="7">
        <f t="shared" si="81"/>
        <v>6.4306002317777482</v>
      </c>
      <c r="T561" s="7">
        <f t="shared" si="82"/>
        <v>22.771573604060915</v>
      </c>
      <c r="U561" s="7">
        <f t="shared" si="83"/>
        <v>6.5356886776680962</v>
      </c>
      <c r="V561" s="7">
        <f t="shared" si="84"/>
        <v>11.434010152284264</v>
      </c>
      <c r="W561" s="7">
        <f t="shared" si="85"/>
        <v>3.5019632409825281</v>
      </c>
      <c r="X561" s="7">
        <f t="shared" si="86"/>
        <v>1.8354895448263231</v>
      </c>
      <c r="Y561" s="7">
        <f t="shared" si="87"/>
        <v>2.1770355195400346</v>
      </c>
      <c r="Z561" s="7">
        <f t="shared" si="88"/>
        <v>2.1604995047272353</v>
      </c>
      <c r="AA561" s="7">
        <f t="shared" si="89"/>
        <v>2.0576748563645313</v>
      </c>
    </row>
    <row r="562" spans="1:27" x14ac:dyDescent="0.25">
      <c r="A562" s="1" t="s">
        <v>1679</v>
      </c>
      <c r="B562" s="1" t="s">
        <v>861</v>
      </c>
      <c r="C562" s="1">
        <v>8</v>
      </c>
      <c r="D562" s="1">
        <v>7</v>
      </c>
      <c r="E562" s="1">
        <v>8</v>
      </c>
      <c r="F562" s="1">
        <v>7</v>
      </c>
      <c r="G562" s="1">
        <v>7</v>
      </c>
      <c r="H562" s="1">
        <v>6</v>
      </c>
      <c r="I562" s="1">
        <v>7</v>
      </c>
      <c r="J562" s="1">
        <v>6</v>
      </c>
      <c r="K562" s="1">
        <v>7</v>
      </c>
      <c r="L562" s="1">
        <v>3</v>
      </c>
      <c r="M562" s="1">
        <v>30</v>
      </c>
      <c r="N562" s="1">
        <v>26</v>
      </c>
      <c r="O562" s="1">
        <v>10</v>
      </c>
      <c r="P562" s="1">
        <v>66</v>
      </c>
      <c r="Q562" s="7">
        <v>1.429840705968481</v>
      </c>
      <c r="R562" s="7">
        <f t="shared" si="80"/>
        <v>23.196700507614214</v>
      </c>
      <c r="S562" s="7">
        <f t="shared" si="81"/>
        <v>6.4306002317777482</v>
      </c>
      <c r="T562" s="7">
        <f t="shared" si="82"/>
        <v>22.771573604060915</v>
      </c>
      <c r="U562" s="7">
        <f t="shared" si="83"/>
        <v>6.5356886776680962</v>
      </c>
      <c r="V562" s="7">
        <f t="shared" si="84"/>
        <v>11.434010152284264</v>
      </c>
      <c r="W562" s="7">
        <f t="shared" si="85"/>
        <v>3.5019632409825281</v>
      </c>
      <c r="X562" s="7">
        <f t="shared" si="86"/>
        <v>1.0579571497488354</v>
      </c>
      <c r="Y562" s="7">
        <f t="shared" si="87"/>
        <v>0.49396881570726414</v>
      </c>
      <c r="Z562" s="7">
        <f t="shared" si="88"/>
        <v>-0.40948749418681252</v>
      </c>
      <c r="AA562" s="7">
        <f t="shared" si="89"/>
        <v>0.380812823756429</v>
      </c>
    </row>
    <row r="563" spans="1:27" x14ac:dyDescent="0.25">
      <c r="A563" s="1" t="s">
        <v>1679</v>
      </c>
      <c r="B563" s="1" t="s">
        <v>861</v>
      </c>
      <c r="C563" s="1">
        <v>7</v>
      </c>
      <c r="D563" s="1">
        <v>8</v>
      </c>
      <c r="E563" s="1">
        <v>9</v>
      </c>
      <c r="F563" s="1">
        <v>9</v>
      </c>
      <c r="G563" s="1">
        <v>10</v>
      </c>
      <c r="H563" s="1">
        <v>9</v>
      </c>
      <c r="I563" s="1">
        <v>9</v>
      </c>
      <c r="J563" s="1">
        <v>10</v>
      </c>
      <c r="K563" s="1">
        <v>10</v>
      </c>
      <c r="L563" s="1">
        <v>8</v>
      </c>
      <c r="M563" s="1">
        <v>33</v>
      </c>
      <c r="N563" s="1">
        <v>38</v>
      </c>
      <c r="O563" s="1">
        <v>18</v>
      </c>
      <c r="P563" s="1">
        <v>89</v>
      </c>
      <c r="Q563" s="7">
        <v>0.99442892601175348</v>
      </c>
      <c r="R563" s="7">
        <f t="shared" si="80"/>
        <v>23.196700507614214</v>
      </c>
      <c r="S563" s="7">
        <f t="shared" si="81"/>
        <v>6.4306002317777482</v>
      </c>
      <c r="T563" s="7">
        <f t="shared" si="82"/>
        <v>22.771573604060915</v>
      </c>
      <c r="U563" s="7">
        <f t="shared" si="83"/>
        <v>6.5356886776680962</v>
      </c>
      <c r="V563" s="7">
        <f t="shared" si="84"/>
        <v>11.434010152284264</v>
      </c>
      <c r="W563" s="7">
        <f t="shared" si="85"/>
        <v>3.5019632409825281</v>
      </c>
      <c r="X563" s="7">
        <f t="shared" si="86"/>
        <v>1.524476586795328</v>
      </c>
      <c r="Y563" s="7">
        <f t="shared" si="87"/>
        <v>2.3300415835248316</v>
      </c>
      <c r="Z563" s="7">
        <f t="shared" si="88"/>
        <v>1.8749453937367857</v>
      </c>
      <c r="AA563" s="7">
        <f t="shared" si="89"/>
        <v>1.9098211880189817</v>
      </c>
    </row>
    <row r="564" spans="1:27" x14ac:dyDescent="0.25">
      <c r="A564" s="1" t="s">
        <v>1679</v>
      </c>
      <c r="B564" s="1" t="s">
        <v>861</v>
      </c>
      <c r="C564" s="1">
        <v>6</v>
      </c>
      <c r="D564" s="1">
        <v>8</v>
      </c>
      <c r="E564" s="1">
        <v>8</v>
      </c>
      <c r="F564" s="1">
        <v>7</v>
      </c>
      <c r="G564" s="1">
        <v>9</v>
      </c>
      <c r="H564" s="1">
        <v>9</v>
      </c>
      <c r="I564" s="1">
        <v>8</v>
      </c>
      <c r="J564" s="1">
        <v>8</v>
      </c>
      <c r="K564" s="1">
        <v>8</v>
      </c>
      <c r="L564" s="1">
        <v>10</v>
      </c>
      <c r="M564" s="1">
        <v>29</v>
      </c>
      <c r="N564" s="1">
        <v>34</v>
      </c>
      <c r="O564" s="1">
        <v>18</v>
      </c>
      <c r="P564" s="1">
        <v>81</v>
      </c>
      <c r="Q564" s="7">
        <v>1.1005049346146119</v>
      </c>
      <c r="R564" s="7">
        <f t="shared" si="80"/>
        <v>23.196700507614214</v>
      </c>
      <c r="S564" s="7">
        <f t="shared" si="81"/>
        <v>6.4306002317777482</v>
      </c>
      <c r="T564" s="7">
        <f t="shared" si="82"/>
        <v>22.771573604060915</v>
      </c>
      <c r="U564" s="7">
        <f t="shared" si="83"/>
        <v>6.5356886776680962</v>
      </c>
      <c r="V564" s="7">
        <f t="shared" si="84"/>
        <v>11.434010152284264</v>
      </c>
      <c r="W564" s="7">
        <f t="shared" si="85"/>
        <v>3.5019632409825281</v>
      </c>
      <c r="X564" s="7">
        <f t="shared" si="86"/>
        <v>0.90245067073333785</v>
      </c>
      <c r="Y564" s="7">
        <f t="shared" si="87"/>
        <v>1.7180173275856425</v>
      </c>
      <c r="Z564" s="7">
        <f t="shared" si="88"/>
        <v>1.8749453937367857</v>
      </c>
      <c r="AA564" s="7">
        <f t="shared" si="89"/>
        <v>1.4984711306852556</v>
      </c>
    </row>
    <row r="565" spans="1:27" x14ac:dyDescent="0.25">
      <c r="A565" s="1" t="s">
        <v>1679</v>
      </c>
      <c r="B565" s="1" t="s">
        <v>861</v>
      </c>
      <c r="C565" s="1">
        <v>6</v>
      </c>
      <c r="D565" s="1">
        <v>5</v>
      </c>
      <c r="E565" s="1">
        <v>6</v>
      </c>
      <c r="F565" s="1">
        <v>5</v>
      </c>
      <c r="G565" s="1">
        <v>6</v>
      </c>
      <c r="H565" s="1">
        <v>5</v>
      </c>
      <c r="I565" s="1">
        <v>5</v>
      </c>
      <c r="J565" s="1">
        <v>5</v>
      </c>
      <c r="K565" s="1">
        <v>5</v>
      </c>
      <c r="L565" s="1">
        <v>5</v>
      </c>
      <c r="M565" s="1">
        <v>22</v>
      </c>
      <c r="N565" s="1">
        <v>21</v>
      </c>
      <c r="O565" s="1">
        <v>10</v>
      </c>
      <c r="P565" s="1">
        <v>53</v>
      </c>
      <c r="Q565" s="7">
        <v>0.48304589153964789</v>
      </c>
      <c r="R565" s="7">
        <f t="shared" si="80"/>
        <v>23.196700507614214</v>
      </c>
      <c r="S565" s="7">
        <f t="shared" si="81"/>
        <v>6.4306002317777482</v>
      </c>
      <c r="T565" s="7">
        <f t="shared" si="82"/>
        <v>22.771573604060915</v>
      </c>
      <c r="U565" s="7">
        <f t="shared" si="83"/>
        <v>6.5356886776680962</v>
      </c>
      <c r="V565" s="7">
        <f t="shared" si="84"/>
        <v>11.434010152284264</v>
      </c>
      <c r="W565" s="7">
        <f t="shared" si="85"/>
        <v>3.5019632409825281</v>
      </c>
      <c r="X565" s="7">
        <f t="shared" si="86"/>
        <v>-0.18609468237514495</v>
      </c>
      <c r="Y565" s="7">
        <f t="shared" si="87"/>
        <v>-0.27106150421672232</v>
      </c>
      <c r="Z565" s="7">
        <f t="shared" si="88"/>
        <v>-0.40948749418681252</v>
      </c>
      <c r="AA565" s="7">
        <f t="shared" si="89"/>
        <v>-0.28888122692622659</v>
      </c>
    </row>
    <row r="566" spans="1:27" x14ac:dyDescent="0.25">
      <c r="A566" s="1" t="s">
        <v>1679</v>
      </c>
      <c r="B566" s="1" t="s">
        <v>861</v>
      </c>
      <c r="C566" s="1">
        <v>6</v>
      </c>
      <c r="D566" s="1">
        <v>6</v>
      </c>
      <c r="E566" s="1">
        <v>6</v>
      </c>
      <c r="F566" s="1">
        <v>7</v>
      </c>
      <c r="G566" s="1">
        <v>8</v>
      </c>
      <c r="H566" s="1">
        <v>7</v>
      </c>
      <c r="I566" s="1">
        <v>6</v>
      </c>
      <c r="J566" s="1">
        <v>5</v>
      </c>
      <c r="K566" s="1">
        <v>5</v>
      </c>
      <c r="L566" s="1">
        <v>6</v>
      </c>
      <c r="M566" s="1">
        <v>25</v>
      </c>
      <c r="N566" s="1">
        <v>26</v>
      </c>
      <c r="O566" s="1">
        <v>11</v>
      </c>
      <c r="P566" s="1">
        <v>62</v>
      </c>
      <c r="Q566" s="7">
        <v>0.91893658347268148</v>
      </c>
      <c r="R566" s="7">
        <f t="shared" si="80"/>
        <v>23.196700507614214</v>
      </c>
      <c r="S566" s="7">
        <f t="shared" si="81"/>
        <v>6.4306002317777482</v>
      </c>
      <c r="T566" s="7">
        <f t="shared" si="82"/>
        <v>22.771573604060915</v>
      </c>
      <c r="U566" s="7">
        <f t="shared" si="83"/>
        <v>6.5356886776680962</v>
      </c>
      <c r="V566" s="7">
        <f t="shared" si="84"/>
        <v>11.434010152284264</v>
      </c>
      <c r="W566" s="7">
        <f t="shared" si="85"/>
        <v>3.5019632409825281</v>
      </c>
      <c r="X566" s="7">
        <f t="shared" si="86"/>
        <v>0.28042475467134764</v>
      </c>
      <c r="Y566" s="7">
        <f t="shared" si="87"/>
        <v>0.49396881570726414</v>
      </c>
      <c r="Z566" s="7">
        <f t="shared" si="88"/>
        <v>-0.12393338319636275</v>
      </c>
      <c r="AA566" s="7">
        <f t="shared" si="89"/>
        <v>0.21682006239408302</v>
      </c>
    </row>
    <row r="567" spans="1:27" x14ac:dyDescent="0.25">
      <c r="A567" s="1" t="s">
        <v>1679</v>
      </c>
      <c r="B567" s="1" t="s">
        <v>861</v>
      </c>
      <c r="C567" s="1">
        <v>8</v>
      </c>
      <c r="D567" s="1">
        <v>7</v>
      </c>
      <c r="E567" s="1">
        <v>8</v>
      </c>
      <c r="F567" s="1">
        <v>8</v>
      </c>
      <c r="G567" s="1">
        <v>8</v>
      </c>
      <c r="H567" s="1">
        <v>7</v>
      </c>
      <c r="I567" s="1">
        <v>8</v>
      </c>
      <c r="J567" s="1">
        <v>9</v>
      </c>
      <c r="K567" s="1">
        <v>7</v>
      </c>
      <c r="L567" s="1">
        <v>7</v>
      </c>
      <c r="M567" s="1">
        <v>31</v>
      </c>
      <c r="N567" s="1">
        <v>32</v>
      </c>
      <c r="O567" s="1">
        <v>14</v>
      </c>
      <c r="P567" s="1">
        <v>77</v>
      </c>
      <c r="Q567" s="7">
        <v>0.67494855771055284</v>
      </c>
      <c r="R567" s="7">
        <f t="shared" si="80"/>
        <v>23.196700507614214</v>
      </c>
      <c r="S567" s="7">
        <f t="shared" si="81"/>
        <v>6.4306002317777482</v>
      </c>
      <c r="T567" s="7">
        <f t="shared" si="82"/>
        <v>22.771573604060915</v>
      </c>
      <c r="U567" s="7">
        <f t="shared" si="83"/>
        <v>6.5356886776680962</v>
      </c>
      <c r="V567" s="7">
        <f t="shared" si="84"/>
        <v>11.434010152284264</v>
      </c>
      <c r="W567" s="7">
        <f t="shared" si="85"/>
        <v>3.5019632409825281</v>
      </c>
      <c r="X567" s="7">
        <f t="shared" si="86"/>
        <v>1.2134636287643328</v>
      </c>
      <c r="Y567" s="7">
        <f t="shared" si="87"/>
        <v>1.4120051996160479</v>
      </c>
      <c r="Z567" s="7">
        <f t="shared" si="88"/>
        <v>0.73272894977498659</v>
      </c>
      <c r="AA567" s="7">
        <f t="shared" si="89"/>
        <v>1.1193992593851225</v>
      </c>
    </row>
    <row r="568" spans="1:27" x14ac:dyDescent="0.25">
      <c r="A568" s="1" t="s">
        <v>1679</v>
      </c>
      <c r="B568" s="1" t="s">
        <v>861</v>
      </c>
      <c r="C568" s="1">
        <v>7</v>
      </c>
      <c r="D568" s="1">
        <v>6</v>
      </c>
      <c r="E568" s="1">
        <v>7</v>
      </c>
      <c r="F568" s="1">
        <v>6</v>
      </c>
      <c r="G568" s="1">
        <v>7</v>
      </c>
      <c r="H568" s="1">
        <v>6</v>
      </c>
      <c r="I568" s="1">
        <v>7</v>
      </c>
      <c r="J568" s="1">
        <v>7</v>
      </c>
      <c r="K568" s="1">
        <v>7</v>
      </c>
      <c r="L568" s="1">
        <v>6</v>
      </c>
      <c r="M568" s="1">
        <v>26</v>
      </c>
      <c r="N568" s="1">
        <v>27</v>
      </c>
      <c r="O568" s="1">
        <v>13</v>
      </c>
      <c r="P568" s="1">
        <v>66</v>
      </c>
      <c r="Q568" s="7">
        <v>0.51639777949432231</v>
      </c>
      <c r="R568" s="7">
        <f t="shared" si="80"/>
        <v>23.196700507614214</v>
      </c>
      <c r="S568" s="7">
        <f t="shared" si="81"/>
        <v>6.4306002317777482</v>
      </c>
      <c r="T568" s="7">
        <f t="shared" si="82"/>
        <v>22.771573604060915</v>
      </c>
      <c r="U568" s="7">
        <f t="shared" si="83"/>
        <v>6.5356886776680962</v>
      </c>
      <c r="V568" s="7">
        <f t="shared" si="84"/>
        <v>11.434010152284264</v>
      </c>
      <c r="W568" s="7">
        <f t="shared" si="85"/>
        <v>3.5019632409825281</v>
      </c>
      <c r="X568" s="7">
        <f t="shared" si="86"/>
        <v>0.43593123368684517</v>
      </c>
      <c r="Y568" s="7">
        <f t="shared" si="87"/>
        <v>0.64697487969206147</v>
      </c>
      <c r="Z568" s="7">
        <f t="shared" si="88"/>
        <v>0.44717483878453679</v>
      </c>
      <c r="AA568" s="7">
        <f t="shared" si="89"/>
        <v>0.51002698405448121</v>
      </c>
    </row>
    <row r="569" spans="1:27" x14ac:dyDescent="0.25">
      <c r="A569" s="1" t="s">
        <v>1679</v>
      </c>
      <c r="B569" s="1" t="s">
        <v>861</v>
      </c>
      <c r="C569" s="1">
        <v>8</v>
      </c>
      <c r="D569" s="1">
        <v>7</v>
      </c>
      <c r="E569" s="1">
        <v>8</v>
      </c>
      <c r="F569" s="1">
        <v>7</v>
      </c>
      <c r="G569" s="1">
        <v>9</v>
      </c>
      <c r="H569" s="1">
        <v>8</v>
      </c>
      <c r="I569" s="1">
        <v>8</v>
      </c>
      <c r="J569" s="1">
        <v>8</v>
      </c>
      <c r="K569" s="1">
        <v>9</v>
      </c>
      <c r="L569" s="1">
        <v>8</v>
      </c>
      <c r="M569" s="1">
        <v>30</v>
      </c>
      <c r="N569" s="1">
        <v>33</v>
      </c>
      <c r="O569" s="1">
        <v>17</v>
      </c>
      <c r="P569" s="1">
        <v>80</v>
      </c>
      <c r="Q569" s="7">
        <v>0.66666666666666663</v>
      </c>
      <c r="R569" s="7">
        <f t="shared" si="80"/>
        <v>23.196700507614214</v>
      </c>
      <c r="S569" s="7">
        <f t="shared" si="81"/>
        <v>6.4306002317777482</v>
      </c>
      <c r="T569" s="7">
        <f t="shared" si="82"/>
        <v>22.771573604060915</v>
      </c>
      <c r="U569" s="7">
        <f t="shared" si="83"/>
        <v>6.5356886776680962</v>
      </c>
      <c r="V569" s="7">
        <f t="shared" si="84"/>
        <v>11.434010152284264</v>
      </c>
      <c r="W569" s="7">
        <f t="shared" si="85"/>
        <v>3.5019632409825281</v>
      </c>
      <c r="X569" s="7">
        <f t="shared" si="86"/>
        <v>1.0579571497488354</v>
      </c>
      <c r="Y569" s="7">
        <f t="shared" si="87"/>
        <v>1.5650112636008453</v>
      </c>
      <c r="Z569" s="7">
        <f t="shared" si="88"/>
        <v>1.5893912827463359</v>
      </c>
      <c r="AA569" s="7">
        <f t="shared" si="89"/>
        <v>1.4041198986986723</v>
      </c>
    </row>
    <row r="570" spans="1:27" x14ac:dyDescent="0.25">
      <c r="A570" s="1" t="s">
        <v>1679</v>
      </c>
      <c r="B570" s="1" t="s">
        <v>861</v>
      </c>
      <c r="C570" s="1">
        <v>7</v>
      </c>
      <c r="D570" s="1">
        <v>7</v>
      </c>
      <c r="E570" s="1">
        <v>8</v>
      </c>
      <c r="F570" s="1">
        <v>7</v>
      </c>
      <c r="G570" s="1">
        <v>7</v>
      </c>
      <c r="H570" s="1">
        <v>8</v>
      </c>
      <c r="I570" s="1">
        <v>7</v>
      </c>
      <c r="J570" s="1">
        <v>6</v>
      </c>
      <c r="K570" s="1">
        <v>6</v>
      </c>
      <c r="L570" s="1">
        <v>6</v>
      </c>
      <c r="M570" s="1">
        <v>29</v>
      </c>
      <c r="N570" s="1">
        <v>28</v>
      </c>
      <c r="O570" s="1">
        <v>12</v>
      </c>
      <c r="P570" s="1">
        <v>69</v>
      </c>
      <c r="Q570" s="7">
        <v>0.73786478737262218</v>
      </c>
      <c r="R570" s="7">
        <f t="shared" si="80"/>
        <v>23.196700507614214</v>
      </c>
      <c r="S570" s="7">
        <f t="shared" si="81"/>
        <v>6.4306002317777482</v>
      </c>
      <c r="T570" s="7">
        <f t="shared" si="82"/>
        <v>22.771573604060915</v>
      </c>
      <c r="U570" s="7">
        <f t="shared" si="83"/>
        <v>6.5356886776680962</v>
      </c>
      <c r="V570" s="7">
        <f t="shared" si="84"/>
        <v>11.434010152284264</v>
      </c>
      <c r="W570" s="7">
        <f t="shared" si="85"/>
        <v>3.5019632409825281</v>
      </c>
      <c r="X570" s="7">
        <f t="shared" si="86"/>
        <v>0.90245067073333785</v>
      </c>
      <c r="Y570" s="7">
        <f t="shared" si="87"/>
        <v>0.79998094367685879</v>
      </c>
      <c r="Z570" s="7">
        <f t="shared" si="88"/>
        <v>0.16162072779408701</v>
      </c>
      <c r="AA570" s="7">
        <f t="shared" si="89"/>
        <v>0.62135078073476124</v>
      </c>
    </row>
    <row r="571" spans="1:27" x14ac:dyDescent="0.25">
      <c r="A571" s="1" t="s">
        <v>1679</v>
      </c>
      <c r="B571" s="1" t="s">
        <v>861</v>
      </c>
      <c r="C571" s="1">
        <v>8</v>
      </c>
      <c r="D571" s="1">
        <v>6</v>
      </c>
      <c r="E571" s="1">
        <v>7</v>
      </c>
      <c r="F571" s="1">
        <v>7</v>
      </c>
      <c r="G571" s="1">
        <v>7</v>
      </c>
      <c r="H571" s="1">
        <v>6</v>
      </c>
      <c r="I571" s="1">
        <v>7</v>
      </c>
      <c r="J571" s="1">
        <v>6</v>
      </c>
      <c r="K571" s="1">
        <v>7</v>
      </c>
      <c r="L571" s="1">
        <v>6</v>
      </c>
      <c r="M571" s="1">
        <v>28</v>
      </c>
      <c r="N571" s="1">
        <v>26</v>
      </c>
      <c r="O571" s="1">
        <v>13</v>
      </c>
      <c r="P571" s="1">
        <v>67</v>
      </c>
      <c r="Q571" s="7">
        <v>0.67494855771055284</v>
      </c>
      <c r="R571" s="7">
        <f t="shared" si="80"/>
        <v>23.196700507614214</v>
      </c>
      <c r="S571" s="7">
        <f t="shared" si="81"/>
        <v>6.4306002317777482</v>
      </c>
      <c r="T571" s="7">
        <f t="shared" si="82"/>
        <v>22.771573604060915</v>
      </c>
      <c r="U571" s="7">
        <f t="shared" si="83"/>
        <v>6.5356886776680962</v>
      </c>
      <c r="V571" s="7">
        <f t="shared" si="84"/>
        <v>11.434010152284264</v>
      </c>
      <c r="W571" s="7">
        <f t="shared" si="85"/>
        <v>3.5019632409825281</v>
      </c>
      <c r="X571" s="7">
        <f t="shared" si="86"/>
        <v>0.74694419171784021</v>
      </c>
      <c r="Y571" s="7">
        <f t="shared" si="87"/>
        <v>0.49396881570726414</v>
      </c>
      <c r="Z571" s="7">
        <f t="shared" si="88"/>
        <v>0.44717483878453679</v>
      </c>
      <c r="AA571" s="7">
        <f t="shared" si="89"/>
        <v>0.56269594873654716</v>
      </c>
    </row>
    <row r="572" spans="1:27" x14ac:dyDescent="0.25">
      <c r="A572" s="1" t="s">
        <v>1679</v>
      </c>
      <c r="B572" s="1" t="s">
        <v>861</v>
      </c>
      <c r="C572" s="1">
        <v>8</v>
      </c>
      <c r="D572" s="1">
        <v>5</v>
      </c>
      <c r="E572" s="1">
        <v>8</v>
      </c>
      <c r="F572" s="1">
        <v>7</v>
      </c>
      <c r="G572" s="1">
        <v>8</v>
      </c>
      <c r="H572" s="1">
        <v>7</v>
      </c>
      <c r="I572" s="1">
        <v>8</v>
      </c>
      <c r="J572" s="1">
        <v>7</v>
      </c>
      <c r="K572" s="1">
        <v>7</v>
      </c>
      <c r="L572" s="1">
        <v>8</v>
      </c>
      <c r="M572" s="1">
        <v>28</v>
      </c>
      <c r="N572" s="1">
        <v>30</v>
      </c>
      <c r="O572" s="1">
        <v>15</v>
      </c>
      <c r="P572" s="1">
        <v>73</v>
      </c>
      <c r="Q572" s="7">
        <v>0.94868329805051377</v>
      </c>
      <c r="R572" s="7">
        <f t="shared" si="80"/>
        <v>23.196700507614214</v>
      </c>
      <c r="S572" s="7">
        <f t="shared" si="81"/>
        <v>6.4306002317777482</v>
      </c>
      <c r="T572" s="7">
        <f t="shared" si="82"/>
        <v>22.771573604060915</v>
      </c>
      <c r="U572" s="7">
        <f t="shared" si="83"/>
        <v>6.5356886776680962</v>
      </c>
      <c r="V572" s="7">
        <f t="shared" si="84"/>
        <v>11.434010152284264</v>
      </c>
      <c r="W572" s="7">
        <f t="shared" si="85"/>
        <v>3.5019632409825281</v>
      </c>
      <c r="X572" s="7">
        <f t="shared" si="86"/>
        <v>0.74694419171784021</v>
      </c>
      <c r="Y572" s="7">
        <f t="shared" si="87"/>
        <v>1.1059930716464534</v>
      </c>
      <c r="Z572" s="7">
        <f t="shared" si="88"/>
        <v>1.0182830607654363</v>
      </c>
      <c r="AA572" s="7">
        <f t="shared" si="89"/>
        <v>0.95707344137657679</v>
      </c>
    </row>
    <row r="573" spans="1:27" x14ac:dyDescent="0.25">
      <c r="A573" s="1" t="s">
        <v>1679</v>
      </c>
      <c r="B573" s="1" t="s">
        <v>861</v>
      </c>
      <c r="C573" s="1">
        <v>8</v>
      </c>
      <c r="D573" s="1">
        <v>7</v>
      </c>
      <c r="E573" s="1">
        <v>8</v>
      </c>
      <c r="F573" s="1">
        <v>7</v>
      </c>
      <c r="G573" s="1">
        <v>7</v>
      </c>
      <c r="H573" s="1">
        <v>6</v>
      </c>
      <c r="I573" s="1">
        <v>7</v>
      </c>
      <c r="J573" s="1">
        <v>7</v>
      </c>
      <c r="K573" s="1">
        <v>7</v>
      </c>
      <c r="L573" s="1">
        <v>7</v>
      </c>
      <c r="M573" s="1">
        <v>30</v>
      </c>
      <c r="N573" s="1">
        <v>27</v>
      </c>
      <c r="O573" s="1">
        <v>14</v>
      </c>
      <c r="P573" s="1">
        <v>71</v>
      </c>
      <c r="Q573" s="7">
        <v>0.56764621219754674</v>
      </c>
      <c r="R573" s="7">
        <f t="shared" si="80"/>
        <v>23.196700507614214</v>
      </c>
      <c r="S573" s="7">
        <f t="shared" si="81"/>
        <v>6.4306002317777482</v>
      </c>
      <c r="T573" s="7">
        <f t="shared" si="82"/>
        <v>22.771573604060915</v>
      </c>
      <c r="U573" s="7">
        <f t="shared" si="83"/>
        <v>6.5356886776680962</v>
      </c>
      <c r="V573" s="7">
        <f t="shared" si="84"/>
        <v>11.434010152284264</v>
      </c>
      <c r="W573" s="7">
        <f t="shared" si="85"/>
        <v>3.5019632409825281</v>
      </c>
      <c r="X573" s="7">
        <f t="shared" si="86"/>
        <v>1.0579571497488354</v>
      </c>
      <c r="Y573" s="7">
        <f t="shared" si="87"/>
        <v>0.64697487969206147</v>
      </c>
      <c r="Z573" s="7">
        <f t="shared" si="88"/>
        <v>0.73272894977498659</v>
      </c>
      <c r="AA573" s="7">
        <f t="shared" si="89"/>
        <v>0.8125536597386277</v>
      </c>
    </row>
    <row r="574" spans="1:27" x14ac:dyDescent="0.25">
      <c r="A574" s="1" t="s">
        <v>1679</v>
      </c>
      <c r="B574" s="1" t="s">
        <v>861</v>
      </c>
      <c r="C574" s="1">
        <v>7</v>
      </c>
      <c r="D574" s="1">
        <v>6</v>
      </c>
      <c r="E574" s="1">
        <v>6</v>
      </c>
      <c r="F574" s="1">
        <v>5</v>
      </c>
      <c r="G574" s="1">
        <v>5</v>
      </c>
      <c r="H574" s="1">
        <v>6</v>
      </c>
      <c r="I574" s="1">
        <v>5</v>
      </c>
      <c r="J574" s="1">
        <v>4</v>
      </c>
      <c r="K574" s="1">
        <v>4</v>
      </c>
      <c r="L574" s="1">
        <v>3</v>
      </c>
      <c r="M574" s="1">
        <v>24</v>
      </c>
      <c r="N574" s="1">
        <v>20</v>
      </c>
      <c r="O574" s="1">
        <v>7</v>
      </c>
      <c r="P574" s="1">
        <v>51</v>
      </c>
      <c r="Q574" s="7">
        <v>1.1972189997378646</v>
      </c>
      <c r="R574" s="7">
        <f t="shared" si="80"/>
        <v>23.196700507614214</v>
      </c>
      <c r="S574" s="7">
        <f t="shared" si="81"/>
        <v>6.4306002317777482</v>
      </c>
      <c r="T574" s="7">
        <f t="shared" si="82"/>
        <v>22.771573604060915</v>
      </c>
      <c r="U574" s="7">
        <f t="shared" si="83"/>
        <v>6.5356886776680962</v>
      </c>
      <c r="V574" s="7">
        <f t="shared" si="84"/>
        <v>11.434010152284264</v>
      </c>
      <c r="W574" s="7">
        <f t="shared" si="85"/>
        <v>3.5019632409825281</v>
      </c>
      <c r="X574" s="7">
        <f t="shared" si="86"/>
        <v>0.12491827565585011</v>
      </c>
      <c r="Y574" s="7">
        <f t="shared" si="87"/>
        <v>-0.42406756820151964</v>
      </c>
      <c r="Z574" s="7">
        <f t="shared" si="88"/>
        <v>-1.2661498271581617</v>
      </c>
      <c r="AA574" s="7">
        <f t="shared" si="89"/>
        <v>-0.52176637323461039</v>
      </c>
    </row>
    <row r="575" spans="1:27" x14ac:dyDescent="0.25">
      <c r="A575" s="1" t="s">
        <v>1679</v>
      </c>
      <c r="B575" s="1" t="s">
        <v>861</v>
      </c>
      <c r="C575" s="1">
        <v>6</v>
      </c>
      <c r="D575" s="1">
        <v>6</v>
      </c>
      <c r="E575" s="1">
        <v>5</v>
      </c>
      <c r="F575" s="1">
        <v>5</v>
      </c>
      <c r="G575" s="1">
        <v>7</v>
      </c>
      <c r="H575" s="1">
        <v>5</v>
      </c>
      <c r="I575" s="1">
        <v>5</v>
      </c>
      <c r="J575" s="1">
        <v>6</v>
      </c>
      <c r="K575" s="1">
        <v>6</v>
      </c>
      <c r="L575" s="1">
        <v>7</v>
      </c>
      <c r="M575" s="1">
        <v>22</v>
      </c>
      <c r="N575" s="1">
        <v>23</v>
      </c>
      <c r="O575" s="1">
        <v>13</v>
      </c>
      <c r="P575" s="1">
        <v>58</v>
      </c>
      <c r="Q575" s="7">
        <v>0.78881063774661542</v>
      </c>
      <c r="R575" s="7">
        <f t="shared" si="80"/>
        <v>23.196700507614214</v>
      </c>
      <c r="S575" s="7">
        <f t="shared" si="81"/>
        <v>6.4306002317777482</v>
      </c>
      <c r="T575" s="7">
        <f t="shared" si="82"/>
        <v>22.771573604060915</v>
      </c>
      <c r="U575" s="7">
        <f t="shared" si="83"/>
        <v>6.5356886776680962</v>
      </c>
      <c r="V575" s="7">
        <f t="shared" si="84"/>
        <v>11.434010152284264</v>
      </c>
      <c r="W575" s="7">
        <f t="shared" si="85"/>
        <v>3.5019632409825281</v>
      </c>
      <c r="X575" s="7">
        <f t="shared" si="86"/>
        <v>-0.18609468237514495</v>
      </c>
      <c r="Y575" s="7">
        <f t="shared" si="87"/>
        <v>3.4950623752872265E-2</v>
      </c>
      <c r="Z575" s="7">
        <f t="shared" si="88"/>
        <v>0.44717483878453679</v>
      </c>
      <c r="AA575" s="7">
        <f t="shared" si="89"/>
        <v>9.867692672075469E-2</v>
      </c>
    </row>
    <row r="576" spans="1:27" x14ac:dyDescent="0.25">
      <c r="A576" s="1" t="s">
        <v>1679</v>
      </c>
      <c r="B576" s="1" t="s">
        <v>861</v>
      </c>
      <c r="C576" s="1">
        <v>7</v>
      </c>
      <c r="D576" s="1">
        <v>6</v>
      </c>
      <c r="E576" s="1">
        <v>8</v>
      </c>
      <c r="F576" s="1">
        <v>6</v>
      </c>
      <c r="G576" s="1">
        <v>8</v>
      </c>
      <c r="H576" s="1">
        <v>8</v>
      </c>
      <c r="I576" s="1">
        <v>7</v>
      </c>
      <c r="J576" s="1">
        <v>8</v>
      </c>
      <c r="K576" s="1">
        <v>9</v>
      </c>
      <c r="L576" s="1">
        <v>8</v>
      </c>
      <c r="M576" s="1">
        <v>27</v>
      </c>
      <c r="N576" s="1">
        <v>31</v>
      </c>
      <c r="O576" s="1">
        <v>17</v>
      </c>
      <c r="P576" s="1">
        <v>75</v>
      </c>
      <c r="Q576" s="7">
        <v>0.97182531580755005</v>
      </c>
      <c r="R576" s="7">
        <f t="shared" si="80"/>
        <v>23.196700507614214</v>
      </c>
      <c r="S576" s="7">
        <f t="shared" si="81"/>
        <v>6.4306002317777482</v>
      </c>
      <c r="T576" s="7">
        <f t="shared" si="82"/>
        <v>22.771573604060915</v>
      </c>
      <c r="U576" s="7">
        <f t="shared" si="83"/>
        <v>6.5356886776680962</v>
      </c>
      <c r="V576" s="7">
        <f t="shared" si="84"/>
        <v>11.434010152284264</v>
      </c>
      <c r="W576" s="7">
        <f t="shared" si="85"/>
        <v>3.5019632409825281</v>
      </c>
      <c r="X576" s="7">
        <f t="shared" si="86"/>
        <v>0.59143771270234269</v>
      </c>
      <c r="Y576" s="7">
        <f t="shared" si="87"/>
        <v>1.2589991356312507</v>
      </c>
      <c r="Z576" s="7">
        <f t="shared" si="88"/>
        <v>1.5893912827463359</v>
      </c>
      <c r="AA576" s="7">
        <f t="shared" si="89"/>
        <v>1.1466093770266432</v>
      </c>
    </row>
    <row r="577" spans="1:27" x14ac:dyDescent="0.25">
      <c r="A577" s="1" t="s">
        <v>1679</v>
      </c>
      <c r="B577" s="1" t="s">
        <v>861</v>
      </c>
      <c r="C577" s="1">
        <v>6</v>
      </c>
      <c r="D577" s="1">
        <v>7</v>
      </c>
      <c r="E577" s="1">
        <v>7</v>
      </c>
      <c r="F577" s="1">
        <v>6</v>
      </c>
      <c r="G577" s="1">
        <v>7</v>
      </c>
      <c r="H577" s="1">
        <v>6</v>
      </c>
      <c r="I577" s="1">
        <v>6</v>
      </c>
      <c r="J577" s="1">
        <v>7</v>
      </c>
      <c r="K577" s="1">
        <v>8</v>
      </c>
      <c r="L577" s="1">
        <v>7</v>
      </c>
      <c r="M577" s="1">
        <v>26</v>
      </c>
      <c r="N577" s="1">
        <v>26</v>
      </c>
      <c r="O577" s="1">
        <v>15</v>
      </c>
      <c r="P577" s="1">
        <v>67</v>
      </c>
      <c r="Q577" s="7">
        <v>0.67494855771055284</v>
      </c>
      <c r="R577" s="7">
        <f t="shared" si="80"/>
        <v>23.196700507614214</v>
      </c>
      <c r="S577" s="7">
        <f t="shared" si="81"/>
        <v>6.4306002317777482</v>
      </c>
      <c r="T577" s="7">
        <f t="shared" si="82"/>
        <v>22.771573604060915</v>
      </c>
      <c r="U577" s="7">
        <f t="shared" si="83"/>
        <v>6.5356886776680962</v>
      </c>
      <c r="V577" s="7">
        <f t="shared" si="84"/>
        <v>11.434010152284264</v>
      </c>
      <c r="W577" s="7">
        <f t="shared" si="85"/>
        <v>3.5019632409825281</v>
      </c>
      <c r="X577" s="7">
        <f t="shared" si="86"/>
        <v>0.43593123368684517</v>
      </c>
      <c r="Y577" s="7">
        <f t="shared" si="87"/>
        <v>0.49396881570726414</v>
      </c>
      <c r="Z577" s="7">
        <f t="shared" si="88"/>
        <v>1.0182830607654363</v>
      </c>
      <c r="AA577" s="7">
        <f t="shared" si="89"/>
        <v>0.6493943700531819</v>
      </c>
    </row>
    <row r="578" spans="1:27" x14ac:dyDescent="0.25">
      <c r="A578" s="1" t="s">
        <v>1679</v>
      </c>
      <c r="B578" s="1" t="s">
        <v>861</v>
      </c>
      <c r="C578" s="1">
        <v>5</v>
      </c>
      <c r="D578" s="1">
        <v>4</v>
      </c>
      <c r="E578" s="1">
        <v>5</v>
      </c>
      <c r="F578" s="1">
        <v>4</v>
      </c>
      <c r="G578" s="1">
        <v>4</v>
      </c>
      <c r="H578" s="1">
        <v>3</v>
      </c>
      <c r="I578" s="1">
        <v>3</v>
      </c>
      <c r="J578" s="1">
        <v>3</v>
      </c>
      <c r="K578" s="1">
        <v>3</v>
      </c>
      <c r="L578" s="1">
        <v>4</v>
      </c>
      <c r="M578" s="1">
        <v>18</v>
      </c>
      <c r="N578" s="1">
        <v>13</v>
      </c>
      <c r="O578" s="1">
        <v>7</v>
      </c>
      <c r="P578" s="1">
        <v>38</v>
      </c>
      <c r="Q578" s="7">
        <v>0.78881063774661553</v>
      </c>
      <c r="R578" s="7">
        <f t="shared" si="80"/>
        <v>23.196700507614214</v>
      </c>
      <c r="S578" s="7">
        <f t="shared" si="81"/>
        <v>6.4306002317777482</v>
      </c>
      <c r="T578" s="7">
        <f t="shared" si="82"/>
        <v>22.771573604060915</v>
      </c>
      <c r="U578" s="7">
        <f t="shared" si="83"/>
        <v>6.5356886776680962</v>
      </c>
      <c r="V578" s="7">
        <f t="shared" si="84"/>
        <v>11.434010152284264</v>
      </c>
      <c r="W578" s="7">
        <f t="shared" si="85"/>
        <v>3.5019632409825281</v>
      </c>
      <c r="X578" s="7">
        <f t="shared" si="86"/>
        <v>-0.80812059843713513</v>
      </c>
      <c r="Y578" s="7">
        <f t="shared" si="87"/>
        <v>-1.4951100160951007</v>
      </c>
      <c r="Z578" s="7">
        <f t="shared" si="88"/>
        <v>-1.2661498271581617</v>
      </c>
      <c r="AA578" s="7">
        <f t="shared" si="89"/>
        <v>-1.189793480563466</v>
      </c>
    </row>
    <row r="579" spans="1:27" x14ac:dyDescent="0.25">
      <c r="A579" s="1" t="s">
        <v>1679</v>
      </c>
      <c r="B579" s="1" t="s">
        <v>861</v>
      </c>
      <c r="C579" s="1">
        <v>6</v>
      </c>
      <c r="D579" s="1">
        <v>5</v>
      </c>
      <c r="E579" s="1">
        <v>5</v>
      </c>
      <c r="F579" s="1">
        <v>4</v>
      </c>
      <c r="G579" s="1">
        <v>6</v>
      </c>
      <c r="H579" s="1">
        <v>5</v>
      </c>
      <c r="I579" s="1">
        <v>4</v>
      </c>
      <c r="J579" s="1">
        <v>5</v>
      </c>
      <c r="K579" s="1">
        <v>5</v>
      </c>
      <c r="L579" s="1">
        <v>3</v>
      </c>
      <c r="M579" s="1">
        <v>20</v>
      </c>
      <c r="N579" s="1">
        <v>20</v>
      </c>
      <c r="O579" s="1">
        <v>8</v>
      </c>
      <c r="P579" s="1">
        <v>48</v>
      </c>
      <c r="Q579" s="7">
        <v>0.91893658347268148</v>
      </c>
      <c r="R579" s="7">
        <f t="shared" ref="R579:R642" si="90">AVERAGE(M:M)</f>
        <v>23.196700507614214</v>
      </c>
      <c r="S579" s="7">
        <f t="shared" ref="S579:S642" si="91">_xlfn.STDEV.S(M:M)</f>
        <v>6.4306002317777482</v>
      </c>
      <c r="T579" s="7">
        <f t="shared" ref="T579:T642" si="92">AVERAGE(N:N)</f>
        <v>22.771573604060915</v>
      </c>
      <c r="U579" s="7">
        <f t="shared" ref="U579:U642" si="93">_xlfn.STDEV.S(N:N)</f>
        <v>6.5356886776680962</v>
      </c>
      <c r="V579" s="7">
        <f t="shared" ref="V579:V642" si="94">AVERAGE(O:O)</f>
        <v>11.434010152284264</v>
      </c>
      <c r="W579" s="7">
        <f t="shared" ref="W579:W642" si="95">_xlfn.STDEV.S(O:O)</f>
        <v>3.5019632409825281</v>
      </c>
      <c r="X579" s="7">
        <f t="shared" ref="X579:X642" si="96">STANDARDIZE(M579,R579,S579)</f>
        <v>-0.49710764040614003</v>
      </c>
      <c r="Y579" s="7">
        <f t="shared" ref="Y579:Y642" si="97">STANDARDIZE(N579,T579,U579)</f>
        <v>-0.42406756820151964</v>
      </c>
      <c r="Z579" s="7">
        <f t="shared" ref="Z579:Z642" si="98">STANDARDIZE(O579,V579,W579)</f>
        <v>-0.98059571616771202</v>
      </c>
      <c r="AA579" s="7">
        <f t="shared" ref="AA579:AA642" si="99">AVERAGE(X579:Z579)</f>
        <v>-0.6339236415917906</v>
      </c>
    </row>
    <row r="580" spans="1:27" x14ac:dyDescent="0.25">
      <c r="A580" s="1" t="s">
        <v>1679</v>
      </c>
      <c r="B580" s="1" t="s">
        <v>861</v>
      </c>
      <c r="C580" s="1">
        <v>7</v>
      </c>
      <c r="D580" s="1">
        <v>5</v>
      </c>
      <c r="E580" s="1">
        <v>6</v>
      </c>
      <c r="F580" s="1">
        <v>7</v>
      </c>
      <c r="G580" s="1">
        <v>8</v>
      </c>
      <c r="H580" s="1">
        <v>7</v>
      </c>
      <c r="I580" s="1">
        <v>6</v>
      </c>
      <c r="J580" s="1">
        <v>7</v>
      </c>
      <c r="K580" s="1">
        <v>7</v>
      </c>
      <c r="L580" s="1">
        <v>7</v>
      </c>
      <c r="M580" s="1">
        <v>25</v>
      </c>
      <c r="N580" s="1">
        <v>28</v>
      </c>
      <c r="O580" s="1">
        <v>14</v>
      </c>
      <c r="P580" s="1">
        <v>67</v>
      </c>
      <c r="Q580" s="7">
        <v>0.82327260234856459</v>
      </c>
      <c r="R580" s="7">
        <f t="shared" si="90"/>
        <v>23.196700507614214</v>
      </c>
      <c r="S580" s="7">
        <f t="shared" si="91"/>
        <v>6.4306002317777482</v>
      </c>
      <c r="T580" s="7">
        <f t="shared" si="92"/>
        <v>22.771573604060915</v>
      </c>
      <c r="U580" s="7">
        <f t="shared" si="93"/>
        <v>6.5356886776680962</v>
      </c>
      <c r="V580" s="7">
        <f t="shared" si="94"/>
        <v>11.434010152284264</v>
      </c>
      <c r="W580" s="7">
        <f t="shared" si="95"/>
        <v>3.5019632409825281</v>
      </c>
      <c r="X580" s="7">
        <f t="shared" si="96"/>
        <v>0.28042475467134764</v>
      </c>
      <c r="Y580" s="7">
        <f t="shared" si="97"/>
        <v>0.79998094367685879</v>
      </c>
      <c r="Z580" s="7">
        <f t="shared" si="98"/>
        <v>0.73272894977498659</v>
      </c>
      <c r="AA580" s="7">
        <f t="shared" si="99"/>
        <v>0.60437821604106434</v>
      </c>
    </row>
    <row r="581" spans="1:27" x14ac:dyDescent="0.25">
      <c r="A581" s="1" t="s">
        <v>1680</v>
      </c>
      <c r="B581" s="1" t="s">
        <v>861</v>
      </c>
      <c r="C581" s="1">
        <v>6</v>
      </c>
      <c r="D581" s="1">
        <v>6</v>
      </c>
      <c r="E581" s="1">
        <v>5</v>
      </c>
      <c r="F581" s="1">
        <v>6</v>
      </c>
      <c r="G581" s="1">
        <v>6</v>
      </c>
      <c r="H581" s="1">
        <v>5</v>
      </c>
      <c r="I581" s="1">
        <v>5</v>
      </c>
      <c r="J581" s="1">
        <v>5</v>
      </c>
      <c r="K581" s="1">
        <v>5</v>
      </c>
      <c r="L581" s="1">
        <v>5</v>
      </c>
      <c r="M581" s="1">
        <v>23</v>
      </c>
      <c r="N581" s="1">
        <v>21</v>
      </c>
      <c r="O581" s="1">
        <v>10</v>
      </c>
      <c r="P581" s="1">
        <v>54</v>
      </c>
      <c r="Q581" s="7">
        <v>0.5163977794943222</v>
      </c>
      <c r="R581" s="7">
        <f t="shared" si="90"/>
        <v>23.196700507614214</v>
      </c>
      <c r="S581" s="7">
        <f t="shared" si="91"/>
        <v>6.4306002317777482</v>
      </c>
      <c r="T581" s="7">
        <f t="shared" si="92"/>
        <v>22.771573604060915</v>
      </c>
      <c r="U581" s="7">
        <f t="shared" si="93"/>
        <v>6.5356886776680962</v>
      </c>
      <c r="V581" s="7">
        <f t="shared" si="94"/>
        <v>11.434010152284264</v>
      </c>
      <c r="W581" s="7">
        <f t="shared" si="95"/>
        <v>3.5019632409825281</v>
      </c>
      <c r="X581" s="7">
        <f t="shared" si="96"/>
        <v>-3.0588203359647428E-2</v>
      </c>
      <c r="Y581" s="7">
        <f t="shared" si="97"/>
        <v>-0.27106150421672232</v>
      </c>
      <c r="Z581" s="7">
        <f t="shared" si="98"/>
        <v>-0.40948749418681252</v>
      </c>
      <c r="AA581" s="7">
        <f t="shared" si="99"/>
        <v>-0.23704573392106076</v>
      </c>
    </row>
    <row r="582" spans="1:27" x14ac:dyDescent="0.25">
      <c r="A582" s="1" t="s">
        <v>1680</v>
      </c>
      <c r="B582" s="1" t="s">
        <v>861</v>
      </c>
      <c r="C582" s="1">
        <v>4</v>
      </c>
      <c r="D582" s="1">
        <v>4</v>
      </c>
      <c r="E582" s="1">
        <v>4</v>
      </c>
      <c r="F582" s="1">
        <v>4</v>
      </c>
      <c r="G582" s="1">
        <v>5</v>
      </c>
      <c r="H582" s="1">
        <v>4</v>
      </c>
      <c r="I582" s="1">
        <v>4</v>
      </c>
      <c r="J582" s="1">
        <v>5</v>
      </c>
      <c r="K582" s="1">
        <v>5</v>
      </c>
      <c r="L582" s="1">
        <v>4</v>
      </c>
      <c r="M582" s="1">
        <v>16</v>
      </c>
      <c r="N582" s="1">
        <v>18</v>
      </c>
      <c r="O582" s="1">
        <v>9</v>
      </c>
      <c r="P582" s="1">
        <v>43</v>
      </c>
      <c r="Q582" s="7">
        <v>0.48304589153964789</v>
      </c>
      <c r="R582" s="7">
        <f t="shared" si="90"/>
        <v>23.196700507614214</v>
      </c>
      <c r="S582" s="7">
        <f t="shared" si="91"/>
        <v>6.4306002317777482</v>
      </c>
      <c r="T582" s="7">
        <f t="shared" si="92"/>
        <v>22.771573604060915</v>
      </c>
      <c r="U582" s="7">
        <f t="shared" si="93"/>
        <v>6.5356886776680962</v>
      </c>
      <c r="V582" s="7">
        <f t="shared" si="94"/>
        <v>11.434010152284264</v>
      </c>
      <c r="W582" s="7">
        <f t="shared" si="95"/>
        <v>3.5019632409825281</v>
      </c>
      <c r="X582" s="7">
        <f t="shared" si="96"/>
        <v>-1.1191335564681302</v>
      </c>
      <c r="Y582" s="7">
        <f t="shared" si="97"/>
        <v>-0.73007969617111423</v>
      </c>
      <c r="Z582" s="7">
        <f t="shared" si="98"/>
        <v>-0.69504160517726232</v>
      </c>
      <c r="AA582" s="7">
        <f t="shared" si="99"/>
        <v>-0.84808495260550221</v>
      </c>
    </row>
    <row r="583" spans="1:27" x14ac:dyDescent="0.25">
      <c r="A583" s="1" t="s">
        <v>1680</v>
      </c>
      <c r="B583" s="1" t="s">
        <v>861</v>
      </c>
      <c r="C583" s="1">
        <v>4</v>
      </c>
      <c r="D583" s="1">
        <v>5</v>
      </c>
      <c r="E583" s="1">
        <v>4</v>
      </c>
      <c r="F583" s="1">
        <v>5</v>
      </c>
      <c r="G583" s="1">
        <v>5</v>
      </c>
      <c r="H583" s="1">
        <v>5</v>
      </c>
      <c r="I583" s="1">
        <v>5</v>
      </c>
      <c r="J583" s="1">
        <v>4</v>
      </c>
      <c r="K583" s="1">
        <v>5</v>
      </c>
      <c r="L583" s="1">
        <v>5</v>
      </c>
      <c r="M583" s="1">
        <v>18</v>
      </c>
      <c r="N583" s="1">
        <v>19</v>
      </c>
      <c r="O583" s="1">
        <v>10</v>
      </c>
      <c r="P583" s="1">
        <v>47</v>
      </c>
      <c r="Q583" s="7">
        <v>0.48304589153964805</v>
      </c>
      <c r="R583" s="7">
        <f t="shared" si="90"/>
        <v>23.196700507614214</v>
      </c>
      <c r="S583" s="7">
        <f t="shared" si="91"/>
        <v>6.4306002317777482</v>
      </c>
      <c r="T583" s="7">
        <f t="shared" si="92"/>
        <v>22.771573604060915</v>
      </c>
      <c r="U583" s="7">
        <f t="shared" si="93"/>
        <v>6.5356886776680962</v>
      </c>
      <c r="V583" s="7">
        <f t="shared" si="94"/>
        <v>11.434010152284264</v>
      </c>
      <c r="W583" s="7">
        <f t="shared" si="95"/>
        <v>3.5019632409825281</v>
      </c>
      <c r="X583" s="7">
        <f t="shared" si="96"/>
        <v>-0.80812059843713513</v>
      </c>
      <c r="Y583" s="7">
        <f t="shared" si="97"/>
        <v>-0.57707363218631691</v>
      </c>
      <c r="Z583" s="7">
        <f t="shared" si="98"/>
        <v>-0.40948749418681252</v>
      </c>
      <c r="AA583" s="7">
        <f t="shared" si="99"/>
        <v>-0.59822724160342156</v>
      </c>
    </row>
    <row r="584" spans="1:27" x14ac:dyDescent="0.25">
      <c r="A584" s="1" t="s">
        <v>1680</v>
      </c>
      <c r="B584" s="1" t="s">
        <v>861</v>
      </c>
      <c r="C584" s="1">
        <v>4</v>
      </c>
      <c r="D584" s="1">
        <v>4</v>
      </c>
      <c r="E584" s="1">
        <v>4</v>
      </c>
      <c r="F584" s="1">
        <v>5</v>
      </c>
      <c r="G584" s="1">
        <v>4</v>
      </c>
      <c r="H584" s="1">
        <v>4</v>
      </c>
      <c r="I584" s="1">
        <v>5</v>
      </c>
      <c r="J584" s="1">
        <v>4</v>
      </c>
      <c r="K584" s="1">
        <v>5</v>
      </c>
      <c r="L584" s="1">
        <v>5</v>
      </c>
      <c r="M584" s="1">
        <v>17</v>
      </c>
      <c r="N584" s="1">
        <v>17</v>
      </c>
      <c r="O584" s="1">
        <v>10</v>
      </c>
      <c r="P584" s="1">
        <v>44</v>
      </c>
      <c r="Q584" s="7">
        <v>0.51639777949432231</v>
      </c>
      <c r="R584" s="7">
        <f t="shared" si="90"/>
        <v>23.196700507614214</v>
      </c>
      <c r="S584" s="7">
        <f t="shared" si="91"/>
        <v>6.4306002317777482</v>
      </c>
      <c r="T584" s="7">
        <f t="shared" si="92"/>
        <v>22.771573604060915</v>
      </c>
      <c r="U584" s="7">
        <f t="shared" si="93"/>
        <v>6.5356886776680962</v>
      </c>
      <c r="V584" s="7">
        <f t="shared" si="94"/>
        <v>11.434010152284264</v>
      </c>
      <c r="W584" s="7">
        <f t="shared" si="95"/>
        <v>3.5019632409825281</v>
      </c>
      <c r="X584" s="7">
        <f t="shared" si="96"/>
        <v>-0.96362707745263265</v>
      </c>
      <c r="Y584" s="7">
        <f t="shared" si="97"/>
        <v>-0.88308576015591156</v>
      </c>
      <c r="Z584" s="7">
        <f t="shared" si="98"/>
        <v>-0.40948749418681252</v>
      </c>
      <c r="AA584" s="7">
        <f t="shared" si="99"/>
        <v>-0.75206677726511895</v>
      </c>
    </row>
    <row r="585" spans="1:27" x14ac:dyDescent="0.25">
      <c r="A585" s="1" t="s">
        <v>1680</v>
      </c>
      <c r="B585" s="1" t="s">
        <v>861</v>
      </c>
      <c r="C585" s="1">
        <v>6</v>
      </c>
      <c r="D585" s="1">
        <v>6</v>
      </c>
      <c r="E585" s="1">
        <v>6</v>
      </c>
      <c r="F585" s="1">
        <v>6</v>
      </c>
      <c r="G585" s="1">
        <v>6</v>
      </c>
      <c r="H585" s="1">
        <v>5</v>
      </c>
      <c r="I585" s="1">
        <v>6</v>
      </c>
      <c r="J585" s="1">
        <v>6</v>
      </c>
      <c r="K585" s="1">
        <v>6</v>
      </c>
      <c r="L585" s="1">
        <v>6</v>
      </c>
      <c r="M585" s="1">
        <v>24</v>
      </c>
      <c r="N585" s="1">
        <v>23</v>
      </c>
      <c r="O585" s="1">
        <v>12</v>
      </c>
      <c r="P585" s="1">
        <v>59</v>
      </c>
      <c r="Q585" s="7">
        <v>0.31622776601683789</v>
      </c>
      <c r="R585" s="7">
        <f t="shared" si="90"/>
        <v>23.196700507614214</v>
      </c>
      <c r="S585" s="7">
        <f t="shared" si="91"/>
        <v>6.4306002317777482</v>
      </c>
      <c r="T585" s="7">
        <f t="shared" si="92"/>
        <v>22.771573604060915</v>
      </c>
      <c r="U585" s="7">
        <f t="shared" si="93"/>
        <v>6.5356886776680962</v>
      </c>
      <c r="V585" s="7">
        <f t="shared" si="94"/>
        <v>11.434010152284264</v>
      </c>
      <c r="W585" s="7">
        <f t="shared" si="95"/>
        <v>3.5019632409825281</v>
      </c>
      <c r="X585" s="7">
        <f t="shared" si="96"/>
        <v>0.12491827565585011</v>
      </c>
      <c r="Y585" s="7">
        <f t="shared" si="97"/>
        <v>3.4950623752872265E-2</v>
      </c>
      <c r="Z585" s="7">
        <f t="shared" si="98"/>
        <v>0.16162072779408701</v>
      </c>
      <c r="AA585" s="7">
        <f t="shared" si="99"/>
        <v>0.10716320906760313</v>
      </c>
    </row>
    <row r="586" spans="1:27" x14ac:dyDescent="0.25">
      <c r="A586" s="1" t="s">
        <v>1680</v>
      </c>
      <c r="B586" s="1" t="s">
        <v>861</v>
      </c>
      <c r="C586" s="1">
        <v>6</v>
      </c>
      <c r="D586" s="1">
        <v>5</v>
      </c>
      <c r="E586" s="1">
        <v>6</v>
      </c>
      <c r="F586" s="1">
        <v>6</v>
      </c>
      <c r="G586" s="1">
        <v>6</v>
      </c>
      <c r="H586" s="1">
        <v>6</v>
      </c>
      <c r="I586" s="1">
        <v>6</v>
      </c>
      <c r="J586" s="1">
        <v>6</v>
      </c>
      <c r="K586" s="1">
        <v>5</v>
      </c>
      <c r="L586" s="1">
        <v>6</v>
      </c>
      <c r="M586" s="1">
        <v>23</v>
      </c>
      <c r="N586" s="1">
        <v>24</v>
      </c>
      <c r="O586" s="1">
        <v>11</v>
      </c>
      <c r="P586" s="1">
        <v>58</v>
      </c>
      <c r="Q586" s="7">
        <v>0.4216370213557839</v>
      </c>
      <c r="R586" s="7">
        <f t="shared" si="90"/>
        <v>23.196700507614214</v>
      </c>
      <c r="S586" s="7">
        <f t="shared" si="91"/>
        <v>6.4306002317777482</v>
      </c>
      <c r="T586" s="7">
        <f t="shared" si="92"/>
        <v>22.771573604060915</v>
      </c>
      <c r="U586" s="7">
        <f t="shared" si="93"/>
        <v>6.5356886776680962</v>
      </c>
      <c r="V586" s="7">
        <f t="shared" si="94"/>
        <v>11.434010152284264</v>
      </c>
      <c r="W586" s="7">
        <f t="shared" si="95"/>
        <v>3.5019632409825281</v>
      </c>
      <c r="X586" s="7">
        <f t="shared" si="96"/>
        <v>-3.0588203359647428E-2</v>
      </c>
      <c r="Y586" s="7">
        <f t="shared" si="97"/>
        <v>0.18795668773766958</v>
      </c>
      <c r="Z586" s="7">
        <f t="shared" si="98"/>
        <v>-0.12393338319636275</v>
      </c>
      <c r="AA586" s="7">
        <f t="shared" si="99"/>
        <v>1.1145033727219797E-2</v>
      </c>
    </row>
    <row r="587" spans="1:27" x14ac:dyDescent="0.25">
      <c r="A587" s="1" t="s">
        <v>1680</v>
      </c>
      <c r="B587" s="1" t="s">
        <v>861</v>
      </c>
      <c r="C587" s="1">
        <v>6</v>
      </c>
      <c r="D587" s="1">
        <v>6</v>
      </c>
      <c r="E587" s="1">
        <v>5</v>
      </c>
      <c r="F587" s="1">
        <v>6</v>
      </c>
      <c r="G587" s="1">
        <v>6</v>
      </c>
      <c r="H587" s="1">
        <v>6</v>
      </c>
      <c r="I587" s="1">
        <v>6</v>
      </c>
      <c r="J587" s="1">
        <v>6</v>
      </c>
      <c r="K587" s="1">
        <v>5</v>
      </c>
      <c r="L587" s="1">
        <v>6</v>
      </c>
      <c r="M587" s="1">
        <v>23</v>
      </c>
      <c r="N587" s="1">
        <v>24</v>
      </c>
      <c r="O587" s="1">
        <v>11</v>
      </c>
      <c r="P587" s="1">
        <v>58</v>
      </c>
      <c r="Q587" s="7">
        <v>0.42163702135578396</v>
      </c>
      <c r="R587" s="7">
        <f t="shared" si="90"/>
        <v>23.196700507614214</v>
      </c>
      <c r="S587" s="7">
        <f t="shared" si="91"/>
        <v>6.4306002317777482</v>
      </c>
      <c r="T587" s="7">
        <f t="shared" si="92"/>
        <v>22.771573604060915</v>
      </c>
      <c r="U587" s="7">
        <f t="shared" si="93"/>
        <v>6.5356886776680962</v>
      </c>
      <c r="V587" s="7">
        <f t="shared" si="94"/>
        <v>11.434010152284264</v>
      </c>
      <c r="W587" s="7">
        <f t="shared" si="95"/>
        <v>3.5019632409825281</v>
      </c>
      <c r="X587" s="7">
        <f t="shared" si="96"/>
        <v>-3.0588203359647428E-2</v>
      </c>
      <c r="Y587" s="7">
        <f t="shared" si="97"/>
        <v>0.18795668773766958</v>
      </c>
      <c r="Z587" s="7">
        <f t="shared" si="98"/>
        <v>-0.12393338319636275</v>
      </c>
      <c r="AA587" s="7">
        <f t="shared" si="99"/>
        <v>1.1145033727219797E-2</v>
      </c>
    </row>
    <row r="588" spans="1:27" x14ac:dyDescent="0.25">
      <c r="A588" s="1" t="s">
        <v>1680</v>
      </c>
      <c r="B588" s="1" t="s">
        <v>861</v>
      </c>
      <c r="C588" s="1">
        <v>6</v>
      </c>
      <c r="D588" s="1">
        <v>5</v>
      </c>
      <c r="E588" s="1">
        <v>5</v>
      </c>
      <c r="F588" s="1">
        <v>5</v>
      </c>
      <c r="G588" s="1">
        <v>6</v>
      </c>
      <c r="H588" s="1">
        <v>6</v>
      </c>
      <c r="I588" s="1">
        <v>6</v>
      </c>
      <c r="J588" s="1">
        <v>5</v>
      </c>
      <c r="K588" s="1">
        <v>5</v>
      </c>
      <c r="L588" s="1">
        <v>6</v>
      </c>
      <c r="M588" s="1">
        <v>21</v>
      </c>
      <c r="N588" s="1">
        <v>23</v>
      </c>
      <c r="O588" s="1">
        <v>11</v>
      </c>
      <c r="P588" s="1">
        <v>55</v>
      </c>
      <c r="Q588" s="7">
        <v>0.52704627669472981</v>
      </c>
      <c r="R588" s="7">
        <f t="shared" si="90"/>
        <v>23.196700507614214</v>
      </c>
      <c r="S588" s="7">
        <f t="shared" si="91"/>
        <v>6.4306002317777482</v>
      </c>
      <c r="T588" s="7">
        <f t="shared" si="92"/>
        <v>22.771573604060915</v>
      </c>
      <c r="U588" s="7">
        <f t="shared" si="93"/>
        <v>6.5356886776680962</v>
      </c>
      <c r="V588" s="7">
        <f t="shared" si="94"/>
        <v>11.434010152284264</v>
      </c>
      <c r="W588" s="7">
        <f t="shared" si="95"/>
        <v>3.5019632409825281</v>
      </c>
      <c r="X588" s="7">
        <f t="shared" si="96"/>
        <v>-0.3416011613906425</v>
      </c>
      <c r="Y588" s="7">
        <f t="shared" si="97"/>
        <v>3.4950623752872265E-2</v>
      </c>
      <c r="Z588" s="7">
        <f t="shared" si="98"/>
        <v>-0.12393338319636275</v>
      </c>
      <c r="AA588" s="7">
        <f t="shared" si="99"/>
        <v>-0.14352797361137767</v>
      </c>
    </row>
    <row r="589" spans="1:27" x14ac:dyDescent="0.25">
      <c r="A589" s="1" t="s">
        <v>1680</v>
      </c>
      <c r="B589" s="1" t="s">
        <v>861</v>
      </c>
      <c r="C589" s="1">
        <v>5</v>
      </c>
      <c r="D589" s="1">
        <v>4</v>
      </c>
      <c r="E589" s="1">
        <v>5</v>
      </c>
      <c r="F589" s="1">
        <v>5</v>
      </c>
      <c r="G589" s="1">
        <v>4</v>
      </c>
      <c r="H589" s="1">
        <v>5</v>
      </c>
      <c r="I589" s="1">
        <v>4</v>
      </c>
      <c r="J589" s="1">
        <v>5</v>
      </c>
      <c r="K589" s="1">
        <v>4</v>
      </c>
      <c r="L589" s="1">
        <v>5</v>
      </c>
      <c r="M589" s="1">
        <v>19</v>
      </c>
      <c r="N589" s="1">
        <v>18</v>
      </c>
      <c r="O589" s="1">
        <v>9</v>
      </c>
      <c r="P589" s="1">
        <v>46</v>
      </c>
      <c r="Q589" s="7">
        <v>0.5163977794943222</v>
      </c>
      <c r="R589" s="7">
        <f t="shared" si="90"/>
        <v>23.196700507614214</v>
      </c>
      <c r="S589" s="7">
        <f t="shared" si="91"/>
        <v>6.4306002317777482</v>
      </c>
      <c r="T589" s="7">
        <f t="shared" si="92"/>
        <v>22.771573604060915</v>
      </c>
      <c r="U589" s="7">
        <f t="shared" si="93"/>
        <v>6.5356886776680962</v>
      </c>
      <c r="V589" s="7">
        <f t="shared" si="94"/>
        <v>11.434010152284264</v>
      </c>
      <c r="W589" s="7">
        <f t="shared" si="95"/>
        <v>3.5019632409825281</v>
      </c>
      <c r="X589" s="7">
        <f t="shared" si="96"/>
        <v>-0.65261411942163761</v>
      </c>
      <c r="Y589" s="7">
        <f t="shared" si="97"/>
        <v>-0.73007969617111423</v>
      </c>
      <c r="Z589" s="7">
        <f t="shared" si="98"/>
        <v>-0.69504160517726232</v>
      </c>
      <c r="AA589" s="7">
        <f t="shared" si="99"/>
        <v>-0.69257847359000468</v>
      </c>
    </row>
    <row r="590" spans="1:27" x14ac:dyDescent="0.25">
      <c r="A590" s="1" t="s">
        <v>1680</v>
      </c>
      <c r="B590" s="1" t="s">
        <v>861</v>
      </c>
      <c r="C590" s="1">
        <v>6</v>
      </c>
      <c r="D590" s="1">
        <v>4</v>
      </c>
      <c r="E590" s="1">
        <v>5</v>
      </c>
      <c r="F590" s="1">
        <v>5</v>
      </c>
      <c r="G590" s="1">
        <v>5</v>
      </c>
      <c r="H590" s="1">
        <v>5</v>
      </c>
      <c r="I590" s="1">
        <v>5</v>
      </c>
      <c r="J590" s="1">
        <v>5</v>
      </c>
      <c r="K590" s="1">
        <v>5</v>
      </c>
      <c r="L590" s="1">
        <v>5</v>
      </c>
      <c r="M590" s="1">
        <v>20</v>
      </c>
      <c r="N590" s="1">
        <v>20</v>
      </c>
      <c r="O590" s="1">
        <v>10</v>
      </c>
      <c r="P590" s="1">
        <v>50</v>
      </c>
      <c r="Q590" s="7">
        <v>0.47140452079103168</v>
      </c>
      <c r="R590" s="7">
        <f t="shared" si="90"/>
        <v>23.196700507614214</v>
      </c>
      <c r="S590" s="7">
        <f t="shared" si="91"/>
        <v>6.4306002317777482</v>
      </c>
      <c r="T590" s="7">
        <f t="shared" si="92"/>
        <v>22.771573604060915</v>
      </c>
      <c r="U590" s="7">
        <f t="shared" si="93"/>
        <v>6.5356886776680962</v>
      </c>
      <c r="V590" s="7">
        <f t="shared" si="94"/>
        <v>11.434010152284264</v>
      </c>
      <c r="W590" s="7">
        <f t="shared" si="95"/>
        <v>3.5019632409825281</v>
      </c>
      <c r="X590" s="7">
        <f t="shared" si="96"/>
        <v>-0.49710764040614003</v>
      </c>
      <c r="Y590" s="7">
        <f t="shared" si="97"/>
        <v>-0.42406756820151964</v>
      </c>
      <c r="Z590" s="7">
        <f t="shared" si="98"/>
        <v>-0.40948749418681252</v>
      </c>
      <c r="AA590" s="7">
        <f t="shared" si="99"/>
        <v>-0.44355423426482404</v>
      </c>
    </row>
    <row r="591" spans="1:27" x14ac:dyDescent="0.25">
      <c r="A591" s="1" t="s">
        <v>1680</v>
      </c>
      <c r="B591" s="1" t="s">
        <v>861</v>
      </c>
      <c r="C591" s="1">
        <v>5</v>
      </c>
      <c r="D591" s="1">
        <v>5</v>
      </c>
      <c r="E591" s="1">
        <v>6</v>
      </c>
      <c r="F591" s="1">
        <v>5</v>
      </c>
      <c r="G591" s="1">
        <v>5</v>
      </c>
      <c r="H591" s="1">
        <v>6</v>
      </c>
      <c r="I591" s="1">
        <v>5</v>
      </c>
      <c r="J591" s="1">
        <v>5</v>
      </c>
      <c r="K591" s="1">
        <v>5</v>
      </c>
      <c r="L591" s="1">
        <v>5</v>
      </c>
      <c r="M591" s="1">
        <v>21</v>
      </c>
      <c r="N591" s="1">
        <v>21</v>
      </c>
      <c r="O591" s="1">
        <v>10</v>
      </c>
      <c r="P591" s="1">
        <v>52</v>
      </c>
      <c r="Q591" s="7">
        <v>0.42163702135578407</v>
      </c>
      <c r="R591" s="7">
        <f t="shared" si="90"/>
        <v>23.196700507614214</v>
      </c>
      <c r="S591" s="7">
        <f t="shared" si="91"/>
        <v>6.4306002317777482</v>
      </c>
      <c r="T591" s="7">
        <f t="shared" si="92"/>
        <v>22.771573604060915</v>
      </c>
      <c r="U591" s="7">
        <f t="shared" si="93"/>
        <v>6.5356886776680962</v>
      </c>
      <c r="V591" s="7">
        <f t="shared" si="94"/>
        <v>11.434010152284264</v>
      </c>
      <c r="W591" s="7">
        <f t="shared" si="95"/>
        <v>3.5019632409825281</v>
      </c>
      <c r="X591" s="7">
        <f t="shared" si="96"/>
        <v>-0.3416011613906425</v>
      </c>
      <c r="Y591" s="7">
        <f t="shared" si="97"/>
        <v>-0.27106150421672232</v>
      </c>
      <c r="Z591" s="7">
        <f t="shared" si="98"/>
        <v>-0.40948749418681252</v>
      </c>
      <c r="AA591" s="7">
        <f t="shared" si="99"/>
        <v>-0.34071671993139246</v>
      </c>
    </row>
    <row r="592" spans="1:27" x14ac:dyDescent="0.25">
      <c r="A592" s="1" t="s">
        <v>1680</v>
      </c>
      <c r="B592" s="1" t="s">
        <v>861</v>
      </c>
      <c r="C592" s="1">
        <v>4</v>
      </c>
      <c r="D592" s="1">
        <v>5</v>
      </c>
      <c r="E592" s="1">
        <v>5</v>
      </c>
      <c r="F592" s="1">
        <v>5</v>
      </c>
      <c r="G592" s="1">
        <v>5</v>
      </c>
      <c r="H592" s="1">
        <v>5</v>
      </c>
      <c r="I592" s="1">
        <v>5</v>
      </c>
      <c r="J592" s="1">
        <v>4</v>
      </c>
      <c r="K592" s="1">
        <v>4</v>
      </c>
      <c r="L592" s="1">
        <v>4</v>
      </c>
      <c r="M592" s="1">
        <v>19</v>
      </c>
      <c r="N592" s="1">
        <v>19</v>
      </c>
      <c r="O592" s="1">
        <v>8</v>
      </c>
      <c r="P592" s="1">
        <v>46</v>
      </c>
      <c r="Q592" s="7">
        <v>0.51639777949432231</v>
      </c>
      <c r="R592" s="7">
        <f t="shared" si="90"/>
        <v>23.196700507614214</v>
      </c>
      <c r="S592" s="7">
        <f t="shared" si="91"/>
        <v>6.4306002317777482</v>
      </c>
      <c r="T592" s="7">
        <f t="shared" si="92"/>
        <v>22.771573604060915</v>
      </c>
      <c r="U592" s="7">
        <f t="shared" si="93"/>
        <v>6.5356886776680962</v>
      </c>
      <c r="V592" s="7">
        <f t="shared" si="94"/>
        <v>11.434010152284264</v>
      </c>
      <c r="W592" s="7">
        <f t="shared" si="95"/>
        <v>3.5019632409825281</v>
      </c>
      <c r="X592" s="7">
        <f t="shared" si="96"/>
        <v>-0.65261411942163761</v>
      </c>
      <c r="Y592" s="7">
        <f t="shared" si="97"/>
        <v>-0.57707363218631691</v>
      </c>
      <c r="Z592" s="7">
        <f t="shared" si="98"/>
        <v>-0.98059571616771202</v>
      </c>
      <c r="AA592" s="7">
        <f t="shared" si="99"/>
        <v>-0.73676115592522218</v>
      </c>
    </row>
    <row r="593" spans="1:27" x14ac:dyDescent="0.25">
      <c r="A593" s="1" t="s">
        <v>1680</v>
      </c>
      <c r="B593" s="1" t="s">
        <v>861</v>
      </c>
      <c r="C593" s="1">
        <v>5</v>
      </c>
      <c r="D593" s="1">
        <v>6</v>
      </c>
      <c r="E593" s="1">
        <v>5</v>
      </c>
      <c r="F593" s="1">
        <v>6</v>
      </c>
      <c r="G593" s="1">
        <v>6</v>
      </c>
      <c r="H593" s="1">
        <v>5</v>
      </c>
      <c r="I593" s="1">
        <v>5</v>
      </c>
      <c r="J593" s="1">
        <v>5</v>
      </c>
      <c r="K593" s="1">
        <v>6</v>
      </c>
      <c r="L593" s="1">
        <v>6</v>
      </c>
      <c r="M593" s="1">
        <v>22</v>
      </c>
      <c r="N593" s="1">
        <v>21</v>
      </c>
      <c r="O593" s="1">
        <v>12</v>
      </c>
      <c r="P593" s="1">
        <v>55</v>
      </c>
      <c r="Q593" s="7">
        <v>0.52704627669472992</v>
      </c>
      <c r="R593" s="7">
        <f t="shared" si="90"/>
        <v>23.196700507614214</v>
      </c>
      <c r="S593" s="7">
        <f t="shared" si="91"/>
        <v>6.4306002317777482</v>
      </c>
      <c r="T593" s="7">
        <f t="shared" si="92"/>
        <v>22.771573604060915</v>
      </c>
      <c r="U593" s="7">
        <f t="shared" si="93"/>
        <v>6.5356886776680962</v>
      </c>
      <c r="V593" s="7">
        <f t="shared" si="94"/>
        <v>11.434010152284264</v>
      </c>
      <c r="W593" s="7">
        <f t="shared" si="95"/>
        <v>3.5019632409825281</v>
      </c>
      <c r="X593" s="7">
        <f t="shared" si="96"/>
        <v>-0.18609468237514495</v>
      </c>
      <c r="Y593" s="7">
        <f t="shared" si="97"/>
        <v>-0.27106150421672232</v>
      </c>
      <c r="Z593" s="7">
        <f t="shared" si="98"/>
        <v>0.16162072779408701</v>
      </c>
      <c r="AA593" s="7">
        <f t="shared" si="99"/>
        <v>-9.85118195992601E-2</v>
      </c>
    </row>
    <row r="594" spans="1:27" x14ac:dyDescent="0.25">
      <c r="A594" s="1" t="s">
        <v>1680</v>
      </c>
      <c r="B594" s="1" t="s">
        <v>861</v>
      </c>
      <c r="C594" s="1">
        <v>5</v>
      </c>
      <c r="D594" s="1">
        <v>5</v>
      </c>
      <c r="E594" s="1">
        <v>4</v>
      </c>
      <c r="F594" s="1">
        <v>5</v>
      </c>
      <c r="G594" s="1">
        <v>6</v>
      </c>
      <c r="H594" s="1">
        <v>5</v>
      </c>
      <c r="I594" s="1">
        <v>5</v>
      </c>
      <c r="J594" s="1">
        <v>5</v>
      </c>
      <c r="K594" s="1">
        <v>6</v>
      </c>
      <c r="L594" s="1">
        <v>6</v>
      </c>
      <c r="M594" s="1">
        <v>19</v>
      </c>
      <c r="N594" s="1">
        <v>21</v>
      </c>
      <c r="O594" s="1">
        <v>12</v>
      </c>
      <c r="P594" s="1">
        <v>52</v>
      </c>
      <c r="Q594" s="7">
        <v>0.63245553203367599</v>
      </c>
      <c r="R594" s="7">
        <f t="shared" si="90"/>
        <v>23.196700507614214</v>
      </c>
      <c r="S594" s="7">
        <f t="shared" si="91"/>
        <v>6.4306002317777482</v>
      </c>
      <c r="T594" s="7">
        <f t="shared" si="92"/>
        <v>22.771573604060915</v>
      </c>
      <c r="U594" s="7">
        <f t="shared" si="93"/>
        <v>6.5356886776680962</v>
      </c>
      <c r="V594" s="7">
        <f t="shared" si="94"/>
        <v>11.434010152284264</v>
      </c>
      <c r="W594" s="7">
        <f t="shared" si="95"/>
        <v>3.5019632409825281</v>
      </c>
      <c r="X594" s="7">
        <f t="shared" si="96"/>
        <v>-0.65261411942163761</v>
      </c>
      <c r="Y594" s="7">
        <f t="shared" si="97"/>
        <v>-0.27106150421672232</v>
      </c>
      <c r="Z594" s="7">
        <f t="shared" si="98"/>
        <v>0.16162072779408701</v>
      </c>
      <c r="AA594" s="7">
        <f t="shared" si="99"/>
        <v>-0.25401829861475761</v>
      </c>
    </row>
    <row r="595" spans="1:27" x14ac:dyDescent="0.25">
      <c r="A595" s="1" t="s">
        <v>1680</v>
      </c>
      <c r="B595" s="1" t="s">
        <v>861</v>
      </c>
      <c r="C595" s="1">
        <v>7</v>
      </c>
      <c r="D595" s="1">
        <v>5</v>
      </c>
      <c r="E595" s="1">
        <v>6</v>
      </c>
      <c r="F595" s="1">
        <v>6</v>
      </c>
      <c r="G595" s="1">
        <v>6</v>
      </c>
      <c r="H595" s="1">
        <v>5</v>
      </c>
      <c r="I595" s="1">
        <v>6</v>
      </c>
      <c r="J595" s="1">
        <v>5</v>
      </c>
      <c r="K595" s="1">
        <v>6</v>
      </c>
      <c r="L595" s="1">
        <v>6</v>
      </c>
      <c r="M595" s="1">
        <v>24</v>
      </c>
      <c r="N595" s="1">
        <v>22</v>
      </c>
      <c r="O595" s="1">
        <v>12</v>
      </c>
      <c r="P595" s="1">
        <v>58</v>
      </c>
      <c r="Q595" s="7">
        <v>0.63245553203367577</v>
      </c>
      <c r="R595" s="7">
        <f t="shared" si="90"/>
        <v>23.196700507614214</v>
      </c>
      <c r="S595" s="7">
        <f t="shared" si="91"/>
        <v>6.4306002317777482</v>
      </c>
      <c r="T595" s="7">
        <f t="shared" si="92"/>
        <v>22.771573604060915</v>
      </c>
      <c r="U595" s="7">
        <f t="shared" si="93"/>
        <v>6.5356886776680962</v>
      </c>
      <c r="V595" s="7">
        <f t="shared" si="94"/>
        <v>11.434010152284264</v>
      </c>
      <c r="W595" s="7">
        <f t="shared" si="95"/>
        <v>3.5019632409825281</v>
      </c>
      <c r="X595" s="7">
        <f t="shared" si="96"/>
        <v>0.12491827565585011</v>
      </c>
      <c r="Y595" s="7">
        <f t="shared" si="97"/>
        <v>-0.11805544023192505</v>
      </c>
      <c r="Z595" s="7">
        <f t="shared" si="98"/>
        <v>0.16162072779408701</v>
      </c>
      <c r="AA595" s="7">
        <f t="shared" si="99"/>
        <v>5.616118773933735E-2</v>
      </c>
    </row>
    <row r="596" spans="1:27" x14ac:dyDescent="0.25">
      <c r="A596" s="1" t="s">
        <v>1680</v>
      </c>
      <c r="B596" s="1" t="s">
        <v>861</v>
      </c>
      <c r="C596" s="1">
        <v>7</v>
      </c>
      <c r="D596" s="1">
        <v>6</v>
      </c>
      <c r="E596" s="1">
        <v>6</v>
      </c>
      <c r="F596" s="1">
        <v>7</v>
      </c>
      <c r="G596" s="1">
        <v>6</v>
      </c>
      <c r="H596" s="1">
        <v>6</v>
      </c>
      <c r="I596" s="1">
        <v>6</v>
      </c>
      <c r="J596" s="1">
        <v>5</v>
      </c>
      <c r="K596" s="1">
        <v>6</v>
      </c>
      <c r="L596" s="1">
        <v>6</v>
      </c>
      <c r="M596" s="1">
        <v>26</v>
      </c>
      <c r="N596" s="1">
        <v>23</v>
      </c>
      <c r="O596" s="1">
        <v>12</v>
      </c>
      <c r="P596" s="1">
        <v>61</v>
      </c>
      <c r="Q596" s="7">
        <v>0.56764621219754696</v>
      </c>
      <c r="R596" s="7">
        <f t="shared" si="90"/>
        <v>23.196700507614214</v>
      </c>
      <c r="S596" s="7">
        <f t="shared" si="91"/>
        <v>6.4306002317777482</v>
      </c>
      <c r="T596" s="7">
        <f t="shared" si="92"/>
        <v>22.771573604060915</v>
      </c>
      <c r="U596" s="7">
        <f t="shared" si="93"/>
        <v>6.5356886776680962</v>
      </c>
      <c r="V596" s="7">
        <f t="shared" si="94"/>
        <v>11.434010152284264</v>
      </c>
      <c r="W596" s="7">
        <f t="shared" si="95"/>
        <v>3.5019632409825281</v>
      </c>
      <c r="X596" s="7">
        <f t="shared" si="96"/>
        <v>0.43593123368684517</v>
      </c>
      <c r="Y596" s="7">
        <f t="shared" si="97"/>
        <v>3.4950623752872265E-2</v>
      </c>
      <c r="Z596" s="7">
        <f t="shared" si="98"/>
        <v>0.16162072779408701</v>
      </c>
      <c r="AA596" s="7">
        <f t="shared" si="99"/>
        <v>0.2108341950779348</v>
      </c>
    </row>
    <row r="597" spans="1:27" x14ac:dyDescent="0.25">
      <c r="A597" s="1" t="s">
        <v>1680</v>
      </c>
      <c r="B597" s="1" t="s">
        <v>861</v>
      </c>
      <c r="C597" s="1">
        <v>4</v>
      </c>
      <c r="D597" s="1">
        <v>3</v>
      </c>
      <c r="E597" s="1">
        <v>4</v>
      </c>
      <c r="F597" s="1">
        <v>3</v>
      </c>
      <c r="G597" s="1">
        <v>5</v>
      </c>
      <c r="H597" s="1">
        <v>4</v>
      </c>
      <c r="I597" s="1">
        <v>3</v>
      </c>
      <c r="J597" s="1">
        <v>3</v>
      </c>
      <c r="K597" s="1">
        <v>4</v>
      </c>
      <c r="L597" s="1">
        <v>4</v>
      </c>
      <c r="M597" s="1">
        <v>14</v>
      </c>
      <c r="N597" s="1">
        <v>15</v>
      </c>
      <c r="O597" s="1">
        <v>8</v>
      </c>
      <c r="P597" s="1">
        <v>37</v>
      </c>
      <c r="Q597" s="7">
        <v>0.67494855771055284</v>
      </c>
      <c r="R597" s="7">
        <f t="shared" si="90"/>
        <v>23.196700507614214</v>
      </c>
      <c r="S597" s="7">
        <f t="shared" si="91"/>
        <v>6.4306002317777482</v>
      </c>
      <c r="T597" s="7">
        <f t="shared" si="92"/>
        <v>22.771573604060915</v>
      </c>
      <c r="U597" s="7">
        <f t="shared" si="93"/>
        <v>6.5356886776680962</v>
      </c>
      <c r="V597" s="7">
        <f t="shared" si="94"/>
        <v>11.434010152284264</v>
      </c>
      <c r="W597" s="7">
        <f t="shared" si="95"/>
        <v>3.5019632409825281</v>
      </c>
      <c r="X597" s="7">
        <f t="shared" si="96"/>
        <v>-1.4301465144991252</v>
      </c>
      <c r="Y597" s="7">
        <f t="shared" si="97"/>
        <v>-1.1890978881255061</v>
      </c>
      <c r="Z597" s="7">
        <f t="shared" si="98"/>
        <v>-0.98059571616771202</v>
      </c>
      <c r="AA597" s="7">
        <f t="shared" si="99"/>
        <v>-1.1999467062641145</v>
      </c>
    </row>
    <row r="598" spans="1:27" x14ac:dyDescent="0.25">
      <c r="A598" s="1" t="s">
        <v>1680</v>
      </c>
      <c r="B598" s="1" t="s">
        <v>861</v>
      </c>
      <c r="C598" s="1">
        <v>5</v>
      </c>
      <c r="D598" s="1">
        <v>6</v>
      </c>
      <c r="E598" s="1">
        <v>6</v>
      </c>
      <c r="F598" s="1">
        <v>5</v>
      </c>
      <c r="G598" s="1">
        <v>5</v>
      </c>
      <c r="H598" s="1">
        <v>5</v>
      </c>
      <c r="I598" s="1">
        <v>6</v>
      </c>
      <c r="J598" s="1">
        <v>5</v>
      </c>
      <c r="K598" s="1">
        <v>5</v>
      </c>
      <c r="L598" s="1">
        <v>5</v>
      </c>
      <c r="M598" s="1">
        <v>22</v>
      </c>
      <c r="N598" s="1">
        <v>21</v>
      </c>
      <c r="O598" s="1">
        <v>10</v>
      </c>
      <c r="P598" s="1">
        <v>53</v>
      </c>
      <c r="Q598" s="7">
        <v>0.48304589153964789</v>
      </c>
      <c r="R598" s="7">
        <f t="shared" si="90"/>
        <v>23.196700507614214</v>
      </c>
      <c r="S598" s="7">
        <f t="shared" si="91"/>
        <v>6.4306002317777482</v>
      </c>
      <c r="T598" s="7">
        <f t="shared" si="92"/>
        <v>22.771573604060915</v>
      </c>
      <c r="U598" s="7">
        <f t="shared" si="93"/>
        <v>6.5356886776680962</v>
      </c>
      <c r="V598" s="7">
        <f t="shared" si="94"/>
        <v>11.434010152284264</v>
      </c>
      <c r="W598" s="7">
        <f t="shared" si="95"/>
        <v>3.5019632409825281</v>
      </c>
      <c r="X598" s="7">
        <f t="shared" si="96"/>
        <v>-0.18609468237514495</v>
      </c>
      <c r="Y598" s="7">
        <f t="shared" si="97"/>
        <v>-0.27106150421672232</v>
      </c>
      <c r="Z598" s="7">
        <f t="shared" si="98"/>
        <v>-0.40948749418681252</v>
      </c>
      <c r="AA598" s="7">
        <f t="shared" si="99"/>
        <v>-0.28888122692622659</v>
      </c>
    </row>
    <row r="599" spans="1:27" x14ac:dyDescent="0.25">
      <c r="A599" s="1" t="s">
        <v>1680</v>
      </c>
      <c r="B599" s="1" t="s">
        <v>861</v>
      </c>
      <c r="C599" s="1">
        <v>5</v>
      </c>
      <c r="D599" s="1">
        <v>6</v>
      </c>
      <c r="E599" s="1">
        <v>5</v>
      </c>
      <c r="F599" s="1">
        <v>5</v>
      </c>
      <c r="G599" s="1">
        <v>6</v>
      </c>
      <c r="H599" s="1">
        <v>5</v>
      </c>
      <c r="I599" s="1">
        <v>6</v>
      </c>
      <c r="J599" s="1">
        <v>5</v>
      </c>
      <c r="K599" s="1">
        <v>5</v>
      </c>
      <c r="L599" s="1">
        <v>5</v>
      </c>
      <c r="M599" s="1">
        <v>21</v>
      </c>
      <c r="N599" s="1">
        <v>22</v>
      </c>
      <c r="O599" s="1">
        <v>10</v>
      </c>
      <c r="P599" s="1">
        <v>53</v>
      </c>
      <c r="Q599" s="7">
        <v>0.48304589153964789</v>
      </c>
      <c r="R599" s="7">
        <f t="shared" si="90"/>
        <v>23.196700507614214</v>
      </c>
      <c r="S599" s="7">
        <f t="shared" si="91"/>
        <v>6.4306002317777482</v>
      </c>
      <c r="T599" s="7">
        <f t="shared" si="92"/>
        <v>22.771573604060915</v>
      </c>
      <c r="U599" s="7">
        <f t="shared" si="93"/>
        <v>6.5356886776680962</v>
      </c>
      <c r="V599" s="7">
        <f t="shared" si="94"/>
        <v>11.434010152284264</v>
      </c>
      <c r="W599" s="7">
        <f t="shared" si="95"/>
        <v>3.5019632409825281</v>
      </c>
      <c r="X599" s="7">
        <f t="shared" si="96"/>
        <v>-0.3416011613906425</v>
      </c>
      <c r="Y599" s="7">
        <f t="shared" si="97"/>
        <v>-0.11805544023192505</v>
      </c>
      <c r="Z599" s="7">
        <f t="shared" si="98"/>
        <v>-0.40948749418681252</v>
      </c>
      <c r="AA599" s="7">
        <f t="shared" si="99"/>
        <v>-0.28971469860312671</v>
      </c>
    </row>
    <row r="600" spans="1:27" x14ac:dyDescent="0.25">
      <c r="A600" s="1" t="s">
        <v>1680</v>
      </c>
      <c r="B600" s="1" t="s">
        <v>861</v>
      </c>
      <c r="C600" s="1">
        <v>6</v>
      </c>
      <c r="D600" s="1">
        <v>6</v>
      </c>
      <c r="E600" s="1">
        <v>6</v>
      </c>
      <c r="F600" s="1">
        <v>6</v>
      </c>
      <c r="G600" s="1">
        <v>6</v>
      </c>
      <c r="H600" s="1">
        <v>6</v>
      </c>
      <c r="I600" s="1">
        <v>6</v>
      </c>
      <c r="J600" s="1">
        <v>5</v>
      </c>
      <c r="K600" s="1">
        <v>5</v>
      </c>
      <c r="L600" s="1">
        <v>5</v>
      </c>
      <c r="M600" s="1">
        <v>24</v>
      </c>
      <c r="N600" s="1">
        <v>23</v>
      </c>
      <c r="O600" s="1">
        <v>10</v>
      </c>
      <c r="P600" s="1">
        <v>57</v>
      </c>
      <c r="Q600" s="7">
        <v>0.48304589153964789</v>
      </c>
      <c r="R600" s="7">
        <f t="shared" si="90"/>
        <v>23.196700507614214</v>
      </c>
      <c r="S600" s="7">
        <f t="shared" si="91"/>
        <v>6.4306002317777482</v>
      </c>
      <c r="T600" s="7">
        <f t="shared" si="92"/>
        <v>22.771573604060915</v>
      </c>
      <c r="U600" s="7">
        <f t="shared" si="93"/>
        <v>6.5356886776680962</v>
      </c>
      <c r="V600" s="7">
        <f t="shared" si="94"/>
        <v>11.434010152284264</v>
      </c>
      <c r="W600" s="7">
        <f t="shared" si="95"/>
        <v>3.5019632409825281</v>
      </c>
      <c r="X600" s="7">
        <f t="shared" si="96"/>
        <v>0.12491827565585011</v>
      </c>
      <c r="Y600" s="7">
        <f t="shared" si="97"/>
        <v>3.4950623752872265E-2</v>
      </c>
      <c r="Z600" s="7">
        <f t="shared" si="98"/>
        <v>-0.40948749418681252</v>
      </c>
      <c r="AA600" s="7">
        <f t="shared" si="99"/>
        <v>-8.3206198259363387E-2</v>
      </c>
    </row>
    <row r="601" spans="1:27" x14ac:dyDescent="0.25">
      <c r="A601" s="1" t="s">
        <v>1680</v>
      </c>
      <c r="B601" s="1" t="s">
        <v>861</v>
      </c>
      <c r="C601" s="1">
        <v>6</v>
      </c>
      <c r="D601" s="1">
        <v>6</v>
      </c>
      <c r="E601" s="1">
        <v>5</v>
      </c>
      <c r="F601" s="1">
        <v>6</v>
      </c>
      <c r="G601" s="1">
        <v>6</v>
      </c>
      <c r="H601" s="1">
        <v>6</v>
      </c>
      <c r="I601" s="1">
        <v>5</v>
      </c>
      <c r="J601" s="1">
        <v>6</v>
      </c>
      <c r="K601" s="1">
        <v>6</v>
      </c>
      <c r="L601" s="1">
        <v>6</v>
      </c>
      <c r="M601" s="1">
        <v>23</v>
      </c>
      <c r="N601" s="1">
        <v>23</v>
      </c>
      <c r="O601" s="1">
        <v>12</v>
      </c>
      <c r="P601" s="1">
        <v>58</v>
      </c>
      <c r="Q601" s="7">
        <v>0.42163702135578396</v>
      </c>
      <c r="R601" s="7">
        <f t="shared" si="90"/>
        <v>23.196700507614214</v>
      </c>
      <c r="S601" s="7">
        <f t="shared" si="91"/>
        <v>6.4306002317777482</v>
      </c>
      <c r="T601" s="7">
        <f t="shared" si="92"/>
        <v>22.771573604060915</v>
      </c>
      <c r="U601" s="7">
        <f t="shared" si="93"/>
        <v>6.5356886776680962</v>
      </c>
      <c r="V601" s="7">
        <f t="shared" si="94"/>
        <v>11.434010152284264</v>
      </c>
      <c r="W601" s="7">
        <f t="shared" si="95"/>
        <v>3.5019632409825281</v>
      </c>
      <c r="X601" s="7">
        <f t="shared" si="96"/>
        <v>-3.0588203359647428E-2</v>
      </c>
      <c r="Y601" s="7">
        <f t="shared" si="97"/>
        <v>3.4950623752872265E-2</v>
      </c>
      <c r="Z601" s="7">
        <f t="shared" si="98"/>
        <v>0.16162072779408701</v>
      </c>
      <c r="AA601" s="7">
        <f t="shared" si="99"/>
        <v>5.5327716062437284E-2</v>
      </c>
    </row>
    <row r="602" spans="1:27" x14ac:dyDescent="0.25">
      <c r="A602" s="1" t="s">
        <v>1680</v>
      </c>
      <c r="B602" s="1" t="s">
        <v>861</v>
      </c>
      <c r="C602" s="1">
        <v>6</v>
      </c>
      <c r="D602" s="1">
        <v>6</v>
      </c>
      <c r="E602" s="1">
        <v>6</v>
      </c>
      <c r="F602" s="1">
        <v>6</v>
      </c>
      <c r="G602" s="1">
        <v>6</v>
      </c>
      <c r="H602" s="1">
        <v>6</v>
      </c>
      <c r="I602" s="1">
        <v>6</v>
      </c>
      <c r="J602" s="1">
        <v>6</v>
      </c>
      <c r="K602" s="1">
        <v>5</v>
      </c>
      <c r="L602" s="1">
        <v>6</v>
      </c>
      <c r="M602" s="1">
        <v>24</v>
      </c>
      <c r="N602" s="1">
        <v>24</v>
      </c>
      <c r="O602" s="1">
        <v>11</v>
      </c>
      <c r="P602" s="1">
        <v>59</v>
      </c>
      <c r="Q602" s="7">
        <v>0.316227766016838</v>
      </c>
      <c r="R602" s="7">
        <f t="shared" si="90"/>
        <v>23.196700507614214</v>
      </c>
      <c r="S602" s="7">
        <f t="shared" si="91"/>
        <v>6.4306002317777482</v>
      </c>
      <c r="T602" s="7">
        <f t="shared" si="92"/>
        <v>22.771573604060915</v>
      </c>
      <c r="U602" s="7">
        <f t="shared" si="93"/>
        <v>6.5356886776680962</v>
      </c>
      <c r="V602" s="7">
        <f t="shared" si="94"/>
        <v>11.434010152284264</v>
      </c>
      <c r="W602" s="7">
        <f t="shared" si="95"/>
        <v>3.5019632409825281</v>
      </c>
      <c r="X602" s="7">
        <f t="shared" si="96"/>
        <v>0.12491827565585011</v>
      </c>
      <c r="Y602" s="7">
        <f t="shared" si="97"/>
        <v>0.18795668773766958</v>
      </c>
      <c r="Z602" s="7">
        <f t="shared" si="98"/>
        <v>-0.12393338319636275</v>
      </c>
      <c r="AA602" s="7">
        <f t="shared" si="99"/>
        <v>6.2980526732385633E-2</v>
      </c>
    </row>
    <row r="603" spans="1:27" x14ac:dyDescent="0.25">
      <c r="A603" s="1" t="s">
        <v>1680</v>
      </c>
      <c r="B603" s="1" t="s">
        <v>861</v>
      </c>
      <c r="C603" s="1">
        <v>5</v>
      </c>
      <c r="D603" s="1">
        <v>7</v>
      </c>
      <c r="E603" s="1">
        <v>6</v>
      </c>
      <c r="F603" s="1">
        <v>6</v>
      </c>
      <c r="G603" s="1">
        <v>5</v>
      </c>
      <c r="H603" s="1">
        <v>4</v>
      </c>
      <c r="I603" s="1">
        <v>4</v>
      </c>
      <c r="J603" s="1">
        <v>5</v>
      </c>
      <c r="K603" s="1">
        <v>5</v>
      </c>
      <c r="L603" s="1">
        <v>5</v>
      </c>
      <c r="M603" s="1">
        <v>24</v>
      </c>
      <c r="N603" s="1">
        <v>18</v>
      </c>
      <c r="O603" s="1">
        <v>10</v>
      </c>
      <c r="P603" s="1">
        <v>52</v>
      </c>
      <c r="Q603" s="7">
        <v>0.91893658347268148</v>
      </c>
      <c r="R603" s="7">
        <f t="shared" si="90"/>
        <v>23.196700507614214</v>
      </c>
      <c r="S603" s="7">
        <f t="shared" si="91"/>
        <v>6.4306002317777482</v>
      </c>
      <c r="T603" s="7">
        <f t="shared" si="92"/>
        <v>22.771573604060915</v>
      </c>
      <c r="U603" s="7">
        <f t="shared" si="93"/>
        <v>6.5356886776680962</v>
      </c>
      <c r="V603" s="7">
        <f t="shared" si="94"/>
        <v>11.434010152284264</v>
      </c>
      <c r="W603" s="7">
        <f t="shared" si="95"/>
        <v>3.5019632409825281</v>
      </c>
      <c r="X603" s="7">
        <f t="shared" si="96"/>
        <v>0.12491827565585011</v>
      </c>
      <c r="Y603" s="7">
        <f t="shared" si="97"/>
        <v>-0.73007969617111423</v>
      </c>
      <c r="Z603" s="7">
        <f t="shared" si="98"/>
        <v>-0.40948749418681252</v>
      </c>
      <c r="AA603" s="7">
        <f t="shared" si="99"/>
        <v>-0.33821630490069216</v>
      </c>
    </row>
    <row r="604" spans="1:27" x14ac:dyDescent="0.25">
      <c r="A604" s="1" t="s">
        <v>1680</v>
      </c>
      <c r="B604" s="1" t="s">
        <v>861</v>
      </c>
      <c r="C604" s="1">
        <v>6</v>
      </c>
      <c r="D604" s="1">
        <v>5</v>
      </c>
      <c r="E604" s="1">
        <v>5</v>
      </c>
      <c r="F604" s="1">
        <v>6</v>
      </c>
      <c r="G604" s="1">
        <v>5</v>
      </c>
      <c r="H604" s="1">
        <v>6</v>
      </c>
      <c r="I604" s="1">
        <v>4</v>
      </c>
      <c r="J604" s="1">
        <v>5</v>
      </c>
      <c r="K604" s="1">
        <v>5</v>
      </c>
      <c r="L604" s="1">
        <v>5</v>
      </c>
      <c r="M604" s="1">
        <v>22</v>
      </c>
      <c r="N604" s="1">
        <v>20</v>
      </c>
      <c r="O604" s="1">
        <v>10</v>
      </c>
      <c r="P604" s="1">
        <v>52</v>
      </c>
      <c r="Q604" s="7">
        <v>0.63245553203367588</v>
      </c>
      <c r="R604" s="7">
        <f t="shared" si="90"/>
        <v>23.196700507614214</v>
      </c>
      <c r="S604" s="7">
        <f t="shared" si="91"/>
        <v>6.4306002317777482</v>
      </c>
      <c r="T604" s="7">
        <f t="shared" si="92"/>
        <v>22.771573604060915</v>
      </c>
      <c r="U604" s="7">
        <f t="shared" si="93"/>
        <v>6.5356886776680962</v>
      </c>
      <c r="V604" s="7">
        <f t="shared" si="94"/>
        <v>11.434010152284264</v>
      </c>
      <c r="W604" s="7">
        <f t="shared" si="95"/>
        <v>3.5019632409825281</v>
      </c>
      <c r="X604" s="7">
        <f t="shared" si="96"/>
        <v>-0.18609468237514495</v>
      </c>
      <c r="Y604" s="7">
        <f t="shared" si="97"/>
        <v>-0.42406756820151964</v>
      </c>
      <c r="Z604" s="7">
        <f t="shared" si="98"/>
        <v>-0.40948749418681252</v>
      </c>
      <c r="AA604" s="7">
        <f t="shared" si="99"/>
        <v>-0.3398832482544924</v>
      </c>
    </row>
    <row r="605" spans="1:27" x14ac:dyDescent="0.25">
      <c r="A605" s="1" t="s">
        <v>1681</v>
      </c>
      <c r="B605" s="1" t="s">
        <v>861</v>
      </c>
      <c r="C605" s="1">
        <v>5</v>
      </c>
      <c r="D605" s="1">
        <v>7</v>
      </c>
      <c r="E605" s="1">
        <v>4</v>
      </c>
      <c r="F605" s="1">
        <v>5</v>
      </c>
      <c r="G605" s="1">
        <v>4</v>
      </c>
      <c r="H605" s="1">
        <v>3</v>
      </c>
      <c r="I605" s="1">
        <v>4</v>
      </c>
      <c r="J605" s="1">
        <v>4</v>
      </c>
      <c r="K605" s="1">
        <v>3</v>
      </c>
      <c r="L605" s="1">
        <v>3</v>
      </c>
      <c r="M605" s="1">
        <v>21</v>
      </c>
      <c r="N605" s="1">
        <v>15</v>
      </c>
      <c r="O605" s="1">
        <v>6</v>
      </c>
      <c r="P605" s="1">
        <v>42</v>
      </c>
      <c r="Q605" s="7">
        <v>1.2292725943057186</v>
      </c>
      <c r="R605" s="7">
        <f t="shared" si="90"/>
        <v>23.196700507614214</v>
      </c>
      <c r="S605" s="7">
        <f t="shared" si="91"/>
        <v>6.4306002317777482</v>
      </c>
      <c r="T605" s="7">
        <f t="shared" si="92"/>
        <v>22.771573604060915</v>
      </c>
      <c r="U605" s="7">
        <f t="shared" si="93"/>
        <v>6.5356886776680962</v>
      </c>
      <c r="V605" s="7">
        <f t="shared" si="94"/>
        <v>11.434010152284264</v>
      </c>
      <c r="W605" s="7">
        <f t="shared" si="95"/>
        <v>3.5019632409825281</v>
      </c>
      <c r="X605" s="7">
        <f t="shared" si="96"/>
        <v>-0.3416011613906425</v>
      </c>
      <c r="Y605" s="7">
        <f t="shared" si="97"/>
        <v>-1.1890978881255061</v>
      </c>
      <c r="Z605" s="7">
        <f t="shared" si="98"/>
        <v>-1.5517039381486115</v>
      </c>
      <c r="AA605" s="7">
        <f t="shared" si="99"/>
        <v>-1.0274676625549199</v>
      </c>
    </row>
    <row r="606" spans="1:27" x14ac:dyDescent="0.25">
      <c r="A606" s="1" t="s">
        <v>1681</v>
      </c>
      <c r="B606" s="1" t="s">
        <v>861</v>
      </c>
      <c r="C606" s="1">
        <v>5</v>
      </c>
      <c r="D606" s="1">
        <v>7</v>
      </c>
      <c r="E606" s="1">
        <v>5</v>
      </c>
      <c r="F606" s="1">
        <v>6</v>
      </c>
      <c r="G606" s="1">
        <v>6</v>
      </c>
      <c r="H606" s="1">
        <v>5</v>
      </c>
      <c r="I606" s="1">
        <v>6</v>
      </c>
      <c r="J606" s="1">
        <v>5</v>
      </c>
      <c r="K606" s="1">
        <v>4</v>
      </c>
      <c r="L606" s="1">
        <v>3</v>
      </c>
      <c r="M606" s="1">
        <v>23</v>
      </c>
      <c r="N606" s="1">
        <v>22</v>
      </c>
      <c r="O606" s="1">
        <v>7</v>
      </c>
      <c r="P606" s="1">
        <v>52</v>
      </c>
      <c r="Q606" s="7">
        <v>1.135292424395093</v>
      </c>
      <c r="R606" s="7">
        <f t="shared" si="90"/>
        <v>23.196700507614214</v>
      </c>
      <c r="S606" s="7">
        <f t="shared" si="91"/>
        <v>6.4306002317777482</v>
      </c>
      <c r="T606" s="7">
        <f t="shared" si="92"/>
        <v>22.771573604060915</v>
      </c>
      <c r="U606" s="7">
        <f t="shared" si="93"/>
        <v>6.5356886776680962</v>
      </c>
      <c r="V606" s="7">
        <f t="shared" si="94"/>
        <v>11.434010152284264</v>
      </c>
      <c r="W606" s="7">
        <f t="shared" si="95"/>
        <v>3.5019632409825281</v>
      </c>
      <c r="X606" s="7">
        <f t="shared" si="96"/>
        <v>-3.0588203359647428E-2</v>
      </c>
      <c r="Y606" s="7">
        <f t="shared" si="97"/>
        <v>-0.11805544023192505</v>
      </c>
      <c r="Z606" s="7">
        <f t="shared" si="98"/>
        <v>-1.2661498271581617</v>
      </c>
      <c r="AA606" s="7">
        <f t="shared" si="99"/>
        <v>-0.47159782358324476</v>
      </c>
    </row>
    <row r="607" spans="1:27" x14ac:dyDescent="0.25">
      <c r="A607" s="1" t="s">
        <v>1681</v>
      </c>
      <c r="B607" s="1" t="s">
        <v>861</v>
      </c>
      <c r="C607" s="1">
        <v>7</v>
      </c>
      <c r="D607" s="1">
        <v>5</v>
      </c>
      <c r="E607" s="1">
        <v>8</v>
      </c>
      <c r="F607" s="1">
        <v>7</v>
      </c>
      <c r="G607" s="1">
        <v>7</v>
      </c>
      <c r="H607" s="1">
        <v>7</v>
      </c>
      <c r="I607" s="1">
        <v>8</v>
      </c>
      <c r="J607" s="1">
        <v>8</v>
      </c>
      <c r="K607" s="1">
        <v>2</v>
      </c>
      <c r="L607" s="1">
        <v>3</v>
      </c>
      <c r="M607" s="1">
        <v>27</v>
      </c>
      <c r="N607" s="1">
        <v>30</v>
      </c>
      <c r="O607" s="1">
        <v>5</v>
      </c>
      <c r="P607" s="1">
        <v>62</v>
      </c>
      <c r="Q607" s="7">
        <v>2.1499353995462802</v>
      </c>
      <c r="R607" s="7">
        <f t="shared" si="90"/>
        <v>23.196700507614214</v>
      </c>
      <c r="S607" s="7">
        <f t="shared" si="91"/>
        <v>6.4306002317777482</v>
      </c>
      <c r="T607" s="7">
        <f t="shared" si="92"/>
        <v>22.771573604060915</v>
      </c>
      <c r="U607" s="7">
        <f t="shared" si="93"/>
        <v>6.5356886776680962</v>
      </c>
      <c r="V607" s="7">
        <f t="shared" si="94"/>
        <v>11.434010152284264</v>
      </c>
      <c r="W607" s="7">
        <f t="shared" si="95"/>
        <v>3.5019632409825281</v>
      </c>
      <c r="X607" s="7">
        <f t="shared" si="96"/>
        <v>0.59143771270234269</v>
      </c>
      <c r="Y607" s="7">
        <f t="shared" si="97"/>
        <v>1.1059930716464534</v>
      </c>
      <c r="Z607" s="7">
        <f t="shared" si="98"/>
        <v>-1.8372580491390613</v>
      </c>
      <c r="AA607" s="7">
        <f t="shared" si="99"/>
        <v>-4.6609088263421729E-2</v>
      </c>
    </row>
    <row r="608" spans="1:27" x14ac:dyDescent="0.25">
      <c r="A608" s="1" t="s">
        <v>1681</v>
      </c>
      <c r="B608" s="1" t="s">
        <v>861</v>
      </c>
      <c r="C608" s="1">
        <v>6</v>
      </c>
      <c r="D608" s="1">
        <v>5</v>
      </c>
      <c r="E608" s="1">
        <v>7</v>
      </c>
      <c r="F608" s="1">
        <v>5</v>
      </c>
      <c r="G608" s="1">
        <v>6</v>
      </c>
      <c r="H608" s="1">
        <v>6</v>
      </c>
      <c r="I608" s="1">
        <v>5</v>
      </c>
      <c r="J608" s="1">
        <v>8</v>
      </c>
      <c r="K608" s="1">
        <v>5</v>
      </c>
      <c r="L608" s="1">
        <v>2</v>
      </c>
      <c r="M608" s="1">
        <v>23</v>
      </c>
      <c r="N608" s="1">
        <v>25</v>
      </c>
      <c r="O608" s="1">
        <v>7</v>
      </c>
      <c r="P608" s="1">
        <v>55</v>
      </c>
      <c r="Q608" s="7">
        <v>1.5811388300841898</v>
      </c>
      <c r="R608" s="7">
        <f t="shared" si="90"/>
        <v>23.196700507614214</v>
      </c>
      <c r="S608" s="7">
        <f t="shared" si="91"/>
        <v>6.4306002317777482</v>
      </c>
      <c r="T608" s="7">
        <f t="shared" si="92"/>
        <v>22.771573604060915</v>
      </c>
      <c r="U608" s="7">
        <f t="shared" si="93"/>
        <v>6.5356886776680962</v>
      </c>
      <c r="V608" s="7">
        <f t="shared" si="94"/>
        <v>11.434010152284264</v>
      </c>
      <c r="W608" s="7">
        <f t="shared" si="95"/>
        <v>3.5019632409825281</v>
      </c>
      <c r="X608" s="7">
        <f t="shared" si="96"/>
        <v>-3.0588203359647428E-2</v>
      </c>
      <c r="Y608" s="7">
        <f t="shared" si="97"/>
        <v>0.34096275172246687</v>
      </c>
      <c r="Z608" s="7">
        <f t="shared" si="98"/>
        <v>-1.2661498271581617</v>
      </c>
      <c r="AA608" s="7">
        <f t="shared" si="99"/>
        <v>-0.31859175959844738</v>
      </c>
    </row>
    <row r="609" spans="1:27" x14ac:dyDescent="0.25">
      <c r="A609" s="1" t="s">
        <v>1681</v>
      </c>
      <c r="B609" s="1" t="s">
        <v>861</v>
      </c>
      <c r="C609" s="1">
        <v>6</v>
      </c>
      <c r="D609" s="1">
        <v>6</v>
      </c>
      <c r="E609" s="1">
        <v>7</v>
      </c>
      <c r="F609" s="1">
        <v>4</v>
      </c>
      <c r="G609" s="1">
        <v>8</v>
      </c>
      <c r="H609" s="1">
        <v>7</v>
      </c>
      <c r="I609" s="1">
        <v>7</v>
      </c>
      <c r="J609" s="1">
        <v>7</v>
      </c>
      <c r="K609" s="1">
        <v>3</v>
      </c>
      <c r="L609" s="1">
        <v>1</v>
      </c>
      <c r="M609" s="1">
        <v>23</v>
      </c>
      <c r="N609" s="1">
        <v>29</v>
      </c>
      <c r="O609" s="1">
        <v>4</v>
      </c>
      <c r="P609" s="1">
        <v>56</v>
      </c>
      <c r="Q609" s="7">
        <v>2.2211108331943574</v>
      </c>
      <c r="R609" s="7">
        <f t="shared" si="90"/>
        <v>23.196700507614214</v>
      </c>
      <c r="S609" s="7">
        <f t="shared" si="91"/>
        <v>6.4306002317777482</v>
      </c>
      <c r="T609" s="7">
        <f t="shared" si="92"/>
        <v>22.771573604060915</v>
      </c>
      <c r="U609" s="7">
        <f t="shared" si="93"/>
        <v>6.5356886776680962</v>
      </c>
      <c r="V609" s="7">
        <f t="shared" si="94"/>
        <v>11.434010152284264</v>
      </c>
      <c r="W609" s="7">
        <f t="shared" si="95"/>
        <v>3.5019632409825281</v>
      </c>
      <c r="X609" s="7">
        <f t="shared" si="96"/>
        <v>-3.0588203359647428E-2</v>
      </c>
      <c r="Y609" s="7">
        <f t="shared" si="97"/>
        <v>0.95298700766165612</v>
      </c>
      <c r="Z609" s="7">
        <f t="shared" si="98"/>
        <v>-2.1228121601295111</v>
      </c>
      <c r="AA609" s="7">
        <f t="shared" si="99"/>
        <v>-0.4001377852758341</v>
      </c>
    </row>
    <row r="610" spans="1:27" x14ac:dyDescent="0.25">
      <c r="A610" s="1" t="s">
        <v>1681</v>
      </c>
      <c r="B610" s="1" t="s">
        <v>861</v>
      </c>
      <c r="C610" s="1">
        <v>4</v>
      </c>
      <c r="D610" s="1">
        <v>5</v>
      </c>
      <c r="E610" s="1">
        <v>6</v>
      </c>
      <c r="F610" s="1">
        <v>6</v>
      </c>
      <c r="G610" s="1">
        <v>6</v>
      </c>
      <c r="H610" s="1">
        <v>7</v>
      </c>
      <c r="I610" s="1">
        <v>8</v>
      </c>
      <c r="J610" s="1">
        <v>7</v>
      </c>
      <c r="K610" s="1">
        <v>4</v>
      </c>
      <c r="L610" s="1">
        <v>1</v>
      </c>
      <c r="M610" s="1">
        <v>21</v>
      </c>
      <c r="N610" s="1">
        <v>28</v>
      </c>
      <c r="O610" s="1">
        <v>5</v>
      </c>
      <c r="P610" s="1">
        <v>54</v>
      </c>
      <c r="Q610" s="7">
        <v>2.0110804171997807</v>
      </c>
      <c r="R610" s="7">
        <f t="shared" si="90"/>
        <v>23.196700507614214</v>
      </c>
      <c r="S610" s="7">
        <f t="shared" si="91"/>
        <v>6.4306002317777482</v>
      </c>
      <c r="T610" s="7">
        <f t="shared" si="92"/>
        <v>22.771573604060915</v>
      </c>
      <c r="U610" s="7">
        <f t="shared" si="93"/>
        <v>6.5356886776680962</v>
      </c>
      <c r="V610" s="7">
        <f t="shared" si="94"/>
        <v>11.434010152284264</v>
      </c>
      <c r="W610" s="7">
        <f t="shared" si="95"/>
        <v>3.5019632409825281</v>
      </c>
      <c r="X610" s="7">
        <f t="shared" si="96"/>
        <v>-0.3416011613906425</v>
      </c>
      <c r="Y610" s="7">
        <f t="shared" si="97"/>
        <v>0.79998094367685879</v>
      </c>
      <c r="Z610" s="7">
        <f t="shared" si="98"/>
        <v>-1.8372580491390613</v>
      </c>
      <c r="AA610" s="7">
        <f t="shared" si="99"/>
        <v>-0.45962608895094831</v>
      </c>
    </row>
    <row r="611" spans="1:27" x14ac:dyDescent="0.25">
      <c r="A611" s="1" t="s">
        <v>1682</v>
      </c>
      <c r="B611" s="1" t="s">
        <v>861</v>
      </c>
      <c r="C611" s="1">
        <v>6</v>
      </c>
      <c r="D611" s="1">
        <v>6</v>
      </c>
      <c r="E611" s="1">
        <v>5</v>
      </c>
      <c r="F611" s="1">
        <v>5</v>
      </c>
      <c r="G611" s="1">
        <v>4</v>
      </c>
      <c r="H611" s="1">
        <v>4</v>
      </c>
      <c r="I611" s="1">
        <v>4</v>
      </c>
      <c r="J611" s="1">
        <v>5</v>
      </c>
      <c r="K611" s="1">
        <v>4</v>
      </c>
      <c r="L611" s="1">
        <v>4</v>
      </c>
      <c r="M611" s="1">
        <v>22</v>
      </c>
      <c r="N611" s="1">
        <v>17</v>
      </c>
      <c r="O611" s="1">
        <v>8</v>
      </c>
      <c r="P611" s="1">
        <v>47</v>
      </c>
      <c r="Q611" s="7">
        <v>0.82327260234856459</v>
      </c>
      <c r="R611" s="7">
        <f t="shared" si="90"/>
        <v>23.196700507614214</v>
      </c>
      <c r="S611" s="7">
        <f t="shared" si="91"/>
        <v>6.4306002317777482</v>
      </c>
      <c r="T611" s="7">
        <f t="shared" si="92"/>
        <v>22.771573604060915</v>
      </c>
      <c r="U611" s="7">
        <f t="shared" si="93"/>
        <v>6.5356886776680962</v>
      </c>
      <c r="V611" s="7">
        <f t="shared" si="94"/>
        <v>11.434010152284264</v>
      </c>
      <c r="W611" s="7">
        <f t="shared" si="95"/>
        <v>3.5019632409825281</v>
      </c>
      <c r="X611" s="7">
        <f t="shared" si="96"/>
        <v>-0.18609468237514495</v>
      </c>
      <c r="Y611" s="7">
        <f t="shared" si="97"/>
        <v>-0.88308576015591156</v>
      </c>
      <c r="Z611" s="7">
        <f t="shared" si="98"/>
        <v>-0.98059571616771202</v>
      </c>
      <c r="AA611" s="7">
        <f t="shared" si="99"/>
        <v>-0.68325871956625617</v>
      </c>
    </row>
    <row r="612" spans="1:27" x14ac:dyDescent="0.25">
      <c r="A612" s="1" t="s">
        <v>1682</v>
      </c>
      <c r="B612" s="1" t="s">
        <v>861</v>
      </c>
      <c r="C612" s="1">
        <v>5</v>
      </c>
      <c r="D612" s="1">
        <v>2</v>
      </c>
      <c r="E612" s="1">
        <v>4</v>
      </c>
      <c r="F612" s="1">
        <v>4</v>
      </c>
      <c r="G612" s="1">
        <v>5</v>
      </c>
      <c r="H612" s="1">
        <v>5</v>
      </c>
      <c r="I612" s="1">
        <v>4</v>
      </c>
      <c r="J612" s="1">
        <v>4</v>
      </c>
      <c r="K612" s="1">
        <v>4</v>
      </c>
      <c r="L612" s="1">
        <v>4</v>
      </c>
      <c r="M612" s="1">
        <v>15</v>
      </c>
      <c r="N612" s="1">
        <v>18</v>
      </c>
      <c r="O612" s="1">
        <v>8</v>
      </c>
      <c r="P612" s="1">
        <v>41</v>
      </c>
      <c r="Q612" s="7">
        <v>0.87559503577091313</v>
      </c>
      <c r="R612" s="7">
        <f t="shared" si="90"/>
        <v>23.196700507614214</v>
      </c>
      <c r="S612" s="7">
        <f t="shared" si="91"/>
        <v>6.4306002317777482</v>
      </c>
      <c r="T612" s="7">
        <f t="shared" si="92"/>
        <v>22.771573604060915</v>
      </c>
      <c r="U612" s="7">
        <f t="shared" si="93"/>
        <v>6.5356886776680962</v>
      </c>
      <c r="V612" s="7">
        <f t="shared" si="94"/>
        <v>11.434010152284264</v>
      </c>
      <c r="W612" s="7">
        <f t="shared" si="95"/>
        <v>3.5019632409825281</v>
      </c>
      <c r="X612" s="7">
        <f t="shared" si="96"/>
        <v>-1.2746400354836278</v>
      </c>
      <c r="Y612" s="7">
        <f t="shared" si="97"/>
        <v>-0.73007969617111423</v>
      </c>
      <c r="Z612" s="7">
        <f t="shared" si="98"/>
        <v>-0.98059571616771202</v>
      </c>
      <c r="AA612" s="7">
        <f t="shared" si="99"/>
        <v>-0.99510514927415128</v>
      </c>
    </row>
    <row r="613" spans="1:27" x14ac:dyDescent="0.25">
      <c r="A613" s="1" t="s">
        <v>1682</v>
      </c>
      <c r="B613" s="1" t="s">
        <v>861</v>
      </c>
      <c r="C613" s="1">
        <v>5</v>
      </c>
      <c r="D613" s="1">
        <v>4</v>
      </c>
      <c r="E613" s="1">
        <v>5</v>
      </c>
      <c r="F613" s="1">
        <v>4</v>
      </c>
      <c r="G613" s="1">
        <v>5</v>
      </c>
      <c r="H613" s="1">
        <v>5</v>
      </c>
      <c r="I613" s="1">
        <v>5</v>
      </c>
      <c r="J613" s="1">
        <v>6</v>
      </c>
      <c r="K613" s="1">
        <v>6</v>
      </c>
      <c r="L613" s="1">
        <v>5</v>
      </c>
      <c r="M613" s="1">
        <v>18</v>
      </c>
      <c r="N613" s="1">
        <v>21</v>
      </c>
      <c r="O613" s="1">
        <v>11</v>
      </c>
      <c r="P613" s="1">
        <v>50</v>
      </c>
      <c r="Q613" s="7">
        <v>0.66666666666666707</v>
      </c>
      <c r="R613" s="7">
        <f t="shared" si="90"/>
        <v>23.196700507614214</v>
      </c>
      <c r="S613" s="7">
        <f t="shared" si="91"/>
        <v>6.4306002317777482</v>
      </c>
      <c r="T613" s="7">
        <f t="shared" si="92"/>
        <v>22.771573604060915</v>
      </c>
      <c r="U613" s="7">
        <f t="shared" si="93"/>
        <v>6.5356886776680962</v>
      </c>
      <c r="V613" s="7">
        <f t="shared" si="94"/>
        <v>11.434010152284264</v>
      </c>
      <c r="W613" s="7">
        <f t="shared" si="95"/>
        <v>3.5019632409825281</v>
      </c>
      <c r="X613" s="7">
        <f t="shared" si="96"/>
        <v>-0.80812059843713513</v>
      </c>
      <c r="Y613" s="7">
        <f t="shared" si="97"/>
        <v>-0.27106150421672232</v>
      </c>
      <c r="Z613" s="7">
        <f t="shared" si="98"/>
        <v>-0.12393338319636275</v>
      </c>
      <c r="AA613" s="7">
        <f t="shared" si="99"/>
        <v>-0.40103849528340674</v>
      </c>
    </row>
    <row r="614" spans="1:27" x14ac:dyDescent="0.25">
      <c r="A614" s="1" t="s">
        <v>1682</v>
      </c>
      <c r="B614" s="1" t="s">
        <v>861</v>
      </c>
      <c r="C614" s="1">
        <v>4</v>
      </c>
      <c r="D614" s="1">
        <v>5</v>
      </c>
      <c r="E614" s="1">
        <v>4</v>
      </c>
      <c r="F614" s="1">
        <v>4</v>
      </c>
      <c r="G614" s="1">
        <v>4</v>
      </c>
      <c r="H614" s="1">
        <v>4</v>
      </c>
      <c r="I614" s="1">
        <v>3</v>
      </c>
      <c r="J614" s="1">
        <v>3</v>
      </c>
      <c r="K614" s="1">
        <v>3</v>
      </c>
      <c r="L614" s="1">
        <v>3</v>
      </c>
      <c r="M614" s="1">
        <v>17</v>
      </c>
      <c r="N614" s="1">
        <v>14</v>
      </c>
      <c r="O614" s="1">
        <v>6</v>
      </c>
      <c r="P614" s="1">
        <v>37</v>
      </c>
      <c r="Q614" s="7">
        <v>0.67494855771055284</v>
      </c>
      <c r="R614" s="7">
        <f t="shared" si="90"/>
        <v>23.196700507614214</v>
      </c>
      <c r="S614" s="7">
        <f t="shared" si="91"/>
        <v>6.4306002317777482</v>
      </c>
      <c r="T614" s="7">
        <f t="shared" si="92"/>
        <v>22.771573604060915</v>
      </c>
      <c r="U614" s="7">
        <f t="shared" si="93"/>
        <v>6.5356886776680962</v>
      </c>
      <c r="V614" s="7">
        <f t="shared" si="94"/>
        <v>11.434010152284264</v>
      </c>
      <c r="W614" s="7">
        <f t="shared" si="95"/>
        <v>3.5019632409825281</v>
      </c>
      <c r="X614" s="7">
        <f t="shared" si="96"/>
        <v>-0.96362707745263265</v>
      </c>
      <c r="Y614" s="7">
        <f t="shared" si="97"/>
        <v>-1.3421039521103035</v>
      </c>
      <c r="Z614" s="7">
        <f t="shared" si="98"/>
        <v>-1.5517039381486115</v>
      </c>
      <c r="AA614" s="7">
        <f t="shared" si="99"/>
        <v>-1.2858116559038493</v>
      </c>
    </row>
    <row r="615" spans="1:27" x14ac:dyDescent="0.25">
      <c r="A615" s="1" t="s">
        <v>1682</v>
      </c>
      <c r="B615" s="1" t="s">
        <v>861</v>
      </c>
      <c r="C615" s="1">
        <v>4</v>
      </c>
      <c r="D615" s="1">
        <v>4</v>
      </c>
      <c r="E615" s="1">
        <v>4</v>
      </c>
      <c r="F615" s="1">
        <v>4</v>
      </c>
      <c r="G615" s="1">
        <v>4</v>
      </c>
      <c r="H615" s="1">
        <v>4</v>
      </c>
      <c r="I615" s="1">
        <v>3</v>
      </c>
      <c r="J615" s="1">
        <v>4</v>
      </c>
      <c r="K615" s="1">
        <v>4</v>
      </c>
      <c r="L615" s="1">
        <v>4</v>
      </c>
      <c r="M615" s="1">
        <v>16</v>
      </c>
      <c r="N615" s="1">
        <v>15</v>
      </c>
      <c r="O615" s="1">
        <v>8</v>
      </c>
      <c r="P615" s="1">
        <v>39</v>
      </c>
      <c r="Q615" s="7">
        <v>0.31622776601683794</v>
      </c>
      <c r="R615" s="7">
        <f t="shared" si="90"/>
        <v>23.196700507614214</v>
      </c>
      <c r="S615" s="7">
        <f t="shared" si="91"/>
        <v>6.4306002317777482</v>
      </c>
      <c r="T615" s="7">
        <f t="shared" si="92"/>
        <v>22.771573604060915</v>
      </c>
      <c r="U615" s="7">
        <f t="shared" si="93"/>
        <v>6.5356886776680962</v>
      </c>
      <c r="V615" s="7">
        <f t="shared" si="94"/>
        <v>11.434010152284264</v>
      </c>
      <c r="W615" s="7">
        <f t="shared" si="95"/>
        <v>3.5019632409825281</v>
      </c>
      <c r="X615" s="7">
        <f t="shared" si="96"/>
        <v>-1.1191335564681302</v>
      </c>
      <c r="Y615" s="7">
        <f t="shared" si="97"/>
        <v>-1.1890978881255061</v>
      </c>
      <c r="Z615" s="7">
        <f t="shared" si="98"/>
        <v>-0.98059571616771202</v>
      </c>
      <c r="AA615" s="7">
        <f t="shared" si="99"/>
        <v>-1.0962757202537827</v>
      </c>
    </row>
    <row r="616" spans="1:27" x14ac:dyDescent="0.25">
      <c r="A616" s="1" t="s">
        <v>1682</v>
      </c>
      <c r="B616" s="1" t="s">
        <v>861</v>
      </c>
      <c r="C616" s="1">
        <v>5</v>
      </c>
      <c r="D616" s="1">
        <v>4</v>
      </c>
      <c r="E616" s="1">
        <v>5</v>
      </c>
      <c r="F616" s="1">
        <v>5</v>
      </c>
      <c r="G616" s="1">
        <v>5</v>
      </c>
      <c r="H616" s="1">
        <v>5</v>
      </c>
      <c r="I616" s="1">
        <v>4</v>
      </c>
      <c r="J616" s="1">
        <v>4</v>
      </c>
      <c r="K616" s="1">
        <v>5</v>
      </c>
      <c r="L616" s="1">
        <v>4</v>
      </c>
      <c r="M616" s="1">
        <v>19</v>
      </c>
      <c r="N616" s="1">
        <v>18</v>
      </c>
      <c r="O616" s="1">
        <v>9</v>
      </c>
      <c r="P616" s="1">
        <v>46</v>
      </c>
      <c r="Q616" s="7">
        <v>0.51639777949432231</v>
      </c>
      <c r="R616" s="7">
        <f t="shared" si="90"/>
        <v>23.196700507614214</v>
      </c>
      <c r="S616" s="7">
        <f t="shared" si="91"/>
        <v>6.4306002317777482</v>
      </c>
      <c r="T616" s="7">
        <f t="shared" si="92"/>
        <v>22.771573604060915</v>
      </c>
      <c r="U616" s="7">
        <f t="shared" si="93"/>
        <v>6.5356886776680962</v>
      </c>
      <c r="V616" s="7">
        <f t="shared" si="94"/>
        <v>11.434010152284264</v>
      </c>
      <c r="W616" s="7">
        <f t="shared" si="95"/>
        <v>3.5019632409825281</v>
      </c>
      <c r="X616" s="7">
        <f t="shared" si="96"/>
        <v>-0.65261411942163761</v>
      </c>
      <c r="Y616" s="7">
        <f t="shared" si="97"/>
        <v>-0.73007969617111423</v>
      </c>
      <c r="Z616" s="7">
        <f t="shared" si="98"/>
        <v>-0.69504160517726232</v>
      </c>
      <c r="AA616" s="7">
        <f t="shared" si="99"/>
        <v>-0.69257847359000468</v>
      </c>
    </row>
    <row r="617" spans="1:27" x14ac:dyDescent="0.25">
      <c r="A617" s="1" t="s">
        <v>1682</v>
      </c>
      <c r="B617" s="1" t="s">
        <v>861</v>
      </c>
      <c r="C617" s="1">
        <v>4</v>
      </c>
      <c r="D617" s="1">
        <v>3</v>
      </c>
      <c r="E617" s="1">
        <v>4</v>
      </c>
      <c r="F617" s="1">
        <v>4</v>
      </c>
      <c r="G617" s="1">
        <v>4</v>
      </c>
      <c r="H617" s="1">
        <v>4</v>
      </c>
      <c r="I617" s="1">
        <v>5</v>
      </c>
      <c r="J617" s="1">
        <v>5</v>
      </c>
      <c r="K617" s="1">
        <v>4</v>
      </c>
      <c r="L617" s="1">
        <v>3</v>
      </c>
      <c r="M617" s="1">
        <v>15</v>
      </c>
      <c r="N617" s="1">
        <v>18</v>
      </c>
      <c r="O617" s="1">
        <v>7</v>
      </c>
      <c r="P617" s="1">
        <v>40</v>
      </c>
      <c r="Q617" s="7">
        <v>0.66666666666666663</v>
      </c>
      <c r="R617" s="7">
        <f t="shared" si="90"/>
        <v>23.196700507614214</v>
      </c>
      <c r="S617" s="7">
        <f t="shared" si="91"/>
        <v>6.4306002317777482</v>
      </c>
      <c r="T617" s="7">
        <f t="shared" si="92"/>
        <v>22.771573604060915</v>
      </c>
      <c r="U617" s="7">
        <f t="shared" si="93"/>
        <v>6.5356886776680962</v>
      </c>
      <c r="V617" s="7">
        <f t="shared" si="94"/>
        <v>11.434010152284264</v>
      </c>
      <c r="W617" s="7">
        <f t="shared" si="95"/>
        <v>3.5019632409825281</v>
      </c>
      <c r="X617" s="7">
        <f t="shared" si="96"/>
        <v>-1.2746400354836278</v>
      </c>
      <c r="Y617" s="7">
        <f t="shared" si="97"/>
        <v>-0.73007969617111423</v>
      </c>
      <c r="Z617" s="7">
        <f t="shared" si="98"/>
        <v>-1.2661498271581617</v>
      </c>
      <c r="AA617" s="7">
        <f t="shared" si="99"/>
        <v>-1.0902898529376346</v>
      </c>
    </row>
    <row r="618" spans="1:27" x14ac:dyDescent="0.25">
      <c r="A618" s="1" t="s">
        <v>1682</v>
      </c>
      <c r="B618" s="1" t="s">
        <v>861</v>
      </c>
      <c r="C618" s="1">
        <v>4</v>
      </c>
      <c r="D618" s="1">
        <v>3</v>
      </c>
      <c r="E618" s="1">
        <v>3</v>
      </c>
      <c r="F618" s="1">
        <v>4</v>
      </c>
      <c r="G618" s="1">
        <v>5</v>
      </c>
      <c r="H618" s="1">
        <v>4</v>
      </c>
      <c r="I618" s="1">
        <v>4</v>
      </c>
      <c r="J618" s="1">
        <v>4</v>
      </c>
      <c r="K618" s="1">
        <v>3</v>
      </c>
      <c r="L618" s="1">
        <v>0</v>
      </c>
      <c r="M618" s="1">
        <v>14</v>
      </c>
      <c r="N618" s="1">
        <v>17</v>
      </c>
      <c r="O618" s="1">
        <v>3</v>
      </c>
      <c r="P618" s="1">
        <v>34</v>
      </c>
      <c r="Q618" s="7">
        <v>1.3498971154211057</v>
      </c>
      <c r="R618" s="7">
        <f t="shared" si="90"/>
        <v>23.196700507614214</v>
      </c>
      <c r="S618" s="7">
        <f t="shared" si="91"/>
        <v>6.4306002317777482</v>
      </c>
      <c r="T618" s="7">
        <f t="shared" si="92"/>
        <v>22.771573604060915</v>
      </c>
      <c r="U618" s="7">
        <f t="shared" si="93"/>
        <v>6.5356886776680962</v>
      </c>
      <c r="V618" s="7">
        <f t="shared" si="94"/>
        <v>11.434010152284264</v>
      </c>
      <c r="W618" s="7">
        <f t="shared" si="95"/>
        <v>3.5019632409825281</v>
      </c>
      <c r="X618" s="7">
        <f t="shared" si="96"/>
        <v>-1.4301465144991252</v>
      </c>
      <c r="Y618" s="7">
        <f t="shared" si="97"/>
        <v>-0.88308576015591156</v>
      </c>
      <c r="Z618" s="7">
        <f t="shared" si="98"/>
        <v>-2.4083662711199607</v>
      </c>
      <c r="AA618" s="7">
        <f t="shared" si="99"/>
        <v>-1.5738661819249991</v>
      </c>
    </row>
    <row r="619" spans="1:27" x14ac:dyDescent="0.25">
      <c r="A619" s="1" t="s">
        <v>1682</v>
      </c>
      <c r="B619" s="1" t="s">
        <v>861</v>
      </c>
      <c r="C619" s="1">
        <v>4</v>
      </c>
      <c r="D619" s="1">
        <v>4</v>
      </c>
      <c r="E619" s="1">
        <v>4</v>
      </c>
      <c r="F619" s="1">
        <v>4</v>
      </c>
      <c r="G619" s="1">
        <v>4</v>
      </c>
      <c r="H619" s="1">
        <v>4</v>
      </c>
      <c r="I619" s="1">
        <v>3</v>
      </c>
      <c r="J619" s="1">
        <v>3</v>
      </c>
      <c r="K619" s="1">
        <v>4</v>
      </c>
      <c r="L619" s="1">
        <v>4</v>
      </c>
      <c r="M619" s="1">
        <v>16</v>
      </c>
      <c r="N619" s="1">
        <v>14</v>
      </c>
      <c r="O619" s="1">
        <v>8</v>
      </c>
      <c r="P619" s="1">
        <v>38</v>
      </c>
      <c r="Q619" s="7">
        <v>0.4216370213557839</v>
      </c>
      <c r="R619" s="7">
        <f t="shared" si="90"/>
        <v>23.196700507614214</v>
      </c>
      <c r="S619" s="7">
        <f t="shared" si="91"/>
        <v>6.4306002317777482</v>
      </c>
      <c r="T619" s="7">
        <f t="shared" si="92"/>
        <v>22.771573604060915</v>
      </c>
      <c r="U619" s="7">
        <f t="shared" si="93"/>
        <v>6.5356886776680962</v>
      </c>
      <c r="V619" s="7">
        <f t="shared" si="94"/>
        <v>11.434010152284264</v>
      </c>
      <c r="W619" s="7">
        <f t="shared" si="95"/>
        <v>3.5019632409825281</v>
      </c>
      <c r="X619" s="7">
        <f t="shared" si="96"/>
        <v>-1.1191335564681302</v>
      </c>
      <c r="Y619" s="7">
        <f t="shared" si="97"/>
        <v>-1.3421039521103035</v>
      </c>
      <c r="Z619" s="7">
        <f t="shared" si="98"/>
        <v>-0.98059571616771202</v>
      </c>
      <c r="AA619" s="7">
        <f t="shared" si="99"/>
        <v>-1.1472777415820485</v>
      </c>
    </row>
    <row r="620" spans="1:27" x14ac:dyDescent="0.25">
      <c r="A620" s="1" t="s">
        <v>1682</v>
      </c>
      <c r="B620" s="1" t="s">
        <v>861</v>
      </c>
      <c r="C620" s="1">
        <v>4</v>
      </c>
      <c r="D620" s="1">
        <v>4</v>
      </c>
      <c r="E620" s="1">
        <v>4</v>
      </c>
      <c r="F620" s="1">
        <v>4</v>
      </c>
      <c r="G620" s="1">
        <v>5</v>
      </c>
      <c r="H620" s="1">
        <v>5</v>
      </c>
      <c r="I620" s="1">
        <v>4</v>
      </c>
      <c r="J620" s="1">
        <v>4</v>
      </c>
      <c r="K620" s="1">
        <v>5</v>
      </c>
      <c r="L620" s="1">
        <v>5</v>
      </c>
      <c r="M620" s="1">
        <v>16</v>
      </c>
      <c r="N620" s="1">
        <v>18</v>
      </c>
      <c r="O620" s="1">
        <v>10</v>
      </c>
      <c r="P620" s="1">
        <v>44</v>
      </c>
      <c r="Q620" s="7">
        <v>0.51639777949432208</v>
      </c>
      <c r="R620" s="7">
        <f t="shared" si="90"/>
        <v>23.196700507614214</v>
      </c>
      <c r="S620" s="7">
        <f t="shared" si="91"/>
        <v>6.4306002317777482</v>
      </c>
      <c r="T620" s="7">
        <f t="shared" si="92"/>
        <v>22.771573604060915</v>
      </c>
      <c r="U620" s="7">
        <f t="shared" si="93"/>
        <v>6.5356886776680962</v>
      </c>
      <c r="V620" s="7">
        <f t="shared" si="94"/>
        <v>11.434010152284264</v>
      </c>
      <c r="W620" s="7">
        <f t="shared" si="95"/>
        <v>3.5019632409825281</v>
      </c>
      <c r="X620" s="7">
        <f t="shared" si="96"/>
        <v>-1.1191335564681302</v>
      </c>
      <c r="Y620" s="7">
        <f t="shared" si="97"/>
        <v>-0.73007969617111423</v>
      </c>
      <c r="Z620" s="7">
        <f t="shared" si="98"/>
        <v>-0.40948749418681252</v>
      </c>
      <c r="AA620" s="7">
        <f t="shared" si="99"/>
        <v>-0.75290024894201901</v>
      </c>
    </row>
    <row r="621" spans="1:27" x14ac:dyDescent="0.25">
      <c r="A621" s="1" t="s">
        <v>1682</v>
      </c>
      <c r="B621" s="1" t="s">
        <v>861</v>
      </c>
      <c r="C621" s="1">
        <v>4</v>
      </c>
      <c r="D621" s="1">
        <v>4</v>
      </c>
      <c r="E621" s="1">
        <v>3</v>
      </c>
      <c r="F621" s="1">
        <v>4</v>
      </c>
      <c r="G621" s="1">
        <v>4</v>
      </c>
      <c r="H621" s="1">
        <v>4</v>
      </c>
      <c r="I621" s="1">
        <v>3</v>
      </c>
      <c r="J621" s="1">
        <v>3</v>
      </c>
      <c r="K621" s="1">
        <v>3</v>
      </c>
      <c r="L621" s="1">
        <v>3</v>
      </c>
      <c r="M621" s="1">
        <v>15</v>
      </c>
      <c r="N621" s="1">
        <v>14</v>
      </c>
      <c r="O621" s="1">
        <v>6</v>
      </c>
      <c r="P621" s="1">
        <v>35</v>
      </c>
      <c r="Q621" s="7">
        <v>0.5270462766947297</v>
      </c>
      <c r="R621" s="7">
        <f t="shared" si="90"/>
        <v>23.196700507614214</v>
      </c>
      <c r="S621" s="7">
        <f t="shared" si="91"/>
        <v>6.4306002317777482</v>
      </c>
      <c r="T621" s="7">
        <f t="shared" si="92"/>
        <v>22.771573604060915</v>
      </c>
      <c r="U621" s="7">
        <f t="shared" si="93"/>
        <v>6.5356886776680962</v>
      </c>
      <c r="V621" s="7">
        <f t="shared" si="94"/>
        <v>11.434010152284264</v>
      </c>
      <c r="W621" s="7">
        <f t="shared" si="95"/>
        <v>3.5019632409825281</v>
      </c>
      <c r="X621" s="7">
        <f t="shared" si="96"/>
        <v>-1.2746400354836278</v>
      </c>
      <c r="Y621" s="7">
        <f t="shared" si="97"/>
        <v>-1.3421039521103035</v>
      </c>
      <c r="Z621" s="7">
        <f t="shared" si="98"/>
        <v>-1.5517039381486115</v>
      </c>
      <c r="AA621" s="7">
        <f t="shared" si="99"/>
        <v>-1.3894826419141808</v>
      </c>
    </row>
    <row r="622" spans="1:27" x14ac:dyDescent="0.25">
      <c r="A622" s="1" t="s">
        <v>1682</v>
      </c>
      <c r="B622" s="1" t="s">
        <v>861</v>
      </c>
      <c r="C622" s="1">
        <v>4</v>
      </c>
      <c r="D622" s="1">
        <v>3</v>
      </c>
      <c r="E622" s="1">
        <v>3</v>
      </c>
      <c r="F622" s="1">
        <v>3</v>
      </c>
      <c r="G622" s="1">
        <v>4</v>
      </c>
      <c r="H622" s="1">
        <v>4</v>
      </c>
      <c r="I622" s="1">
        <v>4</v>
      </c>
      <c r="J622" s="1">
        <v>4</v>
      </c>
      <c r="K622" s="1">
        <v>4</v>
      </c>
      <c r="L622" s="1">
        <v>4</v>
      </c>
      <c r="M622" s="1">
        <v>13</v>
      </c>
      <c r="N622" s="1">
        <v>16</v>
      </c>
      <c r="O622" s="1">
        <v>8</v>
      </c>
      <c r="P622" s="1">
        <v>37</v>
      </c>
      <c r="Q622" s="7">
        <v>0.48304589153964794</v>
      </c>
      <c r="R622" s="7">
        <f t="shared" si="90"/>
        <v>23.196700507614214</v>
      </c>
      <c r="S622" s="7">
        <f t="shared" si="91"/>
        <v>6.4306002317777482</v>
      </c>
      <c r="T622" s="7">
        <f t="shared" si="92"/>
        <v>22.771573604060915</v>
      </c>
      <c r="U622" s="7">
        <f t="shared" si="93"/>
        <v>6.5356886776680962</v>
      </c>
      <c r="V622" s="7">
        <f t="shared" si="94"/>
        <v>11.434010152284264</v>
      </c>
      <c r="W622" s="7">
        <f t="shared" si="95"/>
        <v>3.5019632409825281</v>
      </c>
      <c r="X622" s="7">
        <f t="shared" si="96"/>
        <v>-1.5856529935146229</v>
      </c>
      <c r="Y622" s="7">
        <f t="shared" si="97"/>
        <v>-1.0360918241407089</v>
      </c>
      <c r="Z622" s="7">
        <f t="shared" si="98"/>
        <v>-0.98059571616771202</v>
      </c>
      <c r="AA622" s="7">
        <f t="shared" si="99"/>
        <v>-1.2007801779410145</v>
      </c>
    </row>
    <row r="623" spans="1:27" x14ac:dyDescent="0.25">
      <c r="A623" s="1" t="s">
        <v>1682</v>
      </c>
      <c r="B623" s="1" t="s">
        <v>861</v>
      </c>
      <c r="C623" s="1">
        <v>5</v>
      </c>
      <c r="D623" s="1">
        <v>5</v>
      </c>
      <c r="E623" s="1">
        <v>5</v>
      </c>
      <c r="F623" s="1">
        <v>5</v>
      </c>
      <c r="G623" s="1">
        <v>5</v>
      </c>
      <c r="H623" s="1">
        <v>4</v>
      </c>
      <c r="I623" s="1">
        <v>5</v>
      </c>
      <c r="J623" s="1">
        <v>4</v>
      </c>
      <c r="K623" s="1">
        <v>4</v>
      </c>
      <c r="L623" s="1">
        <v>5</v>
      </c>
      <c r="M623" s="1">
        <v>20</v>
      </c>
      <c r="N623" s="1">
        <v>18</v>
      </c>
      <c r="O623" s="1">
        <v>9</v>
      </c>
      <c r="P623" s="1">
        <v>47</v>
      </c>
      <c r="Q623" s="7">
        <v>0.48304589153964789</v>
      </c>
      <c r="R623" s="7">
        <f t="shared" si="90"/>
        <v>23.196700507614214</v>
      </c>
      <c r="S623" s="7">
        <f t="shared" si="91"/>
        <v>6.4306002317777482</v>
      </c>
      <c r="T623" s="7">
        <f t="shared" si="92"/>
        <v>22.771573604060915</v>
      </c>
      <c r="U623" s="7">
        <f t="shared" si="93"/>
        <v>6.5356886776680962</v>
      </c>
      <c r="V623" s="7">
        <f t="shared" si="94"/>
        <v>11.434010152284264</v>
      </c>
      <c r="W623" s="7">
        <f t="shared" si="95"/>
        <v>3.5019632409825281</v>
      </c>
      <c r="X623" s="7">
        <f t="shared" si="96"/>
        <v>-0.49710764040614003</v>
      </c>
      <c r="Y623" s="7">
        <f t="shared" si="97"/>
        <v>-0.73007969617111423</v>
      </c>
      <c r="Z623" s="7">
        <f t="shared" si="98"/>
        <v>-0.69504160517726232</v>
      </c>
      <c r="AA623" s="7">
        <f t="shared" si="99"/>
        <v>-0.64074298058483892</v>
      </c>
    </row>
    <row r="624" spans="1:27" x14ac:dyDescent="0.25">
      <c r="A624" s="1" t="s">
        <v>1682</v>
      </c>
      <c r="B624" s="1" t="s">
        <v>861</v>
      </c>
      <c r="C624" s="1">
        <v>4</v>
      </c>
      <c r="D624" s="1">
        <v>4</v>
      </c>
      <c r="E624" s="1">
        <v>4</v>
      </c>
      <c r="F624" s="1">
        <v>4</v>
      </c>
      <c r="G624" s="1">
        <v>3</v>
      </c>
      <c r="H624" s="1">
        <v>3</v>
      </c>
      <c r="I624" s="1">
        <v>4</v>
      </c>
      <c r="J624" s="1">
        <v>3</v>
      </c>
      <c r="K624" s="1">
        <v>3</v>
      </c>
      <c r="L624" s="1">
        <v>3</v>
      </c>
      <c r="M624" s="1">
        <v>16</v>
      </c>
      <c r="N624" s="1">
        <v>13</v>
      </c>
      <c r="O624" s="1">
        <v>6</v>
      </c>
      <c r="P624" s="1">
        <v>35</v>
      </c>
      <c r="Q624" s="7">
        <v>0.52704627669472981</v>
      </c>
      <c r="R624" s="7">
        <f t="shared" si="90"/>
        <v>23.196700507614214</v>
      </c>
      <c r="S624" s="7">
        <f t="shared" si="91"/>
        <v>6.4306002317777482</v>
      </c>
      <c r="T624" s="7">
        <f t="shared" si="92"/>
        <v>22.771573604060915</v>
      </c>
      <c r="U624" s="7">
        <f t="shared" si="93"/>
        <v>6.5356886776680962</v>
      </c>
      <c r="V624" s="7">
        <f t="shared" si="94"/>
        <v>11.434010152284264</v>
      </c>
      <c r="W624" s="7">
        <f t="shared" si="95"/>
        <v>3.5019632409825281</v>
      </c>
      <c r="X624" s="7">
        <f t="shared" si="96"/>
        <v>-1.1191335564681302</v>
      </c>
      <c r="Y624" s="7">
        <f t="shared" si="97"/>
        <v>-1.4951100160951007</v>
      </c>
      <c r="Z624" s="7">
        <f t="shared" si="98"/>
        <v>-1.5517039381486115</v>
      </c>
      <c r="AA624" s="7">
        <f t="shared" si="99"/>
        <v>-1.3886491702372805</v>
      </c>
    </row>
    <row r="625" spans="1:27" x14ac:dyDescent="0.25">
      <c r="A625" s="1" t="s">
        <v>1682</v>
      </c>
      <c r="B625" s="1" t="s">
        <v>861</v>
      </c>
      <c r="C625" s="1">
        <v>8</v>
      </c>
      <c r="D625" s="1">
        <v>7</v>
      </c>
      <c r="E625" s="1">
        <v>7</v>
      </c>
      <c r="F625" s="1">
        <v>6</v>
      </c>
      <c r="G625" s="1">
        <v>7</v>
      </c>
      <c r="H625" s="1">
        <v>7</v>
      </c>
      <c r="I625" s="1">
        <v>7</v>
      </c>
      <c r="J625" s="1">
        <v>7</v>
      </c>
      <c r="K625" s="1">
        <v>6</v>
      </c>
      <c r="L625" s="1">
        <v>6</v>
      </c>
      <c r="M625" s="1">
        <v>28</v>
      </c>
      <c r="N625" s="1">
        <v>28</v>
      </c>
      <c r="O625" s="1">
        <v>12</v>
      </c>
      <c r="P625" s="1">
        <v>68</v>
      </c>
      <c r="Q625" s="7">
        <v>0.63245553203367599</v>
      </c>
      <c r="R625" s="7">
        <f t="shared" si="90"/>
        <v>23.196700507614214</v>
      </c>
      <c r="S625" s="7">
        <f t="shared" si="91"/>
        <v>6.4306002317777482</v>
      </c>
      <c r="T625" s="7">
        <f t="shared" si="92"/>
        <v>22.771573604060915</v>
      </c>
      <c r="U625" s="7">
        <f t="shared" si="93"/>
        <v>6.5356886776680962</v>
      </c>
      <c r="V625" s="7">
        <f t="shared" si="94"/>
        <v>11.434010152284264</v>
      </c>
      <c r="W625" s="7">
        <f t="shared" si="95"/>
        <v>3.5019632409825281</v>
      </c>
      <c r="X625" s="7">
        <f t="shared" si="96"/>
        <v>0.74694419171784021</v>
      </c>
      <c r="Y625" s="7">
        <f t="shared" si="97"/>
        <v>0.79998094367685879</v>
      </c>
      <c r="Z625" s="7">
        <f t="shared" si="98"/>
        <v>0.16162072779408701</v>
      </c>
      <c r="AA625" s="7">
        <f t="shared" si="99"/>
        <v>0.56951528772959537</v>
      </c>
    </row>
    <row r="626" spans="1:27" x14ac:dyDescent="0.25">
      <c r="A626" s="1" t="s">
        <v>1682</v>
      </c>
      <c r="B626" s="1" t="s">
        <v>861</v>
      </c>
      <c r="C626" s="1">
        <v>8</v>
      </c>
      <c r="D626" s="1">
        <v>7</v>
      </c>
      <c r="E626" s="1">
        <v>7</v>
      </c>
      <c r="F626" s="1">
        <v>6</v>
      </c>
      <c r="G626" s="1">
        <v>6</v>
      </c>
      <c r="H626" s="1">
        <v>6</v>
      </c>
      <c r="I626" s="1">
        <v>6</v>
      </c>
      <c r="J626" s="1">
        <v>6</v>
      </c>
      <c r="K626" s="1">
        <v>6</v>
      </c>
      <c r="L626" s="1">
        <v>6</v>
      </c>
      <c r="M626" s="1">
        <v>28</v>
      </c>
      <c r="N626" s="1">
        <v>24</v>
      </c>
      <c r="O626" s="1">
        <v>12</v>
      </c>
      <c r="P626" s="1">
        <v>64</v>
      </c>
      <c r="Q626" s="7">
        <v>0.69920589878010087</v>
      </c>
      <c r="R626" s="7">
        <f t="shared" si="90"/>
        <v>23.196700507614214</v>
      </c>
      <c r="S626" s="7">
        <f t="shared" si="91"/>
        <v>6.4306002317777482</v>
      </c>
      <c r="T626" s="7">
        <f t="shared" si="92"/>
        <v>22.771573604060915</v>
      </c>
      <c r="U626" s="7">
        <f t="shared" si="93"/>
        <v>6.5356886776680962</v>
      </c>
      <c r="V626" s="7">
        <f t="shared" si="94"/>
        <v>11.434010152284264</v>
      </c>
      <c r="W626" s="7">
        <f t="shared" si="95"/>
        <v>3.5019632409825281</v>
      </c>
      <c r="X626" s="7">
        <f t="shared" si="96"/>
        <v>0.74694419171784021</v>
      </c>
      <c r="Y626" s="7">
        <f t="shared" si="97"/>
        <v>0.18795668773766958</v>
      </c>
      <c r="Z626" s="7">
        <f t="shared" si="98"/>
        <v>0.16162072779408701</v>
      </c>
      <c r="AA626" s="7">
        <f t="shared" si="99"/>
        <v>0.36550720241653228</v>
      </c>
    </row>
    <row r="627" spans="1:27" x14ac:dyDescent="0.25">
      <c r="A627" s="1" t="s">
        <v>1682</v>
      </c>
      <c r="B627" s="1" t="s">
        <v>861</v>
      </c>
      <c r="C627" s="1">
        <v>8</v>
      </c>
      <c r="D627" s="1">
        <v>8</v>
      </c>
      <c r="E627" s="1">
        <v>8</v>
      </c>
      <c r="F627" s="1">
        <v>7</v>
      </c>
      <c r="G627" s="1">
        <v>7</v>
      </c>
      <c r="H627" s="1">
        <v>8</v>
      </c>
      <c r="I627" s="1">
        <v>8</v>
      </c>
      <c r="J627" s="1">
        <v>7</v>
      </c>
      <c r="K627" s="1">
        <v>7</v>
      </c>
      <c r="L627" s="1">
        <v>6</v>
      </c>
      <c r="M627" s="1">
        <v>31</v>
      </c>
      <c r="N627" s="1">
        <v>30</v>
      </c>
      <c r="O627" s="1">
        <v>13</v>
      </c>
      <c r="P627" s="1">
        <v>74</v>
      </c>
      <c r="Q627" s="7">
        <v>0.69920589878010064</v>
      </c>
      <c r="R627" s="7">
        <f t="shared" si="90"/>
        <v>23.196700507614214</v>
      </c>
      <c r="S627" s="7">
        <f t="shared" si="91"/>
        <v>6.4306002317777482</v>
      </c>
      <c r="T627" s="7">
        <f t="shared" si="92"/>
        <v>22.771573604060915</v>
      </c>
      <c r="U627" s="7">
        <f t="shared" si="93"/>
        <v>6.5356886776680962</v>
      </c>
      <c r="V627" s="7">
        <f t="shared" si="94"/>
        <v>11.434010152284264</v>
      </c>
      <c r="W627" s="7">
        <f t="shared" si="95"/>
        <v>3.5019632409825281</v>
      </c>
      <c r="X627" s="7">
        <f t="shared" si="96"/>
        <v>1.2134636287643328</v>
      </c>
      <c r="Y627" s="7">
        <f t="shared" si="97"/>
        <v>1.1059930716464534</v>
      </c>
      <c r="Z627" s="7">
        <f t="shared" si="98"/>
        <v>0.44717483878453679</v>
      </c>
      <c r="AA627" s="7">
        <f t="shared" si="99"/>
        <v>0.9222105130651076</v>
      </c>
    </row>
    <row r="628" spans="1:27" x14ac:dyDescent="0.25">
      <c r="A628" s="1" t="s">
        <v>1682</v>
      </c>
      <c r="B628" s="1" t="s">
        <v>861</v>
      </c>
      <c r="C628" s="1">
        <v>8</v>
      </c>
      <c r="D628" s="1">
        <v>7</v>
      </c>
      <c r="E628" s="1">
        <v>7</v>
      </c>
      <c r="F628" s="1">
        <v>7</v>
      </c>
      <c r="G628" s="1">
        <v>8</v>
      </c>
      <c r="H628" s="1">
        <v>8</v>
      </c>
      <c r="I628" s="1">
        <v>8</v>
      </c>
      <c r="J628" s="1">
        <v>7</v>
      </c>
      <c r="K628" s="1">
        <v>8</v>
      </c>
      <c r="L628" s="1">
        <v>7</v>
      </c>
      <c r="M628" s="1">
        <v>29</v>
      </c>
      <c r="N628" s="1">
        <v>31</v>
      </c>
      <c r="O628" s="1">
        <v>15</v>
      </c>
      <c r="P628" s="1">
        <v>75</v>
      </c>
      <c r="Q628" s="7">
        <v>0.52704627669472981</v>
      </c>
      <c r="R628" s="7">
        <f t="shared" si="90"/>
        <v>23.196700507614214</v>
      </c>
      <c r="S628" s="7">
        <f t="shared" si="91"/>
        <v>6.4306002317777482</v>
      </c>
      <c r="T628" s="7">
        <f t="shared" si="92"/>
        <v>22.771573604060915</v>
      </c>
      <c r="U628" s="7">
        <f t="shared" si="93"/>
        <v>6.5356886776680962</v>
      </c>
      <c r="V628" s="7">
        <f t="shared" si="94"/>
        <v>11.434010152284264</v>
      </c>
      <c r="W628" s="7">
        <f t="shared" si="95"/>
        <v>3.5019632409825281</v>
      </c>
      <c r="X628" s="7">
        <f t="shared" si="96"/>
        <v>0.90245067073333785</v>
      </c>
      <c r="Y628" s="7">
        <f t="shared" si="97"/>
        <v>1.2589991356312507</v>
      </c>
      <c r="Z628" s="7">
        <f t="shared" si="98"/>
        <v>1.0182830607654363</v>
      </c>
      <c r="AA628" s="7">
        <f t="shared" si="99"/>
        <v>1.0599109557100084</v>
      </c>
    </row>
    <row r="629" spans="1:27" x14ac:dyDescent="0.25">
      <c r="A629" s="1" t="s">
        <v>1682</v>
      </c>
      <c r="B629" s="1" t="s">
        <v>861</v>
      </c>
      <c r="C629" s="1">
        <v>7</v>
      </c>
      <c r="D629" s="1">
        <v>7</v>
      </c>
      <c r="E629" s="1">
        <v>7</v>
      </c>
      <c r="F629" s="1">
        <v>6</v>
      </c>
      <c r="G629" s="1">
        <v>7</v>
      </c>
      <c r="H629" s="1">
        <v>8</v>
      </c>
      <c r="I629" s="1">
        <v>7</v>
      </c>
      <c r="J629" s="1">
        <v>6</v>
      </c>
      <c r="K629" s="1">
        <v>7</v>
      </c>
      <c r="L629" s="1">
        <v>7</v>
      </c>
      <c r="M629" s="1">
        <v>27</v>
      </c>
      <c r="N629" s="1">
        <v>28</v>
      </c>
      <c r="O629" s="1">
        <v>14</v>
      </c>
      <c r="P629" s="1">
        <v>69</v>
      </c>
      <c r="Q629" s="7">
        <v>0.56764621219754663</v>
      </c>
      <c r="R629" s="7">
        <f t="shared" si="90"/>
        <v>23.196700507614214</v>
      </c>
      <c r="S629" s="7">
        <f t="shared" si="91"/>
        <v>6.4306002317777482</v>
      </c>
      <c r="T629" s="7">
        <f t="shared" si="92"/>
        <v>22.771573604060915</v>
      </c>
      <c r="U629" s="7">
        <f t="shared" si="93"/>
        <v>6.5356886776680962</v>
      </c>
      <c r="V629" s="7">
        <f t="shared" si="94"/>
        <v>11.434010152284264</v>
      </c>
      <c r="W629" s="7">
        <f t="shared" si="95"/>
        <v>3.5019632409825281</v>
      </c>
      <c r="X629" s="7">
        <f t="shared" si="96"/>
        <v>0.59143771270234269</v>
      </c>
      <c r="Y629" s="7">
        <f t="shared" si="97"/>
        <v>0.79998094367685879</v>
      </c>
      <c r="Z629" s="7">
        <f t="shared" si="98"/>
        <v>0.73272894977498659</v>
      </c>
      <c r="AA629" s="7">
        <f t="shared" si="99"/>
        <v>0.70804920205139599</v>
      </c>
    </row>
    <row r="630" spans="1:27" x14ac:dyDescent="0.25">
      <c r="A630" s="1" t="s">
        <v>1682</v>
      </c>
      <c r="B630" s="1" t="s">
        <v>861</v>
      </c>
      <c r="C630" s="1">
        <v>9</v>
      </c>
      <c r="D630" s="1">
        <v>9</v>
      </c>
      <c r="E630" s="1">
        <v>8</v>
      </c>
      <c r="F630" s="1">
        <v>8</v>
      </c>
      <c r="G630" s="1">
        <v>8</v>
      </c>
      <c r="H630" s="1">
        <v>9</v>
      </c>
      <c r="I630" s="1">
        <v>9</v>
      </c>
      <c r="J630" s="1">
        <v>8</v>
      </c>
      <c r="K630" s="1">
        <v>9</v>
      </c>
      <c r="L630" s="1">
        <v>8</v>
      </c>
      <c r="M630" s="1">
        <v>34</v>
      </c>
      <c r="N630" s="1">
        <v>34</v>
      </c>
      <c r="O630" s="1">
        <v>17</v>
      </c>
      <c r="P630" s="1">
        <v>85</v>
      </c>
      <c r="Q630" s="7">
        <v>0.52704627669472981</v>
      </c>
      <c r="R630" s="7">
        <f t="shared" si="90"/>
        <v>23.196700507614214</v>
      </c>
      <c r="S630" s="7">
        <f t="shared" si="91"/>
        <v>6.4306002317777482</v>
      </c>
      <c r="T630" s="7">
        <f t="shared" si="92"/>
        <v>22.771573604060915</v>
      </c>
      <c r="U630" s="7">
        <f t="shared" si="93"/>
        <v>6.5356886776680962</v>
      </c>
      <c r="V630" s="7">
        <f t="shared" si="94"/>
        <v>11.434010152284264</v>
      </c>
      <c r="W630" s="7">
        <f t="shared" si="95"/>
        <v>3.5019632409825281</v>
      </c>
      <c r="X630" s="7">
        <f t="shared" si="96"/>
        <v>1.6799830658108255</v>
      </c>
      <c r="Y630" s="7">
        <f t="shared" si="97"/>
        <v>1.7180173275856425</v>
      </c>
      <c r="Z630" s="7">
        <f t="shared" si="98"/>
        <v>1.5893912827463359</v>
      </c>
      <c r="AA630" s="7">
        <f t="shared" si="99"/>
        <v>1.6624638920476011</v>
      </c>
    </row>
    <row r="631" spans="1:27" x14ac:dyDescent="0.25">
      <c r="A631" s="1" t="s">
        <v>1682</v>
      </c>
      <c r="B631" s="1" t="s">
        <v>861</v>
      </c>
      <c r="C631" s="1">
        <v>8</v>
      </c>
      <c r="D631" s="1">
        <v>8</v>
      </c>
      <c r="E631" s="1">
        <v>7</v>
      </c>
      <c r="F631" s="1">
        <v>7</v>
      </c>
      <c r="G631" s="1">
        <v>7</v>
      </c>
      <c r="H631" s="1">
        <v>8</v>
      </c>
      <c r="I631" s="1">
        <v>8</v>
      </c>
      <c r="J631" s="1">
        <v>8</v>
      </c>
      <c r="K631" s="1">
        <v>8</v>
      </c>
      <c r="L631" s="1">
        <v>7</v>
      </c>
      <c r="M631" s="1">
        <v>30</v>
      </c>
      <c r="N631" s="1">
        <v>31</v>
      </c>
      <c r="O631" s="1">
        <v>15</v>
      </c>
      <c r="P631" s="1">
        <v>76</v>
      </c>
      <c r="Q631" s="7">
        <v>0.51639777949432231</v>
      </c>
      <c r="R631" s="7">
        <f t="shared" si="90"/>
        <v>23.196700507614214</v>
      </c>
      <c r="S631" s="7">
        <f t="shared" si="91"/>
        <v>6.4306002317777482</v>
      </c>
      <c r="T631" s="7">
        <f t="shared" si="92"/>
        <v>22.771573604060915</v>
      </c>
      <c r="U631" s="7">
        <f t="shared" si="93"/>
        <v>6.5356886776680962</v>
      </c>
      <c r="V631" s="7">
        <f t="shared" si="94"/>
        <v>11.434010152284264</v>
      </c>
      <c r="W631" s="7">
        <f t="shared" si="95"/>
        <v>3.5019632409825281</v>
      </c>
      <c r="X631" s="7">
        <f t="shared" si="96"/>
        <v>1.0579571497488354</v>
      </c>
      <c r="Y631" s="7">
        <f t="shared" si="97"/>
        <v>1.2589991356312507</v>
      </c>
      <c r="Z631" s="7">
        <f t="shared" si="98"/>
        <v>1.0182830607654363</v>
      </c>
      <c r="AA631" s="7">
        <f t="shared" si="99"/>
        <v>1.1117464487151743</v>
      </c>
    </row>
    <row r="632" spans="1:27" x14ac:dyDescent="0.25">
      <c r="A632" s="1" t="s">
        <v>1683</v>
      </c>
      <c r="B632" s="1" t="s">
        <v>861</v>
      </c>
      <c r="C632" s="1">
        <v>7</v>
      </c>
      <c r="D632" s="1">
        <v>7</v>
      </c>
      <c r="E632" s="1">
        <v>7</v>
      </c>
      <c r="F632" s="1">
        <v>7</v>
      </c>
      <c r="G632" s="1">
        <v>7</v>
      </c>
      <c r="H632" s="1">
        <v>6</v>
      </c>
      <c r="I632" s="1">
        <v>7</v>
      </c>
      <c r="J632" s="1">
        <v>7</v>
      </c>
      <c r="K632" s="1">
        <v>6</v>
      </c>
      <c r="L632" s="1">
        <v>7</v>
      </c>
      <c r="M632" s="1">
        <v>28</v>
      </c>
      <c r="N632" s="1">
        <v>27</v>
      </c>
      <c r="O632" s="1">
        <v>13</v>
      </c>
      <c r="P632" s="1">
        <v>68</v>
      </c>
      <c r="Q632" s="7">
        <v>0.4216370213557839</v>
      </c>
      <c r="R632" s="7">
        <f t="shared" si="90"/>
        <v>23.196700507614214</v>
      </c>
      <c r="S632" s="7">
        <f t="shared" si="91"/>
        <v>6.4306002317777482</v>
      </c>
      <c r="T632" s="7">
        <f t="shared" si="92"/>
        <v>22.771573604060915</v>
      </c>
      <c r="U632" s="7">
        <f t="shared" si="93"/>
        <v>6.5356886776680962</v>
      </c>
      <c r="V632" s="7">
        <f t="shared" si="94"/>
        <v>11.434010152284264</v>
      </c>
      <c r="W632" s="7">
        <f t="shared" si="95"/>
        <v>3.5019632409825281</v>
      </c>
      <c r="X632" s="7">
        <f t="shared" si="96"/>
        <v>0.74694419171784021</v>
      </c>
      <c r="Y632" s="7">
        <f t="shared" si="97"/>
        <v>0.64697487969206147</v>
      </c>
      <c r="Z632" s="7">
        <f t="shared" si="98"/>
        <v>0.44717483878453679</v>
      </c>
      <c r="AA632" s="7">
        <f t="shared" si="99"/>
        <v>0.61369797006481275</v>
      </c>
    </row>
    <row r="633" spans="1:27" x14ac:dyDescent="0.25">
      <c r="A633" s="1" t="s">
        <v>1683</v>
      </c>
      <c r="B633" s="1" t="s">
        <v>861</v>
      </c>
      <c r="C633" s="1">
        <v>7</v>
      </c>
      <c r="D633" s="1">
        <v>4</v>
      </c>
      <c r="E633" s="1">
        <v>5</v>
      </c>
      <c r="F633" s="1">
        <v>5</v>
      </c>
      <c r="G633" s="1">
        <v>6</v>
      </c>
      <c r="H633" s="1">
        <v>5</v>
      </c>
      <c r="I633" s="1">
        <v>6</v>
      </c>
      <c r="J633" s="1">
        <v>6</v>
      </c>
      <c r="K633" s="1">
        <v>6</v>
      </c>
      <c r="L633" s="1">
        <v>6</v>
      </c>
      <c r="M633" s="1">
        <v>21</v>
      </c>
      <c r="N633" s="1">
        <v>23</v>
      </c>
      <c r="O633" s="1">
        <v>12</v>
      </c>
      <c r="P633" s="1">
        <v>56</v>
      </c>
      <c r="Q633" s="7">
        <v>0.84327404271156781</v>
      </c>
      <c r="R633" s="7">
        <f t="shared" si="90"/>
        <v>23.196700507614214</v>
      </c>
      <c r="S633" s="7">
        <f t="shared" si="91"/>
        <v>6.4306002317777482</v>
      </c>
      <c r="T633" s="7">
        <f t="shared" si="92"/>
        <v>22.771573604060915</v>
      </c>
      <c r="U633" s="7">
        <f t="shared" si="93"/>
        <v>6.5356886776680962</v>
      </c>
      <c r="V633" s="7">
        <f t="shared" si="94"/>
        <v>11.434010152284264</v>
      </c>
      <c r="W633" s="7">
        <f t="shared" si="95"/>
        <v>3.5019632409825281</v>
      </c>
      <c r="X633" s="7">
        <f t="shared" si="96"/>
        <v>-0.3416011613906425</v>
      </c>
      <c r="Y633" s="7">
        <f t="shared" si="97"/>
        <v>3.4950623752872265E-2</v>
      </c>
      <c r="Z633" s="7">
        <f t="shared" si="98"/>
        <v>0.16162072779408701</v>
      </c>
      <c r="AA633" s="7">
        <f t="shared" si="99"/>
        <v>-4.8343269947894403E-2</v>
      </c>
    </row>
    <row r="634" spans="1:27" x14ac:dyDescent="0.25">
      <c r="A634" s="1" t="s">
        <v>1683</v>
      </c>
      <c r="B634" s="1" t="s">
        <v>861</v>
      </c>
      <c r="C634" s="1">
        <v>6</v>
      </c>
      <c r="D634" s="1">
        <v>7</v>
      </c>
      <c r="E634" s="1">
        <v>7</v>
      </c>
      <c r="F634" s="1">
        <v>6</v>
      </c>
      <c r="G634" s="1">
        <v>6</v>
      </c>
      <c r="H634" s="1">
        <v>7</v>
      </c>
      <c r="I634" s="1">
        <v>6</v>
      </c>
      <c r="J634" s="1">
        <v>7</v>
      </c>
      <c r="K634" s="1">
        <v>7</v>
      </c>
      <c r="L634" s="1">
        <v>6</v>
      </c>
      <c r="M634" s="1">
        <v>26</v>
      </c>
      <c r="N634" s="1">
        <v>26</v>
      </c>
      <c r="O634" s="1">
        <v>13</v>
      </c>
      <c r="P634" s="1">
        <v>65</v>
      </c>
      <c r="Q634" s="7">
        <v>0.52704627669472992</v>
      </c>
      <c r="R634" s="7">
        <f t="shared" si="90"/>
        <v>23.196700507614214</v>
      </c>
      <c r="S634" s="7">
        <f t="shared" si="91"/>
        <v>6.4306002317777482</v>
      </c>
      <c r="T634" s="7">
        <f t="shared" si="92"/>
        <v>22.771573604060915</v>
      </c>
      <c r="U634" s="7">
        <f t="shared" si="93"/>
        <v>6.5356886776680962</v>
      </c>
      <c r="V634" s="7">
        <f t="shared" si="94"/>
        <v>11.434010152284264</v>
      </c>
      <c r="W634" s="7">
        <f t="shared" si="95"/>
        <v>3.5019632409825281</v>
      </c>
      <c r="X634" s="7">
        <f t="shared" si="96"/>
        <v>0.43593123368684517</v>
      </c>
      <c r="Y634" s="7">
        <f t="shared" si="97"/>
        <v>0.49396881570726414</v>
      </c>
      <c r="Z634" s="7">
        <f t="shared" si="98"/>
        <v>0.44717483878453679</v>
      </c>
      <c r="AA634" s="7">
        <f t="shared" si="99"/>
        <v>0.45902496272621535</v>
      </c>
    </row>
    <row r="635" spans="1:27" x14ac:dyDescent="0.25">
      <c r="A635" s="1" t="s">
        <v>1683</v>
      </c>
      <c r="B635" s="1" t="s">
        <v>861</v>
      </c>
      <c r="C635" s="1">
        <v>7</v>
      </c>
      <c r="D635" s="1">
        <v>8</v>
      </c>
      <c r="E635" s="1">
        <v>6</v>
      </c>
      <c r="F635" s="1">
        <v>5</v>
      </c>
      <c r="G635" s="1">
        <v>7</v>
      </c>
      <c r="H635" s="1">
        <v>8</v>
      </c>
      <c r="I635" s="1">
        <v>7</v>
      </c>
      <c r="J635" s="1">
        <v>8</v>
      </c>
      <c r="K635" s="1">
        <v>8</v>
      </c>
      <c r="L635" s="1">
        <v>5</v>
      </c>
      <c r="M635" s="1">
        <v>26</v>
      </c>
      <c r="N635" s="1">
        <v>30</v>
      </c>
      <c r="O635" s="1">
        <v>13</v>
      </c>
      <c r="P635" s="1">
        <v>69</v>
      </c>
      <c r="Q635" s="7">
        <v>1.1972189997378646</v>
      </c>
      <c r="R635" s="7">
        <f t="shared" si="90"/>
        <v>23.196700507614214</v>
      </c>
      <c r="S635" s="7">
        <f t="shared" si="91"/>
        <v>6.4306002317777482</v>
      </c>
      <c r="T635" s="7">
        <f t="shared" si="92"/>
        <v>22.771573604060915</v>
      </c>
      <c r="U635" s="7">
        <f t="shared" si="93"/>
        <v>6.5356886776680962</v>
      </c>
      <c r="V635" s="7">
        <f t="shared" si="94"/>
        <v>11.434010152284264</v>
      </c>
      <c r="W635" s="7">
        <f t="shared" si="95"/>
        <v>3.5019632409825281</v>
      </c>
      <c r="X635" s="7">
        <f t="shared" si="96"/>
        <v>0.43593123368684517</v>
      </c>
      <c r="Y635" s="7">
        <f t="shared" si="97"/>
        <v>1.1059930716464534</v>
      </c>
      <c r="Z635" s="7">
        <f t="shared" si="98"/>
        <v>0.44717483878453679</v>
      </c>
      <c r="AA635" s="7">
        <f t="shared" si="99"/>
        <v>0.66303304803927843</v>
      </c>
    </row>
    <row r="636" spans="1:27" x14ac:dyDescent="0.25">
      <c r="A636" s="1" t="s">
        <v>1683</v>
      </c>
      <c r="B636" s="1" t="s">
        <v>861</v>
      </c>
      <c r="C636" s="1">
        <v>7</v>
      </c>
      <c r="D636" s="1">
        <v>6</v>
      </c>
      <c r="E636" s="1">
        <v>6</v>
      </c>
      <c r="F636" s="1">
        <v>7</v>
      </c>
      <c r="G636" s="1">
        <v>7</v>
      </c>
      <c r="H636" s="1">
        <v>7</v>
      </c>
      <c r="I636" s="1">
        <v>6</v>
      </c>
      <c r="J636" s="1">
        <v>6</v>
      </c>
      <c r="K636" s="1">
        <v>7</v>
      </c>
      <c r="L636" s="1">
        <v>7</v>
      </c>
      <c r="M636" s="1">
        <v>26</v>
      </c>
      <c r="N636" s="1">
        <v>26</v>
      </c>
      <c r="O636" s="1">
        <v>14</v>
      </c>
      <c r="P636" s="1">
        <v>66</v>
      </c>
      <c r="Q636" s="7">
        <v>0.51639777949432231</v>
      </c>
      <c r="R636" s="7">
        <f t="shared" si="90"/>
        <v>23.196700507614214</v>
      </c>
      <c r="S636" s="7">
        <f t="shared" si="91"/>
        <v>6.4306002317777482</v>
      </c>
      <c r="T636" s="7">
        <f t="shared" si="92"/>
        <v>22.771573604060915</v>
      </c>
      <c r="U636" s="7">
        <f t="shared" si="93"/>
        <v>6.5356886776680962</v>
      </c>
      <c r="V636" s="7">
        <f t="shared" si="94"/>
        <v>11.434010152284264</v>
      </c>
      <c r="W636" s="7">
        <f t="shared" si="95"/>
        <v>3.5019632409825281</v>
      </c>
      <c r="X636" s="7">
        <f t="shared" si="96"/>
        <v>0.43593123368684517</v>
      </c>
      <c r="Y636" s="7">
        <f t="shared" si="97"/>
        <v>0.49396881570726414</v>
      </c>
      <c r="Z636" s="7">
        <f t="shared" si="98"/>
        <v>0.73272894977498659</v>
      </c>
      <c r="AA636" s="7">
        <f t="shared" si="99"/>
        <v>0.5542096663896986</v>
      </c>
    </row>
    <row r="637" spans="1:27" x14ac:dyDescent="0.25">
      <c r="A637" s="1" t="s">
        <v>1683</v>
      </c>
      <c r="B637" s="1" t="s">
        <v>861</v>
      </c>
      <c r="C637" s="1">
        <v>5</v>
      </c>
      <c r="D637" s="1">
        <v>6</v>
      </c>
      <c r="E637" s="1">
        <v>5</v>
      </c>
      <c r="F637" s="1">
        <v>4</v>
      </c>
      <c r="G637" s="1">
        <v>5</v>
      </c>
      <c r="H637" s="1">
        <v>6</v>
      </c>
      <c r="I637" s="1">
        <v>5</v>
      </c>
      <c r="J637" s="1">
        <v>4</v>
      </c>
      <c r="K637" s="1">
        <v>5</v>
      </c>
      <c r="L637" s="1">
        <v>4</v>
      </c>
      <c r="M637" s="1">
        <v>20</v>
      </c>
      <c r="N637" s="1">
        <v>20</v>
      </c>
      <c r="O637" s="1">
        <v>9</v>
      </c>
      <c r="P637" s="1">
        <v>49</v>
      </c>
      <c r="Q637" s="7">
        <v>0.73786478737262184</v>
      </c>
      <c r="R637" s="7">
        <f t="shared" si="90"/>
        <v>23.196700507614214</v>
      </c>
      <c r="S637" s="7">
        <f t="shared" si="91"/>
        <v>6.4306002317777482</v>
      </c>
      <c r="T637" s="7">
        <f t="shared" si="92"/>
        <v>22.771573604060915</v>
      </c>
      <c r="U637" s="7">
        <f t="shared" si="93"/>
        <v>6.5356886776680962</v>
      </c>
      <c r="V637" s="7">
        <f t="shared" si="94"/>
        <v>11.434010152284264</v>
      </c>
      <c r="W637" s="7">
        <f t="shared" si="95"/>
        <v>3.5019632409825281</v>
      </c>
      <c r="X637" s="7">
        <f t="shared" si="96"/>
        <v>-0.49710764040614003</v>
      </c>
      <c r="Y637" s="7">
        <f t="shared" si="97"/>
        <v>-0.42406756820151964</v>
      </c>
      <c r="Z637" s="7">
        <f t="shared" si="98"/>
        <v>-0.69504160517726232</v>
      </c>
      <c r="AA637" s="7">
        <f t="shared" si="99"/>
        <v>-0.53873893792830729</v>
      </c>
    </row>
    <row r="638" spans="1:27" x14ac:dyDescent="0.25">
      <c r="A638" s="1" t="s">
        <v>1683</v>
      </c>
      <c r="B638" s="1" t="s">
        <v>861</v>
      </c>
      <c r="C638" s="1">
        <v>7</v>
      </c>
      <c r="D638" s="1">
        <v>5</v>
      </c>
      <c r="E638" s="1">
        <v>5</v>
      </c>
      <c r="F638" s="1">
        <v>6</v>
      </c>
      <c r="G638" s="1">
        <v>6</v>
      </c>
      <c r="H638" s="1">
        <v>6</v>
      </c>
      <c r="I638" s="1">
        <v>5</v>
      </c>
      <c r="J638" s="1">
        <v>5</v>
      </c>
      <c r="K638" s="1">
        <v>6</v>
      </c>
      <c r="L638" s="1">
        <v>5</v>
      </c>
      <c r="M638" s="1">
        <v>23</v>
      </c>
      <c r="N638" s="1">
        <v>22</v>
      </c>
      <c r="O638" s="1">
        <v>11</v>
      </c>
      <c r="P638" s="1">
        <v>56</v>
      </c>
      <c r="Q638" s="7">
        <v>0.69920589878010109</v>
      </c>
      <c r="R638" s="7">
        <f t="shared" si="90"/>
        <v>23.196700507614214</v>
      </c>
      <c r="S638" s="7">
        <f t="shared" si="91"/>
        <v>6.4306002317777482</v>
      </c>
      <c r="T638" s="7">
        <f t="shared" si="92"/>
        <v>22.771573604060915</v>
      </c>
      <c r="U638" s="7">
        <f t="shared" si="93"/>
        <v>6.5356886776680962</v>
      </c>
      <c r="V638" s="7">
        <f t="shared" si="94"/>
        <v>11.434010152284264</v>
      </c>
      <c r="W638" s="7">
        <f t="shared" si="95"/>
        <v>3.5019632409825281</v>
      </c>
      <c r="X638" s="7">
        <f t="shared" si="96"/>
        <v>-3.0588203359647428E-2</v>
      </c>
      <c r="Y638" s="7">
        <f t="shared" si="97"/>
        <v>-0.11805544023192505</v>
      </c>
      <c r="Z638" s="7">
        <f t="shared" si="98"/>
        <v>-0.12393338319636275</v>
      </c>
      <c r="AA638" s="7">
        <f t="shared" si="99"/>
        <v>-9.0859008929311744E-2</v>
      </c>
    </row>
    <row r="639" spans="1:27" x14ac:dyDescent="0.25">
      <c r="A639" s="1" t="s">
        <v>1683</v>
      </c>
      <c r="B639" s="1" t="s">
        <v>861</v>
      </c>
      <c r="C639" s="1">
        <v>5</v>
      </c>
      <c r="D639" s="1">
        <v>6</v>
      </c>
      <c r="E639" s="1">
        <v>5</v>
      </c>
      <c r="F639" s="1">
        <v>5</v>
      </c>
      <c r="G639" s="1">
        <v>6</v>
      </c>
      <c r="H639" s="1">
        <v>6</v>
      </c>
      <c r="I639" s="1">
        <v>5</v>
      </c>
      <c r="J639" s="1">
        <v>5</v>
      </c>
      <c r="K639" s="1">
        <v>6</v>
      </c>
      <c r="L639" s="1">
        <v>6</v>
      </c>
      <c r="M639" s="1">
        <v>21</v>
      </c>
      <c r="N639" s="1">
        <v>22</v>
      </c>
      <c r="O639" s="1">
        <v>12</v>
      </c>
      <c r="P639" s="1">
        <v>55</v>
      </c>
      <c r="Q639" s="7">
        <v>0.52704627669472981</v>
      </c>
      <c r="R639" s="7">
        <f t="shared" si="90"/>
        <v>23.196700507614214</v>
      </c>
      <c r="S639" s="7">
        <f t="shared" si="91"/>
        <v>6.4306002317777482</v>
      </c>
      <c r="T639" s="7">
        <f t="shared" si="92"/>
        <v>22.771573604060915</v>
      </c>
      <c r="U639" s="7">
        <f t="shared" si="93"/>
        <v>6.5356886776680962</v>
      </c>
      <c r="V639" s="7">
        <f t="shared" si="94"/>
        <v>11.434010152284264</v>
      </c>
      <c r="W639" s="7">
        <f t="shared" si="95"/>
        <v>3.5019632409825281</v>
      </c>
      <c r="X639" s="7">
        <f t="shared" si="96"/>
        <v>-0.3416011613906425</v>
      </c>
      <c r="Y639" s="7">
        <f t="shared" si="97"/>
        <v>-0.11805544023192505</v>
      </c>
      <c r="Z639" s="7">
        <f t="shared" si="98"/>
        <v>0.16162072779408701</v>
      </c>
      <c r="AA639" s="7">
        <f t="shared" si="99"/>
        <v>-9.9345291276160166E-2</v>
      </c>
    </row>
    <row r="640" spans="1:27" x14ac:dyDescent="0.25">
      <c r="A640" s="1" t="s">
        <v>1683</v>
      </c>
      <c r="B640" s="1" t="s">
        <v>861</v>
      </c>
      <c r="C640" s="1">
        <v>6</v>
      </c>
      <c r="D640" s="1">
        <v>5</v>
      </c>
      <c r="E640" s="1">
        <v>6</v>
      </c>
      <c r="F640" s="1">
        <v>7</v>
      </c>
      <c r="G640" s="1">
        <v>7</v>
      </c>
      <c r="H640" s="1">
        <v>7</v>
      </c>
      <c r="I640" s="1">
        <v>6</v>
      </c>
      <c r="J640" s="1">
        <v>7</v>
      </c>
      <c r="K640" s="1">
        <v>7</v>
      </c>
      <c r="L640" s="1">
        <v>7</v>
      </c>
      <c r="M640" s="1">
        <v>24</v>
      </c>
      <c r="N640" s="1">
        <v>27</v>
      </c>
      <c r="O640" s="1">
        <v>14</v>
      </c>
      <c r="P640" s="1">
        <v>65</v>
      </c>
      <c r="Q640" s="7">
        <v>0.70710678118654724</v>
      </c>
      <c r="R640" s="7">
        <f t="shared" si="90"/>
        <v>23.196700507614214</v>
      </c>
      <c r="S640" s="7">
        <f t="shared" si="91"/>
        <v>6.4306002317777482</v>
      </c>
      <c r="T640" s="7">
        <f t="shared" si="92"/>
        <v>22.771573604060915</v>
      </c>
      <c r="U640" s="7">
        <f t="shared" si="93"/>
        <v>6.5356886776680962</v>
      </c>
      <c r="V640" s="7">
        <f t="shared" si="94"/>
        <v>11.434010152284264</v>
      </c>
      <c r="W640" s="7">
        <f t="shared" si="95"/>
        <v>3.5019632409825281</v>
      </c>
      <c r="X640" s="7">
        <f t="shared" si="96"/>
        <v>0.12491827565585011</v>
      </c>
      <c r="Y640" s="7">
        <f t="shared" si="97"/>
        <v>0.64697487969206147</v>
      </c>
      <c r="Z640" s="7">
        <f t="shared" si="98"/>
        <v>0.73272894977498659</v>
      </c>
      <c r="AA640" s="7">
        <f t="shared" si="99"/>
        <v>0.50154070170763276</v>
      </c>
    </row>
    <row r="641" spans="1:27" x14ac:dyDescent="0.25">
      <c r="A641" s="1" t="s">
        <v>1683</v>
      </c>
      <c r="B641" s="1" t="s">
        <v>861</v>
      </c>
      <c r="C641" s="1">
        <v>3</v>
      </c>
      <c r="D641" s="1">
        <v>2</v>
      </c>
      <c r="E641" s="1">
        <v>2</v>
      </c>
      <c r="F641" s="1">
        <v>2</v>
      </c>
      <c r="G641" s="1">
        <v>2</v>
      </c>
      <c r="H641" s="1">
        <v>2</v>
      </c>
      <c r="I641" s="1">
        <v>1</v>
      </c>
      <c r="J641" s="1">
        <v>2</v>
      </c>
      <c r="K641" s="1">
        <v>2</v>
      </c>
      <c r="L641" s="1">
        <v>2</v>
      </c>
      <c r="M641" s="1">
        <v>9</v>
      </c>
      <c r="N641" s="1">
        <v>7</v>
      </c>
      <c r="O641" s="1">
        <v>4</v>
      </c>
      <c r="P641" s="1">
        <v>20</v>
      </c>
      <c r="Q641" s="7">
        <v>0.47140452079103179</v>
      </c>
      <c r="R641" s="7">
        <f t="shared" si="90"/>
        <v>23.196700507614214</v>
      </c>
      <c r="S641" s="7">
        <f t="shared" si="91"/>
        <v>6.4306002317777482</v>
      </c>
      <c r="T641" s="7">
        <f t="shared" si="92"/>
        <v>22.771573604060915</v>
      </c>
      <c r="U641" s="7">
        <f t="shared" si="93"/>
        <v>6.5356886776680962</v>
      </c>
      <c r="V641" s="7">
        <f t="shared" si="94"/>
        <v>11.434010152284264</v>
      </c>
      <c r="W641" s="7">
        <f t="shared" si="95"/>
        <v>3.5019632409825281</v>
      </c>
      <c r="X641" s="7">
        <f t="shared" si="96"/>
        <v>-2.2076789095766132</v>
      </c>
      <c r="Y641" s="7">
        <f t="shared" si="97"/>
        <v>-2.4131464000038845</v>
      </c>
      <c r="Z641" s="7">
        <f t="shared" si="98"/>
        <v>-2.1228121601295111</v>
      </c>
      <c r="AA641" s="7">
        <f t="shared" si="99"/>
        <v>-2.2478791565700029</v>
      </c>
    </row>
    <row r="642" spans="1:27" x14ac:dyDescent="0.25">
      <c r="A642" s="1" t="s">
        <v>1683</v>
      </c>
      <c r="B642" s="1" t="s">
        <v>861</v>
      </c>
      <c r="C642" s="1">
        <v>4</v>
      </c>
      <c r="D642" s="1">
        <v>3</v>
      </c>
      <c r="E642" s="1">
        <v>3</v>
      </c>
      <c r="F642" s="1">
        <v>3</v>
      </c>
      <c r="G642" s="1">
        <v>2</v>
      </c>
      <c r="H642" s="1">
        <v>3</v>
      </c>
      <c r="I642" s="1">
        <v>3</v>
      </c>
      <c r="J642" s="1">
        <v>3</v>
      </c>
      <c r="K642" s="1">
        <v>4</v>
      </c>
      <c r="L642" s="1">
        <v>3</v>
      </c>
      <c r="M642" s="1">
        <v>13</v>
      </c>
      <c r="N642" s="1">
        <v>11</v>
      </c>
      <c r="O642" s="1">
        <v>7</v>
      </c>
      <c r="P642" s="1">
        <v>31</v>
      </c>
      <c r="Q642" s="7">
        <v>0.56764621219754663</v>
      </c>
      <c r="R642" s="7">
        <f t="shared" si="90"/>
        <v>23.196700507614214</v>
      </c>
      <c r="S642" s="7">
        <f t="shared" si="91"/>
        <v>6.4306002317777482</v>
      </c>
      <c r="T642" s="7">
        <f t="shared" si="92"/>
        <v>22.771573604060915</v>
      </c>
      <c r="U642" s="7">
        <f t="shared" si="93"/>
        <v>6.5356886776680962</v>
      </c>
      <c r="V642" s="7">
        <f t="shared" si="94"/>
        <v>11.434010152284264</v>
      </c>
      <c r="W642" s="7">
        <f t="shared" si="95"/>
        <v>3.5019632409825281</v>
      </c>
      <c r="X642" s="7">
        <f t="shared" si="96"/>
        <v>-1.5856529935146229</v>
      </c>
      <c r="Y642" s="7">
        <f t="shared" si="97"/>
        <v>-1.8011221440646954</v>
      </c>
      <c r="Z642" s="7">
        <f t="shared" si="98"/>
        <v>-1.2661498271581617</v>
      </c>
      <c r="AA642" s="7">
        <f t="shared" si="99"/>
        <v>-1.5509749882458266</v>
      </c>
    </row>
    <row r="643" spans="1:27" x14ac:dyDescent="0.25">
      <c r="A643" s="1" t="s">
        <v>1683</v>
      </c>
      <c r="B643" s="1" t="s">
        <v>861</v>
      </c>
      <c r="C643" s="1">
        <v>4</v>
      </c>
      <c r="D643" s="1">
        <v>3</v>
      </c>
      <c r="E643" s="1">
        <v>3</v>
      </c>
      <c r="F643" s="1">
        <v>3</v>
      </c>
      <c r="G643" s="1">
        <v>3</v>
      </c>
      <c r="H643" s="1">
        <v>3</v>
      </c>
      <c r="I643" s="1">
        <v>3</v>
      </c>
      <c r="J643" s="1">
        <v>3</v>
      </c>
      <c r="K643" s="1">
        <v>4</v>
      </c>
      <c r="L643" s="1">
        <v>5</v>
      </c>
      <c r="M643" s="1">
        <v>13</v>
      </c>
      <c r="N643" s="1">
        <v>12</v>
      </c>
      <c r="O643" s="1">
        <v>9</v>
      </c>
      <c r="P643" s="1">
        <v>34</v>
      </c>
      <c r="Q643" s="7">
        <v>0.69920589878010087</v>
      </c>
      <c r="R643" s="7">
        <f t="shared" ref="R643:R706" si="100">AVERAGE(M:M)</f>
        <v>23.196700507614214</v>
      </c>
      <c r="S643" s="7">
        <f t="shared" ref="S643:S706" si="101">_xlfn.STDEV.S(M:M)</f>
        <v>6.4306002317777482</v>
      </c>
      <c r="T643" s="7">
        <f t="shared" ref="T643:T706" si="102">AVERAGE(N:N)</f>
        <v>22.771573604060915</v>
      </c>
      <c r="U643" s="7">
        <f t="shared" ref="U643:U706" si="103">_xlfn.STDEV.S(N:N)</f>
        <v>6.5356886776680962</v>
      </c>
      <c r="V643" s="7">
        <f t="shared" ref="V643:V706" si="104">AVERAGE(O:O)</f>
        <v>11.434010152284264</v>
      </c>
      <c r="W643" s="7">
        <f t="shared" ref="W643:W706" si="105">_xlfn.STDEV.S(O:O)</f>
        <v>3.5019632409825281</v>
      </c>
      <c r="X643" s="7">
        <f t="shared" ref="X643:X706" si="106">STANDARDIZE(M643,R643,S643)</f>
        <v>-1.5856529935146229</v>
      </c>
      <c r="Y643" s="7">
        <f t="shared" ref="Y643:Y706" si="107">STANDARDIZE(N643,T643,U643)</f>
        <v>-1.648116080079898</v>
      </c>
      <c r="Z643" s="7">
        <f t="shared" ref="Z643:Z706" si="108">STANDARDIZE(O643,V643,W643)</f>
        <v>-0.69504160517726232</v>
      </c>
      <c r="AA643" s="7">
        <f t="shared" ref="AA643:AA706" si="109">AVERAGE(X643:Z643)</f>
        <v>-1.3096035595905944</v>
      </c>
    </row>
    <row r="644" spans="1:27" x14ac:dyDescent="0.25">
      <c r="A644" s="1" t="s">
        <v>1683</v>
      </c>
      <c r="B644" s="1" t="s">
        <v>861</v>
      </c>
      <c r="C644" s="1">
        <v>4</v>
      </c>
      <c r="D644" s="1">
        <v>5</v>
      </c>
      <c r="E644" s="1">
        <v>4</v>
      </c>
      <c r="F644" s="1">
        <v>4</v>
      </c>
      <c r="G644" s="1">
        <v>6</v>
      </c>
      <c r="H644" s="1">
        <v>5</v>
      </c>
      <c r="I644" s="1">
        <v>5</v>
      </c>
      <c r="J644" s="1">
        <v>5</v>
      </c>
      <c r="K644" s="1">
        <v>4</v>
      </c>
      <c r="L644" s="1">
        <v>4</v>
      </c>
      <c r="M644" s="1">
        <v>17</v>
      </c>
      <c r="N644" s="1">
        <v>21</v>
      </c>
      <c r="O644" s="1">
        <v>8</v>
      </c>
      <c r="P644" s="1">
        <v>46</v>
      </c>
      <c r="Q644" s="7">
        <v>0.69920589878010109</v>
      </c>
      <c r="R644" s="7">
        <f t="shared" si="100"/>
        <v>23.196700507614214</v>
      </c>
      <c r="S644" s="7">
        <f t="shared" si="101"/>
        <v>6.4306002317777482</v>
      </c>
      <c r="T644" s="7">
        <f t="shared" si="102"/>
        <v>22.771573604060915</v>
      </c>
      <c r="U644" s="7">
        <f t="shared" si="103"/>
        <v>6.5356886776680962</v>
      </c>
      <c r="V644" s="7">
        <f t="shared" si="104"/>
        <v>11.434010152284264</v>
      </c>
      <c r="W644" s="7">
        <f t="shared" si="105"/>
        <v>3.5019632409825281</v>
      </c>
      <c r="X644" s="7">
        <f t="shared" si="106"/>
        <v>-0.96362707745263265</v>
      </c>
      <c r="Y644" s="7">
        <f t="shared" si="107"/>
        <v>-0.27106150421672232</v>
      </c>
      <c r="Z644" s="7">
        <f t="shared" si="108"/>
        <v>-0.98059571616771202</v>
      </c>
      <c r="AA644" s="7">
        <f t="shared" si="109"/>
        <v>-0.73842809927902231</v>
      </c>
    </row>
    <row r="645" spans="1:27" x14ac:dyDescent="0.25">
      <c r="A645" s="1" t="s">
        <v>1683</v>
      </c>
      <c r="B645" s="1" t="s">
        <v>861</v>
      </c>
      <c r="C645" s="1">
        <v>5</v>
      </c>
      <c r="D645" s="1">
        <v>4</v>
      </c>
      <c r="E645" s="1">
        <v>5</v>
      </c>
      <c r="F645" s="1">
        <v>4</v>
      </c>
      <c r="G645" s="1">
        <v>5</v>
      </c>
      <c r="H645" s="1">
        <v>4</v>
      </c>
      <c r="I645" s="1">
        <v>5</v>
      </c>
      <c r="J645" s="1">
        <v>5</v>
      </c>
      <c r="K645" s="1">
        <v>5</v>
      </c>
      <c r="L645" s="1">
        <v>5</v>
      </c>
      <c r="M645" s="1">
        <v>18</v>
      </c>
      <c r="N645" s="1">
        <v>19</v>
      </c>
      <c r="O645" s="1">
        <v>10</v>
      </c>
      <c r="P645" s="1">
        <v>47</v>
      </c>
      <c r="Q645" s="7">
        <v>0.48304589153964789</v>
      </c>
      <c r="R645" s="7">
        <f t="shared" si="100"/>
        <v>23.196700507614214</v>
      </c>
      <c r="S645" s="7">
        <f t="shared" si="101"/>
        <v>6.4306002317777482</v>
      </c>
      <c r="T645" s="7">
        <f t="shared" si="102"/>
        <v>22.771573604060915</v>
      </c>
      <c r="U645" s="7">
        <f t="shared" si="103"/>
        <v>6.5356886776680962</v>
      </c>
      <c r="V645" s="7">
        <f t="shared" si="104"/>
        <v>11.434010152284264</v>
      </c>
      <c r="W645" s="7">
        <f t="shared" si="105"/>
        <v>3.5019632409825281</v>
      </c>
      <c r="X645" s="7">
        <f t="shared" si="106"/>
        <v>-0.80812059843713513</v>
      </c>
      <c r="Y645" s="7">
        <f t="shared" si="107"/>
        <v>-0.57707363218631691</v>
      </c>
      <c r="Z645" s="7">
        <f t="shared" si="108"/>
        <v>-0.40948749418681252</v>
      </c>
      <c r="AA645" s="7">
        <f t="shared" si="109"/>
        <v>-0.59822724160342156</v>
      </c>
    </row>
    <row r="646" spans="1:27" x14ac:dyDescent="0.25">
      <c r="A646" s="1" t="s">
        <v>1683</v>
      </c>
      <c r="B646" s="1" t="s">
        <v>861</v>
      </c>
      <c r="C646" s="1">
        <v>5</v>
      </c>
      <c r="D646" s="1">
        <v>5</v>
      </c>
      <c r="E646" s="1">
        <v>6</v>
      </c>
      <c r="F646" s="1">
        <v>5</v>
      </c>
      <c r="G646" s="1">
        <v>6</v>
      </c>
      <c r="H646" s="1">
        <v>3</v>
      </c>
      <c r="I646" s="1">
        <v>2</v>
      </c>
      <c r="J646" s="1">
        <v>5</v>
      </c>
      <c r="K646" s="1">
        <v>7</v>
      </c>
      <c r="L646" s="1">
        <v>6</v>
      </c>
      <c r="M646" s="1">
        <v>21</v>
      </c>
      <c r="N646" s="1">
        <v>16</v>
      </c>
      <c r="O646" s="1">
        <v>13</v>
      </c>
      <c r="P646" s="1">
        <v>50</v>
      </c>
      <c r="Q646" s="7">
        <v>1.4907119849998598</v>
      </c>
      <c r="R646" s="7">
        <f t="shared" si="100"/>
        <v>23.196700507614214</v>
      </c>
      <c r="S646" s="7">
        <f t="shared" si="101"/>
        <v>6.4306002317777482</v>
      </c>
      <c r="T646" s="7">
        <f t="shared" si="102"/>
        <v>22.771573604060915</v>
      </c>
      <c r="U646" s="7">
        <f t="shared" si="103"/>
        <v>6.5356886776680962</v>
      </c>
      <c r="V646" s="7">
        <f t="shared" si="104"/>
        <v>11.434010152284264</v>
      </c>
      <c r="W646" s="7">
        <f t="shared" si="105"/>
        <v>3.5019632409825281</v>
      </c>
      <c r="X646" s="7">
        <f t="shared" si="106"/>
        <v>-0.3416011613906425</v>
      </c>
      <c r="Y646" s="7">
        <f t="shared" si="107"/>
        <v>-1.0360918241407089</v>
      </c>
      <c r="Z646" s="7">
        <f t="shared" si="108"/>
        <v>0.44717483878453679</v>
      </c>
      <c r="AA646" s="7">
        <f t="shared" si="109"/>
        <v>-0.3101727155822715</v>
      </c>
    </row>
    <row r="647" spans="1:27" x14ac:dyDescent="0.25">
      <c r="A647" s="1" t="s">
        <v>1683</v>
      </c>
      <c r="B647" s="1" t="s">
        <v>861</v>
      </c>
      <c r="C647" s="1">
        <v>3</v>
      </c>
      <c r="D647" s="1">
        <v>3</v>
      </c>
      <c r="E647" s="1">
        <v>2</v>
      </c>
      <c r="F647" s="1">
        <v>3</v>
      </c>
      <c r="G647" s="1">
        <v>2</v>
      </c>
      <c r="H647" s="1">
        <v>2</v>
      </c>
      <c r="I647" s="1">
        <v>1</v>
      </c>
      <c r="J647" s="1">
        <v>2</v>
      </c>
      <c r="K647" s="1">
        <v>2</v>
      </c>
      <c r="L647" s="1">
        <v>2</v>
      </c>
      <c r="M647" s="1">
        <v>11</v>
      </c>
      <c r="N647" s="1">
        <v>7</v>
      </c>
      <c r="O647" s="1">
        <v>4</v>
      </c>
      <c r="P647" s="1">
        <v>22</v>
      </c>
      <c r="Q647" s="7">
        <v>0.63245553203367588</v>
      </c>
      <c r="R647" s="7">
        <f t="shared" si="100"/>
        <v>23.196700507614214</v>
      </c>
      <c r="S647" s="7">
        <f t="shared" si="101"/>
        <v>6.4306002317777482</v>
      </c>
      <c r="T647" s="7">
        <f t="shared" si="102"/>
        <v>22.771573604060915</v>
      </c>
      <c r="U647" s="7">
        <f t="shared" si="103"/>
        <v>6.5356886776680962</v>
      </c>
      <c r="V647" s="7">
        <f t="shared" si="104"/>
        <v>11.434010152284264</v>
      </c>
      <c r="W647" s="7">
        <f t="shared" si="105"/>
        <v>3.5019632409825281</v>
      </c>
      <c r="X647" s="7">
        <f t="shared" si="106"/>
        <v>-1.8966659515456179</v>
      </c>
      <c r="Y647" s="7">
        <f t="shared" si="107"/>
        <v>-2.4131464000038845</v>
      </c>
      <c r="Z647" s="7">
        <f t="shared" si="108"/>
        <v>-2.1228121601295111</v>
      </c>
      <c r="AA647" s="7">
        <f t="shared" si="109"/>
        <v>-2.1442081705596712</v>
      </c>
    </row>
    <row r="648" spans="1:27" x14ac:dyDescent="0.25">
      <c r="A648" s="1" t="s">
        <v>1683</v>
      </c>
      <c r="B648" s="1" t="s">
        <v>861</v>
      </c>
      <c r="C648" s="1">
        <v>5</v>
      </c>
      <c r="D648" s="1">
        <v>5</v>
      </c>
      <c r="E648" s="1">
        <v>4</v>
      </c>
      <c r="F648" s="1">
        <v>6</v>
      </c>
      <c r="G648" s="1">
        <v>6</v>
      </c>
      <c r="H648" s="1">
        <v>5</v>
      </c>
      <c r="I648" s="1">
        <v>6</v>
      </c>
      <c r="J648" s="1">
        <v>6</v>
      </c>
      <c r="K648" s="1">
        <v>7</v>
      </c>
      <c r="L648" s="1">
        <v>7</v>
      </c>
      <c r="M648" s="1">
        <v>20</v>
      </c>
      <c r="N648" s="1">
        <v>23</v>
      </c>
      <c r="O648" s="1">
        <v>14</v>
      </c>
      <c r="P648" s="1">
        <v>57</v>
      </c>
      <c r="Q648" s="7">
        <v>0.94868329805051377</v>
      </c>
      <c r="R648" s="7">
        <f t="shared" si="100"/>
        <v>23.196700507614214</v>
      </c>
      <c r="S648" s="7">
        <f t="shared" si="101"/>
        <v>6.4306002317777482</v>
      </c>
      <c r="T648" s="7">
        <f t="shared" si="102"/>
        <v>22.771573604060915</v>
      </c>
      <c r="U648" s="7">
        <f t="shared" si="103"/>
        <v>6.5356886776680962</v>
      </c>
      <c r="V648" s="7">
        <f t="shared" si="104"/>
        <v>11.434010152284264</v>
      </c>
      <c r="W648" s="7">
        <f t="shared" si="105"/>
        <v>3.5019632409825281</v>
      </c>
      <c r="X648" s="7">
        <f t="shared" si="106"/>
        <v>-0.49710764040614003</v>
      </c>
      <c r="Y648" s="7">
        <f t="shared" si="107"/>
        <v>3.4950623752872265E-2</v>
      </c>
      <c r="Z648" s="7">
        <f t="shared" si="108"/>
        <v>0.73272894977498659</v>
      </c>
      <c r="AA648" s="7">
        <f t="shared" si="109"/>
        <v>9.0190644373906281E-2</v>
      </c>
    </row>
    <row r="649" spans="1:27" x14ac:dyDescent="0.25">
      <c r="A649" s="1" t="s">
        <v>1683</v>
      </c>
      <c r="B649" s="1" t="s">
        <v>861</v>
      </c>
      <c r="C649" s="1">
        <v>6</v>
      </c>
      <c r="D649" s="1">
        <v>6</v>
      </c>
      <c r="E649" s="1">
        <v>5</v>
      </c>
      <c r="F649" s="1">
        <v>5</v>
      </c>
      <c r="G649" s="1">
        <v>8</v>
      </c>
      <c r="H649" s="1">
        <v>6</v>
      </c>
      <c r="I649" s="1">
        <v>6</v>
      </c>
      <c r="J649" s="1">
        <v>6</v>
      </c>
      <c r="K649" s="1">
        <v>7</v>
      </c>
      <c r="L649" s="1">
        <v>7</v>
      </c>
      <c r="M649" s="1">
        <v>22</v>
      </c>
      <c r="N649" s="1">
        <v>26</v>
      </c>
      <c r="O649" s="1">
        <v>14</v>
      </c>
      <c r="P649" s="1">
        <v>62</v>
      </c>
      <c r="Q649" s="7">
        <v>0.91893658347268148</v>
      </c>
      <c r="R649" s="7">
        <f t="shared" si="100"/>
        <v>23.196700507614214</v>
      </c>
      <c r="S649" s="7">
        <f t="shared" si="101"/>
        <v>6.4306002317777482</v>
      </c>
      <c r="T649" s="7">
        <f t="shared" si="102"/>
        <v>22.771573604060915</v>
      </c>
      <c r="U649" s="7">
        <f t="shared" si="103"/>
        <v>6.5356886776680962</v>
      </c>
      <c r="V649" s="7">
        <f t="shared" si="104"/>
        <v>11.434010152284264</v>
      </c>
      <c r="W649" s="7">
        <f t="shared" si="105"/>
        <v>3.5019632409825281</v>
      </c>
      <c r="X649" s="7">
        <f t="shared" si="106"/>
        <v>-0.18609468237514495</v>
      </c>
      <c r="Y649" s="7">
        <f t="shared" si="107"/>
        <v>0.49396881570726414</v>
      </c>
      <c r="Z649" s="7">
        <f t="shared" si="108"/>
        <v>0.73272894977498659</v>
      </c>
      <c r="AA649" s="7">
        <f t="shared" si="109"/>
        <v>0.34686769436903525</v>
      </c>
    </row>
    <row r="650" spans="1:27" x14ac:dyDescent="0.25">
      <c r="A650" s="1" t="s">
        <v>1683</v>
      </c>
      <c r="B650" s="1" t="s">
        <v>861</v>
      </c>
      <c r="C650" s="1">
        <v>7</v>
      </c>
      <c r="D650" s="1">
        <v>7</v>
      </c>
      <c r="E650" s="1">
        <v>7</v>
      </c>
      <c r="F650" s="1">
        <v>7</v>
      </c>
      <c r="G650" s="1">
        <v>7</v>
      </c>
      <c r="H650" s="1">
        <v>6</v>
      </c>
      <c r="I650" s="1">
        <v>7</v>
      </c>
      <c r="J650" s="1">
        <v>6</v>
      </c>
      <c r="K650" s="1">
        <v>7</v>
      </c>
      <c r="L650" s="1">
        <v>7</v>
      </c>
      <c r="M650" s="1">
        <v>28</v>
      </c>
      <c r="N650" s="1">
        <v>26</v>
      </c>
      <c r="O650" s="1">
        <v>14</v>
      </c>
      <c r="P650" s="1">
        <v>68</v>
      </c>
      <c r="Q650" s="7">
        <v>0.42163702135578385</v>
      </c>
      <c r="R650" s="7">
        <f t="shared" si="100"/>
        <v>23.196700507614214</v>
      </c>
      <c r="S650" s="7">
        <f t="shared" si="101"/>
        <v>6.4306002317777482</v>
      </c>
      <c r="T650" s="7">
        <f t="shared" si="102"/>
        <v>22.771573604060915</v>
      </c>
      <c r="U650" s="7">
        <f t="shared" si="103"/>
        <v>6.5356886776680962</v>
      </c>
      <c r="V650" s="7">
        <f t="shared" si="104"/>
        <v>11.434010152284264</v>
      </c>
      <c r="W650" s="7">
        <f t="shared" si="105"/>
        <v>3.5019632409825281</v>
      </c>
      <c r="X650" s="7">
        <f t="shared" si="106"/>
        <v>0.74694419171784021</v>
      </c>
      <c r="Y650" s="7">
        <f t="shared" si="107"/>
        <v>0.49396881570726414</v>
      </c>
      <c r="Z650" s="7">
        <f t="shared" si="108"/>
        <v>0.73272894977498659</v>
      </c>
      <c r="AA650" s="7">
        <f t="shared" si="109"/>
        <v>0.65788065240003035</v>
      </c>
    </row>
    <row r="651" spans="1:27" x14ac:dyDescent="0.25">
      <c r="A651" s="1" t="s">
        <v>1683</v>
      </c>
      <c r="B651" s="1" t="s">
        <v>861</v>
      </c>
      <c r="C651" s="1">
        <v>5</v>
      </c>
      <c r="D651" s="1">
        <v>6</v>
      </c>
      <c r="E651" s="1">
        <v>6</v>
      </c>
      <c r="F651" s="1">
        <v>6</v>
      </c>
      <c r="G651" s="1">
        <v>6</v>
      </c>
      <c r="H651" s="1">
        <v>6</v>
      </c>
      <c r="I651" s="1">
        <v>4</v>
      </c>
      <c r="J651" s="1">
        <v>5</v>
      </c>
      <c r="K651" s="1">
        <v>6</v>
      </c>
      <c r="L651" s="1">
        <v>6</v>
      </c>
      <c r="M651" s="1">
        <v>23</v>
      </c>
      <c r="N651" s="1">
        <v>21</v>
      </c>
      <c r="O651" s="1">
        <v>12</v>
      </c>
      <c r="P651" s="1">
        <v>56</v>
      </c>
      <c r="Q651" s="7">
        <v>0.69920589878010098</v>
      </c>
      <c r="R651" s="7">
        <f t="shared" si="100"/>
        <v>23.196700507614214</v>
      </c>
      <c r="S651" s="7">
        <f t="shared" si="101"/>
        <v>6.4306002317777482</v>
      </c>
      <c r="T651" s="7">
        <f t="shared" si="102"/>
        <v>22.771573604060915</v>
      </c>
      <c r="U651" s="7">
        <f t="shared" si="103"/>
        <v>6.5356886776680962</v>
      </c>
      <c r="V651" s="7">
        <f t="shared" si="104"/>
        <v>11.434010152284264</v>
      </c>
      <c r="W651" s="7">
        <f t="shared" si="105"/>
        <v>3.5019632409825281</v>
      </c>
      <c r="X651" s="7">
        <f t="shared" si="106"/>
        <v>-3.0588203359647428E-2</v>
      </c>
      <c r="Y651" s="7">
        <f t="shared" si="107"/>
        <v>-0.27106150421672232</v>
      </c>
      <c r="Z651" s="7">
        <f t="shared" si="108"/>
        <v>0.16162072779408701</v>
      </c>
      <c r="AA651" s="7">
        <f t="shared" si="109"/>
        <v>-4.6676326594094236E-2</v>
      </c>
    </row>
    <row r="652" spans="1:27" x14ac:dyDescent="0.25">
      <c r="A652" s="1" t="s">
        <v>1683</v>
      </c>
      <c r="B652" s="1" t="s">
        <v>861</v>
      </c>
      <c r="C652" s="1">
        <v>7</v>
      </c>
      <c r="D652" s="1">
        <v>6</v>
      </c>
      <c r="E652" s="1">
        <v>7</v>
      </c>
      <c r="F652" s="1">
        <v>7</v>
      </c>
      <c r="G652" s="1">
        <v>5</v>
      </c>
      <c r="H652" s="1">
        <v>5</v>
      </c>
      <c r="I652" s="1">
        <v>5</v>
      </c>
      <c r="J652" s="1">
        <v>6</v>
      </c>
      <c r="K652" s="1">
        <v>7</v>
      </c>
      <c r="L652" s="1">
        <v>8</v>
      </c>
      <c r="M652" s="1">
        <v>27</v>
      </c>
      <c r="N652" s="1">
        <v>21</v>
      </c>
      <c r="O652" s="1">
        <v>15</v>
      </c>
      <c r="P652" s="1">
        <v>63</v>
      </c>
      <c r="Q652" s="7">
        <v>1.0593499054713804</v>
      </c>
      <c r="R652" s="7">
        <f t="shared" si="100"/>
        <v>23.196700507614214</v>
      </c>
      <c r="S652" s="7">
        <f t="shared" si="101"/>
        <v>6.4306002317777482</v>
      </c>
      <c r="T652" s="7">
        <f t="shared" si="102"/>
        <v>22.771573604060915</v>
      </c>
      <c r="U652" s="7">
        <f t="shared" si="103"/>
        <v>6.5356886776680962</v>
      </c>
      <c r="V652" s="7">
        <f t="shared" si="104"/>
        <v>11.434010152284264</v>
      </c>
      <c r="W652" s="7">
        <f t="shared" si="105"/>
        <v>3.5019632409825281</v>
      </c>
      <c r="X652" s="7">
        <f t="shared" si="106"/>
        <v>0.59143771270234269</v>
      </c>
      <c r="Y652" s="7">
        <f t="shared" si="107"/>
        <v>-0.27106150421672232</v>
      </c>
      <c r="Z652" s="7">
        <f t="shared" si="108"/>
        <v>1.0182830607654363</v>
      </c>
      <c r="AA652" s="7">
        <f t="shared" si="109"/>
        <v>0.44621975641701889</v>
      </c>
    </row>
    <row r="653" spans="1:27" x14ac:dyDescent="0.25">
      <c r="A653" s="1" t="s">
        <v>1683</v>
      </c>
      <c r="B653" s="1" t="s">
        <v>861</v>
      </c>
      <c r="C653" s="1">
        <v>7</v>
      </c>
      <c r="D653" s="1">
        <v>8</v>
      </c>
      <c r="E653" s="1">
        <v>8</v>
      </c>
      <c r="F653" s="1">
        <v>7</v>
      </c>
      <c r="G653" s="1">
        <v>6</v>
      </c>
      <c r="H653" s="1">
        <v>8</v>
      </c>
      <c r="I653" s="1">
        <v>7</v>
      </c>
      <c r="J653" s="1">
        <v>7</v>
      </c>
      <c r="K653" s="1">
        <v>8</v>
      </c>
      <c r="L653" s="1">
        <v>8</v>
      </c>
      <c r="M653" s="1">
        <v>30</v>
      </c>
      <c r="N653" s="1">
        <v>28</v>
      </c>
      <c r="O653" s="1">
        <v>16</v>
      </c>
      <c r="P653" s="1">
        <v>74</v>
      </c>
      <c r="Q653" s="7">
        <v>0.69920589878010098</v>
      </c>
      <c r="R653" s="7">
        <f t="shared" si="100"/>
        <v>23.196700507614214</v>
      </c>
      <c r="S653" s="7">
        <f t="shared" si="101"/>
        <v>6.4306002317777482</v>
      </c>
      <c r="T653" s="7">
        <f t="shared" si="102"/>
        <v>22.771573604060915</v>
      </c>
      <c r="U653" s="7">
        <f t="shared" si="103"/>
        <v>6.5356886776680962</v>
      </c>
      <c r="V653" s="7">
        <f t="shared" si="104"/>
        <v>11.434010152284264</v>
      </c>
      <c r="W653" s="7">
        <f t="shared" si="105"/>
        <v>3.5019632409825281</v>
      </c>
      <c r="X653" s="7">
        <f t="shared" si="106"/>
        <v>1.0579571497488354</v>
      </c>
      <c r="Y653" s="7">
        <f t="shared" si="107"/>
        <v>0.79998094367685879</v>
      </c>
      <c r="Z653" s="7">
        <f t="shared" si="108"/>
        <v>1.3038371717558861</v>
      </c>
      <c r="AA653" s="7">
        <f t="shared" si="109"/>
        <v>1.05392508839386</v>
      </c>
    </row>
    <row r="654" spans="1:27" x14ac:dyDescent="0.25">
      <c r="A654" s="1" t="s">
        <v>1683</v>
      </c>
      <c r="B654" s="1" t="s">
        <v>861</v>
      </c>
      <c r="C654" s="1">
        <v>7</v>
      </c>
      <c r="D654" s="1">
        <v>7</v>
      </c>
      <c r="E654" s="1">
        <v>6</v>
      </c>
      <c r="F654" s="1">
        <v>7</v>
      </c>
      <c r="G654" s="1">
        <v>7</v>
      </c>
      <c r="H654" s="1">
        <v>6</v>
      </c>
      <c r="I654" s="1">
        <v>7</v>
      </c>
      <c r="J654" s="1">
        <v>6</v>
      </c>
      <c r="K654" s="1">
        <v>7</v>
      </c>
      <c r="L654" s="1">
        <v>6</v>
      </c>
      <c r="M654" s="1">
        <v>27</v>
      </c>
      <c r="N654" s="1">
        <v>26</v>
      </c>
      <c r="O654" s="1">
        <v>13</v>
      </c>
      <c r="P654" s="1">
        <v>66</v>
      </c>
      <c r="Q654" s="7">
        <v>0.51639777949432208</v>
      </c>
      <c r="R654" s="7">
        <f t="shared" si="100"/>
        <v>23.196700507614214</v>
      </c>
      <c r="S654" s="7">
        <f t="shared" si="101"/>
        <v>6.4306002317777482</v>
      </c>
      <c r="T654" s="7">
        <f t="shared" si="102"/>
        <v>22.771573604060915</v>
      </c>
      <c r="U654" s="7">
        <f t="shared" si="103"/>
        <v>6.5356886776680962</v>
      </c>
      <c r="V654" s="7">
        <f t="shared" si="104"/>
        <v>11.434010152284264</v>
      </c>
      <c r="W654" s="7">
        <f t="shared" si="105"/>
        <v>3.5019632409825281</v>
      </c>
      <c r="X654" s="7">
        <f t="shared" si="106"/>
        <v>0.59143771270234269</v>
      </c>
      <c r="Y654" s="7">
        <f t="shared" si="107"/>
        <v>0.49396881570726414</v>
      </c>
      <c r="Z654" s="7">
        <f t="shared" si="108"/>
        <v>0.44717483878453679</v>
      </c>
      <c r="AA654" s="7">
        <f t="shared" si="109"/>
        <v>0.51086045573138117</v>
      </c>
    </row>
    <row r="655" spans="1:27" x14ac:dyDescent="0.25">
      <c r="A655" s="1" t="s">
        <v>1683</v>
      </c>
      <c r="B655" s="1" t="s">
        <v>861</v>
      </c>
      <c r="C655" s="1">
        <v>6</v>
      </c>
      <c r="D655" s="1">
        <v>5</v>
      </c>
      <c r="E655" s="1">
        <v>5</v>
      </c>
      <c r="F655" s="1">
        <v>6</v>
      </c>
      <c r="G655" s="1">
        <v>5</v>
      </c>
      <c r="H655" s="1">
        <v>6</v>
      </c>
      <c r="I655" s="1">
        <v>5</v>
      </c>
      <c r="J655" s="1">
        <v>5</v>
      </c>
      <c r="K655" s="1">
        <v>7</v>
      </c>
      <c r="L655" s="1">
        <v>5</v>
      </c>
      <c r="M655" s="1">
        <v>22</v>
      </c>
      <c r="N655" s="1">
        <v>21</v>
      </c>
      <c r="O655" s="1">
        <v>12</v>
      </c>
      <c r="P655" s="1">
        <v>55</v>
      </c>
      <c r="Q655" s="7">
        <v>0.70710678118654757</v>
      </c>
      <c r="R655" s="7">
        <f t="shared" si="100"/>
        <v>23.196700507614214</v>
      </c>
      <c r="S655" s="7">
        <f t="shared" si="101"/>
        <v>6.4306002317777482</v>
      </c>
      <c r="T655" s="7">
        <f t="shared" si="102"/>
        <v>22.771573604060915</v>
      </c>
      <c r="U655" s="7">
        <f t="shared" si="103"/>
        <v>6.5356886776680962</v>
      </c>
      <c r="V655" s="7">
        <f t="shared" si="104"/>
        <v>11.434010152284264</v>
      </c>
      <c r="W655" s="7">
        <f t="shared" si="105"/>
        <v>3.5019632409825281</v>
      </c>
      <c r="X655" s="7">
        <f t="shared" si="106"/>
        <v>-0.18609468237514495</v>
      </c>
      <c r="Y655" s="7">
        <f t="shared" si="107"/>
        <v>-0.27106150421672232</v>
      </c>
      <c r="Z655" s="7">
        <f t="shared" si="108"/>
        <v>0.16162072779408701</v>
      </c>
      <c r="AA655" s="7">
        <f t="shared" si="109"/>
        <v>-9.85118195992601E-2</v>
      </c>
    </row>
    <row r="656" spans="1:27" x14ac:dyDescent="0.25">
      <c r="A656" s="1" t="s">
        <v>1683</v>
      </c>
      <c r="B656" s="1" t="s">
        <v>861</v>
      </c>
      <c r="C656" s="1">
        <v>6</v>
      </c>
      <c r="D656" s="1">
        <v>6</v>
      </c>
      <c r="E656" s="1">
        <v>7</v>
      </c>
      <c r="F656" s="1">
        <v>6</v>
      </c>
      <c r="G656" s="1">
        <v>5</v>
      </c>
      <c r="H656" s="1">
        <v>5</v>
      </c>
      <c r="I656" s="1">
        <v>6</v>
      </c>
      <c r="J656" s="1">
        <v>6</v>
      </c>
      <c r="K656" s="1">
        <v>5</v>
      </c>
      <c r="L656" s="1">
        <v>5</v>
      </c>
      <c r="M656" s="1">
        <v>25</v>
      </c>
      <c r="N656" s="1">
        <v>22</v>
      </c>
      <c r="O656" s="1">
        <v>10</v>
      </c>
      <c r="P656" s="1">
        <v>57</v>
      </c>
      <c r="Q656" s="7">
        <v>0.67494855771055284</v>
      </c>
      <c r="R656" s="7">
        <f t="shared" si="100"/>
        <v>23.196700507614214</v>
      </c>
      <c r="S656" s="7">
        <f t="shared" si="101"/>
        <v>6.4306002317777482</v>
      </c>
      <c r="T656" s="7">
        <f t="shared" si="102"/>
        <v>22.771573604060915</v>
      </c>
      <c r="U656" s="7">
        <f t="shared" si="103"/>
        <v>6.5356886776680962</v>
      </c>
      <c r="V656" s="7">
        <f t="shared" si="104"/>
        <v>11.434010152284264</v>
      </c>
      <c r="W656" s="7">
        <f t="shared" si="105"/>
        <v>3.5019632409825281</v>
      </c>
      <c r="X656" s="7">
        <f t="shared" si="106"/>
        <v>0.28042475467134764</v>
      </c>
      <c r="Y656" s="7">
        <f t="shared" si="107"/>
        <v>-0.11805544023192505</v>
      </c>
      <c r="Z656" s="7">
        <f t="shared" si="108"/>
        <v>-0.40948749418681252</v>
      </c>
      <c r="AA656" s="7">
        <f t="shared" si="109"/>
        <v>-8.2372726582463307E-2</v>
      </c>
    </row>
    <row r="657" spans="1:27" x14ac:dyDescent="0.25">
      <c r="A657" s="1" t="s">
        <v>1683</v>
      </c>
      <c r="B657" s="1" t="s">
        <v>861</v>
      </c>
      <c r="C657" s="1">
        <v>7</v>
      </c>
      <c r="D657" s="1">
        <v>6</v>
      </c>
      <c r="E657" s="1">
        <v>6</v>
      </c>
      <c r="F657" s="1">
        <v>6</v>
      </c>
      <c r="G657" s="1">
        <v>7</v>
      </c>
      <c r="H657" s="1">
        <v>6</v>
      </c>
      <c r="I657" s="1">
        <v>6</v>
      </c>
      <c r="J657" s="1">
        <v>6</v>
      </c>
      <c r="K657" s="1">
        <v>5</v>
      </c>
      <c r="L657" s="1">
        <v>5</v>
      </c>
      <c r="M657" s="1">
        <v>25</v>
      </c>
      <c r="N657" s="1">
        <v>25</v>
      </c>
      <c r="O657" s="1">
        <v>10</v>
      </c>
      <c r="P657" s="1">
        <v>60</v>
      </c>
      <c r="Q657" s="7">
        <v>0.66666666666666685</v>
      </c>
      <c r="R657" s="7">
        <f t="shared" si="100"/>
        <v>23.196700507614214</v>
      </c>
      <c r="S657" s="7">
        <f t="shared" si="101"/>
        <v>6.4306002317777482</v>
      </c>
      <c r="T657" s="7">
        <f t="shared" si="102"/>
        <v>22.771573604060915</v>
      </c>
      <c r="U657" s="7">
        <f t="shared" si="103"/>
        <v>6.5356886776680962</v>
      </c>
      <c r="V657" s="7">
        <f t="shared" si="104"/>
        <v>11.434010152284264</v>
      </c>
      <c r="W657" s="7">
        <f t="shared" si="105"/>
        <v>3.5019632409825281</v>
      </c>
      <c r="X657" s="7">
        <f t="shared" si="106"/>
        <v>0.28042475467134764</v>
      </c>
      <c r="Y657" s="7">
        <f t="shared" si="107"/>
        <v>0.34096275172246687</v>
      </c>
      <c r="Z657" s="7">
        <f t="shared" si="108"/>
        <v>-0.40948749418681252</v>
      </c>
      <c r="AA657" s="7">
        <f t="shared" si="109"/>
        <v>7.0633337402334018E-2</v>
      </c>
    </row>
    <row r="658" spans="1:27" x14ac:dyDescent="0.25">
      <c r="A658" s="1" t="s">
        <v>1683</v>
      </c>
      <c r="B658" s="1" t="s">
        <v>861</v>
      </c>
      <c r="C658" s="1">
        <v>7</v>
      </c>
      <c r="D658" s="1">
        <v>7</v>
      </c>
      <c r="E658" s="1">
        <v>5</v>
      </c>
      <c r="F658" s="1">
        <v>7</v>
      </c>
      <c r="G658" s="1">
        <v>6</v>
      </c>
      <c r="H658" s="1">
        <v>6</v>
      </c>
      <c r="I658" s="1">
        <v>6</v>
      </c>
      <c r="J658" s="1">
        <v>5</v>
      </c>
      <c r="K658" s="1">
        <v>5</v>
      </c>
      <c r="L658" s="1">
        <v>5</v>
      </c>
      <c r="M658" s="1">
        <v>26</v>
      </c>
      <c r="N658" s="1">
        <v>23</v>
      </c>
      <c r="O658" s="1">
        <v>10</v>
      </c>
      <c r="P658" s="1">
        <v>59</v>
      </c>
      <c r="Q658" s="7">
        <v>0.87559503577091347</v>
      </c>
      <c r="R658" s="7">
        <f t="shared" si="100"/>
        <v>23.196700507614214</v>
      </c>
      <c r="S658" s="7">
        <f t="shared" si="101"/>
        <v>6.4306002317777482</v>
      </c>
      <c r="T658" s="7">
        <f t="shared" si="102"/>
        <v>22.771573604060915</v>
      </c>
      <c r="U658" s="7">
        <f t="shared" si="103"/>
        <v>6.5356886776680962</v>
      </c>
      <c r="V658" s="7">
        <f t="shared" si="104"/>
        <v>11.434010152284264</v>
      </c>
      <c r="W658" s="7">
        <f t="shared" si="105"/>
        <v>3.5019632409825281</v>
      </c>
      <c r="X658" s="7">
        <f t="shared" si="106"/>
        <v>0.43593123368684517</v>
      </c>
      <c r="Y658" s="7">
        <f t="shared" si="107"/>
        <v>3.4950623752872265E-2</v>
      </c>
      <c r="Z658" s="7">
        <f t="shared" si="108"/>
        <v>-0.40948749418681252</v>
      </c>
      <c r="AA658" s="7">
        <f t="shared" si="109"/>
        <v>2.046478775096831E-2</v>
      </c>
    </row>
    <row r="659" spans="1:27" x14ac:dyDescent="0.25">
      <c r="A659" s="1" t="s">
        <v>1683</v>
      </c>
      <c r="B659" s="1" t="s">
        <v>861</v>
      </c>
      <c r="C659" s="1">
        <v>6</v>
      </c>
      <c r="D659" s="1">
        <v>6</v>
      </c>
      <c r="E659" s="1">
        <v>5</v>
      </c>
      <c r="F659" s="1">
        <v>6</v>
      </c>
      <c r="G659" s="1">
        <v>5</v>
      </c>
      <c r="H659" s="1">
        <v>5</v>
      </c>
      <c r="I659" s="1">
        <v>5</v>
      </c>
      <c r="J659" s="1">
        <v>6</v>
      </c>
      <c r="K659" s="1">
        <v>5</v>
      </c>
      <c r="L659" s="1">
        <v>6</v>
      </c>
      <c r="M659" s="1">
        <v>23</v>
      </c>
      <c r="N659" s="1">
        <v>21</v>
      </c>
      <c r="O659" s="1">
        <v>11</v>
      </c>
      <c r="P659" s="1">
        <v>55</v>
      </c>
      <c r="Q659" s="7">
        <v>0.52704627669472992</v>
      </c>
      <c r="R659" s="7">
        <f t="shared" si="100"/>
        <v>23.196700507614214</v>
      </c>
      <c r="S659" s="7">
        <f t="shared" si="101"/>
        <v>6.4306002317777482</v>
      </c>
      <c r="T659" s="7">
        <f t="shared" si="102"/>
        <v>22.771573604060915</v>
      </c>
      <c r="U659" s="7">
        <f t="shared" si="103"/>
        <v>6.5356886776680962</v>
      </c>
      <c r="V659" s="7">
        <f t="shared" si="104"/>
        <v>11.434010152284264</v>
      </c>
      <c r="W659" s="7">
        <f t="shared" si="105"/>
        <v>3.5019632409825281</v>
      </c>
      <c r="X659" s="7">
        <f t="shared" si="106"/>
        <v>-3.0588203359647428E-2</v>
      </c>
      <c r="Y659" s="7">
        <f t="shared" si="107"/>
        <v>-0.27106150421672232</v>
      </c>
      <c r="Z659" s="7">
        <f t="shared" si="108"/>
        <v>-0.12393338319636275</v>
      </c>
      <c r="AA659" s="7">
        <f t="shared" si="109"/>
        <v>-0.14186103025757749</v>
      </c>
    </row>
    <row r="660" spans="1:27" x14ac:dyDescent="0.25">
      <c r="A660" s="1" t="s">
        <v>1683</v>
      </c>
      <c r="B660" s="1" t="s">
        <v>861</v>
      </c>
      <c r="C660" s="1">
        <v>8</v>
      </c>
      <c r="D660" s="1">
        <v>8</v>
      </c>
      <c r="E660" s="1">
        <v>7</v>
      </c>
      <c r="F660" s="1">
        <v>8</v>
      </c>
      <c r="G660" s="1">
        <v>7</v>
      </c>
      <c r="H660" s="1">
        <v>7</v>
      </c>
      <c r="I660" s="1">
        <v>7</v>
      </c>
      <c r="J660" s="1">
        <v>8</v>
      </c>
      <c r="K660" s="1">
        <v>7</v>
      </c>
      <c r="L660" s="1">
        <v>8</v>
      </c>
      <c r="M660" s="1">
        <v>31</v>
      </c>
      <c r="N660" s="1">
        <v>29</v>
      </c>
      <c r="O660" s="1">
        <v>15</v>
      </c>
      <c r="P660" s="1">
        <v>75</v>
      </c>
      <c r="Q660" s="7">
        <v>0.52704627669472992</v>
      </c>
      <c r="R660" s="7">
        <f t="shared" si="100"/>
        <v>23.196700507614214</v>
      </c>
      <c r="S660" s="7">
        <f t="shared" si="101"/>
        <v>6.4306002317777482</v>
      </c>
      <c r="T660" s="7">
        <f t="shared" si="102"/>
        <v>22.771573604060915</v>
      </c>
      <c r="U660" s="7">
        <f t="shared" si="103"/>
        <v>6.5356886776680962</v>
      </c>
      <c r="V660" s="7">
        <f t="shared" si="104"/>
        <v>11.434010152284264</v>
      </c>
      <c r="W660" s="7">
        <f t="shared" si="105"/>
        <v>3.5019632409825281</v>
      </c>
      <c r="X660" s="7">
        <f t="shared" si="106"/>
        <v>1.2134636287643328</v>
      </c>
      <c r="Y660" s="7">
        <f t="shared" si="107"/>
        <v>0.95298700766165612</v>
      </c>
      <c r="Z660" s="7">
        <f t="shared" si="108"/>
        <v>1.0182830607654363</v>
      </c>
      <c r="AA660" s="7">
        <f t="shared" si="109"/>
        <v>1.0615778990638083</v>
      </c>
    </row>
    <row r="661" spans="1:27" x14ac:dyDescent="0.25">
      <c r="A661" s="1" t="s">
        <v>1683</v>
      </c>
      <c r="B661" s="1" t="s">
        <v>861</v>
      </c>
      <c r="C661" s="1">
        <v>7</v>
      </c>
      <c r="D661" s="1">
        <v>5</v>
      </c>
      <c r="E661" s="1">
        <v>6</v>
      </c>
      <c r="F661" s="1">
        <v>7</v>
      </c>
      <c r="G661" s="1">
        <v>6</v>
      </c>
      <c r="H661" s="1">
        <v>6</v>
      </c>
      <c r="I661" s="1">
        <v>5</v>
      </c>
      <c r="J661" s="1">
        <v>6</v>
      </c>
      <c r="K661" s="1">
        <v>6</v>
      </c>
      <c r="L661" s="1">
        <v>5</v>
      </c>
      <c r="M661" s="1">
        <v>25</v>
      </c>
      <c r="N661" s="1">
        <v>23</v>
      </c>
      <c r="O661" s="1">
        <v>11</v>
      </c>
      <c r="P661" s="1">
        <v>59</v>
      </c>
      <c r="Q661" s="7">
        <v>0.73786478737262184</v>
      </c>
      <c r="R661" s="7">
        <f t="shared" si="100"/>
        <v>23.196700507614214</v>
      </c>
      <c r="S661" s="7">
        <f t="shared" si="101"/>
        <v>6.4306002317777482</v>
      </c>
      <c r="T661" s="7">
        <f t="shared" si="102"/>
        <v>22.771573604060915</v>
      </c>
      <c r="U661" s="7">
        <f t="shared" si="103"/>
        <v>6.5356886776680962</v>
      </c>
      <c r="V661" s="7">
        <f t="shared" si="104"/>
        <v>11.434010152284264</v>
      </c>
      <c r="W661" s="7">
        <f t="shared" si="105"/>
        <v>3.5019632409825281</v>
      </c>
      <c r="X661" s="7">
        <f t="shared" si="106"/>
        <v>0.28042475467134764</v>
      </c>
      <c r="Y661" s="7">
        <f t="shared" si="107"/>
        <v>3.4950623752872265E-2</v>
      </c>
      <c r="Z661" s="7">
        <f t="shared" si="108"/>
        <v>-0.12393338319636275</v>
      </c>
      <c r="AA661" s="7">
        <f t="shared" si="109"/>
        <v>6.3813998409285713E-2</v>
      </c>
    </row>
    <row r="662" spans="1:27" x14ac:dyDescent="0.25">
      <c r="A662" s="1" t="s">
        <v>1683</v>
      </c>
      <c r="B662" s="1" t="s">
        <v>861</v>
      </c>
      <c r="C662" s="1">
        <v>6</v>
      </c>
      <c r="D662" s="1">
        <v>7</v>
      </c>
      <c r="E662" s="1">
        <v>7</v>
      </c>
      <c r="F662" s="1">
        <v>6</v>
      </c>
      <c r="G662" s="1">
        <v>5</v>
      </c>
      <c r="H662" s="1">
        <v>6</v>
      </c>
      <c r="I662" s="1">
        <v>6</v>
      </c>
      <c r="J662" s="1">
        <v>6</v>
      </c>
      <c r="K662" s="1">
        <v>7</v>
      </c>
      <c r="L662" s="1">
        <v>7</v>
      </c>
      <c r="M662" s="1">
        <v>26</v>
      </c>
      <c r="N662" s="1">
        <v>23</v>
      </c>
      <c r="O662" s="1">
        <v>14</v>
      </c>
      <c r="P662" s="1">
        <v>63</v>
      </c>
      <c r="Q662" s="7">
        <v>0.67494855771055284</v>
      </c>
      <c r="R662" s="7">
        <f t="shared" si="100"/>
        <v>23.196700507614214</v>
      </c>
      <c r="S662" s="7">
        <f t="shared" si="101"/>
        <v>6.4306002317777482</v>
      </c>
      <c r="T662" s="7">
        <f t="shared" si="102"/>
        <v>22.771573604060915</v>
      </c>
      <c r="U662" s="7">
        <f t="shared" si="103"/>
        <v>6.5356886776680962</v>
      </c>
      <c r="V662" s="7">
        <f t="shared" si="104"/>
        <v>11.434010152284264</v>
      </c>
      <c r="W662" s="7">
        <f t="shared" si="105"/>
        <v>3.5019632409825281</v>
      </c>
      <c r="X662" s="7">
        <f t="shared" si="106"/>
        <v>0.43593123368684517</v>
      </c>
      <c r="Y662" s="7">
        <f t="shared" si="107"/>
        <v>3.4950623752872265E-2</v>
      </c>
      <c r="Z662" s="7">
        <f t="shared" si="108"/>
        <v>0.73272894977498659</v>
      </c>
      <c r="AA662" s="7">
        <f t="shared" si="109"/>
        <v>0.40120360240490133</v>
      </c>
    </row>
    <row r="663" spans="1:27" x14ac:dyDescent="0.25">
      <c r="A663" s="1" t="s">
        <v>1683</v>
      </c>
      <c r="B663" s="1" t="s">
        <v>861</v>
      </c>
      <c r="C663" s="1">
        <v>7</v>
      </c>
      <c r="D663" s="1">
        <v>6</v>
      </c>
      <c r="E663" s="1">
        <v>6</v>
      </c>
      <c r="F663" s="1">
        <v>6</v>
      </c>
      <c r="G663" s="1">
        <v>7</v>
      </c>
      <c r="H663" s="1">
        <v>7</v>
      </c>
      <c r="I663" s="1">
        <v>6</v>
      </c>
      <c r="J663" s="1">
        <v>6</v>
      </c>
      <c r="K663" s="1">
        <v>6</v>
      </c>
      <c r="L663" s="1">
        <v>7</v>
      </c>
      <c r="M663" s="1">
        <v>25</v>
      </c>
      <c r="N663" s="1">
        <v>26</v>
      </c>
      <c r="O663" s="1">
        <v>13</v>
      </c>
      <c r="P663" s="1">
        <v>64</v>
      </c>
      <c r="Q663" s="7">
        <v>0.5163977794943222</v>
      </c>
      <c r="R663" s="7">
        <f t="shared" si="100"/>
        <v>23.196700507614214</v>
      </c>
      <c r="S663" s="7">
        <f t="shared" si="101"/>
        <v>6.4306002317777482</v>
      </c>
      <c r="T663" s="7">
        <f t="shared" si="102"/>
        <v>22.771573604060915</v>
      </c>
      <c r="U663" s="7">
        <f t="shared" si="103"/>
        <v>6.5356886776680962</v>
      </c>
      <c r="V663" s="7">
        <f t="shared" si="104"/>
        <v>11.434010152284264</v>
      </c>
      <c r="W663" s="7">
        <f t="shared" si="105"/>
        <v>3.5019632409825281</v>
      </c>
      <c r="X663" s="7">
        <f t="shared" si="106"/>
        <v>0.28042475467134764</v>
      </c>
      <c r="Y663" s="7">
        <f t="shared" si="107"/>
        <v>0.49396881570726414</v>
      </c>
      <c r="Z663" s="7">
        <f t="shared" si="108"/>
        <v>0.44717483878453679</v>
      </c>
      <c r="AA663" s="7">
        <f t="shared" si="109"/>
        <v>0.40718946972104958</v>
      </c>
    </row>
    <row r="664" spans="1:27" x14ac:dyDescent="0.25">
      <c r="A664" s="1" t="s">
        <v>1684</v>
      </c>
      <c r="B664" s="1" t="s">
        <v>861</v>
      </c>
      <c r="C664" s="1">
        <v>4</v>
      </c>
      <c r="D664" s="1">
        <v>3</v>
      </c>
      <c r="E664" s="1">
        <v>5</v>
      </c>
      <c r="F664" s="1">
        <v>2</v>
      </c>
      <c r="G664" s="1">
        <v>4</v>
      </c>
      <c r="H664" s="1">
        <v>5</v>
      </c>
      <c r="I664" s="1">
        <v>5</v>
      </c>
      <c r="J664" s="1">
        <v>5</v>
      </c>
      <c r="K664" s="1">
        <v>3</v>
      </c>
      <c r="L664" s="1">
        <v>5</v>
      </c>
      <c r="M664" s="1">
        <v>14</v>
      </c>
      <c r="N664" s="1">
        <v>19</v>
      </c>
      <c r="O664" s="1">
        <v>8</v>
      </c>
      <c r="P664" s="1">
        <v>41</v>
      </c>
      <c r="Q664" s="7">
        <v>1.1005049346146119</v>
      </c>
      <c r="R664" s="7">
        <f t="shared" si="100"/>
        <v>23.196700507614214</v>
      </c>
      <c r="S664" s="7">
        <f t="shared" si="101"/>
        <v>6.4306002317777482</v>
      </c>
      <c r="T664" s="7">
        <f t="shared" si="102"/>
        <v>22.771573604060915</v>
      </c>
      <c r="U664" s="7">
        <f t="shared" si="103"/>
        <v>6.5356886776680962</v>
      </c>
      <c r="V664" s="7">
        <f t="shared" si="104"/>
        <v>11.434010152284264</v>
      </c>
      <c r="W664" s="7">
        <f t="shared" si="105"/>
        <v>3.5019632409825281</v>
      </c>
      <c r="X664" s="7">
        <f t="shared" si="106"/>
        <v>-1.4301465144991252</v>
      </c>
      <c r="Y664" s="7">
        <f t="shared" si="107"/>
        <v>-0.57707363218631691</v>
      </c>
      <c r="Z664" s="7">
        <f t="shared" si="108"/>
        <v>-0.98059571616771202</v>
      </c>
      <c r="AA664" s="7">
        <f t="shared" si="109"/>
        <v>-0.99593862095105135</v>
      </c>
    </row>
    <row r="665" spans="1:27" x14ac:dyDescent="0.25">
      <c r="A665" s="1" t="s">
        <v>1684</v>
      </c>
      <c r="B665" s="1" t="s">
        <v>861</v>
      </c>
      <c r="C665" s="1">
        <v>3</v>
      </c>
      <c r="D665" s="1">
        <v>2</v>
      </c>
      <c r="E665" s="1">
        <v>3</v>
      </c>
      <c r="F665" s="1">
        <v>2</v>
      </c>
      <c r="G665" s="1">
        <v>3</v>
      </c>
      <c r="H665" s="1">
        <v>2</v>
      </c>
      <c r="I665" s="1">
        <v>3</v>
      </c>
      <c r="J665" s="1">
        <v>3</v>
      </c>
      <c r="K665" s="1">
        <v>2</v>
      </c>
      <c r="L665" s="1">
        <v>6</v>
      </c>
      <c r="M665" s="1">
        <v>10</v>
      </c>
      <c r="N665" s="1">
        <v>11</v>
      </c>
      <c r="O665" s="1">
        <v>8</v>
      </c>
      <c r="P665" s="1">
        <v>29</v>
      </c>
      <c r="Q665" s="7">
        <v>1.1972189997378648</v>
      </c>
      <c r="R665" s="7">
        <f t="shared" si="100"/>
        <v>23.196700507614214</v>
      </c>
      <c r="S665" s="7">
        <f t="shared" si="101"/>
        <v>6.4306002317777482</v>
      </c>
      <c r="T665" s="7">
        <f t="shared" si="102"/>
        <v>22.771573604060915</v>
      </c>
      <c r="U665" s="7">
        <f t="shared" si="103"/>
        <v>6.5356886776680962</v>
      </c>
      <c r="V665" s="7">
        <f t="shared" si="104"/>
        <v>11.434010152284264</v>
      </c>
      <c r="W665" s="7">
        <f t="shared" si="105"/>
        <v>3.5019632409825281</v>
      </c>
      <c r="X665" s="7">
        <f t="shared" si="106"/>
        <v>-2.0521724305611153</v>
      </c>
      <c r="Y665" s="7">
        <f t="shared" si="107"/>
        <v>-1.8011221440646954</v>
      </c>
      <c r="Z665" s="7">
        <f t="shared" si="108"/>
        <v>-0.98059571616771202</v>
      </c>
      <c r="AA665" s="7">
        <f t="shared" si="109"/>
        <v>-1.611296763597841</v>
      </c>
    </row>
    <row r="666" spans="1:27" x14ac:dyDescent="0.25">
      <c r="A666" s="1" t="s">
        <v>1684</v>
      </c>
      <c r="B666" s="1" t="s">
        <v>861</v>
      </c>
      <c r="C666" s="1">
        <v>2</v>
      </c>
      <c r="D666" s="1">
        <v>3</v>
      </c>
      <c r="E666" s="1">
        <v>1</v>
      </c>
      <c r="F666" s="1">
        <v>2</v>
      </c>
      <c r="G666" s="1">
        <v>2</v>
      </c>
      <c r="H666" s="1">
        <v>3</v>
      </c>
      <c r="I666" s="1">
        <v>2</v>
      </c>
      <c r="J666" s="1">
        <v>2</v>
      </c>
      <c r="K666" s="1">
        <v>2</v>
      </c>
      <c r="L666" s="1">
        <v>5</v>
      </c>
      <c r="M666" s="1">
        <v>8</v>
      </c>
      <c r="N666" s="1">
        <v>9</v>
      </c>
      <c r="O666" s="1">
        <v>7</v>
      </c>
      <c r="P666" s="1">
        <v>24</v>
      </c>
      <c r="Q666" s="7">
        <v>1.0749676997731401</v>
      </c>
      <c r="R666" s="7">
        <f t="shared" si="100"/>
        <v>23.196700507614214</v>
      </c>
      <c r="S666" s="7">
        <f t="shared" si="101"/>
        <v>6.4306002317777482</v>
      </c>
      <c r="T666" s="7">
        <f t="shared" si="102"/>
        <v>22.771573604060915</v>
      </c>
      <c r="U666" s="7">
        <f t="shared" si="103"/>
        <v>6.5356886776680962</v>
      </c>
      <c r="V666" s="7">
        <f t="shared" si="104"/>
        <v>11.434010152284264</v>
      </c>
      <c r="W666" s="7">
        <f t="shared" si="105"/>
        <v>3.5019632409825281</v>
      </c>
      <c r="X666" s="7">
        <f t="shared" si="106"/>
        <v>-2.3631853885921106</v>
      </c>
      <c r="Y666" s="7">
        <f t="shared" si="107"/>
        <v>-2.10713427203429</v>
      </c>
      <c r="Z666" s="7">
        <f t="shared" si="108"/>
        <v>-1.2661498271581617</v>
      </c>
      <c r="AA666" s="7">
        <f t="shared" si="109"/>
        <v>-1.9121564959281876</v>
      </c>
    </row>
    <row r="667" spans="1:27" x14ac:dyDescent="0.25">
      <c r="A667" s="1" t="s">
        <v>1684</v>
      </c>
      <c r="B667" s="1" t="s">
        <v>861</v>
      </c>
      <c r="C667" s="1">
        <v>3</v>
      </c>
      <c r="D667" s="1">
        <v>3</v>
      </c>
      <c r="E667" s="1">
        <v>3</v>
      </c>
      <c r="F667" s="1">
        <v>3</v>
      </c>
      <c r="G667" s="1">
        <v>5</v>
      </c>
      <c r="H667" s="1">
        <v>5</v>
      </c>
      <c r="I667" s="1">
        <v>4</v>
      </c>
      <c r="J667" s="1">
        <v>7</v>
      </c>
      <c r="K667" s="1">
        <v>7</v>
      </c>
      <c r="L667" s="1">
        <v>6</v>
      </c>
      <c r="M667" s="1">
        <v>12</v>
      </c>
      <c r="N667" s="1">
        <v>21</v>
      </c>
      <c r="O667" s="1">
        <v>13</v>
      </c>
      <c r="P667" s="1">
        <v>46</v>
      </c>
      <c r="Q667" s="7">
        <v>1.6465452046971292</v>
      </c>
      <c r="R667" s="7">
        <f t="shared" si="100"/>
        <v>23.196700507614214</v>
      </c>
      <c r="S667" s="7">
        <f t="shared" si="101"/>
        <v>6.4306002317777482</v>
      </c>
      <c r="T667" s="7">
        <f t="shared" si="102"/>
        <v>22.771573604060915</v>
      </c>
      <c r="U667" s="7">
        <f t="shared" si="103"/>
        <v>6.5356886776680962</v>
      </c>
      <c r="V667" s="7">
        <f t="shared" si="104"/>
        <v>11.434010152284264</v>
      </c>
      <c r="W667" s="7">
        <f t="shared" si="105"/>
        <v>3.5019632409825281</v>
      </c>
      <c r="X667" s="7">
        <f t="shared" si="106"/>
        <v>-1.7411594725301203</v>
      </c>
      <c r="Y667" s="7">
        <f t="shared" si="107"/>
        <v>-0.27106150421672232</v>
      </c>
      <c r="Z667" s="7">
        <f t="shared" si="108"/>
        <v>0.44717483878453679</v>
      </c>
      <c r="AA667" s="7">
        <f t="shared" si="109"/>
        <v>-0.52168204598743528</v>
      </c>
    </row>
    <row r="668" spans="1:27" x14ac:dyDescent="0.25">
      <c r="A668" s="1" t="s">
        <v>1684</v>
      </c>
      <c r="B668" s="1" t="s">
        <v>861</v>
      </c>
      <c r="C668" s="1">
        <v>1</v>
      </c>
      <c r="D668" s="1">
        <v>1</v>
      </c>
      <c r="E668" s="1">
        <v>2</v>
      </c>
      <c r="F668" s="1">
        <v>2</v>
      </c>
      <c r="G668" s="1">
        <v>4</v>
      </c>
      <c r="H668" s="1">
        <v>2</v>
      </c>
      <c r="I668" s="1">
        <v>2</v>
      </c>
      <c r="J668" s="1">
        <v>3</v>
      </c>
      <c r="K668" s="1">
        <v>3</v>
      </c>
      <c r="L668" s="1">
        <v>6</v>
      </c>
      <c r="M668" s="1">
        <v>6</v>
      </c>
      <c r="N668" s="1">
        <v>11</v>
      </c>
      <c r="O668" s="1">
        <v>9</v>
      </c>
      <c r="P668" s="1">
        <v>26</v>
      </c>
      <c r="Q668" s="7">
        <v>1.505545305418162</v>
      </c>
      <c r="R668" s="7">
        <f t="shared" si="100"/>
        <v>23.196700507614214</v>
      </c>
      <c r="S668" s="7">
        <f t="shared" si="101"/>
        <v>6.4306002317777482</v>
      </c>
      <c r="T668" s="7">
        <f t="shared" si="102"/>
        <v>22.771573604060915</v>
      </c>
      <c r="U668" s="7">
        <f t="shared" si="103"/>
        <v>6.5356886776680962</v>
      </c>
      <c r="V668" s="7">
        <f t="shared" si="104"/>
        <v>11.434010152284264</v>
      </c>
      <c r="W668" s="7">
        <f t="shared" si="105"/>
        <v>3.5019632409825281</v>
      </c>
      <c r="X668" s="7">
        <f t="shared" si="106"/>
        <v>-2.6741983466231054</v>
      </c>
      <c r="Y668" s="7">
        <f t="shared" si="107"/>
        <v>-1.8011221440646954</v>
      </c>
      <c r="Z668" s="7">
        <f t="shared" si="108"/>
        <v>-0.69504160517726232</v>
      </c>
      <c r="AA668" s="7">
        <f t="shared" si="109"/>
        <v>-1.7234540319550209</v>
      </c>
    </row>
    <row r="669" spans="1:27" x14ac:dyDescent="0.25">
      <c r="A669" s="1" t="s">
        <v>1684</v>
      </c>
      <c r="B669" s="1" t="s">
        <v>861</v>
      </c>
      <c r="C669" s="1">
        <v>5</v>
      </c>
      <c r="D669" s="1">
        <v>5</v>
      </c>
      <c r="E669" s="1">
        <v>5</v>
      </c>
      <c r="F669" s="1">
        <v>6</v>
      </c>
      <c r="G669" s="1">
        <v>6</v>
      </c>
      <c r="H669" s="1">
        <v>7</v>
      </c>
      <c r="I669" s="1">
        <v>6</v>
      </c>
      <c r="J669" s="1">
        <v>5</v>
      </c>
      <c r="K669" s="1">
        <v>5</v>
      </c>
      <c r="L669" s="1">
        <v>5</v>
      </c>
      <c r="M669" s="1">
        <v>21</v>
      </c>
      <c r="N669" s="1">
        <v>24</v>
      </c>
      <c r="O669" s="1">
        <v>10</v>
      </c>
      <c r="P669" s="1">
        <v>55</v>
      </c>
      <c r="Q669" s="7">
        <v>0.70710678118654735</v>
      </c>
      <c r="R669" s="7">
        <f t="shared" si="100"/>
        <v>23.196700507614214</v>
      </c>
      <c r="S669" s="7">
        <f t="shared" si="101"/>
        <v>6.4306002317777482</v>
      </c>
      <c r="T669" s="7">
        <f t="shared" si="102"/>
        <v>22.771573604060915</v>
      </c>
      <c r="U669" s="7">
        <f t="shared" si="103"/>
        <v>6.5356886776680962</v>
      </c>
      <c r="V669" s="7">
        <f t="shared" si="104"/>
        <v>11.434010152284264</v>
      </c>
      <c r="W669" s="7">
        <f t="shared" si="105"/>
        <v>3.5019632409825281</v>
      </c>
      <c r="X669" s="7">
        <f t="shared" si="106"/>
        <v>-0.3416011613906425</v>
      </c>
      <c r="Y669" s="7">
        <f t="shared" si="107"/>
        <v>0.18795668773766958</v>
      </c>
      <c r="Z669" s="7">
        <f t="shared" si="108"/>
        <v>-0.40948749418681252</v>
      </c>
      <c r="AA669" s="7">
        <f t="shared" si="109"/>
        <v>-0.18771065594659517</v>
      </c>
    </row>
    <row r="670" spans="1:27" x14ac:dyDescent="0.25">
      <c r="A670" s="1" t="s">
        <v>1684</v>
      </c>
      <c r="B670" s="1" t="s">
        <v>861</v>
      </c>
      <c r="C670" s="1">
        <v>1</v>
      </c>
      <c r="D670" s="1">
        <v>2</v>
      </c>
      <c r="E670" s="1">
        <v>2</v>
      </c>
      <c r="F670" s="1">
        <v>1</v>
      </c>
      <c r="G670" s="1">
        <v>5</v>
      </c>
      <c r="H670" s="1">
        <v>5</v>
      </c>
      <c r="I670" s="1">
        <v>3</v>
      </c>
      <c r="J670" s="1">
        <v>3</v>
      </c>
      <c r="K670" s="1">
        <v>3</v>
      </c>
      <c r="L670" s="1">
        <v>3</v>
      </c>
      <c r="M670" s="1">
        <v>6</v>
      </c>
      <c r="N670" s="1">
        <v>16</v>
      </c>
      <c r="O670" s="1">
        <v>6</v>
      </c>
      <c r="P670" s="1">
        <v>28</v>
      </c>
      <c r="Q670" s="7">
        <v>1.3984117975602022</v>
      </c>
      <c r="R670" s="7">
        <f t="shared" si="100"/>
        <v>23.196700507614214</v>
      </c>
      <c r="S670" s="7">
        <f t="shared" si="101"/>
        <v>6.4306002317777482</v>
      </c>
      <c r="T670" s="7">
        <f t="shared" si="102"/>
        <v>22.771573604060915</v>
      </c>
      <c r="U670" s="7">
        <f t="shared" si="103"/>
        <v>6.5356886776680962</v>
      </c>
      <c r="V670" s="7">
        <f t="shared" si="104"/>
        <v>11.434010152284264</v>
      </c>
      <c r="W670" s="7">
        <f t="shared" si="105"/>
        <v>3.5019632409825281</v>
      </c>
      <c r="X670" s="7">
        <f t="shared" si="106"/>
        <v>-2.6741983466231054</v>
      </c>
      <c r="Y670" s="7">
        <f t="shared" si="107"/>
        <v>-1.0360918241407089</v>
      </c>
      <c r="Z670" s="7">
        <f t="shared" si="108"/>
        <v>-1.5517039381486115</v>
      </c>
      <c r="AA670" s="7">
        <f t="shared" si="109"/>
        <v>-1.7539980363041419</v>
      </c>
    </row>
    <row r="671" spans="1:27" x14ac:dyDescent="0.25">
      <c r="A671" s="1" t="s">
        <v>1684</v>
      </c>
      <c r="B671" s="1" t="s">
        <v>861</v>
      </c>
      <c r="C671" s="1">
        <v>1</v>
      </c>
      <c r="D671" s="1">
        <v>2</v>
      </c>
      <c r="E671" s="1">
        <v>2</v>
      </c>
      <c r="F671" s="1">
        <v>1</v>
      </c>
      <c r="G671" s="1">
        <v>5</v>
      </c>
      <c r="H671" s="1">
        <v>5</v>
      </c>
      <c r="I671" s="1">
        <v>3</v>
      </c>
      <c r="J671" s="1">
        <v>3</v>
      </c>
      <c r="K671" s="1">
        <v>5</v>
      </c>
      <c r="L671" s="1">
        <v>3</v>
      </c>
      <c r="M671" s="1">
        <v>6</v>
      </c>
      <c r="N671" s="1">
        <v>16</v>
      </c>
      <c r="O671" s="1">
        <v>8</v>
      </c>
      <c r="P671" s="1">
        <v>30</v>
      </c>
      <c r="Q671" s="7">
        <v>1.5634719199411433</v>
      </c>
      <c r="R671" s="7">
        <f t="shared" si="100"/>
        <v>23.196700507614214</v>
      </c>
      <c r="S671" s="7">
        <f t="shared" si="101"/>
        <v>6.4306002317777482</v>
      </c>
      <c r="T671" s="7">
        <f t="shared" si="102"/>
        <v>22.771573604060915</v>
      </c>
      <c r="U671" s="7">
        <f t="shared" si="103"/>
        <v>6.5356886776680962</v>
      </c>
      <c r="V671" s="7">
        <f t="shared" si="104"/>
        <v>11.434010152284264</v>
      </c>
      <c r="W671" s="7">
        <f t="shared" si="105"/>
        <v>3.5019632409825281</v>
      </c>
      <c r="X671" s="7">
        <f t="shared" si="106"/>
        <v>-2.6741983466231054</v>
      </c>
      <c r="Y671" s="7">
        <f t="shared" si="107"/>
        <v>-1.0360918241407089</v>
      </c>
      <c r="Z671" s="7">
        <f t="shared" si="108"/>
        <v>-0.98059571616771202</v>
      </c>
      <c r="AA671" s="7">
        <f t="shared" si="109"/>
        <v>-1.5636286289771755</v>
      </c>
    </row>
    <row r="672" spans="1:27" x14ac:dyDescent="0.25">
      <c r="A672" s="1" t="s">
        <v>1684</v>
      </c>
      <c r="B672" s="1" t="s">
        <v>861</v>
      </c>
      <c r="C672" s="1">
        <v>4</v>
      </c>
      <c r="D672" s="1">
        <v>5</v>
      </c>
      <c r="E672" s="1">
        <v>3</v>
      </c>
      <c r="F672" s="1">
        <v>4</v>
      </c>
      <c r="G672" s="1">
        <v>5</v>
      </c>
      <c r="H672" s="1">
        <v>5</v>
      </c>
      <c r="I672" s="1">
        <v>5</v>
      </c>
      <c r="J672" s="1">
        <v>4</v>
      </c>
      <c r="K672" s="1">
        <v>4</v>
      </c>
      <c r="L672" s="1">
        <v>3</v>
      </c>
      <c r="M672" s="1">
        <v>16</v>
      </c>
      <c r="N672" s="1">
        <v>19</v>
      </c>
      <c r="O672" s="1">
        <v>7</v>
      </c>
      <c r="P672" s="1">
        <v>42</v>
      </c>
      <c r="Q672" s="7">
        <v>0.78881063774661531</v>
      </c>
      <c r="R672" s="7">
        <f t="shared" si="100"/>
        <v>23.196700507614214</v>
      </c>
      <c r="S672" s="7">
        <f t="shared" si="101"/>
        <v>6.4306002317777482</v>
      </c>
      <c r="T672" s="7">
        <f t="shared" si="102"/>
        <v>22.771573604060915</v>
      </c>
      <c r="U672" s="7">
        <f t="shared" si="103"/>
        <v>6.5356886776680962</v>
      </c>
      <c r="V672" s="7">
        <f t="shared" si="104"/>
        <v>11.434010152284264</v>
      </c>
      <c r="W672" s="7">
        <f t="shared" si="105"/>
        <v>3.5019632409825281</v>
      </c>
      <c r="X672" s="7">
        <f t="shared" si="106"/>
        <v>-1.1191335564681302</v>
      </c>
      <c r="Y672" s="7">
        <f t="shared" si="107"/>
        <v>-0.57707363218631691</v>
      </c>
      <c r="Z672" s="7">
        <f t="shared" si="108"/>
        <v>-1.2661498271581617</v>
      </c>
      <c r="AA672" s="7">
        <f t="shared" si="109"/>
        <v>-0.98745233860420301</v>
      </c>
    </row>
    <row r="673" spans="1:27" x14ac:dyDescent="0.25">
      <c r="A673" s="1" t="s">
        <v>1684</v>
      </c>
      <c r="B673" s="1" t="s">
        <v>861</v>
      </c>
      <c r="C673" s="1">
        <v>5</v>
      </c>
      <c r="D673" s="1">
        <v>5</v>
      </c>
      <c r="E673" s="1">
        <v>5</v>
      </c>
      <c r="F673" s="1">
        <v>6</v>
      </c>
      <c r="G673" s="1">
        <v>6</v>
      </c>
      <c r="H673" s="1">
        <v>6</v>
      </c>
      <c r="I673" s="1">
        <v>6</v>
      </c>
      <c r="J673" s="1">
        <v>6</v>
      </c>
      <c r="K673" s="1">
        <v>5</v>
      </c>
      <c r="L673" s="1">
        <v>5</v>
      </c>
      <c r="M673" s="1">
        <v>21</v>
      </c>
      <c r="N673" s="1">
        <v>24</v>
      </c>
      <c r="O673" s="1">
        <v>10</v>
      </c>
      <c r="P673" s="1">
        <v>55</v>
      </c>
      <c r="Q673" s="7">
        <v>0.52704627669472981</v>
      </c>
      <c r="R673" s="7">
        <f t="shared" si="100"/>
        <v>23.196700507614214</v>
      </c>
      <c r="S673" s="7">
        <f t="shared" si="101"/>
        <v>6.4306002317777482</v>
      </c>
      <c r="T673" s="7">
        <f t="shared" si="102"/>
        <v>22.771573604060915</v>
      </c>
      <c r="U673" s="7">
        <f t="shared" si="103"/>
        <v>6.5356886776680962</v>
      </c>
      <c r="V673" s="7">
        <f t="shared" si="104"/>
        <v>11.434010152284264</v>
      </c>
      <c r="W673" s="7">
        <f t="shared" si="105"/>
        <v>3.5019632409825281</v>
      </c>
      <c r="X673" s="7">
        <f t="shared" si="106"/>
        <v>-0.3416011613906425</v>
      </c>
      <c r="Y673" s="7">
        <f t="shared" si="107"/>
        <v>0.18795668773766958</v>
      </c>
      <c r="Z673" s="7">
        <f t="shared" si="108"/>
        <v>-0.40948749418681252</v>
      </c>
      <c r="AA673" s="7">
        <f t="shared" si="109"/>
        <v>-0.18771065594659517</v>
      </c>
    </row>
    <row r="674" spans="1:27" x14ac:dyDescent="0.25">
      <c r="A674" s="1" t="s">
        <v>1684</v>
      </c>
      <c r="B674" s="1" t="s">
        <v>861</v>
      </c>
      <c r="C674" s="1">
        <v>4</v>
      </c>
      <c r="D674" s="1">
        <v>5</v>
      </c>
      <c r="E674" s="1">
        <v>5</v>
      </c>
      <c r="F674" s="1">
        <v>3</v>
      </c>
      <c r="G674" s="1">
        <v>4</v>
      </c>
      <c r="H674" s="1">
        <v>4</v>
      </c>
      <c r="I674" s="1">
        <v>4</v>
      </c>
      <c r="J674" s="1">
        <v>4</v>
      </c>
      <c r="K674" s="1">
        <v>4</v>
      </c>
      <c r="L674" s="1">
        <v>5</v>
      </c>
      <c r="M674" s="1">
        <v>17</v>
      </c>
      <c r="N674" s="1">
        <v>16</v>
      </c>
      <c r="O674" s="1">
        <v>9</v>
      </c>
      <c r="P674" s="1">
        <v>42</v>
      </c>
      <c r="Q674" s="7">
        <v>0.63245553203367599</v>
      </c>
      <c r="R674" s="7">
        <f t="shared" si="100"/>
        <v>23.196700507614214</v>
      </c>
      <c r="S674" s="7">
        <f t="shared" si="101"/>
        <v>6.4306002317777482</v>
      </c>
      <c r="T674" s="7">
        <f t="shared" si="102"/>
        <v>22.771573604060915</v>
      </c>
      <c r="U674" s="7">
        <f t="shared" si="103"/>
        <v>6.5356886776680962</v>
      </c>
      <c r="V674" s="7">
        <f t="shared" si="104"/>
        <v>11.434010152284264</v>
      </c>
      <c r="W674" s="7">
        <f t="shared" si="105"/>
        <v>3.5019632409825281</v>
      </c>
      <c r="X674" s="7">
        <f t="shared" si="106"/>
        <v>-0.96362707745263265</v>
      </c>
      <c r="Y674" s="7">
        <f t="shared" si="107"/>
        <v>-1.0360918241407089</v>
      </c>
      <c r="Z674" s="7">
        <f t="shared" si="108"/>
        <v>-0.69504160517726232</v>
      </c>
      <c r="AA674" s="7">
        <f t="shared" si="109"/>
        <v>-0.89825350225686795</v>
      </c>
    </row>
    <row r="675" spans="1:27" x14ac:dyDescent="0.25">
      <c r="A675" s="1" t="s">
        <v>1684</v>
      </c>
      <c r="B675" s="1" t="s">
        <v>861</v>
      </c>
      <c r="C675" s="1">
        <v>7</v>
      </c>
      <c r="D675" s="1">
        <v>7</v>
      </c>
      <c r="E675" s="1">
        <v>7</v>
      </c>
      <c r="F675" s="1">
        <v>6</v>
      </c>
      <c r="G675" s="1">
        <v>5</v>
      </c>
      <c r="H675" s="1">
        <v>5</v>
      </c>
      <c r="I675" s="1">
        <v>7</v>
      </c>
      <c r="J675" s="1">
        <v>5</v>
      </c>
      <c r="K675" s="1">
        <v>6</v>
      </c>
      <c r="L675" s="1">
        <v>5</v>
      </c>
      <c r="M675" s="1">
        <v>27</v>
      </c>
      <c r="N675" s="1">
        <v>22</v>
      </c>
      <c r="O675" s="1">
        <v>11</v>
      </c>
      <c r="P675" s="1">
        <v>60</v>
      </c>
      <c r="Q675" s="7">
        <v>0.94280904158206336</v>
      </c>
      <c r="R675" s="7">
        <f t="shared" si="100"/>
        <v>23.196700507614214</v>
      </c>
      <c r="S675" s="7">
        <f t="shared" si="101"/>
        <v>6.4306002317777482</v>
      </c>
      <c r="T675" s="7">
        <f t="shared" si="102"/>
        <v>22.771573604060915</v>
      </c>
      <c r="U675" s="7">
        <f t="shared" si="103"/>
        <v>6.5356886776680962</v>
      </c>
      <c r="V675" s="7">
        <f t="shared" si="104"/>
        <v>11.434010152284264</v>
      </c>
      <c r="W675" s="7">
        <f t="shared" si="105"/>
        <v>3.5019632409825281</v>
      </c>
      <c r="X675" s="7">
        <f t="shared" si="106"/>
        <v>0.59143771270234269</v>
      </c>
      <c r="Y675" s="7">
        <f t="shared" si="107"/>
        <v>-0.11805544023192505</v>
      </c>
      <c r="Z675" s="7">
        <f t="shared" si="108"/>
        <v>-0.12393338319636275</v>
      </c>
      <c r="AA675" s="7">
        <f t="shared" si="109"/>
        <v>0.11648296309135163</v>
      </c>
    </row>
    <row r="676" spans="1:27" x14ac:dyDescent="0.25">
      <c r="A676" s="1" t="s">
        <v>1684</v>
      </c>
      <c r="B676" s="1" t="s">
        <v>861</v>
      </c>
      <c r="C676" s="1">
        <v>6</v>
      </c>
      <c r="D676" s="1">
        <v>6</v>
      </c>
      <c r="E676" s="1">
        <v>4</v>
      </c>
      <c r="F676" s="1">
        <v>6</v>
      </c>
      <c r="G676" s="1">
        <v>6</v>
      </c>
      <c r="H676" s="1">
        <v>4</v>
      </c>
      <c r="I676" s="1">
        <v>6</v>
      </c>
      <c r="J676" s="1">
        <v>6</v>
      </c>
      <c r="K676" s="1">
        <v>6</v>
      </c>
      <c r="L676" s="1">
        <v>5</v>
      </c>
      <c r="M676" s="1">
        <v>22</v>
      </c>
      <c r="N676" s="1">
        <v>22</v>
      </c>
      <c r="O676" s="1">
        <v>11</v>
      </c>
      <c r="P676" s="1">
        <v>55</v>
      </c>
      <c r="Q676" s="7">
        <v>0.84983658559879749</v>
      </c>
      <c r="R676" s="7">
        <f t="shared" si="100"/>
        <v>23.196700507614214</v>
      </c>
      <c r="S676" s="7">
        <f t="shared" si="101"/>
        <v>6.4306002317777482</v>
      </c>
      <c r="T676" s="7">
        <f t="shared" si="102"/>
        <v>22.771573604060915</v>
      </c>
      <c r="U676" s="7">
        <f t="shared" si="103"/>
        <v>6.5356886776680962</v>
      </c>
      <c r="V676" s="7">
        <f t="shared" si="104"/>
        <v>11.434010152284264</v>
      </c>
      <c r="W676" s="7">
        <f t="shared" si="105"/>
        <v>3.5019632409825281</v>
      </c>
      <c r="X676" s="7">
        <f t="shared" si="106"/>
        <v>-0.18609468237514495</v>
      </c>
      <c r="Y676" s="7">
        <f t="shared" si="107"/>
        <v>-0.11805544023192505</v>
      </c>
      <c r="Z676" s="7">
        <f t="shared" si="108"/>
        <v>-0.12393338319636275</v>
      </c>
      <c r="AA676" s="7">
        <f t="shared" si="109"/>
        <v>-0.14269450193447758</v>
      </c>
    </row>
    <row r="677" spans="1:27" x14ac:dyDescent="0.25">
      <c r="A677" s="1" t="s">
        <v>1684</v>
      </c>
      <c r="B677" s="1" t="s">
        <v>861</v>
      </c>
      <c r="C677" s="1">
        <v>4</v>
      </c>
      <c r="D677" s="1">
        <v>2</v>
      </c>
      <c r="E677" s="1">
        <v>3</v>
      </c>
      <c r="F677" s="1">
        <v>3</v>
      </c>
      <c r="G677" s="1">
        <v>6</v>
      </c>
      <c r="H677" s="1">
        <v>4</v>
      </c>
      <c r="I677" s="1">
        <v>3</v>
      </c>
      <c r="J677" s="1">
        <v>5</v>
      </c>
      <c r="K677" s="1">
        <v>4</v>
      </c>
      <c r="L677" s="1">
        <v>4</v>
      </c>
      <c r="M677" s="1">
        <v>12</v>
      </c>
      <c r="N677" s="1">
        <v>18</v>
      </c>
      <c r="O677" s="1">
        <v>8</v>
      </c>
      <c r="P677" s="1">
        <v>38</v>
      </c>
      <c r="Q677" s="7">
        <v>1.1352924243950933</v>
      </c>
      <c r="R677" s="7">
        <f t="shared" si="100"/>
        <v>23.196700507614214</v>
      </c>
      <c r="S677" s="7">
        <f t="shared" si="101"/>
        <v>6.4306002317777482</v>
      </c>
      <c r="T677" s="7">
        <f t="shared" si="102"/>
        <v>22.771573604060915</v>
      </c>
      <c r="U677" s="7">
        <f t="shared" si="103"/>
        <v>6.5356886776680962</v>
      </c>
      <c r="V677" s="7">
        <f t="shared" si="104"/>
        <v>11.434010152284264</v>
      </c>
      <c r="W677" s="7">
        <f t="shared" si="105"/>
        <v>3.5019632409825281</v>
      </c>
      <c r="X677" s="7">
        <f t="shared" si="106"/>
        <v>-1.7411594725301203</v>
      </c>
      <c r="Y677" s="7">
        <f t="shared" si="107"/>
        <v>-0.73007969617111423</v>
      </c>
      <c r="Z677" s="7">
        <f t="shared" si="108"/>
        <v>-0.98059571616771202</v>
      </c>
      <c r="AA677" s="7">
        <f t="shared" si="109"/>
        <v>-1.1506116282896488</v>
      </c>
    </row>
    <row r="678" spans="1:27" x14ac:dyDescent="0.25">
      <c r="A678" s="1" t="s">
        <v>1685</v>
      </c>
      <c r="B678" s="1" t="s">
        <v>861</v>
      </c>
      <c r="C678" s="1">
        <v>8</v>
      </c>
      <c r="D678" s="1">
        <v>5</v>
      </c>
      <c r="E678" s="1">
        <v>5</v>
      </c>
      <c r="F678" s="1">
        <v>8</v>
      </c>
      <c r="G678" s="1">
        <v>6</v>
      </c>
      <c r="H678" s="1">
        <v>7</v>
      </c>
      <c r="I678" s="1">
        <v>7</v>
      </c>
      <c r="J678" s="1">
        <v>8</v>
      </c>
      <c r="K678" s="1">
        <v>7</v>
      </c>
      <c r="L678" s="1">
        <v>8</v>
      </c>
      <c r="M678" s="1">
        <v>26</v>
      </c>
      <c r="N678" s="1">
        <v>28</v>
      </c>
      <c r="O678" s="1">
        <v>15</v>
      </c>
      <c r="P678" s="1">
        <v>69</v>
      </c>
      <c r="Q678" s="7">
        <v>1.1972189997378648</v>
      </c>
      <c r="R678" s="7">
        <f t="shared" si="100"/>
        <v>23.196700507614214</v>
      </c>
      <c r="S678" s="7">
        <f t="shared" si="101"/>
        <v>6.4306002317777482</v>
      </c>
      <c r="T678" s="7">
        <f t="shared" si="102"/>
        <v>22.771573604060915</v>
      </c>
      <c r="U678" s="7">
        <f t="shared" si="103"/>
        <v>6.5356886776680962</v>
      </c>
      <c r="V678" s="7">
        <f t="shared" si="104"/>
        <v>11.434010152284264</v>
      </c>
      <c r="W678" s="7">
        <f t="shared" si="105"/>
        <v>3.5019632409825281</v>
      </c>
      <c r="X678" s="7">
        <f t="shared" si="106"/>
        <v>0.43593123368684517</v>
      </c>
      <c r="Y678" s="7">
        <f t="shared" si="107"/>
        <v>0.79998094367685879</v>
      </c>
      <c r="Z678" s="7">
        <f t="shared" si="108"/>
        <v>1.0182830607654363</v>
      </c>
      <c r="AA678" s="7">
        <f t="shared" si="109"/>
        <v>0.75139841270971353</v>
      </c>
    </row>
    <row r="679" spans="1:27" x14ac:dyDescent="0.25">
      <c r="A679" s="1" t="s">
        <v>1685</v>
      </c>
      <c r="B679" s="1" t="s">
        <v>861</v>
      </c>
      <c r="C679" s="1">
        <v>6</v>
      </c>
      <c r="D679" s="1">
        <v>4</v>
      </c>
      <c r="E679" s="1">
        <v>5</v>
      </c>
      <c r="F679" s="1">
        <v>2</v>
      </c>
      <c r="G679" s="1">
        <v>4</v>
      </c>
      <c r="H679" s="1">
        <v>2</v>
      </c>
      <c r="I679" s="1">
        <v>4</v>
      </c>
      <c r="J679" s="1">
        <v>3</v>
      </c>
      <c r="K679" s="1">
        <v>4</v>
      </c>
      <c r="L679" s="1">
        <v>4</v>
      </c>
      <c r="M679" s="1">
        <v>17</v>
      </c>
      <c r="N679" s="1">
        <v>13</v>
      </c>
      <c r="O679" s="1">
        <v>8</v>
      </c>
      <c r="P679" s="1">
        <v>38</v>
      </c>
      <c r="Q679" s="7">
        <v>1.2292725943057183</v>
      </c>
      <c r="R679" s="7">
        <f t="shared" si="100"/>
        <v>23.196700507614214</v>
      </c>
      <c r="S679" s="7">
        <f t="shared" si="101"/>
        <v>6.4306002317777482</v>
      </c>
      <c r="T679" s="7">
        <f t="shared" si="102"/>
        <v>22.771573604060915</v>
      </c>
      <c r="U679" s="7">
        <f t="shared" si="103"/>
        <v>6.5356886776680962</v>
      </c>
      <c r="V679" s="7">
        <f t="shared" si="104"/>
        <v>11.434010152284264</v>
      </c>
      <c r="W679" s="7">
        <f t="shared" si="105"/>
        <v>3.5019632409825281</v>
      </c>
      <c r="X679" s="7">
        <f t="shared" si="106"/>
        <v>-0.96362707745263265</v>
      </c>
      <c r="Y679" s="7">
        <f t="shared" si="107"/>
        <v>-1.4951100160951007</v>
      </c>
      <c r="Z679" s="7">
        <f t="shared" si="108"/>
        <v>-0.98059571616771202</v>
      </c>
      <c r="AA679" s="7">
        <f t="shared" si="109"/>
        <v>-1.1464442699051485</v>
      </c>
    </row>
    <row r="680" spans="1:27" x14ac:dyDescent="0.25">
      <c r="A680" s="1" t="s">
        <v>1685</v>
      </c>
      <c r="B680" s="1" t="s">
        <v>861</v>
      </c>
      <c r="C680" s="1">
        <v>7</v>
      </c>
      <c r="D680" s="1">
        <v>5</v>
      </c>
      <c r="E680" s="1">
        <v>5</v>
      </c>
      <c r="F680" s="1">
        <v>5</v>
      </c>
      <c r="G680" s="1">
        <v>7</v>
      </c>
      <c r="H680" s="1">
        <v>7</v>
      </c>
      <c r="I680" s="1">
        <v>7</v>
      </c>
      <c r="J680" s="1">
        <v>5</v>
      </c>
      <c r="K680" s="1">
        <v>6</v>
      </c>
      <c r="L680" s="1">
        <v>5</v>
      </c>
      <c r="M680" s="1">
        <v>22</v>
      </c>
      <c r="N680" s="1">
        <v>26</v>
      </c>
      <c r="O680" s="1">
        <v>11</v>
      </c>
      <c r="P680" s="1">
        <v>59</v>
      </c>
      <c r="Q680" s="7">
        <v>0.99442892601175326</v>
      </c>
      <c r="R680" s="7">
        <f t="shared" si="100"/>
        <v>23.196700507614214</v>
      </c>
      <c r="S680" s="7">
        <f t="shared" si="101"/>
        <v>6.4306002317777482</v>
      </c>
      <c r="T680" s="7">
        <f t="shared" si="102"/>
        <v>22.771573604060915</v>
      </c>
      <c r="U680" s="7">
        <f t="shared" si="103"/>
        <v>6.5356886776680962</v>
      </c>
      <c r="V680" s="7">
        <f t="shared" si="104"/>
        <v>11.434010152284264</v>
      </c>
      <c r="W680" s="7">
        <f t="shared" si="105"/>
        <v>3.5019632409825281</v>
      </c>
      <c r="X680" s="7">
        <f t="shared" si="106"/>
        <v>-0.18609468237514495</v>
      </c>
      <c r="Y680" s="7">
        <f t="shared" si="107"/>
        <v>0.49396881570726414</v>
      </c>
      <c r="Z680" s="7">
        <f t="shared" si="108"/>
        <v>-0.12393338319636275</v>
      </c>
      <c r="AA680" s="7">
        <f t="shared" si="109"/>
        <v>6.131358337858548E-2</v>
      </c>
    </row>
    <row r="681" spans="1:27" x14ac:dyDescent="0.25">
      <c r="A681" s="1" t="s">
        <v>1685</v>
      </c>
      <c r="B681" s="1" t="s">
        <v>861</v>
      </c>
      <c r="C681" s="1">
        <v>4</v>
      </c>
      <c r="D681" s="1">
        <v>3</v>
      </c>
      <c r="E681" s="1">
        <v>4</v>
      </c>
      <c r="F681" s="1">
        <v>3</v>
      </c>
      <c r="G681" s="1">
        <v>3</v>
      </c>
      <c r="H681" s="1">
        <v>4</v>
      </c>
      <c r="I681" s="1">
        <v>3</v>
      </c>
      <c r="J681" s="1">
        <v>3</v>
      </c>
      <c r="K681" s="1">
        <v>3</v>
      </c>
      <c r="L681" s="1">
        <v>3</v>
      </c>
      <c r="M681" s="1">
        <v>14</v>
      </c>
      <c r="N681" s="1">
        <v>13</v>
      </c>
      <c r="O681" s="1">
        <v>6</v>
      </c>
      <c r="P681" s="1">
        <v>33</v>
      </c>
      <c r="Q681" s="7">
        <v>0.48304589153964794</v>
      </c>
      <c r="R681" s="7">
        <f t="shared" si="100"/>
        <v>23.196700507614214</v>
      </c>
      <c r="S681" s="7">
        <f t="shared" si="101"/>
        <v>6.4306002317777482</v>
      </c>
      <c r="T681" s="7">
        <f t="shared" si="102"/>
        <v>22.771573604060915</v>
      </c>
      <c r="U681" s="7">
        <f t="shared" si="103"/>
        <v>6.5356886776680962</v>
      </c>
      <c r="V681" s="7">
        <f t="shared" si="104"/>
        <v>11.434010152284264</v>
      </c>
      <c r="W681" s="7">
        <f t="shared" si="105"/>
        <v>3.5019632409825281</v>
      </c>
      <c r="X681" s="7">
        <f t="shared" si="106"/>
        <v>-1.4301465144991252</v>
      </c>
      <c r="Y681" s="7">
        <f t="shared" si="107"/>
        <v>-1.4951100160951007</v>
      </c>
      <c r="Z681" s="7">
        <f t="shared" si="108"/>
        <v>-1.5517039381486115</v>
      </c>
      <c r="AA681" s="7">
        <f t="shared" si="109"/>
        <v>-1.4923201562476125</v>
      </c>
    </row>
    <row r="682" spans="1:27" x14ac:dyDescent="0.25">
      <c r="A682" s="1" t="s">
        <v>1685</v>
      </c>
      <c r="B682" s="1" t="s">
        <v>861</v>
      </c>
      <c r="C682" s="1">
        <v>8</v>
      </c>
      <c r="D682" s="1">
        <v>6</v>
      </c>
      <c r="E682" s="1">
        <v>6</v>
      </c>
      <c r="F682" s="1">
        <v>6</v>
      </c>
      <c r="G682" s="1">
        <v>5</v>
      </c>
      <c r="H682" s="1">
        <v>5</v>
      </c>
      <c r="I682" s="1">
        <v>6</v>
      </c>
      <c r="J682" s="1">
        <v>7</v>
      </c>
      <c r="K682" s="1">
        <v>6</v>
      </c>
      <c r="L682" s="1">
        <v>7</v>
      </c>
      <c r="M682" s="1">
        <v>26</v>
      </c>
      <c r="N682" s="1">
        <v>23</v>
      </c>
      <c r="O682" s="1">
        <v>13</v>
      </c>
      <c r="P682" s="1">
        <v>62</v>
      </c>
      <c r="Q682" s="7">
        <v>0.91893658347268148</v>
      </c>
      <c r="R682" s="7">
        <f t="shared" si="100"/>
        <v>23.196700507614214</v>
      </c>
      <c r="S682" s="7">
        <f t="shared" si="101"/>
        <v>6.4306002317777482</v>
      </c>
      <c r="T682" s="7">
        <f t="shared" si="102"/>
        <v>22.771573604060915</v>
      </c>
      <c r="U682" s="7">
        <f t="shared" si="103"/>
        <v>6.5356886776680962</v>
      </c>
      <c r="V682" s="7">
        <f t="shared" si="104"/>
        <v>11.434010152284264</v>
      </c>
      <c r="W682" s="7">
        <f t="shared" si="105"/>
        <v>3.5019632409825281</v>
      </c>
      <c r="X682" s="7">
        <f t="shared" si="106"/>
        <v>0.43593123368684517</v>
      </c>
      <c r="Y682" s="7">
        <f t="shared" si="107"/>
        <v>3.4950623752872265E-2</v>
      </c>
      <c r="Z682" s="7">
        <f t="shared" si="108"/>
        <v>0.44717483878453679</v>
      </c>
      <c r="AA682" s="7">
        <f t="shared" si="109"/>
        <v>0.30601889874141808</v>
      </c>
    </row>
    <row r="683" spans="1:27" x14ac:dyDescent="0.25">
      <c r="A683" s="1" t="s">
        <v>1685</v>
      </c>
      <c r="B683" s="1" t="s">
        <v>861</v>
      </c>
      <c r="C683" s="1">
        <v>7</v>
      </c>
      <c r="D683" s="1">
        <v>3</v>
      </c>
      <c r="E683" s="1">
        <v>5</v>
      </c>
      <c r="F683" s="1">
        <v>5</v>
      </c>
      <c r="G683" s="1">
        <v>5</v>
      </c>
      <c r="H683" s="1">
        <v>4</v>
      </c>
      <c r="I683" s="1">
        <v>5</v>
      </c>
      <c r="J683" s="1">
        <v>5</v>
      </c>
      <c r="K683" s="1">
        <v>4</v>
      </c>
      <c r="L683" s="1">
        <v>4</v>
      </c>
      <c r="M683" s="1">
        <v>20</v>
      </c>
      <c r="N683" s="1">
        <v>19</v>
      </c>
      <c r="O683" s="1">
        <v>8</v>
      </c>
      <c r="P683" s="1">
        <v>47</v>
      </c>
      <c r="Q683" s="7">
        <v>1.0593499054713802</v>
      </c>
      <c r="R683" s="7">
        <f t="shared" si="100"/>
        <v>23.196700507614214</v>
      </c>
      <c r="S683" s="7">
        <f t="shared" si="101"/>
        <v>6.4306002317777482</v>
      </c>
      <c r="T683" s="7">
        <f t="shared" si="102"/>
        <v>22.771573604060915</v>
      </c>
      <c r="U683" s="7">
        <f t="shared" si="103"/>
        <v>6.5356886776680962</v>
      </c>
      <c r="V683" s="7">
        <f t="shared" si="104"/>
        <v>11.434010152284264</v>
      </c>
      <c r="W683" s="7">
        <f t="shared" si="105"/>
        <v>3.5019632409825281</v>
      </c>
      <c r="X683" s="7">
        <f t="shared" si="106"/>
        <v>-0.49710764040614003</v>
      </c>
      <c r="Y683" s="7">
        <f t="shared" si="107"/>
        <v>-0.57707363218631691</v>
      </c>
      <c r="Z683" s="7">
        <f t="shared" si="108"/>
        <v>-0.98059571616771202</v>
      </c>
      <c r="AA683" s="7">
        <f t="shared" si="109"/>
        <v>-0.6849256629200563</v>
      </c>
    </row>
    <row r="684" spans="1:27" x14ac:dyDescent="0.25">
      <c r="A684" s="1" t="s">
        <v>1685</v>
      </c>
      <c r="B684" s="1" t="s">
        <v>861</v>
      </c>
      <c r="C684" s="1">
        <v>5</v>
      </c>
      <c r="D684" s="1">
        <v>5</v>
      </c>
      <c r="E684" s="1">
        <v>4</v>
      </c>
      <c r="F684" s="1">
        <v>5</v>
      </c>
      <c r="G684" s="1">
        <v>5</v>
      </c>
      <c r="H684" s="1">
        <v>4</v>
      </c>
      <c r="I684" s="1">
        <v>6</v>
      </c>
      <c r="J684" s="1">
        <v>5</v>
      </c>
      <c r="K684" s="1">
        <v>6</v>
      </c>
      <c r="L684" s="1">
        <v>4</v>
      </c>
      <c r="M684" s="1">
        <v>19</v>
      </c>
      <c r="N684" s="1">
        <v>20</v>
      </c>
      <c r="O684" s="1">
        <v>10</v>
      </c>
      <c r="P684" s="1">
        <v>49</v>
      </c>
      <c r="Q684" s="7">
        <v>0.73786478737262196</v>
      </c>
      <c r="R684" s="7">
        <f t="shared" si="100"/>
        <v>23.196700507614214</v>
      </c>
      <c r="S684" s="7">
        <f t="shared" si="101"/>
        <v>6.4306002317777482</v>
      </c>
      <c r="T684" s="7">
        <f t="shared" si="102"/>
        <v>22.771573604060915</v>
      </c>
      <c r="U684" s="7">
        <f t="shared" si="103"/>
        <v>6.5356886776680962</v>
      </c>
      <c r="V684" s="7">
        <f t="shared" si="104"/>
        <v>11.434010152284264</v>
      </c>
      <c r="W684" s="7">
        <f t="shared" si="105"/>
        <v>3.5019632409825281</v>
      </c>
      <c r="X684" s="7">
        <f t="shared" si="106"/>
        <v>-0.65261411942163761</v>
      </c>
      <c r="Y684" s="7">
        <f t="shared" si="107"/>
        <v>-0.42406756820151964</v>
      </c>
      <c r="Z684" s="7">
        <f t="shared" si="108"/>
        <v>-0.40948749418681252</v>
      </c>
      <c r="AA684" s="7">
        <f t="shared" si="109"/>
        <v>-0.49538972726998992</v>
      </c>
    </row>
    <row r="685" spans="1:27" x14ac:dyDescent="0.25">
      <c r="A685" s="1" t="s">
        <v>1685</v>
      </c>
      <c r="B685" s="1" t="s">
        <v>861</v>
      </c>
      <c r="C685" s="1">
        <v>6</v>
      </c>
      <c r="D685" s="1">
        <v>5</v>
      </c>
      <c r="E685" s="1">
        <v>5</v>
      </c>
      <c r="F685" s="1">
        <v>5</v>
      </c>
      <c r="G685" s="1">
        <v>6</v>
      </c>
      <c r="H685" s="1">
        <v>4</v>
      </c>
      <c r="I685" s="1">
        <v>6</v>
      </c>
      <c r="J685" s="1">
        <v>5</v>
      </c>
      <c r="K685" s="1">
        <v>4</v>
      </c>
      <c r="L685" s="1">
        <v>5</v>
      </c>
      <c r="M685" s="1">
        <v>21</v>
      </c>
      <c r="N685" s="1">
        <v>21</v>
      </c>
      <c r="O685" s="1">
        <v>9</v>
      </c>
      <c r="P685" s="1">
        <v>51</v>
      </c>
      <c r="Q685" s="7">
        <v>0.73786478737262184</v>
      </c>
      <c r="R685" s="7">
        <f t="shared" si="100"/>
        <v>23.196700507614214</v>
      </c>
      <c r="S685" s="7">
        <f t="shared" si="101"/>
        <v>6.4306002317777482</v>
      </c>
      <c r="T685" s="7">
        <f t="shared" si="102"/>
        <v>22.771573604060915</v>
      </c>
      <c r="U685" s="7">
        <f t="shared" si="103"/>
        <v>6.5356886776680962</v>
      </c>
      <c r="V685" s="7">
        <f t="shared" si="104"/>
        <v>11.434010152284264</v>
      </c>
      <c r="W685" s="7">
        <f t="shared" si="105"/>
        <v>3.5019632409825281</v>
      </c>
      <c r="X685" s="7">
        <f t="shared" si="106"/>
        <v>-0.3416011613906425</v>
      </c>
      <c r="Y685" s="7">
        <f t="shared" si="107"/>
        <v>-0.27106150421672232</v>
      </c>
      <c r="Z685" s="7">
        <f t="shared" si="108"/>
        <v>-0.69504160517726232</v>
      </c>
      <c r="AA685" s="7">
        <f t="shared" si="109"/>
        <v>-0.43590142359487571</v>
      </c>
    </row>
    <row r="686" spans="1:27" x14ac:dyDescent="0.25">
      <c r="A686" s="1" t="s">
        <v>1685</v>
      </c>
      <c r="B686" s="1" t="s">
        <v>861</v>
      </c>
      <c r="C686" s="1">
        <v>6</v>
      </c>
      <c r="D686" s="1">
        <v>6</v>
      </c>
      <c r="E686" s="1">
        <v>6</v>
      </c>
      <c r="F686" s="1">
        <v>5</v>
      </c>
      <c r="G686" s="1">
        <v>6</v>
      </c>
      <c r="H686" s="1">
        <v>6</v>
      </c>
      <c r="I686" s="1">
        <v>7</v>
      </c>
      <c r="J686" s="1">
        <v>6</v>
      </c>
      <c r="K686" s="1">
        <v>6</v>
      </c>
      <c r="L686" s="1">
        <v>6</v>
      </c>
      <c r="M686" s="1">
        <v>23</v>
      </c>
      <c r="N686" s="1">
        <v>25</v>
      </c>
      <c r="O686" s="1">
        <v>12</v>
      </c>
      <c r="P686" s="1">
        <v>60</v>
      </c>
      <c r="Q686" s="7">
        <v>0.47140452079103173</v>
      </c>
      <c r="R686" s="7">
        <f t="shared" si="100"/>
        <v>23.196700507614214</v>
      </c>
      <c r="S686" s="7">
        <f t="shared" si="101"/>
        <v>6.4306002317777482</v>
      </c>
      <c r="T686" s="7">
        <f t="shared" si="102"/>
        <v>22.771573604060915</v>
      </c>
      <c r="U686" s="7">
        <f t="shared" si="103"/>
        <v>6.5356886776680962</v>
      </c>
      <c r="V686" s="7">
        <f t="shared" si="104"/>
        <v>11.434010152284264</v>
      </c>
      <c r="W686" s="7">
        <f t="shared" si="105"/>
        <v>3.5019632409825281</v>
      </c>
      <c r="X686" s="7">
        <f t="shared" si="106"/>
        <v>-3.0588203359647428E-2</v>
      </c>
      <c r="Y686" s="7">
        <f t="shared" si="107"/>
        <v>0.34096275172246687</v>
      </c>
      <c r="Z686" s="7">
        <f t="shared" si="108"/>
        <v>0.16162072779408701</v>
      </c>
      <c r="AA686" s="7">
        <f t="shared" si="109"/>
        <v>0.15733175871896884</v>
      </c>
    </row>
    <row r="687" spans="1:27" x14ac:dyDescent="0.25">
      <c r="A687" s="1" t="s">
        <v>1685</v>
      </c>
      <c r="B687" s="1" t="s">
        <v>861</v>
      </c>
      <c r="C687" s="1">
        <v>4</v>
      </c>
      <c r="D687" s="1">
        <v>4</v>
      </c>
      <c r="E687" s="1">
        <v>5</v>
      </c>
      <c r="F687" s="1">
        <v>3</v>
      </c>
      <c r="G687" s="1">
        <v>5</v>
      </c>
      <c r="H687" s="1">
        <v>6</v>
      </c>
      <c r="I687" s="1">
        <v>4</v>
      </c>
      <c r="J687" s="1">
        <v>3</v>
      </c>
      <c r="K687" s="1">
        <v>5</v>
      </c>
      <c r="L687" s="1">
        <v>4</v>
      </c>
      <c r="M687" s="1">
        <v>16</v>
      </c>
      <c r="N687" s="1">
        <v>18</v>
      </c>
      <c r="O687" s="1">
        <v>9</v>
      </c>
      <c r="P687" s="1">
        <v>43</v>
      </c>
      <c r="Q687" s="7">
        <v>0.94868329805051377</v>
      </c>
      <c r="R687" s="7">
        <f t="shared" si="100"/>
        <v>23.196700507614214</v>
      </c>
      <c r="S687" s="7">
        <f t="shared" si="101"/>
        <v>6.4306002317777482</v>
      </c>
      <c r="T687" s="7">
        <f t="shared" si="102"/>
        <v>22.771573604060915</v>
      </c>
      <c r="U687" s="7">
        <f t="shared" si="103"/>
        <v>6.5356886776680962</v>
      </c>
      <c r="V687" s="7">
        <f t="shared" si="104"/>
        <v>11.434010152284264</v>
      </c>
      <c r="W687" s="7">
        <f t="shared" si="105"/>
        <v>3.5019632409825281</v>
      </c>
      <c r="X687" s="7">
        <f t="shared" si="106"/>
        <v>-1.1191335564681302</v>
      </c>
      <c r="Y687" s="7">
        <f t="shared" si="107"/>
        <v>-0.73007969617111423</v>
      </c>
      <c r="Z687" s="7">
        <f t="shared" si="108"/>
        <v>-0.69504160517726232</v>
      </c>
      <c r="AA687" s="7">
        <f t="shared" si="109"/>
        <v>-0.84808495260550221</v>
      </c>
    </row>
    <row r="688" spans="1:27" x14ac:dyDescent="0.25">
      <c r="A688" s="1" t="s">
        <v>1685</v>
      </c>
      <c r="B688" s="1" t="s">
        <v>861</v>
      </c>
      <c r="C688" s="1">
        <v>7</v>
      </c>
      <c r="D688" s="1">
        <v>7</v>
      </c>
      <c r="E688" s="1">
        <v>8</v>
      </c>
      <c r="F688" s="1">
        <v>8</v>
      </c>
      <c r="G688" s="1">
        <v>7</v>
      </c>
      <c r="H688" s="1">
        <v>8</v>
      </c>
      <c r="I688" s="1">
        <v>7</v>
      </c>
      <c r="J688" s="1">
        <v>8</v>
      </c>
      <c r="K688" s="1">
        <v>8</v>
      </c>
      <c r="L688" s="1">
        <v>7</v>
      </c>
      <c r="M688" s="1">
        <v>30</v>
      </c>
      <c r="N688" s="1">
        <v>30</v>
      </c>
      <c r="O688" s="1">
        <v>15</v>
      </c>
      <c r="P688" s="1">
        <v>75</v>
      </c>
      <c r="Q688" s="7">
        <v>0.52704627669472992</v>
      </c>
      <c r="R688" s="7">
        <f t="shared" si="100"/>
        <v>23.196700507614214</v>
      </c>
      <c r="S688" s="7">
        <f t="shared" si="101"/>
        <v>6.4306002317777482</v>
      </c>
      <c r="T688" s="7">
        <f t="shared" si="102"/>
        <v>22.771573604060915</v>
      </c>
      <c r="U688" s="7">
        <f t="shared" si="103"/>
        <v>6.5356886776680962</v>
      </c>
      <c r="V688" s="7">
        <f t="shared" si="104"/>
        <v>11.434010152284264</v>
      </c>
      <c r="W688" s="7">
        <f t="shared" si="105"/>
        <v>3.5019632409825281</v>
      </c>
      <c r="X688" s="7">
        <f t="shared" si="106"/>
        <v>1.0579571497488354</v>
      </c>
      <c r="Y688" s="7">
        <f t="shared" si="107"/>
        <v>1.1059930716464534</v>
      </c>
      <c r="Z688" s="7">
        <f t="shared" si="108"/>
        <v>1.0182830607654363</v>
      </c>
      <c r="AA688" s="7">
        <f t="shared" si="109"/>
        <v>1.0607444273869084</v>
      </c>
    </row>
    <row r="689" spans="1:27" x14ac:dyDescent="0.25">
      <c r="A689" s="1" t="s">
        <v>1685</v>
      </c>
      <c r="B689" s="1" t="s">
        <v>861</v>
      </c>
      <c r="C689" s="1">
        <v>5</v>
      </c>
      <c r="D689" s="1">
        <v>6</v>
      </c>
      <c r="E689" s="1">
        <v>5</v>
      </c>
      <c r="F689" s="1">
        <v>4</v>
      </c>
      <c r="G689" s="1">
        <v>5</v>
      </c>
      <c r="H689" s="1">
        <v>4</v>
      </c>
      <c r="I689" s="1">
        <v>5</v>
      </c>
      <c r="J689" s="1">
        <v>5</v>
      </c>
      <c r="K689" s="1">
        <v>5</v>
      </c>
      <c r="L689" s="1">
        <v>4</v>
      </c>
      <c r="M689" s="1">
        <v>20</v>
      </c>
      <c r="N689" s="1">
        <v>19</v>
      </c>
      <c r="O689" s="1">
        <v>9</v>
      </c>
      <c r="P689" s="1">
        <v>48</v>
      </c>
      <c r="Q689" s="7">
        <v>0.63245553203367588</v>
      </c>
      <c r="R689" s="7">
        <f t="shared" si="100"/>
        <v>23.196700507614214</v>
      </c>
      <c r="S689" s="7">
        <f t="shared" si="101"/>
        <v>6.4306002317777482</v>
      </c>
      <c r="T689" s="7">
        <f t="shared" si="102"/>
        <v>22.771573604060915</v>
      </c>
      <c r="U689" s="7">
        <f t="shared" si="103"/>
        <v>6.5356886776680962</v>
      </c>
      <c r="V689" s="7">
        <f t="shared" si="104"/>
        <v>11.434010152284264</v>
      </c>
      <c r="W689" s="7">
        <f t="shared" si="105"/>
        <v>3.5019632409825281</v>
      </c>
      <c r="X689" s="7">
        <f t="shared" si="106"/>
        <v>-0.49710764040614003</v>
      </c>
      <c r="Y689" s="7">
        <f t="shared" si="107"/>
        <v>-0.57707363218631691</v>
      </c>
      <c r="Z689" s="7">
        <f t="shared" si="108"/>
        <v>-0.69504160517726232</v>
      </c>
      <c r="AA689" s="7">
        <f t="shared" si="109"/>
        <v>-0.58974095925657311</v>
      </c>
    </row>
    <row r="690" spans="1:27" x14ac:dyDescent="0.25">
      <c r="A690" s="1" t="s">
        <v>1685</v>
      </c>
      <c r="B690" s="1" t="s">
        <v>861</v>
      </c>
      <c r="C690" s="1">
        <v>7</v>
      </c>
      <c r="D690" s="1">
        <v>8</v>
      </c>
      <c r="E690" s="1">
        <v>8</v>
      </c>
      <c r="F690" s="1">
        <v>8</v>
      </c>
      <c r="G690" s="1">
        <v>7</v>
      </c>
      <c r="H690" s="1">
        <v>7</v>
      </c>
      <c r="I690" s="1">
        <v>8</v>
      </c>
      <c r="J690" s="1">
        <v>7</v>
      </c>
      <c r="K690" s="1">
        <v>8</v>
      </c>
      <c r="L690" s="1">
        <v>7</v>
      </c>
      <c r="M690" s="1">
        <v>31</v>
      </c>
      <c r="N690" s="1">
        <v>29</v>
      </c>
      <c r="O690" s="1">
        <v>15</v>
      </c>
      <c r="P690" s="1">
        <v>75</v>
      </c>
      <c r="Q690" s="7">
        <v>0.52704627669472981</v>
      </c>
      <c r="R690" s="7">
        <f t="shared" si="100"/>
        <v>23.196700507614214</v>
      </c>
      <c r="S690" s="7">
        <f t="shared" si="101"/>
        <v>6.4306002317777482</v>
      </c>
      <c r="T690" s="7">
        <f t="shared" si="102"/>
        <v>22.771573604060915</v>
      </c>
      <c r="U690" s="7">
        <f t="shared" si="103"/>
        <v>6.5356886776680962</v>
      </c>
      <c r="V690" s="7">
        <f t="shared" si="104"/>
        <v>11.434010152284264</v>
      </c>
      <c r="W690" s="7">
        <f t="shared" si="105"/>
        <v>3.5019632409825281</v>
      </c>
      <c r="X690" s="7">
        <f t="shared" si="106"/>
        <v>1.2134636287643328</v>
      </c>
      <c r="Y690" s="7">
        <f t="shared" si="107"/>
        <v>0.95298700766165612</v>
      </c>
      <c r="Z690" s="7">
        <f t="shared" si="108"/>
        <v>1.0182830607654363</v>
      </c>
      <c r="AA690" s="7">
        <f t="shared" si="109"/>
        <v>1.0615778990638083</v>
      </c>
    </row>
    <row r="691" spans="1:27" x14ac:dyDescent="0.25">
      <c r="A691" s="1" t="s">
        <v>1685</v>
      </c>
      <c r="B691" s="1" t="s">
        <v>861</v>
      </c>
      <c r="C691" s="1">
        <v>5</v>
      </c>
      <c r="D691" s="1">
        <v>6</v>
      </c>
      <c r="E691" s="1">
        <v>5</v>
      </c>
      <c r="F691" s="1">
        <v>7</v>
      </c>
      <c r="G691" s="1">
        <v>6</v>
      </c>
      <c r="H691" s="1">
        <v>6</v>
      </c>
      <c r="I691" s="1">
        <v>5</v>
      </c>
      <c r="J691" s="1">
        <v>4</v>
      </c>
      <c r="K691" s="1">
        <v>7</v>
      </c>
      <c r="L691" s="1">
        <v>5</v>
      </c>
      <c r="M691" s="1">
        <v>23</v>
      </c>
      <c r="N691" s="1">
        <v>21</v>
      </c>
      <c r="O691" s="1">
        <v>12</v>
      </c>
      <c r="P691" s="1">
        <v>56</v>
      </c>
      <c r="Q691" s="7">
        <v>0.96609178307929588</v>
      </c>
      <c r="R691" s="7">
        <f t="shared" si="100"/>
        <v>23.196700507614214</v>
      </c>
      <c r="S691" s="7">
        <f t="shared" si="101"/>
        <v>6.4306002317777482</v>
      </c>
      <c r="T691" s="7">
        <f t="shared" si="102"/>
        <v>22.771573604060915</v>
      </c>
      <c r="U691" s="7">
        <f t="shared" si="103"/>
        <v>6.5356886776680962</v>
      </c>
      <c r="V691" s="7">
        <f t="shared" si="104"/>
        <v>11.434010152284264</v>
      </c>
      <c r="W691" s="7">
        <f t="shared" si="105"/>
        <v>3.5019632409825281</v>
      </c>
      <c r="X691" s="7">
        <f t="shared" si="106"/>
        <v>-3.0588203359647428E-2</v>
      </c>
      <c r="Y691" s="7">
        <f t="shared" si="107"/>
        <v>-0.27106150421672232</v>
      </c>
      <c r="Z691" s="7">
        <f t="shared" si="108"/>
        <v>0.16162072779408701</v>
      </c>
      <c r="AA691" s="7">
        <f t="shared" si="109"/>
        <v>-4.6676326594094236E-2</v>
      </c>
    </row>
    <row r="692" spans="1:27" x14ac:dyDescent="0.25">
      <c r="A692" s="1" t="s">
        <v>1685</v>
      </c>
      <c r="B692" s="1" t="s">
        <v>861</v>
      </c>
      <c r="C692" s="1">
        <v>4</v>
      </c>
      <c r="D692" s="1">
        <v>4</v>
      </c>
      <c r="E692" s="1">
        <v>4</v>
      </c>
      <c r="F692" s="1">
        <v>4</v>
      </c>
      <c r="G692" s="1">
        <v>5</v>
      </c>
      <c r="H692" s="1">
        <v>4</v>
      </c>
      <c r="I692" s="1">
        <v>3</v>
      </c>
      <c r="J692" s="1">
        <v>3</v>
      </c>
      <c r="K692" s="1">
        <v>4</v>
      </c>
      <c r="L692" s="1">
        <v>4</v>
      </c>
      <c r="M692" s="1">
        <v>16</v>
      </c>
      <c r="N692" s="1">
        <v>15</v>
      </c>
      <c r="O692" s="1">
        <v>8</v>
      </c>
      <c r="P692" s="1">
        <v>39</v>
      </c>
      <c r="Q692" s="7">
        <v>0.56764621219754663</v>
      </c>
      <c r="R692" s="7">
        <f t="shared" si="100"/>
        <v>23.196700507614214</v>
      </c>
      <c r="S692" s="7">
        <f t="shared" si="101"/>
        <v>6.4306002317777482</v>
      </c>
      <c r="T692" s="7">
        <f t="shared" si="102"/>
        <v>22.771573604060915</v>
      </c>
      <c r="U692" s="7">
        <f t="shared" si="103"/>
        <v>6.5356886776680962</v>
      </c>
      <c r="V692" s="7">
        <f t="shared" si="104"/>
        <v>11.434010152284264</v>
      </c>
      <c r="W692" s="7">
        <f t="shared" si="105"/>
        <v>3.5019632409825281</v>
      </c>
      <c r="X692" s="7">
        <f t="shared" si="106"/>
        <v>-1.1191335564681302</v>
      </c>
      <c r="Y692" s="7">
        <f t="shared" si="107"/>
        <v>-1.1890978881255061</v>
      </c>
      <c r="Z692" s="7">
        <f t="shared" si="108"/>
        <v>-0.98059571616771202</v>
      </c>
      <c r="AA692" s="7">
        <f t="shared" si="109"/>
        <v>-1.0962757202537827</v>
      </c>
    </row>
    <row r="693" spans="1:27" x14ac:dyDescent="0.25">
      <c r="A693" s="1" t="s">
        <v>1685</v>
      </c>
      <c r="B693" s="1" t="s">
        <v>861</v>
      </c>
      <c r="C693" s="1">
        <v>7</v>
      </c>
      <c r="D693" s="1">
        <v>5</v>
      </c>
      <c r="E693" s="1">
        <v>5</v>
      </c>
      <c r="F693" s="1">
        <v>4</v>
      </c>
      <c r="G693" s="1">
        <v>6</v>
      </c>
      <c r="H693" s="1">
        <v>4</v>
      </c>
      <c r="I693" s="1">
        <v>5</v>
      </c>
      <c r="J693" s="1">
        <v>6</v>
      </c>
      <c r="K693" s="1">
        <v>6</v>
      </c>
      <c r="L693" s="1">
        <v>5</v>
      </c>
      <c r="M693" s="1">
        <v>21</v>
      </c>
      <c r="N693" s="1">
        <v>21</v>
      </c>
      <c r="O693" s="1">
        <v>11</v>
      </c>
      <c r="P693" s="1">
        <v>53</v>
      </c>
      <c r="Q693" s="7">
        <v>0.94868329805051388</v>
      </c>
      <c r="R693" s="7">
        <f t="shared" si="100"/>
        <v>23.196700507614214</v>
      </c>
      <c r="S693" s="7">
        <f t="shared" si="101"/>
        <v>6.4306002317777482</v>
      </c>
      <c r="T693" s="7">
        <f t="shared" si="102"/>
        <v>22.771573604060915</v>
      </c>
      <c r="U693" s="7">
        <f t="shared" si="103"/>
        <v>6.5356886776680962</v>
      </c>
      <c r="V693" s="7">
        <f t="shared" si="104"/>
        <v>11.434010152284264</v>
      </c>
      <c r="W693" s="7">
        <f t="shared" si="105"/>
        <v>3.5019632409825281</v>
      </c>
      <c r="X693" s="7">
        <f t="shared" si="106"/>
        <v>-0.3416011613906425</v>
      </c>
      <c r="Y693" s="7">
        <f t="shared" si="107"/>
        <v>-0.27106150421672232</v>
      </c>
      <c r="Z693" s="7">
        <f t="shared" si="108"/>
        <v>-0.12393338319636275</v>
      </c>
      <c r="AA693" s="7">
        <f t="shared" si="109"/>
        <v>-0.24553201626790919</v>
      </c>
    </row>
    <row r="694" spans="1:27" x14ac:dyDescent="0.25">
      <c r="A694" s="1" t="s">
        <v>1685</v>
      </c>
      <c r="B694" s="1" t="s">
        <v>861</v>
      </c>
      <c r="C694" s="1">
        <v>7</v>
      </c>
      <c r="D694" s="1">
        <v>6</v>
      </c>
      <c r="E694" s="1">
        <v>5</v>
      </c>
      <c r="F694" s="1">
        <v>6</v>
      </c>
      <c r="G694" s="1">
        <v>6</v>
      </c>
      <c r="H694" s="1">
        <v>5</v>
      </c>
      <c r="I694" s="1">
        <v>7</v>
      </c>
      <c r="J694" s="1">
        <v>7</v>
      </c>
      <c r="K694" s="1">
        <v>7</v>
      </c>
      <c r="L694" s="1">
        <v>5</v>
      </c>
      <c r="M694" s="1">
        <v>24</v>
      </c>
      <c r="N694" s="1">
        <v>25</v>
      </c>
      <c r="O694" s="1">
        <v>12</v>
      </c>
      <c r="P694" s="1">
        <v>61</v>
      </c>
      <c r="Q694" s="7">
        <v>0.87559503577091313</v>
      </c>
      <c r="R694" s="7">
        <f t="shared" si="100"/>
        <v>23.196700507614214</v>
      </c>
      <c r="S694" s="7">
        <f t="shared" si="101"/>
        <v>6.4306002317777482</v>
      </c>
      <c r="T694" s="7">
        <f t="shared" si="102"/>
        <v>22.771573604060915</v>
      </c>
      <c r="U694" s="7">
        <f t="shared" si="103"/>
        <v>6.5356886776680962</v>
      </c>
      <c r="V694" s="7">
        <f t="shared" si="104"/>
        <v>11.434010152284264</v>
      </c>
      <c r="W694" s="7">
        <f t="shared" si="105"/>
        <v>3.5019632409825281</v>
      </c>
      <c r="X694" s="7">
        <f t="shared" si="106"/>
        <v>0.12491827565585011</v>
      </c>
      <c r="Y694" s="7">
        <f t="shared" si="107"/>
        <v>0.34096275172246687</v>
      </c>
      <c r="Z694" s="7">
        <f t="shared" si="108"/>
        <v>0.16162072779408701</v>
      </c>
      <c r="AA694" s="7">
        <f t="shared" si="109"/>
        <v>0.20916725172413467</v>
      </c>
    </row>
    <row r="695" spans="1:27" x14ac:dyDescent="0.25">
      <c r="A695" s="1" t="s">
        <v>1685</v>
      </c>
      <c r="B695" s="1" t="s">
        <v>861</v>
      </c>
      <c r="C695" s="1">
        <v>8</v>
      </c>
      <c r="D695" s="1">
        <v>8</v>
      </c>
      <c r="E695" s="1">
        <v>7</v>
      </c>
      <c r="F695" s="1">
        <v>8</v>
      </c>
      <c r="G695" s="1">
        <v>8</v>
      </c>
      <c r="H695" s="1">
        <v>7</v>
      </c>
      <c r="I695" s="1">
        <v>8</v>
      </c>
      <c r="J695" s="1">
        <v>7</v>
      </c>
      <c r="K695" s="1">
        <v>6</v>
      </c>
      <c r="L695" s="1">
        <v>7</v>
      </c>
      <c r="M695" s="1">
        <v>31</v>
      </c>
      <c r="N695" s="1">
        <v>30</v>
      </c>
      <c r="O695" s="1">
        <v>13</v>
      </c>
      <c r="P695" s="1">
        <v>74</v>
      </c>
      <c r="Q695" s="7">
        <v>0.69920589878010075</v>
      </c>
      <c r="R695" s="7">
        <f t="shared" si="100"/>
        <v>23.196700507614214</v>
      </c>
      <c r="S695" s="7">
        <f t="shared" si="101"/>
        <v>6.4306002317777482</v>
      </c>
      <c r="T695" s="7">
        <f t="shared" si="102"/>
        <v>22.771573604060915</v>
      </c>
      <c r="U695" s="7">
        <f t="shared" si="103"/>
        <v>6.5356886776680962</v>
      </c>
      <c r="V695" s="7">
        <f t="shared" si="104"/>
        <v>11.434010152284264</v>
      </c>
      <c r="W695" s="7">
        <f t="shared" si="105"/>
        <v>3.5019632409825281</v>
      </c>
      <c r="X695" s="7">
        <f t="shared" si="106"/>
        <v>1.2134636287643328</v>
      </c>
      <c r="Y695" s="7">
        <f t="shared" si="107"/>
        <v>1.1059930716464534</v>
      </c>
      <c r="Z695" s="7">
        <f t="shared" si="108"/>
        <v>0.44717483878453679</v>
      </c>
      <c r="AA695" s="7">
        <f t="shared" si="109"/>
        <v>0.9222105130651076</v>
      </c>
    </row>
    <row r="696" spans="1:27" x14ac:dyDescent="0.25">
      <c r="A696" s="1" t="s">
        <v>1685</v>
      </c>
      <c r="B696" s="1" t="s">
        <v>861</v>
      </c>
      <c r="C696" s="1">
        <v>4</v>
      </c>
      <c r="D696" s="1">
        <v>4</v>
      </c>
      <c r="E696" s="1">
        <v>5</v>
      </c>
      <c r="F696" s="1">
        <v>2</v>
      </c>
      <c r="G696" s="1">
        <v>4</v>
      </c>
      <c r="H696" s="1">
        <v>3</v>
      </c>
      <c r="I696" s="1">
        <v>3</v>
      </c>
      <c r="J696" s="1">
        <v>3</v>
      </c>
      <c r="K696" s="1">
        <v>2</v>
      </c>
      <c r="L696" s="1">
        <v>4</v>
      </c>
      <c r="M696" s="1">
        <v>15</v>
      </c>
      <c r="N696" s="1">
        <v>13</v>
      </c>
      <c r="O696" s="1">
        <v>6</v>
      </c>
      <c r="P696" s="1">
        <v>34</v>
      </c>
      <c r="Q696" s="7">
        <v>0.96609178307929577</v>
      </c>
      <c r="R696" s="7">
        <f t="shared" si="100"/>
        <v>23.196700507614214</v>
      </c>
      <c r="S696" s="7">
        <f t="shared" si="101"/>
        <v>6.4306002317777482</v>
      </c>
      <c r="T696" s="7">
        <f t="shared" si="102"/>
        <v>22.771573604060915</v>
      </c>
      <c r="U696" s="7">
        <f t="shared" si="103"/>
        <v>6.5356886776680962</v>
      </c>
      <c r="V696" s="7">
        <f t="shared" si="104"/>
        <v>11.434010152284264</v>
      </c>
      <c r="W696" s="7">
        <f t="shared" si="105"/>
        <v>3.5019632409825281</v>
      </c>
      <c r="X696" s="7">
        <f t="shared" si="106"/>
        <v>-1.2746400354836278</v>
      </c>
      <c r="Y696" s="7">
        <f t="shared" si="107"/>
        <v>-1.4951100160951007</v>
      </c>
      <c r="Z696" s="7">
        <f t="shared" si="108"/>
        <v>-1.5517039381486115</v>
      </c>
      <c r="AA696" s="7">
        <f t="shared" si="109"/>
        <v>-1.4404846632424466</v>
      </c>
    </row>
    <row r="697" spans="1:27" x14ac:dyDescent="0.25">
      <c r="A697" s="1" t="s">
        <v>1685</v>
      </c>
      <c r="B697" s="1" t="s">
        <v>861</v>
      </c>
      <c r="C697" s="1">
        <v>7</v>
      </c>
      <c r="D697" s="1">
        <v>7</v>
      </c>
      <c r="E697" s="1">
        <v>6</v>
      </c>
      <c r="F697" s="1">
        <v>6</v>
      </c>
      <c r="G697" s="1">
        <v>6</v>
      </c>
      <c r="H697" s="1">
        <v>7</v>
      </c>
      <c r="I697" s="1">
        <v>7</v>
      </c>
      <c r="J697" s="1">
        <v>6</v>
      </c>
      <c r="K697" s="1">
        <v>7</v>
      </c>
      <c r="L697" s="1">
        <v>7</v>
      </c>
      <c r="M697" s="1">
        <v>26</v>
      </c>
      <c r="N697" s="1">
        <v>26</v>
      </c>
      <c r="O697" s="1">
        <v>14</v>
      </c>
      <c r="P697" s="1">
        <v>66</v>
      </c>
      <c r="Q697" s="7">
        <v>0.51639777949432231</v>
      </c>
      <c r="R697" s="7">
        <f t="shared" si="100"/>
        <v>23.196700507614214</v>
      </c>
      <c r="S697" s="7">
        <f t="shared" si="101"/>
        <v>6.4306002317777482</v>
      </c>
      <c r="T697" s="7">
        <f t="shared" si="102"/>
        <v>22.771573604060915</v>
      </c>
      <c r="U697" s="7">
        <f t="shared" si="103"/>
        <v>6.5356886776680962</v>
      </c>
      <c r="V697" s="7">
        <f t="shared" si="104"/>
        <v>11.434010152284264</v>
      </c>
      <c r="W697" s="7">
        <f t="shared" si="105"/>
        <v>3.5019632409825281</v>
      </c>
      <c r="X697" s="7">
        <f t="shared" si="106"/>
        <v>0.43593123368684517</v>
      </c>
      <c r="Y697" s="7">
        <f t="shared" si="107"/>
        <v>0.49396881570726414</v>
      </c>
      <c r="Z697" s="7">
        <f t="shared" si="108"/>
        <v>0.73272894977498659</v>
      </c>
      <c r="AA697" s="7">
        <f t="shared" si="109"/>
        <v>0.5542096663896986</v>
      </c>
    </row>
    <row r="698" spans="1:27" x14ac:dyDescent="0.25">
      <c r="A698" s="1" t="s">
        <v>1685</v>
      </c>
      <c r="B698" s="1" t="s">
        <v>861</v>
      </c>
      <c r="C698" s="1">
        <v>7</v>
      </c>
      <c r="D698" s="1">
        <v>6</v>
      </c>
      <c r="E698" s="1">
        <v>5</v>
      </c>
      <c r="F698" s="1">
        <v>5</v>
      </c>
      <c r="G698" s="1">
        <v>6</v>
      </c>
      <c r="H698" s="1">
        <v>6</v>
      </c>
      <c r="I698" s="1">
        <v>5</v>
      </c>
      <c r="J698" s="1">
        <v>4</v>
      </c>
      <c r="K698" s="1">
        <v>4</v>
      </c>
      <c r="L698" s="1">
        <v>5</v>
      </c>
      <c r="M698" s="1">
        <v>23</v>
      </c>
      <c r="N698" s="1">
        <v>21</v>
      </c>
      <c r="O698" s="1">
        <v>9</v>
      </c>
      <c r="P698" s="1">
        <v>53</v>
      </c>
      <c r="Q698" s="7">
        <v>0.94868329805051377</v>
      </c>
      <c r="R698" s="7">
        <f t="shared" si="100"/>
        <v>23.196700507614214</v>
      </c>
      <c r="S698" s="7">
        <f t="shared" si="101"/>
        <v>6.4306002317777482</v>
      </c>
      <c r="T698" s="7">
        <f t="shared" si="102"/>
        <v>22.771573604060915</v>
      </c>
      <c r="U698" s="7">
        <f t="shared" si="103"/>
        <v>6.5356886776680962</v>
      </c>
      <c r="V698" s="7">
        <f t="shared" si="104"/>
        <v>11.434010152284264</v>
      </c>
      <c r="W698" s="7">
        <f t="shared" si="105"/>
        <v>3.5019632409825281</v>
      </c>
      <c r="X698" s="7">
        <f t="shared" si="106"/>
        <v>-3.0588203359647428E-2</v>
      </c>
      <c r="Y698" s="7">
        <f t="shared" si="107"/>
        <v>-0.27106150421672232</v>
      </c>
      <c r="Z698" s="7">
        <f t="shared" si="108"/>
        <v>-0.69504160517726232</v>
      </c>
      <c r="AA698" s="7">
        <f t="shared" si="109"/>
        <v>-0.33223043758454401</v>
      </c>
    </row>
    <row r="699" spans="1:27" x14ac:dyDescent="0.25">
      <c r="A699" s="1" t="s">
        <v>1686</v>
      </c>
      <c r="B699" s="1" t="s">
        <v>861</v>
      </c>
      <c r="C699" s="1">
        <v>6</v>
      </c>
      <c r="D699" s="1">
        <v>5</v>
      </c>
      <c r="E699" s="1">
        <v>6</v>
      </c>
      <c r="F699" s="1">
        <v>6</v>
      </c>
      <c r="G699" s="1">
        <v>6</v>
      </c>
      <c r="H699" s="1">
        <v>5</v>
      </c>
      <c r="I699" s="1">
        <v>6</v>
      </c>
      <c r="J699" s="1">
        <v>6</v>
      </c>
      <c r="K699" s="1">
        <v>6</v>
      </c>
      <c r="L699" s="1">
        <v>7</v>
      </c>
      <c r="M699" s="1">
        <v>23</v>
      </c>
      <c r="N699" s="1">
        <v>23</v>
      </c>
      <c r="O699" s="1">
        <v>13</v>
      </c>
      <c r="P699" s="1">
        <v>59</v>
      </c>
      <c r="Q699" s="7">
        <v>0.56764621219754696</v>
      </c>
      <c r="R699" s="7">
        <f t="shared" si="100"/>
        <v>23.196700507614214</v>
      </c>
      <c r="S699" s="7">
        <f t="shared" si="101"/>
        <v>6.4306002317777482</v>
      </c>
      <c r="T699" s="7">
        <f t="shared" si="102"/>
        <v>22.771573604060915</v>
      </c>
      <c r="U699" s="7">
        <f t="shared" si="103"/>
        <v>6.5356886776680962</v>
      </c>
      <c r="V699" s="7">
        <f t="shared" si="104"/>
        <v>11.434010152284264</v>
      </c>
      <c r="W699" s="7">
        <f t="shared" si="105"/>
        <v>3.5019632409825281</v>
      </c>
      <c r="X699" s="7">
        <f t="shared" si="106"/>
        <v>-3.0588203359647428E-2</v>
      </c>
      <c r="Y699" s="7">
        <f t="shared" si="107"/>
        <v>3.4950623752872265E-2</v>
      </c>
      <c r="Z699" s="7">
        <f t="shared" si="108"/>
        <v>0.44717483878453679</v>
      </c>
      <c r="AA699" s="7">
        <f t="shared" si="109"/>
        <v>0.15051241972592053</v>
      </c>
    </row>
    <row r="700" spans="1:27" x14ac:dyDescent="0.25">
      <c r="A700" s="1" t="s">
        <v>1686</v>
      </c>
      <c r="B700" s="1" t="s">
        <v>861</v>
      </c>
      <c r="C700" s="1">
        <v>7</v>
      </c>
      <c r="D700" s="1">
        <v>6</v>
      </c>
      <c r="E700" s="1">
        <v>6</v>
      </c>
      <c r="F700" s="1">
        <v>6</v>
      </c>
      <c r="G700" s="1">
        <v>6</v>
      </c>
      <c r="H700" s="1">
        <v>6</v>
      </c>
      <c r="I700" s="1">
        <v>6</v>
      </c>
      <c r="J700" s="1">
        <v>6</v>
      </c>
      <c r="K700" s="1">
        <v>7</v>
      </c>
      <c r="L700" s="1">
        <v>7</v>
      </c>
      <c r="M700" s="1">
        <v>25</v>
      </c>
      <c r="N700" s="1">
        <v>24</v>
      </c>
      <c r="O700" s="1">
        <v>14</v>
      </c>
      <c r="P700" s="1">
        <v>63</v>
      </c>
      <c r="Q700" s="7">
        <v>0.48304589153964794</v>
      </c>
      <c r="R700" s="7">
        <f t="shared" si="100"/>
        <v>23.196700507614214</v>
      </c>
      <c r="S700" s="7">
        <f t="shared" si="101"/>
        <v>6.4306002317777482</v>
      </c>
      <c r="T700" s="7">
        <f t="shared" si="102"/>
        <v>22.771573604060915</v>
      </c>
      <c r="U700" s="7">
        <f t="shared" si="103"/>
        <v>6.5356886776680962</v>
      </c>
      <c r="V700" s="7">
        <f t="shared" si="104"/>
        <v>11.434010152284264</v>
      </c>
      <c r="W700" s="7">
        <f t="shared" si="105"/>
        <v>3.5019632409825281</v>
      </c>
      <c r="X700" s="7">
        <f t="shared" si="106"/>
        <v>0.28042475467134764</v>
      </c>
      <c r="Y700" s="7">
        <f t="shared" si="107"/>
        <v>0.18795668773766958</v>
      </c>
      <c r="Z700" s="7">
        <f t="shared" si="108"/>
        <v>0.73272894977498659</v>
      </c>
      <c r="AA700" s="7">
        <f t="shared" si="109"/>
        <v>0.40037013072800126</v>
      </c>
    </row>
    <row r="701" spans="1:27" x14ac:dyDescent="0.25">
      <c r="A701" s="1" t="s">
        <v>1686</v>
      </c>
      <c r="B701" s="1" t="s">
        <v>861</v>
      </c>
      <c r="C701" s="1">
        <v>6</v>
      </c>
      <c r="D701" s="1">
        <v>6</v>
      </c>
      <c r="E701" s="1">
        <v>6</v>
      </c>
      <c r="F701" s="1">
        <v>5</v>
      </c>
      <c r="G701" s="1">
        <v>4</v>
      </c>
      <c r="H701" s="1">
        <v>5</v>
      </c>
      <c r="I701" s="1">
        <v>6</v>
      </c>
      <c r="J701" s="1">
        <v>5</v>
      </c>
      <c r="K701" s="1">
        <v>5</v>
      </c>
      <c r="L701" s="1">
        <v>6</v>
      </c>
      <c r="M701" s="1">
        <v>23</v>
      </c>
      <c r="N701" s="1">
        <v>20</v>
      </c>
      <c r="O701" s="1">
        <v>11</v>
      </c>
      <c r="P701" s="1">
        <v>54</v>
      </c>
      <c r="Q701" s="7">
        <v>0.69920589878010109</v>
      </c>
      <c r="R701" s="7">
        <f t="shared" si="100"/>
        <v>23.196700507614214</v>
      </c>
      <c r="S701" s="7">
        <f t="shared" si="101"/>
        <v>6.4306002317777482</v>
      </c>
      <c r="T701" s="7">
        <f t="shared" si="102"/>
        <v>22.771573604060915</v>
      </c>
      <c r="U701" s="7">
        <f t="shared" si="103"/>
        <v>6.5356886776680962</v>
      </c>
      <c r="V701" s="7">
        <f t="shared" si="104"/>
        <v>11.434010152284264</v>
      </c>
      <c r="W701" s="7">
        <f t="shared" si="105"/>
        <v>3.5019632409825281</v>
      </c>
      <c r="X701" s="7">
        <f t="shared" si="106"/>
        <v>-3.0588203359647428E-2</v>
      </c>
      <c r="Y701" s="7">
        <f t="shared" si="107"/>
        <v>-0.42406756820151964</v>
      </c>
      <c r="Z701" s="7">
        <f t="shared" si="108"/>
        <v>-0.12393338319636275</v>
      </c>
      <c r="AA701" s="7">
        <f t="shared" si="109"/>
        <v>-0.19286305158584327</v>
      </c>
    </row>
    <row r="702" spans="1:27" x14ac:dyDescent="0.25">
      <c r="A702" s="1" t="s">
        <v>1686</v>
      </c>
      <c r="B702" s="1" t="s">
        <v>861</v>
      </c>
      <c r="C702" s="1">
        <v>7</v>
      </c>
      <c r="D702" s="1">
        <v>7</v>
      </c>
      <c r="E702" s="1">
        <v>7</v>
      </c>
      <c r="F702" s="1">
        <v>7</v>
      </c>
      <c r="G702" s="1">
        <v>6</v>
      </c>
      <c r="H702" s="1">
        <v>7</v>
      </c>
      <c r="I702" s="1">
        <v>7</v>
      </c>
      <c r="J702" s="1">
        <v>6</v>
      </c>
      <c r="K702" s="1">
        <v>6</v>
      </c>
      <c r="L702" s="1">
        <v>4</v>
      </c>
      <c r="M702" s="1">
        <v>28</v>
      </c>
      <c r="N702" s="1">
        <v>26</v>
      </c>
      <c r="O702" s="1">
        <v>10</v>
      </c>
      <c r="P702" s="1">
        <v>64</v>
      </c>
      <c r="Q702" s="7">
        <v>0.966091783079296</v>
      </c>
      <c r="R702" s="7">
        <f t="shared" si="100"/>
        <v>23.196700507614214</v>
      </c>
      <c r="S702" s="7">
        <f t="shared" si="101"/>
        <v>6.4306002317777482</v>
      </c>
      <c r="T702" s="7">
        <f t="shared" si="102"/>
        <v>22.771573604060915</v>
      </c>
      <c r="U702" s="7">
        <f t="shared" si="103"/>
        <v>6.5356886776680962</v>
      </c>
      <c r="V702" s="7">
        <f t="shared" si="104"/>
        <v>11.434010152284264</v>
      </c>
      <c r="W702" s="7">
        <f t="shared" si="105"/>
        <v>3.5019632409825281</v>
      </c>
      <c r="X702" s="7">
        <f t="shared" si="106"/>
        <v>0.74694419171784021</v>
      </c>
      <c r="Y702" s="7">
        <f t="shared" si="107"/>
        <v>0.49396881570726414</v>
      </c>
      <c r="Z702" s="7">
        <f t="shared" si="108"/>
        <v>-0.40948749418681252</v>
      </c>
      <c r="AA702" s="7">
        <f t="shared" si="109"/>
        <v>0.2771418377460973</v>
      </c>
    </row>
    <row r="703" spans="1:27" x14ac:dyDescent="0.25">
      <c r="A703" s="1" t="s">
        <v>1686</v>
      </c>
      <c r="B703" s="1" t="s">
        <v>861</v>
      </c>
      <c r="C703" s="1">
        <v>7</v>
      </c>
      <c r="D703" s="1">
        <v>7</v>
      </c>
      <c r="E703" s="1">
        <v>7</v>
      </c>
      <c r="F703" s="1">
        <v>7</v>
      </c>
      <c r="G703" s="1">
        <v>7</v>
      </c>
      <c r="H703" s="1">
        <v>6</v>
      </c>
      <c r="I703" s="1">
        <v>8</v>
      </c>
      <c r="J703" s="1">
        <v>8</v>
      </c>
      <c r="K703" s="1">
        <v>7</v>
      </c>
      <c r="L703" s="1">
        <v>7</v>
      </c>
      <c r="M703" s="1">
        <v>28</v>
      </c>
      <c r="N703" s="1">
        <v>29</v>
      </c>
      <c r="O703" s="1">
        <v>14</v>
      </c>
      <c r="P703" s="1">
        <v>71</v>
      </c>
      <c r="Q703" s="7">
        <v>0.56764621219754663</v>
      </c>
      <c r="R703" s="7">
        <f t="shared" si="100"/>
        <v>23.196700507614214</v>
      </c>
      <c r="S703" s="7">
        <f t="shared" si="101"/>
        <v>6.4306002317777482</v>
      </c>
      <c r="T703" s="7">
        <f t="shared" si="102"/>
        <v>22.771573604060915</v>
      </c>
      <c r="U703" s="7">
        <f t="shared" si="103"/>
        <v>6.5356886776680962</v>
      </c>
      <c r="V703" s="7">
        <f t="shared" si="104"/>
        <v>11.434010152284264</v>
      </c>
      <c r="W703" s="7">
        <f t="shared" si="105"/>
        <v>3.5019632409825281</v>
      </c>
      <c r="X703" s="7">
        <f t="shared" si="106"/>
        <v>0.74694419171784021</v>
      </c>
      <c r="Y703" s="7">
        <f t="shared" si="107"/>
        <v>0.95298700766165612</v>
      </c>
      <c r="Z703" s="7">
        <f t="shared" si="108"/>
        <v>0.73272894977498659</v>
      </c>
      <c r="AA703" s="7">
        <f t="shared" si="109"/>
        <v>0.81088671638482757</v>
      </c>
    </row>
    <row r="704" spans="1:27" x14ac:dyDescent="0.25">
      <c r="A704" s="1" t="s">
        <v>1686</v>
      </c>
      <c r="B704" s="1" t="s">
        <v>861</v>
      </c>
      <c r="C704" s="1">
        <v>5</v>
      </c>
      <c r="D704" s="1">
        <v>4</v>
      </c>
      <c r="E704" s="1">
        <v>5</v>
      </c>
      <c r="F704" s="1">
        <v>5</v>
      </c>
      <c r="G704" s="1">
        <v>6</v>
      </c>
      <c r="H704" s="1">
        <v>7</v>
      </c>
      <c r="I704" s="1">
        <v>7</v>
      </c>
      <c r="J704" s="1">
        <v>6</v>
      </c>
      <c r="K704" s="1">
        <v>6</v>
      </c>
      <c r="L704" s="1">
        <v>6</v>
      </c>
      <c r="M704" s="1">
        <v>19</v>
      </c>
      <c r="N704" s="1">
        <v>26</v>
      </c>
      <c r="O704" s="1">
        <v>12</v>
      </c>
      <c r="P704" s="1">
        <v>57</v>
      </c>
      <c r="Q704" s="7">
        <v>0.94868329805051377</v>
      </c>
      <c r="R704" s="7">
        <f t="shared" si="100"/>
        <v>23.196700507614214</v>
      </c>
      <c r="S704" s="7">
        <f t="shared" si="101"/>
        <v>6.4306002317777482</v>
      </c>
      <c r="T704" s="7">
        <f t="shared" si="102"/>
        <v>22.771573604060915</v>
      </c>
      <c r="U704" s="7">
        <f t="shared" si="103"/>
        <v>6.5356886776680962</v>
      </c>
      <c r="V704" s="7">
        <f t="shared" si="104"/>
        <v>11.434010152284264</v>
      </c>
      <c r="W704" s="7">
        <f t="shared" si="105"/>
        <v>3.5019632409825281</v>
      </c>
      <c r="X704" s="7">
        <f t="shared" si="106"/>
        <v>-0.65261411942163761</v>
      </c>
      <c r="Y704" s="7">
        <f t="shared" si="107"/>
        <v>0.49396881570726414</v>
      </c>
      <c r="Z704" s="7">
        <f t="shared" si="108"/>
        <v>0.16162072779408701</v>
      </c>
      <c r="AA704" s="7">
        <f t="shared" si="109"/>
        <v>9.9180802657118194E-4</v>
      </c>
    </row>
    <row r="705" spans="1:27" x14ac:dyDescent="0.25">
      <c r="A705" s="1" t="s">
        <v>1686</v>
      </c>
      <c r="B705" s="1" t="s">
        <v>861</v>
      </c>
      <c r="C705" s="1">
        <v>6</v>
      </c>
      <c r="D705" s="1">
        <v>6</v>
      </c>
      <c r="E705" s="1">
        <v>6</v>
      </c>
      <c r="F705" s="1">
        <v>5</v>
      </c>
      <c r="G705" s="1">
        <v>5</v>
      </c>
      <c r="H705" s="1">
        <v>5</v>
      </c>
      <c r="I705" s="1">
        <v>6</v>
      </c>
      <c r="J705" s="1">
        <v>6</v>
      </c>
      <c r="K705" s="1">
        <v>6</v>
      </c>
      <c r="L705" s="1">
        <v>6</v>
      </c>
      <c r="M705" s="1">
        <v>23</v>
      </c>
      <c r="N705" s="1">
        <v>22</v>
      </c>
      <c r="O705" s="1">
        <v>12</v>
      </c>
      <c r="P705" s="1">
        <v>57</v>
      </c>
      <c r="Q705" s="7">
        <v>0.48304589153964789</v>
      </c>
      <c r="R705" s="7">
        <f t="shared" si="100"/>
        <v>23.196700507614214</v>
      </c>
      <c r="S705" s="7">
        <f t="shared" si="101"/>
        <v>6.4306002317777482</v>
      </c>
      <c r="T705" s="7">
        <f t="shared" si="102"/>
        <v>22.771573604060915</v>
      </c>
      <c r="U705" s="7">
        <f t="shared" si="103"/>
        <v>6.5356886776680962</v>
      </c>
      <c r="V705" s="7">
        <f t="shared" si="104"/>
        <v>11.434010152284264</v>
      </c>
      <c r="W705" s="7">
        <f t="shared" si="105"/>
        <v>3.5019632409825281</v>
      </c>
      <c r="X705" s="7">
        <f t="shared" si="106"/>
        <v>-3.0588203359647428E-2</v>
      </c>
      <c r="Y705" s="7">
        <f t="shared" si="107"/>
        <v>-0.11805544023192505</v>
      </c>
      <c r="Z705" s="7">
        <f t="shared" si="108"/>
        <v>0.16162072779408701</v>
      </c>
      <c r="AA705" s="7">
        <f t="shared" si="109"/>
        <v>4.3256947341715106E-3</v>
      </c>
    </row>
    <row r="706" spans="1:27" x14ac:dyDescent="0.25">
      <c r="A706" s="1" t="s">
        <v>1686</v>
      </c>
      <c r="B706" s="1" t="s">
        <v>861</v>
      </c>
      <c r="C706" s="1">
        <v>6</v>
      </c>
      <c r="D706" s="1">
        <v>6</v>
      </c>
      <c r="E706" s="1">
        <v>5</v>
      </c>
      <c r="F706" s="1">
        <v>6</v>
      </c>
      <c r="G706" s="1">
        <v>6</v>
      </c>
      <c r="H706" s="1">
        <v>7</v>
      </c>
      <c r="I706" s="1">
        <v>6</v>
      </c>
      <c r="J706" s="1">
        <v>6</v>
      </c>
      <c r="K706" s="1">
        <v>6</v>
      </c>
      <c r="L706" s="1">
        <v>7</v>
      </c>
      <c r="M706" s="1">
        <v>23</v>
      </c>
      <c r="N706" s="1">
        <v>25</v>
      </c>
      <c r="O706" s="1">
        <v>13</v>
      </c>
      <c r="P706" s="1">
        <v>61</v>
      </c>
      <c r="Q706" s="7">
        <v>0.56764621219754674</v>
      </c>
      <c r="R706" s="7">
        <f t="shared" si="100"/>
        <v>23.196700507614214</v>
      </c>
      <c r="S706" s="7">
        <f t="shared" si="101"/>
        <v>6.4306002317777482</v>
      </c>
      <c r="T706" s="7">
        <f t="shared" si="102"/>
        <v>22.771573604060915</v>
      </c>
      <c r="U706" s="7">
        <f t="shared" si="103"/>
        <v>6.5356886776680962</v>
      </c>
      <c r="V706" s="7">
        <f t="shared" si="104"/>
        <v>11.434010152284264</v>
      </c>
      <c r="W706" s="7">
        <f t="shared" si="105"/>
        <v>3.5019632409825281</v>
      </c>
      <c r="X706" s="7">
        <f t="shared" si="106"/>
        <v>-3.0588203359647428E-2</v>
      </c>
      <c r="Y706" s="7">
        <f t="shared" si="107"/>
        <v>0.34096275172246687</v>
      </c>
      <c r="Z706" s="7">
        <f t="shared" si="108"/>
        <v>0.44717483878453679</v>
      </c>
      <c r="AA706" s="7">
        <f t="shared" si="109"/>
        <v>0.25251646238245207</v>
      </c>
    </row>
    <row r="707" spans="1:27" x14ac:dyDescent="0.25">
      <c r="A707" s="1" t="s">
        <v>1686</v>
      </c>
      <c r="B707" s="1" t="s">
        <v>861</v>
      </c>
      <c r="C707" s="1">
        <v>7</v>
      </c>
      <c r="D707" s="1">
        <v>7</v>
      </c>
      <c r="E707" s="1">
        <v>6</v>
      </c>
      <c r="F707" s="1">
        <v>7</v>
      </c>
      <c r="G707" s="1">
        <v>7</v>
      </c>
      <c r="H707" s="1">
        <v>6</v>
      </c>
      <c r="I707" s="1">
        <v>7</v>
      </c>
      <c r="J707" s="1">
        <v>8</v>
      </c>
      <c r="K707" s="1">
        <v>7</v>
      </c>
      <c r="L707" s="1">
        <v>7</v>
      </c>
      <c r="M707" s="1">
        <v>27</v>
      </c>
      <c r="N707" s="1">
        <v>28</v>
      </c>
      <c r="O707" s="1">
        <v>14</v>
      </c>
      <c r="P707" s="1">
        <v>69</v>
      </c>
      <c r="Q707" s="7">
        <v>0.56764621219754685</v>
      </c>
      <c r="R707" s="7">
        <f t="shared" ref="R707:R770" si="110">AVERAGE(M:M)</f>
        <v>23.196700507614214</v>
      </c>
      <c r="S707" s="7">
        <f t="shared" ref="S707:S770" si="111">_xlfn.STDEV.S(M:M)</f>
        <v>6.4306002317777482</v>
      </c>
      <c r="T707" s="7">
        <f t="shared" ref="T707:T770" si="112">AVERAGE(N:N)</f>
        <v>22.771573604060915</v>
      </c>
      <c r="U707" s="7">
        <f t="shared" ref="U707:U770" si="113">_xlfn.STDEV.S(N:N)</f>
        <v>6.5356886776680962</v>
      </c>
      <c r="V707" s="7">
        <f t="shared" ref="V707:V770" si="114">AVERAGE(O:O)</f>
        <v>11.434010152284264</v>
      </c>
      <c r="W707" s="7">
        <f t="shared" ref="W707:W770" si="115">_xlfn.STDEV.S(O:O)</f>
        <v>3.5019632409825281</v>
      </c>
      <c r="X707" s="7">
        <f t="shared" ref="X707:X770" si="116">STANDARDIZE(M707,R707,S707)</f>
        <v>0.59143771270234269</v>
      </c>
      <c r="Y707" s="7">
        <f t="shared" ref="Y707:Y770" si="117">STANDARDIZE(N707,T707,U707)</f>
        <v>0.79998094367685879</v>
      </c>
      <c r="Z707" s="7">
        <f t="shared" ref="Z707:Z770" si="118">STANDARDIZE(O707,V707,W707)</f>
        <v>0.73272894977498659</v>
      </c>
      <c r="AA707" s="7">
        <f t="shared" ref="AA707:AA770" si="119">AVERAGE(X707:Z707)</f>
        <v>0.70804920205139599</v>
      </c>
    </row>
    <row r="708" spans="1:27" x14ac:dyDescent="0.25">
      <c r="A708" s="1" t="s">
        <v>1686</v>
      </c>
      <c r="B708" s="1" t="s">
        <v>861</v>
      </c>
      <c r="C708" s="1">
        <v>6</v>
      </c>
      <c r="D708" s="1">
        <v>6</v>
      </c>
      <c r="E708" s="1">
        <v>6</v>
      </c>
      <c r="F708" s="1">
        <v>7</v>
      </c>
      <c r="G708" s="1">
        <v>7</v>
      </c>
      <c r="H708" s="1">
        <v>6</v>
      </c>
      <c r="I708" s="1">
        <v>6</v>
      </c>
      <c r="J708" s="1">
        <v>6</v>
      </c>
      <c r="K708" s="1">
        <v>7</v>
      </c>
      <c r="L708" s="1">
        <v>6</v>
      </c>
      <c r="M708" s="1">
        <v>25</v>
      </c>
      <c r="N708" s="1">
        <v>25</v>
      </c>
      <c r="O708" s="1">
        <v>13</v>
      </c>
      <c r="P708" s="1">
        <v>63</v>
      </c>
      <c r="Q708" s="7">
        <v>0.48304589153964794</v>
      </c>
      <c r="R708" s="7">
        <f t="shared" si="110"/>
        <v>23.196700507614214</v>
      </c>
      <c r="S708" s="7">
        <f t="shared" si="111"/>
        <v>6.4306002317777482</v>
      </c>
      <c r="T708" s="7">
        <f t="shared" si="112"/>
        <v>22.771573604060915</v>
      </c>
      <c r="U708" s="7">
        <f t="shared" si="113"/>
        <v>6.5356886776680962</v>
      </c>
      <c r="V708" s="7">
        <f t="shared" si="114"/>
        <v>11.434010152284264</v>
      </c>
      <c r="W708" s="7">
        <f t="shared" si="115"/>
        <v>3.5019632409825281</v>
      </c>
      <c r="X708" s="7">
        <f t="shared" si="116"/>
        <v>0.28042475467134764</v>
      </c>
      <c r="Y708" s="7">
        <f t="shared" si="117"/>
        <v>0.34096275172246687</v>
      </c>
      <c r="Z708" s="7">
        <f t="shared" si="118"/>
        <v>0.44717483878453679</v>
      </c>
      <c r="AA708" s="7">
        <f t="shared" si="119"/>
        <v>0.35618744839278377</v>
      </c>
    </row>
    <row r="709" spans="1:27" x14ac:dyDescent="0.25">
      <c r="A709" s="1" t="s">
        <v>1686</v>
      </c>
      <c r="B709" s="1" t="s">
        <v>861</v>
      </c>
      <c r="C709" s="1">
        <v>6</v>
      </c>
      <c r="D709" s="1">
        <v>5</v>
      </c>
      <c r="E709" s="1">
        <v>6</v>
      </c>
      <c r="F709" s="1">
        <v>7</v>
      </c>
      <c r="G709" s="1">
        <v>7</v>
      </c>
      <c r="H709" s="1">
        <v>6</v>
      </c>
      <c r="I709" s="1">
        <v>6</v>
      </c>
      <c r="J709" s="1">
        <v>6</v>
      </c>
      <c r="K709" s="1">
        <v>6</v>
      </c>
      <c r="L709" s="1">
        <v>5</v>
      </c>
      <c r="M709" s="1">
        <v>24</v>
      </c>
      <c r="N709" s="1">
        <v>25</v>
      </c>
      <c r="O709" s="1">
        <v>11</v>
      </c>
      <c r="P709" s="1">
        <v>60</v>
      </c>
      <c r="Q709" s="7">
        <v>0.66666666666666652</v>
      </c>
      <c r="R709" s="7">
        <f t="shared" si="110"/>
        <v>23.196700507614214</v>
      </c>
      <c r="S709" s="7">
        <f t="shared" si="111"/>
        <v>6.4306002317777482</v>
      </c>
      <c r="T709" s="7">
        <f t="shared" si="112"/>
        <v>22.771573604060915</v>
      </c>
      <c r="U709" s="7">
        <f t="shared" si="113"/>
        <v>6.5356886776680962</v>
      </c>
      <c r="V709" s="7">
        <f t="shared" si="114"/>
        <v>11.434010152284264</v>
      </c>
      <c r="W709" s="7">
        <f t="shared" si="115"/>
        <v>3.5019632409825281</v>
      </c>
      <c r="X709" s="7">
        <f t="shared" si="116"/>
        <v>0.12491827565585011</v>
      </c>
      <c r="Y709" s="7">
        <f t="shared" si="117"/>
        <v>0.34096275172246687</v>
      </c>
      <c r="Z709" s="7">
        <f t="shared" si="118"/>
        <v>-0.12393338319636275</v>
      </c>
      <c r="AA709" s="7">
        <f t="shared" si="119"/>
        <v>0.1139825480606514</v>
      </c>
    </row>
    <row r="710" spans="1:27" x14ac:dyDescent="0.25">
      <c r="A710" s="1" t="s">
        <v>1686</v>
      </c>
      <c r="B710" s="1" t="s">
        <v>861</v>
      </c>
      <c r="C710" s="1">
        <v>6</v>
      </c>
      <c r="D710" s="1">
        <v>5</v>
      </c>
      <c r="E710" s="1">
        <v>5</v>
      </c>
      <c r="F710" s="1">
        <v>5</v>
      </c>
      <c r="G710" s="1">
        <v>5</v>
      </c>
      <c r="H710" s="1">
        <v>5</v>
      </c>
      <c r="I710" s="1">
        <v>6</v>
      </c>
      <c r="J710" s="1">
        <v>6</v>
      </c>
      <c r="K710" s="1">
        <v>6</v>
      </c>
      <c r="L710" s="1">
        <v>6</v>
      </c>
      <c r="M710" s="1">
        <v>21</v>
      </c>
      <c r="N710" s="1">
        <v>22</v>
      </c>
      <c r="O710" s="1">
        <v>12</v>
      </c>
      <c r="P710" s="1">
        <v>55</v>
      </c>
      <c r="Q710" s="7">
        <v>0.52704627669472992</v>
      </c>
      <c r="R710" s="7">
        <f t="shared" si="110"/>
        <v>23.196700507614214</v>
      </c>
      <c r="S710" s="7">
        <f t="shared" si="111"/>
        <v>6.4306002317777482</v>
      </c>
      <c r="T710" s="7">
        <f t="shared" si="112"/>
        <v>22.771573604060915</v>
      </c>
      <c r="U710" s="7">
        <f t="shared" si="113"/>
        <v>6.5356886776680962</v>
      </c>
      <c r="V710" s="7">
        <f t="shared" si="114"/>
        <v>11.434010152284264</v>
      </c>
      <c r="W710" s="7">
        <f t="shared" si="115"/>
        <v>3.5019632409825281</v>
      </c>
      <c r="X710" s="7">
        <f t="shared" si="116"/>
        <v>-0.3416011613906425</v>
      </c>
      <c r="Y710" s="7">
        <f t="shared" si="117"/>
        <v>-0.11805544023192505</v>
      </c>
      <c r="Z710" s="7">
        <f t="shared" si="118"/>
        <v>0.16162072779408701</v>
      </c>
      <c r="AA710" s="7">
        <f t="shared" si="119"/>
        <v>-9.9345291276160166E-2</v>
      </c>
    </row>
    <row r="711" spans="1:27" x14ac:dyDescent="0.25">
      <c r="A711" s="1" t="s">
        <v>1686</v>
      </c>
      <c r="B711" s="1" t="s">
        <v>861</v>
      </c>
      <c r="C711" s="1">
        <v>6</v>
      </c>
      <c r="D711" s="1">
        <v>6</v>
      </c>
      <c r="E711" s="1">
        <v>6</v>
      </c>
      <c r="F711" s="1">
        <v>6</v>
      </c>
      <c r="G711" s="1">
        <v>5</v>
      </c>
      <c r="H711" s="1">
        <v>6</v>
      </c>
      <c r="I711" s="1">
        <v>5</v>
      </c>
      <c r="J711" s="1">
        <v>6</v>
      </c>
      <c r="K711" s="1">
        <v>5</v>
      </c>
      <c r="L711" s="1">
        <v>6</v>
      </c>
      <c r="M711" s="1">
        <v>24</v>
      </c>
      <c r="N711" s="1">
        <v>22</v>
      </c>
      <c r="O711" s="1">
        <v>11</v>
      </c>
      <c r="P711" s="1">
        <v>57</v>
      </c>
      <c r="Q711" s="7">
        <v>0.48304589153964789</v>
      </c>
      <c r="R711" s="7">
        <f t="shared" si="110"/>
        <v>23.196700507614214</v>
      </c>
      <c r="S711" s="7">
        <f t="shared" si="111"/>
        <v>6.4306002317777482</v>
      </c>
      <c r="T711" s="7">
        <f t="shared" si="112"/>
        <v>22.771573604060915</v>
      </c>
      <c r="U711" s="7">
        <f t="shared" si="113"/>
        <v>6.5356886776680962</v>
      </c>
      <c r="V711" s="7">
        <f t="shared" si="114"/>
        <v>11.434010152284264</v>
      </c>
      <c r="W711" s="7">
        <f t="shared" si="115"/>
        <v>3.5019632409825281</v>
      </c>
      <c r="X711" s="7">
        <f t="shared" si="116"/>
        <v>0.12491827565585011</v>
      </c>
      <c r="Y711" s="7">
        <f t="shared" si="117"/>
        <v>-0.11805544023192505</v>
      </c>
      <c r="Z711" s="7">
        <f t="shared" si="118"/>
        <v>-0.12393338319636275</v>
      </c>
      <c r="AA711" s="7">
        <f t="shared" si="119"/>
        <v>-3.90235159241459E-2</v>
      </c>
    </row>
    <row r="712" spans="1:27" x14ac:dyDescent="0.25">
      <c r="A712" s="1" t="s">
        <v>1686</v>
      </c>
      <c r="B712" s="1" t="s">
        <v>861</v>
      </c>
      <c r="C712" s="1">
        <v>5</v>
      </c>
      <c r="D712" s="1">
        <v>6</v>
      </c>
      <c r="E712" s="1">
        <v>5</v>
      </c>
      <c r="F712" s="1">
        <v>5</v>
      </c>
      <c r="G712" s="1">
        <v>5</v>
      </c>
      <c r="H712" s="1">
        <v>4</v>
      </c>
      <c r="I712" s="1">
        <v>5</v>
      </c>
      <c r="J712" s="1">
        <v>5</v>
      </c>
      <c r="K712" s="1">
        <v>6</v>
      </c>
      <c r="L712" s="1">
        <v>4</v>
      </c>
      <c r="M712" s="1">
        <v>21</v>
      </c>
      <c r="N712" s="1">
        <v>19</v>
      </c>
      <c r="O712" s="1">
        <v>10</v>
      </c>
      <c r="P712" s="1">
        <v>50</v>
      </c>
      <c r="Q712" s="7">
        <v>0.66666666666666663</v>
      </c>
      <c r="R712" s="7">
        <f t="shared" si="110"/>
        <v>23.196700507614214</v>
      </c>
      <c r="S712" s="7">
        <f t="shared" si="111"/>
        <v>6.4306002317777482</v>
      </c>
      <c r="T712" s="7">
        <f t="shared" si="112"/>
        <v>22.771573604060915</v>
      </c>
      <c r="U712" s="7">
        <f t="shared" si="113"/>
        <v>6.5356886776680962</v>
      </c>
      <c r="V712" s="7">
        <f t="shared" si="114"/>
        <v>11.434010152284264</v>
      </c>
      <c r="W712" s="7">
        <f t="shared" si="115"/>
        <v>3.5019632409825281</v>
      </c>
      <c r="X712" s="7">
        <f t="shared" si="116"/>
        <v>-0.3416011613906425</v>
      </c>
      <c r="Y712" s="7">
        <f t="shared" si="117"/>
        <v>-0.57707363218631691</v>
      </c>
      <c r="Z712" s="7">
        <f t="shared" si="118"/>
        <v>-0.40948749418681252</v>
      </c>
      <c r="AA712" s="7">
        <f t="shared" si="119"/>
        <v>-0.44272076258792398</v>
      </c>
    </row>
    <row r="713" spans="1:27" x14ac:dyDescent="0.25">
      <c r="A713" s="1" t="s">
        <v>1686</v>
      </c>
      <c r="B713" s="1" t="s">
        <v>861</v>
      </c>
      <c r="C713" s="1">
        <v>5</v>
      </c>
      <c r="D713" s="1">
        <v>3</v>
      </c>
      <c r="E713" s="1">
        <v>4</v>
      </c>
      <c r="F713" s="1">
        <v>5</v>
      </c>
      <c r="G713" s="1">
        <v>5</v>
      </c>
      <c r="H713" s="1">
        <v>5</v>
      </c>
      <c r="I713" s="1">
        <v>5</v>
      </c>
      <c r="J713" s="1">
        <v>4</v>
      </c>
      <c r="K713" s="1">
        <v>5</v>
      </c>
      <c r="L713" s="1">
        <v>4</v>
      </c>
      <c r="M713" s="1">
        <v>17</v>
      </c>
      <c r="N713" s="1">
        <v>19</v>
      </c>
      <c r="O713" s="1">
        <v>9</v>
      </c>
      <c r="P713" s="1">
        <v>45</v>
      </c>
      <c r="Q713" s="7">
        <v>0.70710678118654746</v>
      </c>
      <c r="R713" s="7">
        <f t="shared" si="110"/>
        <v>23.196700507614214</v>
      </c>
      <c r="S713" s="7">
        <f t="shared" si="111"/>
        <v>6.4306002317777482</v>
      </c>
      <c r="T713" s="7">
        <f t="shared" si="112"/>
        <v>22.771573604060915</v>
      </c>
      <c r="U713" s="7">
        <f t="shared" si="113"/>
        <v>6.5356886776680962</v>
      </c>
      <c r="V713" s="7">
        <f t="shared" si="114"/>
        <v>11.434010152284264</v>
      </c>
      <c r="W713" s="7">
        <f t="shared" si="115"/>
        <v>3.5019632409825281</v>
      </c>
      <c r="X713" s="7">
        <f t="shared" si="116"/>
        <v>-0.96362707745263265</v>
      </c>
      <c r="Y713" s="7">
        <f t="shared" si="117"/>
        <v>-0.57707363218631691</v>
      </c>
      <c r="Z713" s="7">
        <f t="shared" si="118"/>
        <v>-0.69504160517726232</v>
      </c>
      <c r="AA713" s="7">
        <f t="shared" si="119"/>
        <v>-0.74524743827207063</v>
      </c>
    </row>
    <row r="714" spans="1:27" x14ac:dyDescent="0.25">
      <c r="A714" s="1" t="s">
        <v>1686</v>
      </c>
      <c r="B714" s="1" t="s">
        <v>861</v>
      </c>
      <c r="C714" s="1">
        <v>6</v>
      </c>
      <c r="D714" s="1">
        <v>6</v>
      </c>
      <c r="E714" s="1">
        <v>6</v>
      </c>
      <c r="F714" s="1">
        <v>6</v>
      </c>
      <c r="G714" s="1">
        <v>7</v>
      </c>
      <c r="H714" s="1">
        <v>7</v>
      </c>
      <c r="I714" s="1">
        <v>7</v>
      </c>
      <c r="J714" s="1">
        <v>7</v>
      </c>
      <c r="K714" s="1">
        <v>7</v>
      </c>
      <c r="L714" s="1">
        <v>6</v>
      </c>
      <c r="M714" s="1">
        <v>24</v>
      </c>
      <c r="N714" s="1">
        <v>28</v>
      </c>
      <c r="O714" s="1">
        <v>13</v>
      </c>
      <c r="P714" s="1">
        <v>65</v>
      </c>
      <c r="Q714" s="7">
        <v>0.5270462766947297</v>
      </c>
      <c r="R714" s="7">
        <f t="shared" si="110"/>
        <v>23.196700507614214</v>
      </c>
      <c r="S714" s="7">
        <f t="shared" si="111"/>
        <v>6.4306002317777482</v>
      </c>
      <c r="T714" s="7">
        <f t="shared" si="112"/>
        <v>22.771573604060915</v>
      </c>
      <c r="U714" s="7">
        <f t="shared" si="113"/>
        <v>6.5356886776680962</v>
      </c>
      <c r="V714" s="7">
        <f t="shared" si="114"/>
        <v>11.434010152284264</v>
      </c>
      <c r="W714" s="7">
        <f t="shared" si="115"/>
        <v>3.5019632409825281</v>
      </c>
      <c r="X714" s="7">
        <f t="shared" si="116"/>
        <v>0.12491827565585011</v>
      </c>
      <c r="Y714" s="7">
        <f t="shared" si="117"/>
        <v>0.79998094367685879</v>
      </c>
      <c r="Z714" s="7">
        <f t="shared" si="118"/>
        <v>0.44717483878453679</v>
      </c>
      <c r="AA714" s="7">
        <f t="shared" si="119"/>
        <v>0.45735801937241521</v>
      </c>
    </row>
    <row r="715" spans="1:27" x14ac:dyDescent="0.25">
      <c r="A715" s="1" t="s">
        <v>1686</v>
      </c>
      <c r="B715" s="1" t="s">
        <v>861</v>
      </c>
      <c r="C715" s="1">
        <v>7</v>
      </c>
      <c r="D715" s="1">
        <v>6</v>
      </c>
      <c r="E715" s="1">
        <v>7</v>
      </c>
      <c r="F715" s="1">
        <v>7</v>
      </c>
      <c r="G715" s="1">
        <v>6</v>
      </c>
      <c r="H715" s="1">
        <v>6</v>
      </c>
      <c r="I715" s="1">
        <v>6</v>
      </c>
      <c r="J715" s="1">
        <v>6</v>
      </c>
      <c r="K715" s="1">
        <v>6</v>
      </c>
      <c r="L715" s="1">
        <v>5</v>
      </c>
      <c r="M715" s="1">
        <v>27</v>
      </c>
      <c r="N715" s="1">
        <v>24</v>
      </c>
      <c r="O715" s="1">
        <v>11</v>
      </c>
      <c r="P715" s="1">
        <v>62</v>
      </c>
      <c r="Q715" s="7">
        <v>0.63245553203367566</v>
      </c>
      <c r="R715" s="7">
        <f t="shared" si="110"/>
        <v>23.196700507614214</v>
      </c>
      <c r="S715" s="7">
        <f t="shared" si="111"/>
        <v>6.4306002317777482</v>
      </c>
      <c r="T715" s="7">
        <f t="shared" si="112"/>
        <v>22.771573604060915</v>
      </c>
      <c r="U715" s="7">
        <f t="shared" si="113"/>
        <v>6.5356886776680962</v>
      </c>
      <c r="V715" s="7">
        <f t="shared" si="114"/>
        <v>11.434010152284264</v>
      </c>
      <c r="W715" s="7">
        <f t="shared" si="115"/>
        <v>3.5019632409825281</v>
      </c>
      <c r="X715" s="7">
        <f t="shared" si="116"/>
        <v>0.59143771270234269</v>
      </c>
      <c r="Y715" s="7">
        <f t="shared" si="117"/>
        <v>0.18795668773766958</v>
      </c>
      <c r="Z715" s="7">
        <f t="shared" si="118"/>
        <v>-0.12393338319636275</v>
      </c>
      <c r="AA715" s="7">
        <f t="shared" si="119"/>
        <v>0.21848700574788318</v>
      </c>
    </row>
    <row r="716" spans="1:27" x14ac:dyDescent="0.25">
      <c r="A716" s="1" t="s">
        <v>1686</v>
      </c>
      <c r="B716" s="1" t="s">
        <v>861</v>
      </c>
      <c r="C716" s="1">
        <v>6</v>
      </c>
      <c r="D716" s="1">
        <v>5</v>
      </c>
      <c r="E716" s="1">
        <v>5</v>
      </c>
      <c r="F716" s="1">
        <v>5</v>
      </c>
      <c r="G716" s="1">
        <v>5</v>
      </c>
      <c r="H716" s="1">
        <v>5</v>
      </c>
      <c r="I716" s="1">
        <v>5</v>
      </c>
      <c r="J716" s="1">
        <v>6</v>
      </c>
      <c r="K716" s="1">
        <v>5</v>
      </c>
      <c r="L716" s="1">
        <v>6</v>
      </c>
      <c r="M716" s="1">
        <v>21</v>
      </c>
      <c r="N716" s="1">
        <v>21</v>
      </c>
      <c r="O716" s="1">
        <v>11</v>
      </c>
      <c r="P716" s="1">
        <v>53</v>
      </c>
      <c r="Q716" s="7">
        <v>0.48304589153964789</v>
      </c>
      <c r="R716" s="7">
        <f t="shared" si="110"/>
        <v>23.196700507614214</v>
      </c>
      <c r="S716" s="7">
        <f t="shared" si="111"/>
        <v>6.4306002317777482</v>
      </c>
      <c r="T716" s="7">
        <f t="shared" si="112"/>
        <v>22.771573604060915</v>
      </c>
      <c r="U716" s="7">
        <f t="shared" si="113"/>
        <v>6.5356886776680962</v>
      </c>
      <c r="V716" s="7">
        <f t="shared" si="114"/>
        <v>11.434010152284264</v>
      </c>
      <c r="W716" s="7">
        <f t="shared" si="115"/>
        <v>3.5019632409825281</v>
      </c>
      <c r="X716" s="7">
        <f t="shared" si="116"/>
        <v>-0.3416011613906425</v>
      </c>
      <c r="Y716" s="7">
        <f t="shared" si="117"/>
        <v>-0.27106150421672232</v>
      </c>
      <c r="Z716" s="7">
        <f t="shared" si="118"/>
        <v>-0.12393338319636275</v>
      </c>
      <c r="AA716" s="7">
        <f t="shared" si="119"/>
        <v>-0.24553201626790919</v>
      </c>
    </row>
    <row r="717" spans="1:27" x14ac:dyDescent="0.25">
      <c r="A717" s="1" t="s">
        <v>1686</v>
      </c>
      <c r="B717" s="1" t="s">
        <v>861</v>
      </c>
      <c r="C717" s="1">
        <v>6</v>
      </c>
      <c r="D717" s="1">
        <v>5</v>
      </c>
      <c r="E717" s="1">
        <v>5</v>
      </c>
      <c r="F717" s="1">
        <v>4</v>
      </c>
      <c r="G717" s="1">
        <v>4</v>
      </c>
      <c r="H717" s="1">
        <v>4</v>
      </c>
      <c r="I717" s="1">
        <v>5</v>
      </c>
      <c r="J717" s="1">
        <v>5</v>
      </c>
      <c r="K717" s="1">
        <v>5</v>
      </c>
      <c r="L717" s="1">
        <v>4</v>
      </c>
      <c r="M717" s="1">
        <v>20</v>
      </c>
      <c r="N717" s="1">
        <v>18</v>
      </c>
      <c r="O717" s="1">
        <v>9</v>
      </c>
      <c r="P717" s="1">
        <v>47</v>
      </c>
      <c r="Q717" s="7">
        <v>0.67494855771055284</v>
      </c>
      <c r="R717" s="7">
        <f t="shared" si="110"/>
        <v>23.196700507614214</v>
      </c>
      <c r="S717" s="7">
        <f t="shared" si="111"/>
        <v>6.4306002317777482</v>
      </c>
      <c r="T717" s="7">
        <f t="shared" si="112"/>
        <v>22.771573604060915</v>
      </c>
      <c r="U717" s="7">
        <f t="shared" si="113"/>
        <v>6.5356886776680962</v>
      </c>
      <c r="V717" s="7">
        <f t="shared" si="114"/>
        <v>11.434010152284264</v>
      </c>
      <c r="W717" s="7">
        <f t="shared" si="115"/>
        <v>3.5019632409825281</v>
      </c>
      <c r="X717" s="7">
        <f t="shared" si="116"/>
        <v>-0.49710764040614003</v>
      </c>
      <c r="Y717" s="7">
        <f t="shared" si="117"/>
        <v>-0.73007969617111423</v>
      </c>
      <c r="Z717" s="7">
        <f t="shared" si="118"/>
        <v>-0.69504160517726232</v>
      </c>
      <c r="AA717" s="7">
        <f t="shared" si="119"/>
        <v>-0.64074298058483892</v>
      </c>
    </row>
    <row r="718" spans="1:27" x14ac:dyDescent="0.25">
      <c r="A718" s="1" t="s">
        <v>1686</v>
      </c>
      <c r="B718" s="1" t="s">
        <v>861</v>
      </c>
      <c r="C718" s="1">
        <v>7</v>
      </c>
      <c r="D718" s="1">
        <v>7</v>
      </c>
      <c r="E718" s="1">
        <v>7</v>
      </c>
      <c r="F718" s="1">
        <v>7</v>
      </c>
      <c r="G718" s="1">
        <v>7</v>
      </c>
      <c r="H718" s="1">
        <v>6</v>
      </c>
      <c r="I718" s="1">
        <v>7</v>
      </c>
      <c r="J718" s="1">
        <v>7</v>
      </c>
      <c r="K718" s="1">
        <v>7</v>
      </c>
      <c r="L718" s="1">
        <v>8</v>
      </c>
      <c r="M718" s="1">
        <v>28</v>
      </c>
      <c r="N718" s="1">
        <v>27</v>
      </c>
      <c r="O718" s="1">
        <v>15</v>
      </c>
      <c r="P718" s="1">
        <v>70</v>
      </c>
      <c r="Q718" s="7">
        <v>0.47140452079103162</v>
      </c>
      <c r="R718" s="7">
        <f t="shared" si="110"/>
        <v>23.196700507614214</v>
      </c>
      <c r="S718" s="7">
        <f t="shared" si="111"/>
        <v>6.4306002317777482</v>
      </c>
      <c r="T718" s="7">
        <f t="shared" si="112"/>
        <v>22.771573604060915</v>
      </c>
      <c r="U718" s="7">
        <f t="shared" si="113"/>
        <v>6.5356886776680962</v>
      </c>
      <c r="V718" s="7">
        <f t="shared" si="114"/>
        <v>11.434010152284264</v>
      </c>
      <c r="W718" s="7">
        <f t="shared" si="115"/>
        <v>3.5019632409825281</v>
      </c>
      <c r="X718" s="7">
        <f t="shared" si="116"/>
        <v>0.74694419171784021</v>
      </c>
      <c r="Y718" s="7">
        <f t="shared" si="117"/>
        <v>0.64697487969206147</v>
      </c>
      <c r="Z718" s="7">
        <f t="shared" si="118"/>
        <v>1.0182830607654363</v>
      </c>
      <c r="AA718" s="7">
        <f t="shared" si="119"/>
        <v>0.80406737739177936</v>
      </c>
    </row>
    <row r="719" spans="1:27" x14ac:dyDescent="0.25">
      <c r="A719" s="1" t="s">
        <v>1686</v>
      </c>
      <c r="B719" s="1" t="s">
        <v>861</v>
      </c>
      <c r="C719" s="1">
        <v>7</v>
      </c>
      <c r="D719" s="1">
        <v>7</v>
      </c>
      <c r="E719" s="1">
        <v>7</v>
      </c>
      <c r="F719" s="1">
        <v>7</v>
      </c>
      <c r="G719" s="1">
        <v>6</v>
      </c>
      <c r="H719" s="1">
        <v>7</v>
      </c>
      <c r="I719" s="1">
        <v>7</v>
      </c>
      <c r="J719" s="1">
        <v>7</v>
      </c>
      <c r="K719" s="1">
        <v>7</v>
      </c>
      <c r="L719" s="1">
        <v>8</v>
      </c>
      <c r="M719" s="1">
        <v>28</v>
      </c>
      <c r="N719" s="1">
        <v>27</v>
      </c>
      <c r="O719" s="1">
        <v>15</v>
      </c>
      <c r="P719" s="1">
        <v>70</v>
      </c>
      <c r="Q719" s="7">
        <v>0.47140452079103162</v>
      </c>
      <c r="R719" s="7">
        <f t="shared" si="110"/>
        <v>23.196700507614214</v>
      </c>
      <c r="S719" s="7">
        <f t="shared" si="111"/>
        <v>6.4306002317777482</v>
      </c>
      <c r="T719" s="7">
        <f t="shared" si="112"/>
        <v>22.771573604060915</v>
      </c>
      <c r="U719" s="7">
        <f t="shared" si="113"/>
        <v>6.5356886776680962</v>
      </c>
      <c r="V719" s="7">
        <f t="shared" si="114"/>
        <v>11.434010152284264</v>
      </c>
      <c r="W719" s="7">
        <f t="shared" si="115"/>
        <v>3.5019632409825281</v>
      </c>
      <c r="X719" s="7">
        <f t="shared" si="116"/>
        <v>0.74694419171784021</v>
      </c>
      <c r="Y719" s="7">
        <f t="shared" si="117"/>
        <v>0.64697487969206147</v>
      </c>
      <c r="Z719" s="7">
        <f t="shared" si="118"/>
        <v>1.0182830607654363</v>
      </c>
      <c r="AA719" s="7">
        <f t="shared" si="119"/>
        <v>0.80406737739177936</v>
      </c>
    </row>
    <row r="720" spans="1:27" x14ac:dyDescent="0.25">
      <c r="A720" s="1" t="s">
        <v>1686</v>
      </c>
      <c r="B720" s="1" t="s">
        <v>861</v>
      </c>
      <c r="C720" s="1">
        <v>7</v>
      </c>
      <c r="D720" s="1">
        <v>5</v>
      </c>
      <c r="E720" s="1">
        <v>5</v>
      </c>
      <c r="F720" s="1">
        <v>5</v>
      </c>
      <c r="G720" s="1">
        <v>5</v>
      </c>
      <c r="H720" s="1">
        <v>4</v>
      </c>
      <c r="I720" s="1">
        <v>4</v>
      </c>
      <c r="J720" s="1">
        <v>5</v>
      </c>
      <c r="K720" s="1">
        <v>5</v>
      </c>
      <c r="L720" s="1">
        <v>6</v>
      </c>
      <c r="M720" s="1">
        <v>22</v>
      </c>
      <c r="N720" s="1">
        <v>18</v>
      </c>
      <c r="O720" s="1">
        <v>11</v>
      </c>
      <c r="P720" s="1">
        <v>51</v>
      </c>
      <c r="Q720" s="7">
        <v>0.87559503577091335</v>
      </c>
      <c r="R720" s="7">
        <f t="shared" si="110"/>
        <v>23.196700507614214</v>
      </c>
      <c r="S720" s="7">
        <f t="shared" si="111"/>
        <v>6.4306002317777482</v>
      </c>
      <c r="T720" s="7">
        <f t="shared" si="112"/>
        <v>22.771573604060915</v>
      </c>
      <c r="U720" s="7">
        <f t="shared" si="113"/>
        <v>6.5356886776680962</v>
      </c>
      <c r="V720" s="7">
        <f t="shared" si="114"/>
        <v>11.434010152284264</v>
      </c>
      <c r="W720" s="7">
        <f t="shared" si="115"/>
        <v>3.5019632409825281</v>
      </c>
      <c r="X720" s="7">
        <f t="shared" si="116"/>
        <v>-0.18609468237514495</v>
      </c>
      <c r="Y720" s="7">
        <f t="shared" si="117"/>
        <v>-0.73007969617111423</v>
      </c>
      <c r="Z720" s="7">
        <f t="shared" si="118"/>
        <v>-0.12393338319636275</v>
      </c>
      <c r="AA720" s="7">
        <f t="shared" si="119"/>
        <v>-0.34670258724754066</v>
      </c>
    </row>
    <row r="721" spans="1:27" x14ac:dyDescent="0.25">
      <c r="A721" s="1" t="s">
        <v>1686</v>
      </c>
      <c r="B721" s="1" t="s">
        <v>861</v>
      </c>
      <c r="C721" s="1">
        <v>8</v>
      </c>
      <c r="D721" s="1">
        <v>8</v>
      </c>
      <c r="E721" s="1">
        <v>8</v>
      </c>
      <c r="F721" s="1">
        <v>8</v>
      </c>
      <c r="G721" s="1">
        <v>7</v>
      </c>
      <c r="H721" s="1">
        <v>6</v>
      </c>
      <c r="I721" s="1">
        <v>7</v>
      </c>
      <c r="J721" s="1">
        <v>7</v>
      </c>
      <c r="K721" s="1">
        <v>7</v>
      </c>
      <c r="L721" s="1">
        <v>7</v>
      </c>
      <c r="M721" s="1">
        <v>32</v>
      </c>
      <c r="N721" s="1">
        <v>27</v>
      </c>
      <c r="O721" s="1">
        <v>14</v>
      </c>
      <c r="P721" s="1">
        <v>73</v>
      </c>
      <c r="Q721" s="7">
        <v>0.67494855771055284</v>
      </c>
      <c r="R721" s="7">
        <f t="shared" si="110"/>
        <v>23.196700507614214</v>
      </c>
      <c r="S721" s="7">
        <f t="shared" si="111"/>
        <v>6.4306002317777482</v>
      </c>
      <c r="T721" s="7">
        <f t="shared" si="112"/>
        <v>22.771573604060915</v>
      </c>
      <c r="U721" s="7">
        <f t="shared" si="113"/>
        <v>6.5356886776680962</v>
      </c>
      <c r="V721" s="7">
        <f t="shared" si="114"/>
        <v>11.434010152284264</v>
      </c>
      <c r="W721" s="7">
        <f t="shared" si="115"/>
        <v>3.5019632409825281</v>
      </c>
      <c r="X721" s="7">
        <f t="shared" si="116"/>
        <v>1.3689701077798304</v>
      </c>
      <c r="Y721" s="7">
        <f t="shared" si="117"/>
        <v>0.64697487969206147</v>
      </c>
      <c r="Z721" s="7">
        <f t="shared" si="118"/>
        <v>0.73272894977498659</v>
      </c>
      <c r="AA721" s="7">
        <f t="shared" si="119"/>
        <v>0.91622464574895945</v>
      </c>
    </row>
    <row r="722" spans="1:27" x14ac:dyDescent="0.25">
      <c r="A722" s="1" t="s">
        <v>1686</v>
      </c>
      <c r="B722" s="1" t="s">
        <v>861</v>
      </c>
      <c r="C722" s="1">
        <v>6</v>
      </c>
      <c r="D722" s="1">
        <v>4</v>
      </c>
      <c r="E722" s="1">
        <v>6</v>
      </c>
      <c r="F722" s="1">
        <v>7</v>
      </c>
      <c r="G722" s="1">
        <v>7</v>
      </c>
      <c r="H722" s="1">
        <v>6</v>
      </c>
      <c r="I722" s="1">
        <v>6</v>
      </c>
      <c r="J722" s="1">
        <v>6</v>
      </c>
      <c r="K722" s="1">
        <v>6</v>
      </c>
      <c r="L722" s="1">
        <v>7</v>
      </c>
      <c r="M722" s="1">
        <v>23</v>
      </c>
      <c r="N722" s="1">
        <v>25</v>
      </c>
      <c r="O722" s="1">
        <v>13</v>
      </c>
      <c r="P722" s="1">
        <v>61</v>
      </c>
      <c r="Q722" s="7">
        <v>0.87559503577091324</v>
      </c>
      <c r="R722" s="7">
        <f t="shared" si="110"/>
        <v>23.196700507614214</v>
      </c>
      <c r="S722" s="7">
        <f t="shared" si="111"/>
        <v>6.4306002317777482</v>
      </c>
      <c r="T722" s="7">
        <f t="shared" si="112"/>
        <v>22.771573604060915</v>
      </c>
      <c r="U722" s="7">
        <f t="shared" si="113"/>
        <v>6.5356886776680962</v>
      </c>
      <c r="V722" s="7">
        <f t="shared" si="114"/>
        <v>11.434010152284264</v>
      </c>
      <c r="W722" s="7">
        <f t="shared" si="115"/>
        <v>3.5019632409825281</v>
      </c>
      <c r="X722" s="7">
        <f t="shared" si="116"/>
        <v>-3.0588203359647428E-2</v>
      </c>
      <c r="Y722" s="7">
        <f t="shared" si="117"/>
        <v>0.34096275172246687</v>
      </c>
      <c r="Z722" s="7">
        <f t="shared" si="118"/>
        <v>0.44717483878453679</v>
      </c>
      <c r="AA722" s="7">
        <f t="shared" si="119"/>
        <v>0.25251646238245207</v>
      </c>
    </row>
    <row r="723" spans="1:27" x14ac:dyDescent="0.25">
      <c r="A723" s="1" t="s">
        <v>1686</v>
      </c>
      <c r="B723" s="1" t="s">
        <v>861</v>
      </c>
      <c r="C723" s="1">
        <v>7</v>
      </c>
      <c r="D723" s="1">
        <v>6</v>
      </c>
      <c r="E723" s="1">
        <v>6</v>
      </c>
      <c r="F723" s="1">
        <v>6</v>
      </c>
      <c r="G723" s="1">
        <v>6</v>
      </c>
      <c r="H723" s="1">
        <v>5</v>
      </c>
      <c r="I723" s="1">
        <v>5</v>
      </c>
      <c r="J723" s="1">
        <v>5</v>
      </c>
      <c r="K723" s="1">
        <v>6</v>
      </c>
      <c r="L723" s="1">
        <v>7</v>
      </c>
      <c r="M723" s="1">
        <v>25</v>
      </c>
      <c r="N723" s="1">
        <v>21</v>
      </c>
      <c r="O723" s="1">
        <v>13</v>
      </c>
      <c r="P723" s="1">
        <v>59</v>
      </c>
      <c r="Q723" s="7">
        <v>0.73786478737262173</v>
      </c>
      <c r="R723" s="7">
        <f t="shared" si="110"/>
        <v>23.196700507614214</v>
      </c>
      <c r="S723" s="7">
        <f t="shared" si="111"/>
        <v>6.4306002317777482</v>
      </c>
      <c r="T723" s="7">
        <f t="shared" si="112"/>
        <v>22.771573604060915</v>
      </c>
      <c r="U723" s="7">
        <f t="shared" si="113"/>
        <v>6.5356886776680962</v>
      </c>
      <c r="V723" s="7">
        <f t="shared" si="114"/>
        <v>11.434010152284264</v>
      </c>
      <c r="W723" s="7">
        <f t="shared" si="115"/>
        <v>3.5019632409825281</v>
      </c>
      <c r="X723" s="7">
        <f t="shared" si="116"/>
        <v>0.28042475467134764</v>
      </c>
      <c r="Y723" s="7">
        <f t="shared" si="117"/>
        <v>-0.27106150421672232</v>
      </c>
      <c r="Z723" s="7">
        <f t="shared" si="118"/>
        <v>0.44717483878453679</v>
      </c>
      <c r="AA723" s="7">
        <f t="shared" si="119"/>
        <v>0.15217936307972071</v>
      </c>
    </row>
    <row r="724" spans="1:27" x14ac:dyDescent="0.25">
      <c r="A724" s="1" t="s">
        <v>1686</v>
      </c>
      <c r="B724" s="1" t="s">
        <v>861</v>
      </c>
      <c r="C724" s="1">
        <v>7</v>
      </c>
      <c r="D724" s="1">
        <v>6</v>
      </c>
      <c r="E724" s="1">
        <v>6</v>
      </c>
      <c r="F724" s="1">
        <v>7</v>
      </c>
      <c r="G724" s="1">
        <v>6</v>
      </c>
      <c r="H724" s="1">
        <v>7</v>
      </c>
      <c r="I724" s="1">
        <v>7</v>
      </c>
      <c r="J724" s="1">
        <v>6</v>
      </c>
      <c r="K724" s="1">
        <v>6</v>
      </c>
      <c r="L724" s="1">
        <v>4</v>
      </c>
      <c r="M724" s="1">
        <v>26</v>
      </c>
      <c r="N724" s="1">
        <v>26</v>
      </c>
      <c r="O724" s="1">
        <v>10</v>
      </c>
      <c r="P724" s="1">
        <v>62</v>
      </c>
      <c r="Q724" s="7">
        <v>0.91893658347268148</v>
      </c>
      <c r="R724" s="7">
        <f t="shared" si="110"/>
        <v>23.196700507614214</v>
      </c>
      <c r="S724" s="7">
        <f t="shared" si="111"/>
        <v>6.4306002317777482</v>
      </c>
      <c r="T724" s="7">
        <f t="shared" si="112"/>
        <v>22.771573604060915</v>
      </c>
      <c r="U724" s="7">
        <f t="shared" si="113"/>
        <v>6.5356886776680962</v>
      </c>
      <c r="V724" s="7">
        <f t="shared" si="114"/>
        <v>11.434010152284264</v>
      </c>
      <c r="W724" s="7">
        <f t="shared" si="115"/>
        <v>3.5019632409825281</v>
      </c>
      <c r="X724" s="7">
        <f t="shared" si="116"/>
        <v>0.43593123368684517</v>
      </c>
      <c r="Y724" s="7">
        <f t="shared" si="117"/>
        <v>0.49396881570726414</v>
      </c>
      <c r="Z724" s="7">
        <f t="shared" si="118"/>
        <v>-0.40948749418681252</v>
      </c>
      <c r="AA724" s="7">
        <f t="shared" si="119"/>
        <v>0.1734708517357656</v>
      </c>
    </row>
    <row r="725" spans="1:27" x14ac:dyDescent="0.25">
      <c r="A725" s="1" t="s">
        <v>1686</v>
      </c>
      <c r="B725" s="1" t="s">
        <v>861</v>
      </c>
      <c r="C725" s="1">
        <v>5</v>
      </c>
      <c r="D725" s="1">
        <v>5</v>
      </c>
      <c r="E725" s="1">
        <v>4</v>
      </c>
      <c r="F725" s="1">
        <v>5</v>
      </c>
      <c r="G725" s="1">
        <v>6</v>
      </c>
      <c r="H725" s="1">
        <v>6</v>
      </c>
      <c r="I725" s="1">
        <v>6</v>
      </c>
      <c r="J725" s="1">
        <v>5</v>
      </c>
      <c r="K725" s="1">
        <v>5</v>
      </c>
      <c r="L725" s="1">
        <v>4</v>
      </c>
      <c r="M725" s="1">
        <v>19</v>
      </c>
      <c r="N725" s="1">
        <v>23</v>
      </c>
      <c r="O725" s="1">
        <v>9</v>
      </c>
      <c r="P725" s="1">
        <v>51</v>
      </c>
      <c r="Q725" s="7">
        <v>0.73786478737262173</v>
      </c>
      <c r="R725" s="7">
        <f t="shared" si="110"/>
        <v>23.196700507614214</v>
      </c>
      <c r="S725" s="7">
        <f t="shared" si="111"/>
        <v>6.4306002317777482</v>
      </c>
      <c r="T725" s="7">
        <f t="shared" si="112"/>
        <v>22.771573604060915</v>
      </c>
      <c r="U725" s="7">
        <f t="shared" si="113"/>
        <v>6.5356886776680962</v>
      </c>
      <c r="V725" s="7">
        <f t="shared" si="114"/>
        <v>11.434010152284264</v>
      </c>
      <c r="W725" s="7">
        <f t="shared" si="115"/>
        <v>3.5019632409825281</v>
      </c>
      <c r="X725" s="7">
        <f t="shared" si="116"/>
        <v>-0.65261411942163761</v>
      </c>
      <c r="Y725" s="7">
        <f t="shared" si="117"/>
        <v>3.4950623752872265E-2</v>
      </c>
      <c r="Z725" s="7">
        <f t="shared" si="118"/>
        <v>-0.69504160517726232</v>
      </c>
      <c r="AA725" s="7">
        <f t="shared" si="119"/>
        <v>-0.4375683669486759</v>
      </c>
    </row>
    <row r="726" spans="1:27" x14ac:dyDescent="0.25">
      <c r="A726" s="1" t="s">
        <v>1686</v>
      </c>
      <c r="B726" s="1" t="s">
        <v>861</v>
      </c>
      <c r="C726" s="1">
        <v>8</v>
      </c>
      <c r="D726" s="1">
        <v>7</v>
      </c>
      <c r="E726" s="1">
        <v>8</v>
      </c>
      <c r="F726" s="1">
        <v>8</v>
      </c>
      <c r="G726" s="1">
        <v>8</v>
      </c>
      <c r="H726" s="1">
        <v>8</v>
      </c>
      <c r="I726" s="1">
        <v>8</v>
      </c>
      <c r="J726" s="1">
        <v>8</v>
      </c>
      <c r="K726" s="1">
        <v>8</v>
      </c>
      <c r="L726" s="1">
        <v>9</v>
      </c>
      <c r="M726" s="1">
        <v>31</v>
      </c>
      <c r="N726" s="1">
        <v>32</v>
      </c>
      <c r="O726" s="1">
        <v>17</v>
      </c>
      <c r="P726" s="1">
        <v>80</v>
      </c>
      <c r="Q726" s="7">
        <v>0.47140452079103162</v>
      </c>
      <c r="R726" s="7">
        <f t="shared" si="110"/>
        <v>23.196700507614214</v>
      </c>
      <c r="S726" s="7">
        <f t="shared" si="111"/>
        <v>6.4306002317777482</v>
      </c>
      <c r="T726" s="7">
        <f t="shared" si="112"/>
        <v>22.771573604060915</v>
      </c>
      <c r="U726" s="7">
        <f t="shared" si="113"/>
        <v>6.5356886776680962</v>
      </c>
      <c r="V726" s="7">
        <f t="shared" si="114"/>
        <v>11.434010152284264</v>
      </c>
      <c r="W726" s="7">
        <f t="shared" si="115"/>
        <v>3.5019632409825281</v>
      </c>
      <c r="X726" s="7">
        <f t="shared" si="116"/>
        <v>1.2134636287643328</v>
      </c>
      <c r="Y726" s="7">
        <f t="shared" si="117"/>
        <v>1.4120051996160479</v>
      </c>
      <c r="Z726" s="7">
        <f t="shared" si="118"/>
        <v>1.5893912827463359</v>
      </c>
      <c r="AA726" s="7">
        <f t="shared" si="119"/>
        <v>1.4049533703755721</v>
      </c>
    </row>
    <row r="727" spans="1:27" x14ac:dyDescent="0.25">
      <c r="A727" s="1" t="s">
        <v>1686</v>
      </c>
      <c r="B727" s="1" t="s">
        <v>861</v>
      </c>
      <c r="C727" s="1">
        <v>6</v>
      </c>
      <c r="D727" s="1">
        <v>5</v>
      </c>
      <c r="E727" s="1">
        <v>6</v>
      </c>
      <c r="F727" s="1">
        <v>6</v>
      </c>
      <c r="G727" s="1">
        <v>6</v>
      </c>
      <c r="H727" s="1">
        <v>6</v>
      </c>
      <c r="I727" s="1">
        <v>7</v>
      </c>
      <c r="J727" s="1">
        <v>6</v>
      </c>
      <c r="K727" s="1">
        <v>6</v>
      </c>
      <c r="L727" s="1">
        <v>4</v>
      </c>
      <c r="M727" s="1">
        <v>23</v>
      </c>
      <c r="N727" s="1">
        <v>25</v>
      </c>
      <c r="O727" s="1">
        <v>10</v>
      </c>
      <c r="P727" s="1">
        <v>58</v>
      </c>
      <c r="Q727" s="7">
        <v>0.78881063774661553</v>
      </c>
      <c r="R727" s="7">
        <f t="shared" si="110"/>
        <v>23.196700507614214</v>
      </c>
      <c r="S727" s="7">
        <f t="shared" si="111"/>
        <v>6.4306002317777482</v>
      </c>
      <c r="T727" s="7">
        <f t="shared" si="112"/>
        <v>22.771573604060915</v>
      </c>
      <c r="U727" s="7">
        <f t="shared" si="113"/>
        <v>6.5356886776680962</v>
      </c>
      <c r="V727" s="7">
        <f t="shared" si="114"/>
        <v>11.434010152284264</v>
      </c>
      <c r="W727" s="7">
        <f t="shared" si="115"/>
        <v>3.5019632409825281</v>
      </c>
      <c r="X727" s="7">
        <f t="shared" si="116"/>
        <v>-3.0588203359647428E-2</v>
      </c>
      <c r="Y727" s="7">
        <f t="shared" si="117"/>
        <v>0.34096275172246687</v>
      </c>
      <c r="Z727" s="7">
        <f t="shared" si="118"/>
        <v>-0.40948749418681252</v>
      </c>
      <c r="AA727" s="7">
        <f t="shared" si="119"/>
        <v>-3.3037648607997683E-2</v>
      </c>
    </row>
    <row r="728" spans="1:27" x14ac:dyDescent="0.25">
      <c r="A728" s="1" t="s">
        <v>1686</v>
      </c>
      <c r="B728" s="1" t="s">
        <v>861</v>
      </c>
      <c r="C728" s="1">
        <v>8</v>
      </c>
      <c r="D728" s="1">
        <v>8</v>
      </c>
      <c r="E728" s="1">
        <v>8</v>
      </c>
      <c r="F728" s="1">
        <v>8</v>
      </c>
      <c r="G728" s="1">
        <v>8</v>
      </c>
      <c r="H728" s="1">
        <v>8</v>
      </c>
      <c r="I728" s="1">
        <v>8</v>
      </c>
      <c r="J728" s="1">
        <v>8</v>
      </c>
      <c r="K728" s="1">
        <v>8</v>
      </c>
      <c r="L728" s="1">
        <v>8</v>
      </c>
      <c r="M728" s="1">
        <v>32</v>
      </c>
      <c r="N728" s="1">
        <v>32</v>
      </c>
      <c r="O728" s="1">
        <v>16</v>
      </c>
      <c r="P728" s="1">
        <v>80</v>
      </c>
      <c r="Q728" s="7">
        <v>0</v>
      </c>
      <c r="R728" s="7">
        <f t="shared" si="110"/>
        <v>23.196700507614214</v>
      </c>
      <c r="S728" s="7">
        <f t="shared" si="111"/>
        <v>6.4306002317777482</v>
      </c>
      <c r="T728" s="7">
        <f t="shared" si="112"/>
        <v>22.771573604060915</v>
      </c>
      <c r="U728" s="7">
        <f t="shared" si="113"/>
        <v>6.5356886776680962</v>
      </c>
      <c r="V728" s="7">
        <f t="shared" si="114"/>
        <v>11.434010152284264</v>
      </c>
      <c r="W728" s="7">
        <f t="shared" si="115"/>
        <v>3.5019632409825281</v>
      </c>
      <c r="X728" s="7">
        <f t="shared" si="116"/>
        <v>1.3689701077798304</v>
      </c>
      <c r="Y728" s="7">
        <f t="shared" si="117"/>
        <v>1.4120051996160479</v>
      </c>
      <c r="Z728" s="7">
        <f t="shared" si="118"/>
        <v>1.3038371717558861</v>
      </c>
      <c r="AA728" s="7">
        <f t="shared" si="119"/>
        <v>1.361604159717255</v>
      </c>
    </row>
    <row r="729" spans="1:27" x14ac:dyDescent="0.25">
      <c r="A729" s="1" t="s">
        <v>1686</v>
      </c>
      <c r="B729" s="1" t="s">
        <v>861</v>
      </c>
      <c r="C729" s="1">
        <v>7</v>
      </c>
      <c r="D729" s="1">
        <v>4</v>
      </c>
      <c r="E729" s="1">
        <v>6</v>
      </c>
      <c r="F729" s="1">
        <v>6</v>
      </c>
      <c r="G729" s="1">
        <v>5</v>
      </c>
      <c r="H729" s="1">
        <v>5</v>
      </c>
      <c r="I729" s="1">
        <v>7</v>
      </c>
      <c r="J729" s="1">
        <v>7</v>
      </c>
      <c r="K729" s="1">
        <v>5</v>
      </c>
      <c r="L729" s="1">
        <v>7</v>
      </c>
      <c r="M729" s="1">
        <v>23</v>
      </c>
      <c r="N729" s="1">
        <v>24</v>
      </c>
      <c r="O729" s="1">
        <v>12</v>
      </c>
      <c r="P729" s="1">
        <v>59</v>
      </c>
      <c r="Q729" s="7">
        <v>1.1005049346146119</v>
      </c>
      <c r="R729" s="7">
        <f t="shared" si="110"/>
        <v>23.196700507614214</v>
      </c>
      <c r="S729" s="7">
        <f t="shared" si="111"/>
        <v>6.4306002317777482</v>
      </c>
      <c r="T729" s="7">
        <f t="shared" si="112"/>
        <v>22.771573604060915</v>
      </c>
      <c r="U729" s="7">
        <f t="shared" si="113"/>
        <v>6.5356886776680962</v>
      </c>
      <c r="V729" s="7">
        <f t="shared" si="114"/>
        <v>11.434010152284264</v>
      </c>
      <c r="W729" s="7">
        <f t="shared" si="115"/>
        <v>3.5019632409825281</v>
      </c>
      <c r="X729" s="7">
        <f t="shared" si="116"/>
        <v>-3.0588203359647428E-2</v>
      </c>
      <c r="Y729" s="7">
        <f t="shared" si="117"/>
        <v>0.18795668773766958</v>
      </c>
      <c r="Z729" s="7">
        <f t="shared" si="118"/>
        <v>0.16162072779408701</v>
      </c>
      <c r="AA729" s="7">
        <f t="shared" si="119"/>
        <v>0.10632973739070306</v>
      </c>
    </row>
    <row r="730" spans="1:27" x14ac:dyDescent="0.25">
      <c r="A730" s="1" t="s">
        <v>1686</v>
      </c>
      <c r="B730" s="1" t="s">
        <v>861</v>
      </c>
      <c r="C730" s="1">
        <v>5</v>
      </c>
      <c r="D730" s="1">
        <v>4</v>
      </c>
      <c r="E730" s="1">
        <v>4</v>
      </c>
      <c r="F730" s="1">
        <v>4</v>
      </c>
      <c r="G730" s="1">
        <v>4</v>
      </c>
      <c r="H730" s="1">
        <v>4</v>
      </c>
      <c r="I730" s="1">
        <v>4</v>
      </c>
      <c r="J730" s="1">
        <v>5</v>
      </c>
      <c r="K730" s="1">
        <v>5</v>
      </c>
      <c r="L730" s="1">
        <v>6</v>
      </c>
      <c r="M730" s="1">
        <v>17</v>
      </c>
      <c r="N730" s="1">
        <v>17</v>
      </c>
      <c r="O730" s="1">
        <v>11</v>
      </c>
      <c r="P730" s="1">
        <v>45</v>
      </c>
      <c r="Q730" s="7">
        <v>0.70710678118654757</v>
      </c>
      <c r="R730" s="7">
        <f t="shared" si="110"/>
        <v>23.196700507614214</v>
      </c>
      <c r="S730" s="7">
        <f t="shared" si="111"/>
        <v>6.4306002317777482</v>
      </c>
      <c r="T730" s="7">
        <f t="shared" si="112"/>
        <v>22.771573604060915</v>
      </c>
      <c r="U730" s="7">
        <f t="shared" si="113"/>
        <v>6.5356886776680962</v>
      </c>
      <c r="V730" s="7">
        <f t="shared" si="114"/>
        <v>11.434010152284264</v>
      </c>
      <c r="W730" s="7">
        <f t="shared" si="115"/>
        <v>3.5019632409825281</v>
      </c>
      <c r="X730" s="7">
        <f t="shared" si="116"/>
        <v>-0.96362707745263265</v>
      </c>
      <c r="Y730" s="7">
        <f t="shared" si="117"/>
        <v>-0.88308576015591156</v>
      </c>
      <c r="Z730" s="7">
        <f t="shared" si="118"/>
        <v>-0.12393338319636275</v>
      </c>
      <c r="AA730" s="7">
        <f t="shared" si="119"/>
        <v>-0.65688207360163564</v>
      </c>
    </row>
    <row r="731" spans="1:27" x14ac:dyDescent="0.25">
      <c r="A731" s="1" t="s">
        <v>1686</v>
      </c>
      <c r="B731" s="1" t="s">
        <v>861</v>
      </c>
      <c r="C731" s="1">
        <v>7</v>
      </c>
      <c r="D731" s="1">
        <v>6</v>
      </c>
      <c r="E731" s="1">
        <v>7</v>
      </c>
      <c r="F731" s="1">
        <v>7</v>
      </c>
      <c r="G731" s="1">
        <v>6</v>
      </c>
      <c r="H731" s="1">
        <v>7</v>
      </c>
      <c r="I731" s="1">
        <v>7</v>
      </c>
      <c r="J731" s="1">
        <v>6</v>
      </c>
      <c r="K731" s="1">
        <v>6</v>
      </c>
      <c r="L731" s="1">
        <v>7</v>
      </c>
      <c r="M731" s="1">
        <v>27</v>
      </c>
      <c r="N731" s="1">
        <v>26</v>
      </c>
      <c r="O731" s="1">
        <v>13</v>
      </c>
      <c r="P731" s="1">
        <v>66</v>
      </c>
      <c r="Q731" s="7">
        <v>0.5163977794943222</v>
      </c>
      <c r="R731" s="7">
        <f t="shared" si="110"/>
        <v>23.196700507614214</v>
      </c>
      <c r="S731" s="7">
        <f t="shared" si="111"/>
        <v>6.4306002317777482</v>
      </c>
      <c r="T731" s="7">
        <f t="shared" si="112"/>
        <v>22.771573604060915</v>
      </c>
      <c r="U731" s="7">
        <f t="shared" si="113"/>
        <v>6.5356886776680962</v>
      </c>
      <c r="V731" s="7">
        <f t="shared" si="114"/>
        <v>11.434010152284264</v>
      </c>
      <c r="W731" s="7">
        <f t="shared" si="115"/>
        <v>3.5019632409825281</v>
      </c>
      <c r="X731" s="7">
        <f t="shared" si="116"/>
        <v>0.59143771270234269</v>
      </c>
      <c r="Y731" s="7">
        <f t="shared" si="117"/>
        <v>0.49396881570726414</v>
      </c>
      <c r="Z731" s="7">
        <f t="shared" si="118"/>
        <v>0.44717483878453679</v>
      </c>
      <c r="AA731" s="7">
        <f t="shared" si="119"/>
        <v>0.51086045573138117</v>
      </c>
    </row>
    <row r="732" spans="1:27" x14ac:dyDescent="0.25">
      <c r="A732" s="1" t="s">
        <v>1686</v>
      </c>
      <c r="B732" s="1" t="s">
        <v>861</v>
      </c>
      <c r="C732" s="1">
        <v>6</v>
      </c>
      <c r="D732" s="1">
        <v>5</v>
      </c>
      <c r="E732" s="1">
        <v>5</v>
      </c>
      <c r="F732" s="1">
        <v>5</v>
      </c>
      <c r="G732" s="1">
        <v>5</v>
      </c>
      <c r="H732" s="1">
        <v>5</v>
      </c>
      <c r="I732" s="1">
        <v>5</v>
      </c>
      <c r="J732" s="1">
        <v>5</v>
      </c>
      <c r="K732" s="1">
        <v>5</v>
      </c>
      <c r="L732" s="1">
        <v>6</v>
      </c>
      <c r="M732" s="1">
        <v>21</v>
      </c>
      <c r="N732" s="1">
        <v>20</v>
      </c>
      <c r="O732" s="1">
        <v>11</v>
      </c>
      <c r="P732" s="1">
        <v>52</v>
      </c>
      <c r="Q732" s="7">
        <v>0.42163702135578407</v>
      </c>
      <c r="R732" s="7">
        <f t="shared" si="110"/>
        <v>23.196700507614214</v>
      </c>
      <c r="S732" s="7">
        <f t="shared" si="111"/>
        <v>6.4306002317777482</v>
      </c>
      <c r="T732" s="7">
        <f t="shared" si="112"/>
        <v>22.771573604060915</v>
      </c>
      <c r="U732" s="7">
        <f t="shared" si="113"/>
        <v>6.5356886776680962</v>
      </c>
      <c r="V732" s="7">
        <f t="shared" si="114"/>
        <v>11.434010152284264</v>
      </c>
      <c r="W732" s="7">
        <f t="shared" si="115"/>
        <v>3.5019632409825281</v>
      </c>
      <c r="X732" s="7">
        <f t="shared" si="116"/>
        <v>-0.3416011613906425</v>
      </c>
      <c r="Y732" s="7">
        <f t="shared" si="117"/>
        <v>-0.42406756820151964</v>
      </c>
      <c r="Z732" s="7">
        <f t="shared" si="118"/>
        <v>-0.12393338319636275</v>
      </c>
      <c r="AA732" s="7">
        <f t="shared" si="119"/>
        <v>-0.29653403759617497</v>
      </c>
    </row>
    <row r="733" spans="1:27" x14ac:dyDescent="0.25">
      <c r="A733" s="1" t="s">
        <v>1686</v>
      </c>
      <c r="B733" s="1" t="s">
        <v>861</v>
      </c>
      <c r="C733" s="1">
        <v>7</v>
      </c>
      <c r="D733" s="1">
        <v>7</v>
      </c>
      <c r="E733" s="1">
        <v>6</v>
      </c>
      <c r="F733" s="1">
        <v>7</v>
      </c>
      <c r="G733" s="1">
        <v>6</v>
      </c>
      <c r="H733" s="1">
        <v>7</v>
      </c>
      <c r="I733" s="1">
        <v>8</v>
      </c>
      <c r="J733" s="1">
        <v>7</v>
      </c>
      <c r="K733" s="1">
        <v>7</v>
      </c>
      <c r="L733" s="1">
        <v>7</v>
      </c>
      <c r="M733" s="1">
        <v>27</v>
      </c>
      <c r="N733" s="1">
        <v>28</v>
      </c>
      <c r="O733" s="1">
        <v>14</v>
      </c>
      <c r="P733" s="1">
        <v>69</v>
      </c>
      <c r="Q733" s="7">
        <v>0.56764621219754685</v>
      </c>
      <c r="R733" s="7">
        <f t="shared" si="110"/>
        <v>23.196700507614214</v>
      </c>
      <c r="S733" s="7">
        <f t="shared" si="111"/>
        <v>6.4306002317777482</v>
      </c>
      <c r="T733" s="7">
        <f t="shared" si="112"/>
        <v>22.771573604060915</v>
      </c>
      <c r="U733" s="7">
        <f t="shared" si="113"/>
        <v>6.5356886776680962</v>
      </c>
      <c r="V733" s="7">
        <f t="shared" si="114"/>
        <v>11.434010152284264</v>
      </c>
      <c r="W733" s="7">
        <f t="shared" si="115"/>
        <v>3.5019632409825281</v>
      </c>
      <c r="X733" s="7">
        <f t="shared" si="116"/>
        <v>0.59143771270234269</v>
      </c>
      <c r="Y733" s="7">
        <f t="shared" si="117"/>
        <v>0.79998094367685879</v>
      </c>
      <c r="Z733" s="7">
        <f t="shared" si="118"/>
        <v>0.73272894977498659</v>
      </c>
      <c r="AA733" s="7">
        <f t="shared" si="119"/>
        <v>0.70804920205139599</v>
      </c>
    </row>
    <row r="734" spans="1:27" x14ac:dyDescent="0.25">
      <c r="A734" s="1" t="s">
        <v>1686</v>
      </c>
      <c r="B734" s="1" t="s">
        <v>861</v>
      </c>
      <c r="C734" s="1">
        <v>7</v>
      </c>
      <c r="D734" s="1">
        <v>7</v>
      </c>
      <c r="E734" s="1">
        <v>6</v>
      </c>
      <c r="F734" s="1">
        <v>7</v>
      </c>
      <c r="G734" s="1">
        <v>5</v>
      </c>
      <c r="H734" s="1">
        <v>5</v>
      </c>
      <c r="I734" s="1">
        <v>5</v>
      </c>
      <c r="J734" s="1">
        <v>6</v>
      </c>
      <c r="K734" s="1">
        <v>6</v>
      </c>
      <c r="L734" s="1">
        <v>6</v>
      </c>
      <c r="M734" s="1">
        <v>27</v>
      </c>
      <c r="N734" s="1">
        <v>21</v>
      </c>
      <c r="O734" s="1">
        <v>12</v>
      </c>
      <c r="P734" s="1">
        <v>60</v>
      </c>
      <c r="Q734" s="7">
        <v>0.81649658092772626</v>
      </c>
      <c r="R734" s="7">
        <f t="shared" si="110"/>
        <v>23.196700507614214</v>
      </c>
      <c r="S734" s="7">
        <f t="shared" si="111"/>
        <v>6.4306002317777482</v>
      </c>
      <c r="T734" s="7">
        <f t="shared" si="112"/>
        <v>22.771573604060915</v>
      </c>
      <c r="U734" s="7">
        <f t="shared" si="113"/>
        <v>6.5356886776680962</v>
      </c>
      <c r="V734" s="7">
        <f t="shared" si="114"/>
        <v>11.434010152284264</v>
      </c>
      <c r="W734" s="7">
        <f t="shared" si="115"/>
        <v>3.5019632409825281</v>
      </c>
      <c r="X734" s="7">
        <f t="shared" si="116"/>
        <v>0.59143771270234269</v>
      </c>
      <c r="Y734" s="7">
        <f t="shared" si="117"/>
        <v>-0.27106150421672232</v>
      </c>
      <c r="Z734" s="7">
        <f t="shared" si="118"/>
        <v>0.16162072779408701</v>
      </c>
      <c r="AA734" s="7">
        <f t="shared" si="119"/>
        <v>0.16066564542656914</v>
      </c>
    </row>
    <row r="735" spans="1:27" x14ac:dyDescent="0.25">
      <c r="A735" s="1" t="s">
        <v>1686</v>
      </c>
      <c r="B735" s="1" t="s">
        <v>861</v>
      </c>
      <c r="C735" s="1">
        <v>7</v>
      </c>
      <c r="D735" s="1">
        <v>8</v>
      </c>
      <c r="E735" s="1">
        <v>7</v>
      </c>
      <c r="F735" s="1">
        <v>8</v>
      </c>
      <c r="G735" s="1">
        <v>7</v>
      </c>
      <c r="H735" s="1">
        <v>6</v>
      </c>
      <c r="I735" s="1">
        <v>7</v>
      </c>
      <c r="J735" s="1">
        <v>7</v>
      </c>
      <c r="K735" s="1">
        <v>7</v>
      </c>
      <c r="L735" s="1">
        <v>7</v>
      </c>
      <c r="M735" s="1">
        <v>30</v>
      </c>
      <c r="N735" s="1">
        <v>27</v>
      </c>
      <c r="O735" s="1">
        <v>14</v>
      </c>
      <c r="P735" s="1">
        <v>71</v>
      </c>
      <c r="Q735" s="7">
        <v>0.56764621219754674</v>
      </c>
      <c r="R735" s="7">
        <f t="shared" si="110"/>
        <v>23.196700507614214</v>
      </c>
      <c r="S735" s="7">
        <f t="shared" si="111"/>
        <v>6.4306002317777482</v>
      </c>
      <c r="T735" s="7">
        <f t="shared" si="112"/>
        <v>22.771573604060915</v>
      </c>
      <c r="U735" s="7">
        <f t="shared" si="113"/>
        <v>6.5356886776680962</v>
      </c>
      <c r="V735" s="7">
        <f t="shared" si="114"/>
        <v>11.434010152284264</v>
      </c>
      <c r="W735" s="7">
        <f t="shared" si="115"/>
        <v>3.5019632409825281</v>
      </c>
      <c r="X735" s="7">
        <f t="shared" si="116"/>
        <v>1.0579571497488354</v>
      </c>
      <c r="Y735" s="7">
        <f t="shared" si="117"/>
        <v>0.64697487969206147</v>
      </c>
      <c r="Z735" s="7">
        <f t="shared" si="118"/>
        <v>0.73272894977498659</v>
      </c>
      <c r="AA735" s="7">
        <f t="shared" si="119"/>
        <v>0.8125536597386277</v>
      </c>
    </row>
    <row r="736" spans="1:27" x14ac:dyDescent="0.25">
      <c r="A736" s="1" t="s">
        <v>1686</v>
      </c>
      <c r="B736" s="1" t="s">
        <v>861</v>
      </c>
      <c r="C736" s="1">
        <v>7</v>
      </c>
      <c r="D736" s="1">
        <v>7</v>
      </c>
      <c r="E736" s="1">
        <v>7</v>
      </c>
      <c r="F736" s="1">
        <v>7</v>
      </c>
      <c r="G736" s="1">
        <v>8</v>
      </c>
      <c r="H736" s="1">
        <v>8</v>
      </c>
      <c r="I736" s="1">
        <v>8</v>
      </c>
      <c r="J736" s="1">
        <v>7</v>
      </c>
      <c r="K736" s="1">
        <v>8</v>
      </c>
      <c r="L736" s="1">
        <v>7</v>
      </c>
      <c r="M736" s="1">
        <v>28</v>
      </c>
      <c r="N736" s="1">
        <v>31</v>
      </c>
      <c r="O736" s="1">
        <v>15</v>
      </c>
      <c r="P736" s="1">
        <v>74</v>
      </c>
      <c r="Q736" s="7">
        <v>0.5163977794943222</v>
      </c>
      <c r="R736" s="7">
        <f t="shared" si="110"/>
        <v>23.196700507614214</v>
      </c>
      <c r="S736" s="7">
        <f t="shared" si="111"/>
        <v>6.4306002317777482</v>
      </c>
      <c r="T736" s="7">
        <f t="shared" si="112"/>
        <v>22.771573604060915</v>
      </c>
      <c r="U736" s="7">
        <f t="shared" si="113"/>
        <v>6.5356886776680962</v>
      </c>
      <c r="V736" s="7">
        <f t="shared" si="114"/>
        <v>11.434010152284264</v>
      </c>
      <c r="W736" s="7">
        <f t="shared" si="115"/>
        <v>3.5019632409825281</v>
      </c>
      <c r="X736" s="7">
        <f t="shared" si="116"/>
        <v>0.74694419171784021</v>
      </c>
      <c r="Y736" s="7">
        <f t="shared" si="117"/>
        <v>1.2589991356312507</v>
      </c>
      <c r="Z736" s="7">
        <f t="shared" si="118"/>
        <v>1.0182830607654363</v>
      </c>
      <c r="AA736" s="7">
        <f t="shared" si="119"/>
        <v>1.0080754627048423</v>
      </c>
    </row>
    <row r="737" spans="1:27" x14ac:dyDescent="0.25">
      <c r="A737" s="1" t="s">
        <v>1686</v>
      </c>
      <c r="B737" s="1" t="s">
        <v>861</v>
      </c>
      <c r="C737" s="1">
        <v>8</v>
      </c>
      <c r="D737" s="1">
        <v>8</v>
      </c>
      <c r="E737" s="1">
        <v>8</v>
      </c>
      <c r="F737" s="1">
        <v>8</v>
      </c>
      <c r="G737" s="1">
        <v>6</v>
      </c>
      <c r="H737" s="1">
        <v>7</v>
      </c>
      <c r="I737" s="1">
        <v>7</v>
      </c>
      <c r="J737" s="1">
        <v>6</v>
      </c>
      <c r="K737" s="1">
        <v>7</v>
      </c>
      <c r="L737" s="1">
        <v>7</v>
      </c>
      <c r="M737" s="1">
        <v>32</v>
      </c>
      <c r="N737" s="1">
        <v>26</v>
      </c>
      <c r="O737" s="1">
        <v>14</v>
      </c>
      <c r="P737" s="1">
        <v>72</v>
      </c>
      <c r="Q737" s="7">
        <v>0.78881063774661553</v>
      </c>
      <c r="R737" s="7">
        <f t="shared" si="110"/>
        <v>23.196700507614214</v>
      </c>
      <c r="S737" s="7">
        <f t="shared" si="111"/>
        <v>6.4306002317777482</v>
      </c>
      <c r="T737" s="7">
        <f t="shared" si="112"/>
        <v>22.771573604060915</v>
      </c>
      <c r="U737" s="7">
        <f t="shared" si="113"/>
        <v>6.5356886776680962</v>
      </c>
      <c r="V737" s="7">
        <f t="shared" si="114"/>
        <v>11.434010152284264</v>
      </c>
      <c r="W737" s="7">
        <f t="shared" si="115"/>
        <v>3.5019632409825281</v>
      </c>
      <c r="X737" s="7">
        <f t="shared" si="116"/>
        <v>1.3689701077798304</v>
      </c>
      <c r="Y737" s="7">
        <f t="shared" si="117"/>
        <v>0.49396881570726414</v>
      </c>
      <c r="Z737" s="7">
        <f t="shared" si="118"/>
        <v>0.73272894977498659</v>
      </c>
      <c r="AA737" s="7">
        <f t="shared" si="119"/>
        <v>0.86522262442069364</v>
      </c>
    </row>
    <row r="738" spans="1:27" x14ac:dyDescent="0.25">
      <c r="A738" s="1" t="s">
        <v>1687</v>
      </c>
      <c r="B738" s="1" t="s">
        <v>861</v>
      </c>
      <c r="C738" s="1">
        <v>7</v>
      </c>
      <c r="D738" s="1">
        <v>6</v>
      </c>
      <c r="E738" s="1">
        <v>6</v>
      </c>
      <c r="F738" s="1">
        <v>4</v>
      </c>
      <c r="G738" s="1">
        <v>8</v>
      </c>
      <c r="H738" s="1">
        <v>7</v>
      </c>
      <c r="I738" s="1">
        <v>6</v>
      </c>
      <c r="J738" s="1">
        <v>2</v>
      </c>
      <c r="K738" s="1">
        <v>8</v>
      </c>
      <c r="L738" s="1">
        <v>3</v>
      </c>
      <c r="M738" s="1">
        <v>23</v>
      </c>
      <c r="N738" s="1">
        <v>23</v>
      </c>
      <c r="O738" s="1">
        <v>11</v>
      </c>
      <c r="P738" s="1">
        <v>57</v>
      </c>
      <c r="Q738" s="7">
        <v>2.0575065816014622</v>
      </c>
      <c r="R738" s="7">
        <f t="shared" si="110"/>
        <v>23.196700507614214</v>
      </c>
      <c r="S738" s="7">
        <f t="shared" si="111"/>
        <v>6.4306002317777482</v>
      </c>
      <c r="T738" s="7">
        <f t="shared" si="112"/>
        <v>22.771573604060915</v>
      </c>
      <c r="U738" s="7">
        <f t="shared" si="113"/>
        <v>6.5356886776680962</v>
      </c>
      <c r="V738" s="7">
        <f t="shared" si="114"/>
        <v>11.434010152284264</v>
      </c>
      <c r="W738" s="7">
        <f t="shared" si="115"/>
        <v>3.5019632409825281</v>
      </c>
      <c r="X738" s="7">
        <f t="shared" si="116"/>
        <v>-3.0588203359647428E-2</v>
      </c>
      <c r="Y738" s="7">
        <f t="shared" si="117"/>
        <v>3.4950623752872265E-2</v>
      </c>
      <c r="Z738" s="7">
        <f t="shared" si="118"/>
        <v>-0.12393338319636275</v>
      </c>
      <c r="AA738" s="7">
        <f t="shared" si="119"/>
        <v>-3.9856987601045973E-2</v>
      </c>
    </row>
    <row r="739" spans="1:27" x14ac:dyDescent="0.25">
      <c r="A739" s="1" t="s">
        <v>1687</v>
      </c>
      <c r="B739" s="1" t="s">
        <v>861</v>
      </c>
      <c r="C739" s="1">
        <v>8</v>
      </c>
      <c r="D739" s="1">
        <v>7</v>
      </c>
      <c r="E739" s="1">
        <v>9</v>
      </c>
      <c r="F739" s="1">
        <v>3</v>
      </c>
      <c r="G739" s="1">
        <v>7</v>
      </c>
      <c r="H739" s="1">
        <v>8</v>
      </c>
      <c r="I739" s="1">
        <v>7</v>
      </c>
      <c r="J739" s="1">
        <v>3</v>
      </c>
      <c r="K739" s="1">
        <v>8</v>
      </c>
      <c r="L739" s="1">
        <v>4</v>
      </c>
      <c r="M739" s="1">
        <v>27</v>
      </c>
      <c r="N739" s="1">
        <v>25</v>
      </c>
      <c r="O739" s="1">
        <v>12</v>
      </c>
      <c r="P739" s="1">
        <v>64</v>
      </c>
      <c r="Q739" s="7">
        <v>2.2211108331943574</v>
      </c>
      <c r="R739" s="7">
        <f t="shared" si="110"/>
        <v>23.196700507614214</v>
      </c>
      <c r="S739" s="7">
        <f t="shared" si="111"/>
        <v>6.4306002317777482</v>
      </c>
      <c r="T739" s="7">
        <f t="shared" si="112"/>
        <v>22.771573604060915</v>
      </c>
      <c r="U739" s="7">
        <f t="shared" si="113"/>
        <v>6.5356886776680962</v>
      </c>
      <c r="V739" s="7">
        <f t="shared" si="114"/>
        <v>11.434010152284264</v>
      </c>
      <c r="W739" s="7">
        <f t="shared" si="115"/>
        <v>3.5019632409825281</v>
      </c>
      <c r="X739" s="7">
        <f t="shared" si="116"/>
        <v>0.59143771270234269</v>
      </c>
      <c r="Y739" s="7">
        <f t="shared" si="117"/>
        <v>0.34096275172246687</v>
      </c>
      <c r="Z739" s="7">
        <f t="shared" si="118"/>
        <v>0.16162072779408701</v>
      </c>
      <c r="AA739" s="7">
        <f t="shared" si="119"/>
        <v>0.36467373073963222</v>
      </c>
    </row>
    <row r="740" spans="1:27" x14ac:dyDescent="0.25">
      <c r="A740" s="1" t="s">
        <v>1687</v>
      </c>
      <c r="B740" s="1" t="s">
        <v>861</v>
      </c>
      <c r="C740" s="1">
        <v>6</v>
      </c>
      <c r="D740" s="1">
        <v>5</v>
      </c>
      <c r="E740" s="1">
        <v>5</v>
      </c>
      <c r="F740" s="1">
        <v>3</v>
      </c>
      <c r="G740" s="1">
        <v>8</v>
      </c>
      <c r="H740" s="1">
        <v>6</v>
      </c>
      <c r="I740" s="1">
        <v>5</v>
      </c>
      <c r="J740" s="1">
        <v>3</v>
      </c>
      <c r="K740" s="1">
        <v>7</v>
      </c>
      <c r="L740" s="1">
        <v>3</v>
      </c>
      <c r="M740" s="1">
        <v>19</v>
      </c>
      <c r="N740" s="1">
        <v>22</v>
      </c>
      <c r="O740" s="1">
        <v>10</v>
      </c>
      <c r="P740" s="1">
        <v>51</v>
      </c>
      <c r="Q740" s="7">
        <v>1.7288403306519919</v>
      </c>
      <c r="R740" s="7">
        <f t="shared" si="110"/>
        <v>23.196700507614214</v>
      </c>
      <c r="S740" s="7">
        <f t="shared" si="111"/>
        <v>6.4306002317777482</v>
      </c>
      <c r="T740" s="7">
        <f t="shared" si="112"/>
        <v>22.771573604060915</v>
      </c>
      <c r="U740" s="7">
        <f t="shared" si="113"/>
        <v>6.5356886776680962</v>
      </c>
      <c r="V740" s="7">
        <f t="shared" si="114"/>
        <v>11.434010152284264</v>
      </c>
      <c r="W740" s="7">
        <f t="shared" si="115"/>
        <v>3.5019632409825281</v>
      </c>
      <c r="X740" s="7">
        <f t="shared" si="116"/>
        <v>-0.65261411942163761</v>
      </c>
      <c r="Y740" s="7">
        <f t="shared" si="117"/>
        <v>-0.11805544023192505</v>
      </c>
      <c r="Z740" s="7">
        <f t="shared" si="118"/>
        <v>-0.40948749418681252</v>
      </c>
      <c r="AA740" s="7">
        <f t="shared" si="119"/>
        <v>-0.39338568461345841</v>
      </c>
    </row>
    <row r="741" spans="1:27" x14ac:dyDescent="0.25">
      <c r="A741" s="1" t="s">
        <v>1687</v>
      </c>
      <c r="B741" s="1" t="s">
        <v>861</v>
      </c>
      <c r="C741" s="1">
        <v>8</v>
      </c>
      <c r="D741" s="1">
        <v>7</v>
      </c>
      <c r="E741" s="1">
        <v>7</v>
      </c>
      <c r="F741" s="1">
        <v>3</v>
      </c>
      <c r="G741" s="1">
        <v>6</v>
      </c>
      <c r="H741" s="1">
        <v>7</v>
      </c>
      <c r="I741" s="1">
        <v>6</v>
      </c>
      <c r="J741" s="1">
        <v>4</v>
      </c>
      <c r="K741" s="1">
        <v>7</v>
      </c>
      <c r="L741" s="1">
        <v>3</v>
      </c>
      <c r="M741" s="1">
        <v>25</v>
      </c>
      <c r="N741" s="1">
        <v>23</v>
      </c>
      <c r="O741" s="1">
        <v>10</v>
      </c>
      <c r="P741" s="1">
        <v>58</v>
      </c>
      <c r="Q741" s="7">
        <v>1.8135294011647258</v>
      </c>
      <c r="R741" s="7">
        <f t="shared" si="110"/>
        <v>23.196700507614214</v>
      </c>
      <c r="S741" s="7">
        <f t="shared" si="111"/>
        <v>6.4306002317777482</v>
      </c>
      <c r="T741" s="7">
        <f t="shared" si="112"/>
        <v>22.771573604060915</v>
      </c>
      <c r="U741" s="7">
        <f t="shared" si="113"/>
        <v>6.5356886776680962</v>
      </c>
      <c r="V741" s="7">
        <f t="shared" si="114"/>
        <v>11.434010152284264</v>
      </c>
      <c r="W741" s="7">
        <f t="shared" si="115"/>
        <v>3.5019632409825281</v>
      </c>
      <c r="X741" s="7">
        <f t="shared" si="116"/>
        <v>0.28042475467134764</v>
      </c>
      <c r="Y741" s="7">
        <f t="shared" si="117"/>
        <v>3.4950623752872265E-2</v>
      </c>
      <c r="Z741" s="7">
        <f t="shared" si="118"/>
        <v>-0.40948749418681252</v>
      </c>
      <c r="AA741" s="7">
        <f t="shared" si="119"/>
        <v>-3.137070525419753E-2</v>
      </c>
    </row>
    <row r="742" spans="1:27" x14ac:dyDescent="0.25">
      <c r="A742" s="1" t="s">
        <v>1687</v>
      </c>
      <c r="B742" s="1" t="s">
        <v>861</v>
      </c>
      <c r="C742" s="1">
        <v>9</v>
      </c>
      <c r="D742" s="1">
        <v>10</v>
      </c>
      <c r="E742" s="1">
        <v>9</v>
      </c>
      <c r="F742" s="1">
        <v>5</v>
      </c>
      <c r="G742" s="1">
        <v>8</v>
      </c>
      <c r="H742" s="1">
        <v>7</v>
      </c>
      <c r="I742" s="1">
        <v>8</v>
      </c>
      <c r="J742" s="1">
        <v>4</v>
      </c>
      <c r="K742" s="1">
        <v>9</v>
      </c>
      <c r="L742" s="1">
        <v>4</v>
      </c>
      <c r="M742" s="1">
        <v>33</v>
      </c>
      <c r="N742" s="1">
        <v>27</v>
      </c>
      <c r="O742" s="1">
        <v>13</v>
      </c>
      <c r="P742" s="1">
        <v>73</v>
      </c>
      <c r="Q742" s="7">
        <v>2.2135943621178655</v>
      </c>
      <c r="R742" s="7">
        <f t="shared" si="110"/>
        <v>23.196700507614214</v>
      </c>
      <c r="S742" s="7">
        <f t="shared" si="111"/>
        <v>6.4306002317777482</v>
      </c>
      <c r="T742" s="7">
        <f t="shared" si="112"/>
        <v>22.771573604060915</v>
      </c>
      <c r="U742" s="7">
        <f t="shared" si="113"/>
        <v>6.5356886776680962</v>
      </c>
      <c r="V742" s="7">
        <f t="shared" si="114"/>
        <v>11.434010152284264</v>
      </c>
      <c r="W742" s="7">
        <f t="shared" si="115"/>
        <v>3.5019632409825281</v>
      </c>
      <c r="X742" s="7">
        <f t="shared" si="116"/>
        <v>1.524476586795328</v>
      </c>
      <c r="Y742" s="7">
        <f t="shared" si="117"/>
        <v>0.64697487969206147</v>
      </c>
      <c r="Z742" s="7">
        <f t="shared" si="118"/>
        <v>0.44717483878453679</v>
      </c>
      <c r="AA742" s="7">
        <f t="shared" si="119"/>
        <v>0.87287543509064214</v>
      </c>
    </row>
    <row r="743" spans="1:27" x14ac:dyDescent="0.25">
      <c r="A743" s="1" t="s">
        <v>1687</v>
      </c>
      <c r="B743" s="1" t="s">
        <v>861</v>
      </c>
      <c r="C743" s="1">
        <v>8</v>
      </c>
      <c r="D743" s="1">
        <v>6</v>
      </c>
      <c r="E743" s="1">
        <v>9</v>
      </c>
      <c r="F743" s="1">
        <v>4</v>
      </c>
      <c r="G743" s="1">
        <v>7</v>
      </c>
      <c r="H743" s="1">
        <v>6</v>
      </c>
      <c r="I743" s="1">
        <v>6</v>
      </c>
      <c r="J743" s="1">
        <v>3</v>
      </c>
      <c r="K743" s="1">
        <v>8</v>
      </c>
      <c r="L743" s="1">
        <v>4</v>
      </c>
      <c r="M743" s="1">
        <v>27</v>
      </c>
      <c r="N743" s="1">
        <v>22</v>
      </c>
      <c r="O743" s="1">
        <v>12</v>
      </c>
      <c r="P743" s="1">
        <v>61</v>
      </c>
      <c r="Q743" s="7">
        <v>1.9692073983655907</v>
      </c>
      <c r="R743" s="7">
        <f t="shared" si="110"/>
        <v>23.196700507614214</v>
      </c>
      <c r="S743" s="7">
        <f t="shared" si="111"/>
        <v>6.4306002317777482</v>
      </c>
      <c r="T743" s="7">
        <f t="shared" si="112"/>
        <v>22.771573604060915</v>
      </c>
      <c r="U743" s="7">
        <f t="shared" si="113"/>
        <v>6.5356886776680962</v>
      </c>
      <c r="V743" s="7">
        <f t="shared" si="114"/>
        <v>11.434010152284264</v>
      </c>
      <c r="W743" s="7">
        <f t="shared" si="115"/>
        <v>3.5019632409825281</v>
      </c>
      <c r="X743" s="7">
        <f t="shared" si="116"/>
        <v>0.59143771270234269</v>
      </c>
      <c r="Y743" s="7">
        <f t="shared" si="117"/>
        <v>-0.11805544023192505</v>
      </c>
      <c r="Z743" s="7">
        <f t="shared" si="118"/>
        <v>0.16162072779408701</v>
      </c>
      <c r="AA743" s="7">
        <f t="shared" si="119"/>
        <v>0.21166766675483487</v>
      </c>
    </row>
    <row r="744" spans="1:27" x14ac:dyDescent="0.25">
      <c r="A744" s="1" t="s">
        <v>1687</v>
      </c>
      <c r="B744" s="1" t="s">
        <v>861</v>
      </c>
      <c r="C744" s="1">
        <v>8</v>
      </c>
      <c r="D744" s="1">
        <v>8</v>
      </c>
      <c r="E744" s="1">
        <v>7</v>
      </c>
      <c r="F744" s="1">
        <v>3</v>
      </c>
      <c r="G744" s="1">
        <v>8</v>
      </c>
      <c r="H744" s="1">
        <v>6</v>
      </c>
      <c r="I744" s="1">
        <v>7</v>
      </c>
      <c r="J744" s="1">
        <v>3</v>
      </c>
      <c r="K744" s="1">
        <v>7</v>
      </c>
      <c r="L744" s="1">
        <v>3</v>
      </c>
      <c r="M744" s="1">
        <v>26</v>
      </c>
      <c r="N744" s="1">
        <v>24</v>
      </c>
      <c r="O744" s="1">
        <v>10</v>
      </c>
      <c r="P744" s="1">
        <v>60</v>
      </c>
      <c r="Q744" s="7">
        <v>2.1602468994692865</v>
      </c>
      <c r="R744" s="7">
        <f t="shared" si="110"/>
        <v>23.196700507614214</v>
      </c>
      <c r="S744" s="7">
        <f t="shared" si="111"/>
        <v>6.4306002317777482</v>
      </c>
      <c r="T744" s="7">
        <f t="shared" si="112"/>
        <v>22.771573604060915</v>
      </c>
      <c r="U744" s="7">
        <f t="shared" si="113"/>
        <v>6.5356886776680962</v>
      </c>
      <c r="V744" s="7">
        <f t="shared" si="114"/>
        <v>11.434010152284264</v>
      </c>
      <c r="W744" s="7">
        <f t="shared" si="115"/>
        <v>3.5019632409825281</v>
      </c>
      <c r="X744" s="7">
        <f t="shared" si="116"/>
        <v>0.43593123368684517</v>
      </c>
      <c r="Y744" s="7">
        <f t="shared" si="117"/>
        <v>0.18795668773766958</v>
      </c>
      <c r="Z744" s="7">
        <f t="shared" si="118"/>
        <v>-0.40948749418681252</v>
      </c>
      <c r="AA744" s="7">
        <f t="shared" si="119"/>
        <v>7.1466809079234084E-2</v>
      </c>
    </row>
    <row r="745" spans="1:27" x14ac:dyDescent="0.25">
      <c r="A745" s="1" t="s">
        <v>1687</v>
      </c>
      <c r="B745" s="1" t="s">
        <v>861</v>
      </c>
      <c r="C745" s="1">
        <v>9</v>
      </c>
      <c r="D745" s="1">
        <v>9</v>
      </c>
      <c r="E745" s="1">
        <v>9</v>
      </c>
      <c r="F745" s="1">
        <v>4</v>
      </c>
      <c r="G745" s="1">
        <v>7</v>
      </c>
      <c r="H745" s="1">
        <v>7</v>
      </c>
      <c r="I745" s="1">
        <v>9</v>
      </c>
      <c r="J745" s="1">
        <v>3</v>
      </c>
      <c r="K745" s="1">
        <v>6</v>
      </c>
      <c r="L745" s="1">
        <v>3</v>
      </c>
      <c r="M745" s="1">
        <v>31</v>
      </c>
      <c r="N745" s="1">
        <v>26</v>
      </c>
      <c r="O745" s="1">
        <v>9</v>
      </c>
      <c r="P745" s="1">
        <v>66</v>
      </c>
      <c r="Q745" s="7">
        <v>2.503331114069145</v>
      </c>
      <c r="R745" s="7">
        <f t="shared" si="110"/>
        <v>23.196700507614214</v>
      </c>
      <c r="S745" s="7">
        <f t="shared" si="111"/>
        <v>6.4306002317777482</v>
      </c>
      <c r="T745" s="7">
        <f t="shared" si="112"/>
        <v>22.771573604060915</v>
      </c>
      <c r="U745" s="7">
        <f t="shared" si="113"/>
        <v>6.5356886776680962</v>
      </c>
      <c r="V745" s="7">
        <f t="shared" si="114"/>
        <v>11.434010152284264</v>
      </c>
      <c r="W745" s="7">
        <f t="shared" si="115"/>
        <v>3.5019632409825281</v>
      </c>
      <c r="X745" s="7">
        <f t="shared" si="116"/>
        <v>1.2134636287643328</v>
      </c>
      <c r="Y745" s="7">
        <f t="shared" si="117"/>
        <v>0.49396881570726414</v>
      </c>
      <c r="Z745" s="7">
        <f t="shared" si="118"/>
        <v>-0.69504160517726232</v>
      </c>
      <c r="AA745" s="7">
        <f t="shared" si="119"/>
        <v>0.33746361309811151</v>
      </c>
    </row>
    <row r="746" spans="1:27" x14ac:dyDescent="0.25">
      <c r="A746" s="1" t="s">
        <v>1688</v>
      </c>
      <c r="B746" s="1" t="s">
        <v>861</v>
      </c>
      <c r="C746" s="1">
        <v>8</v>
      </c>
      <c r="D746" s="1">
        <v>8</v>
      </c>
      <c r="E746" s="1">
        <v>8</v>
      </c>
      <c r="F746" s="1">
        <v>8</v>
      </c>
      <c r="G746" s="1">
        <v>7</v>
      </c>
      <c r="H746" s="1">
        <v>7</v>
      </c>
      <c r="I746" s="1">
        <v>8</v>
      </c>
      <c r="J746" s="1">
        <v>7</v>
      </c>
      <c r="K746" s="1">
        <v>8</v>
      </c>
      <c r="L746" s="1">
        <v>8</v>
      </c>
      <c r="M746" s="1">
        <v>32</v>
      </c>
      <c r="N746" s="1">
        <v>29</v>
      </c>
      <c r="O746" s="1">
        <v>16</v>
      </c>
      <c r="P746" s="1">
        <v>77</v>
      </c>
      <c r="Q746" s="7">
        <v>0.48304589153964789</v>
      </c>
      <c r="R746" s="7">
        <f t="shared" si="110"/>
        <v>23.196700507614214</v>
      </c>
      <c r="S746" s="7">
        <f t="shared" si="111"/>
        <v>6.4306002317777482</v>
      </c>
      <c r="T746" s="7">
        <f t="shared" si="112"/>
        <v>22.771573604060915</v>
      </c>
      <c r="U746" s="7">
        <f t="shared" si="113"/>
        <v>6.5356886776680962</v>
      </c>
      <c r="V746" s="7">
        <f t="shared" si="114"/>
        <v>11.434010152284264</v>
      </c>
      <c r="W746" s="7">
        <f t="shared" si="115"/>
        <v>3.5019632409825281</v>
      </c>
      <c r="X746" s="7">
        <f t="shared" si="116"/>
        <v>1.3689701077798304</v>
      </c>
      <c r="Y746" s="7">
        <f t="shared" si="117"/>
        <v>0.95298700766165612</v>
      </c>
      <c r="Z746" s="7">
        <f t="shared" si="118"/>
        <v>1.3038371717558861</v>
      </c>
      <c r="AA746" s="7">
        <f t="shared" si="119"/>
        <v>1.2085980957324576</v>
      </c>
    </row>
    <row r="747" spans="1:27" x14ac:dyDescent="0.25">
      <c r="A747" s="1" t="s">
        <v>1688</v>
      </c>
      <c r="B747" s="1" t="s">
        <v>861</v>
      </c>
      <c r="C747" s="1">
        <v>5</v>
      </c>
      <c r="D747" s="1">
        <v>2</v>
      </c>
      <c r="E747" s="1">
        <v>2</v>
      </c>
      <c r="F747" s="1">
        <v>1</v>
      </c>
      <c r="G747" s="1">
        <v>1</v>
      </c>
      <c r="H747" s="1">
        <v>1</v>
      </c>
      <c r="I747" s="1">
        <v>1</v>
      </c>
      <c r="J747" s="1">
        <v>1</v>
      </c>
      <c r="K747" s="1">
        <v>2</v>
      </c>
      <c r="L747" s="1">
        <v>1</v>
      </c>
      <c r="M747" s="1">
        <v>10</v>
      </c>
      <c r="N747" s="1">
        <v>4</v>
      </c>
      <c r="O747" s="1">
        <v>3</v>
      </c>
      <c r="P747" s="1">
        <v>17</v>
      </c>
      <c r="Q747" s="7">
        <v>1.2516655570345725</v>
      </c>
      <c r="R747" s="7">
        <f t="shared" si="110"/>
        <v>23.196700507614214</v>
      </c>
      <c r="S747" s="7">
        <f t="shared" si="111"/>
        <v>6.4306002317777482</v>
      </c>
      <c r="T747" s="7">
        <f t="shared" si="112"/>
        <v>22.771573604060915</v>
      </c>
      <c r="U747" s="7">
        <f t="shared" si="113"/>
        <v>6.5356886776680962</v>
      </c>
      <c r="V747" s="7">
        <f t="shared" si="114"/>
        <v>11.434010152284264</v>
      </c>
      <c r="W747" s="7">
        <f t="shared" si="115"/>
        <v>3.5019632409825281</v>
      </c>
      <c r="X747" s="7">
        <f t="shared" si="116"/>
        <v>-2.0521724305611153</v>
      </c>
      <c r="Y747" s="7">
        <f t="shared" si="117"/>
        <v>-2.8721645919582763</v>
      </c>
      <c r="Z747" s="7">
        <f t="shared" si="118"/>
        <v>-2.4083662711199607</v>
      </c>
      <c r="AA747" s="7">
        <f t="shared" si="119"/>
        <v>-2.4442344312131179</v>
      </c>
    </row>
    <row r="748" spans="1:27" x14ac:dyDescent="0.25">
      <c r="A748" s="1" t="s">
        <v>1688</v>
      </c>
      <c r="B748" s="1" t="s">
        <v>861</v>
      </c>
      <c r="C748" s="1">
        <v>9</v>
      </c>
      <c r="D748" s="1">
        <v>8</v>
      </c>
      <c r="E748" s="1">
        <v>8</v>
      </c>
      <c r="F748" s="1">
        <v>8</v>
      </c>
      <c r="G748" s="1">
        <v>9</v>
      </c>
      <c r="H748" s="1">
        <v>9</v>
      </c>
      <c r="I748" s="1">
        <v>9</v>
      </c>
      <c r="J748" s="1">
        <v>9</v>
      </c>
      <c r="K748" s="1">
        <v>8</v>
      </c>
      <c r="L748" s="1">
        <v>8</v>
      </c>
      <c r="M748" s="1">
        <v>33</v>
      </c>
      <c r="N748" s="1">
        <v>36</v>
      </c>
      <c r="O748" s="1">
        <v>16</v>
      </c>
      <c r="P748" s="1">
        <v>85</v>
      </c>
      <c r="Q748" s="7">
        <v>0.52704627669472992</v>
      </c>
      <c r="R748" s="7">
        <f t="shared" si="110"/>
        <v>23.196700507614214</v>
      </c>
      <c r="S748" s="7">
        <f t="shared" si="111"/>
        <v>6.4306002317777482</v>
      </c>
      <c r="T748" s="7">
        <f t="shared" si="112"/>
        <v>22.771573604060915</v>
      </c>
      <c r="U748" s="7">
        <f t="shared" si="113"/>
        <v>6.5356886776680962</v>
      </c>
      <c r="V748" s="7">
        <f t="shared" si="114"/>
        <v>11.434010152284264</v>
      </c>
      <c r="W748" s="7">
        <f t="shared" si="115"/>
        <v>3.5019632409825281</v>
      </c>
      <c r="X748" s="7">
        <f t="shared" si="116"/>
        <v>1.524476586795328</v>
      </c>
      <c r="Y748" s="7">
        <f t="shared" si="117"/>
        <v>2.0240294555552372</v>
      </c>
      <c r="Z748" s="7">
        <f t="shared" si="118"/>
        <v>1.3038371717558861</v>
      </c>
      <c r="AA748" s="7">
        <f t="shared" si="119"/>
        <v>1.6174477380354837</v>
      </c>
    </row>
    <row r="749" spans="1:27" x14ac:dyDescent="0.25">
      <c r="A749" s="1" t="s">
        <v>1688</v>
      </c>
      <c r="B749" s="1" t="s">
        <v>861</v>
      </c>
      <c r="C749" s="1">
        <v>7</v>
      </c>
      <c r="D749" s="1">
        <v>8</v>
      </c>
      <c r="E749" s="1">
        <v>7</v>
      </c>
      <c r="F749" s="1">
        <v>7</v>
      </c>
      <c r="G749" s="1">
        <v>6</v>
      </c>
      <c r="H749" s="1">
        <v>6</v>
      </c>
      <c r="I749" s="1">
        <v>6</v>
      </c>
      <c r="J749" s="1">
        <v>6</v>
      </c>
      <c r="K749" s="1">
        <v>6</v>
      </c>
      <c r="L749" s="1">
        <v>6</v>
      </c>
      <c r="M749" s="1">
        <v>29</v>
      </c>
      <c r="N749" s="1">
        <v>24</v>
      </c>
      <c r="O749" s="1">
        <v>12</v>
      </c>
      <c r="P749" s="1">
        <v>65</v>
      </c>
      <c r="Q749" s="7">
        <v>0.70710678118654746</v>
      </c>
      <c r="R749" s="7">
        <f t="shared" si="110"/>
        <v>23.196700507614214</v>
      </c>
      <c r="S749" s="7">
        <f t="shared" si="111"/>
        <v>6.4306002317777482</v>
      </c>
      <c r="T749" s="7">
        <f t="shared" si="112"/>
        <v>22.771573604060915</v>
      </c>
      <c r="U749" s="7">
        <f t="shared" si="113"/>
        <v>6.5356886776680962</v>
      </c>
      <c r="V749" s="7">
        <f t="shared" si="114"/>
        <v>11.434010152284264</v>
      </c>
      <c r="W749" s="7">
        <f t="shared" si="115"/>
        <v>3.5019632409825281</v>
      </c>
      <c r="X749" s="7">
        <f t="shared" si="116"/>
        <v>0.90245067073333785</v>
      </c>
      <c r="Y749" s="7">
        <f t="shared" si="117"/>
        <v>0.18795668773766958</v>
      </c>
      <c r="Z749" s="7">
        <f t="shared" si="118"/>
        <v>0.16162072779408701</v>
      </c>
      <c r="AA749" s="7">
        <f t="shared" si="119"/>
        <v>0.41734269542169816</v>
      </c>
    </row>
    <row r="750" spans="1:27" x14ac:dyDescent="0.25">
      <c r="A750" s="1" t="s">
        <v>1688</v>
      </c>
      <c r="B750" s="1" t="s">
        <v>861</v>
      </c>
      <c r="C750" s="1">
        <v>7</v>
      </c>
      <c r="D750" s="1">
        <v>7</v>
      </c>
      <c r="E750" s="1">
        <v>8</v>
      </c>
      <c r="F750" s="1">
        <v>7</v>
      </c>
      <c r="G750" s="1">
        <v>7</v>
      </c>
      <c r="H750" s="1">
        <v>7</v>
      </c>
      <c r="I750" s="1">
        <v>7</v>
      </c>
      <c r="J750" s="1">
        <v>7</v>
      </c>
      <c r="K750" s="1">
        <v>7</v>
      </c>
      <c r="L750" s="1">
        <v>8</v>
      </c>
      <c r="M750" s="1">
        <v>29</v>
      </c>
      <c r="N750" s="1">
        <v>28</v>
      </c>
      <c r="O750" s="1">
        <v>15</v>
      </c>
      <c r="P750" s="1">
        <v>72</v>
      </c>
      <c r="Q750" s="7">
        <v>0.42163702135578407</v>
      </c>
      <c r="R750" s="7">
        <f t="shared" si="110"/>
        <v>23.196700507614214</v>
      </c>
      <c r="S750" s="7">
        <f t="shared" si="111"/>
        <v>6.4306002317777482</v>
      </c>
      <c r="T750" s="7">
        <f t="shared" si="112"/>
        <v>22.771573604060915</v>
      </c>
      <c r="U750" s="7">
        <f t="shared" si="113"/>
        <v>6.5356886776680962</v>
      </c>
      <c r="V750" s="7">
        <f t="shared" si="114"/>
        <v>11.434010152284264</v>
      </c>
      <c r="W750" s="7">
        <f t="shared" si="115"/>
        <v>3.5019632409825281</v>
      </c>
      <c r="X750" s="7">
        <f t="shared" si="116"/>
        <v>0.90245067073333785</v>
      </c>
      <c r="Y750" s="7">
        <f t="shared" si="117"/>
        <v>0.79998094367685879</v>
      </c>
      <c r="Z750" s="7">
        <f t="shared" si="118"/>
        <v>1.0182830607654363</v>
      </c>
      <c r="AA750" s="7">
        <f t="shared" si="119"/>
        <v>0.90690489172521094</v>
      </c>
    </row>
    <row r="751" spans="1:27" x14ac:dyDescent="0.25">
      <c r="A751" s="1" t="s">
        <v>1688</v>
      </c>
      <c r="B751" s="1" t="s">
        <v>861</v>
      </c>
      <c r="C751" s="1">
        <v>8</v>
      </c>
      <c r="D751" s="1">
        <v>7</v>
      </c>
      <c r="E751" s="1">
        <v>8</v>
      </c>
      <c r="F751" s="1">
        <v>7</v>
      </c>
      <c r="G751" s="1">
        <v>8</v>
      </c>
      <c r="H751" s="1">
        <v>8</v>
      </c>
      <c r="I751" s="1">
        <v>8</v>
      </c>
      <c r="J751" s="1">
        <v>8</v>
      </c>
      <c r="K751" s="1">
        <v>9</v>
      </c>
      <c r="L751" s="1">
        <v>8</v>
      </c>
      <c r="M751" s="1">
        <v>30</v>
      </c>
      <c r="N751" s="1">
        <v>32</v>
      </c>
      <c r="O751" s="1">
        <v>17</v>
      </c>
      <c r="P751" s="1">
        <v>79</v>
      </c>
      <c r="Q751" s="7">
        <v>0.56764621219754696</v>
      </c>
      <c r="R751" s="7">
        <f t="shared" si="110"/>
        <v>23.196700507614214</v>
      </c>
      <c r="S751" s="7">
        <f t="shared" si="111"/>
        <v>6.4306002317777482</v>
      </c>
      <c r="T751" s="7">
        <f t="shared" si="112"/>
        <v>22.771573604060915</v>
      </c>
      <c r="U751" s="7">
        <f t="shared" si="113"/>
        <v>6.5356886776680962</v>
      </c>
      <c r="V751" s="7">
        <f t="shared" si="114"/>
        <v>11.434010152284264</v>
      </c>
      <c r="W751" s="7">
        <f t="shared" si="115"/>
        <v>3.5019632409825281</v>
      </c>
      <c r="X751" s="7">
        <f t="shared" si="116"/>
        <v>1.0579571497488354</v>
      </c>
      <c r="Y751" s="7">
        <f t="shared" si="117"/>
        <v>1.4120051996160479</v>
      </c>
      <c r="Z751" s="7">
        <f t="shared" si="118"/>
        <v>1.5893912827463359</v>
      </c>
      <c r="AA751" s="7">
        <f t="shared" si="119"/>
        <v>1.3531178773704065</v>
      </c>
    </row>
    <row r="752" spans="1:27" x14ac:dyDescent="0.25">
      <c r="A752" s="1" t="s">
        <v>1688</v>
      </c>
      <c r="B752" s="1" t="s">
        <v>861</v>
      </c>
      <c r="C752" s="1">
        <v>8</v>
      </c>
      <c r="D752" s="1">
        <v>3</v>
      </c>
      <c r="E752" s="1">
        <v>5</v>
      </c>
      <c r="F752" s="1">
        <v>5</v>
      </c>
      <c r="G752" s="1">
        <v>8</v>
      </c>
      <c r="H752" s="1">
        <v>8</v>
      </c>
      <c r="I752" s="1">
        <v>8</v>
      </c>
      <c r="J752" s="1">
        <v>8</v>
      </c>
      <c r="K752" s="1">
        <v>8</v>
      </c>
      <c r="L752" s="1">
        <v>8</v>
      </c>
      <c r="M752" s="1">
        <v>21</v>
      </c>
      <c r="N752" s="1">
        <v>32</v>
      </c>
      <c r="O752" s="1">
        <v>16</v>
      </c>
      <c r="P752" s="1">
        <v>69</v>
      </c>
      <c r="Q752" s="7">
        <v>1.8529256146249731</v>
      </c>
      <c r="R752" s="7">
        <f t="shared" si="110"/>
        <v>23.196700507614214</v>
      </c>
      <c r="S752" s="7">
        <f t="shared" si="111"/>
        <v>6.4306002317777482</v>
      </c>
      <c r="T752" s="7">
        <f t="shared" si="112"/>
        <v>22.771573604060915</v>
      </c>
      <c r="U752" s="7">
        <f t="shared" si="113"/>
        <v>6.5356886776680962</v>
      </c>
      <c r="V752" s="7">
        <f t="shared" si="114"/>
        <v>11.434010152284264</v>
      </c>
      <c r="W752" s="7">
        <f t="shared" si="115"/>
        <v>3.5019632409825281</v>
      </c>
      <c r="X752" s="7">
        <f t="shared" si="116"/>
        <v>-0.3416011613906425</v>
      </c>
      <c r="Y752" s="7">
        <f t="shared" si="117"/>
        <v>1.4120051996160479</v>
      </c>
      <c r="Z752" s="7">
        <f t="shared" si="118"/>
        <v>1.3038371717558861</v>
      </c>
      <c r="AA752" s="7">
        <f t="shared" si="119"/>
        <v>0.79141373666043047</v>
      </c>
    </row>
    <row r="753" spans="1:27" x14ac:dyDescent="0.25">
      <c r="A753" s="1" t="s">
        <v>1688</v>
      </c>
      <c r="B753" s="1" t="s">
        <v>861</v>
      </c>
      <c r="C753" s="1">
        <v>5</v>
      </c>
      <c r="D753" s="1">
        <v>4</v>
      </c>
      <c r="E753" s="1">
        <v>4</v>
      </c>
      <c r="F753" s="1">
        <v>4</v>
      </c>
      <c r="G753" s="1">
        <v>4</v>
      </c>
      <c r="H753" s="1">
        <v>3</v>
      </c>
      <c r="I753" s="1">
        <v>2</v>
      </c>
      <c r="J753" s="1">
        <v>2</v>
      </c>
      <c r="K753" s="1">
        <v>2</v>
      </c>
      <c r="L753" s="1">
        <v>2</v>
      </c>
      <c r="M753" s="1">
        <v>17</v>
      </c>
      <c r="N753" s="1">
        <v>11</v>
      </c>
      <c r="O753" s="1">
        <v>4</v>
      </c>
      <c r="P753" s="1">
        <v>32</v>
      </c>
      <c r="Q753" s="7">
        <v>1.1352924243950933</v>
      </c>
      <c r="R753" s="7">
        <f t="shared" si="110"/>
        <v>23.196700507614214</v>
      </c>
      <c r="S753" s="7">
        <f t="shared" si="111"/>
        <v>6.4306002317777482</v>
      </c>
      <c r="T753" s="7">
        <f t="shared" si="112"/>
        <v>22.771573604060915</v>
      </c>
      <c r="U753" s="7">
        <f t="shared" si="113"/>
        <v>6.5356886776680962</v>
      </c>
      <c r="V753" s="7">
        <f t="shared" si="114"/>
        <v>11.434010152284264</v>
      </c>
      <c r="W753" s="7">
        <f t="shared" si="115"/>
        <v>3.5019632409825281</v>
      </c>
      <c r="X753" s="7">
        <f t="shared" si="116"/>
        <v>-0.96362707745263265</v>
      </c>
      <c r="Y753" s="7">
        <f t="shared" si="117"/>
        <v>-1.8011221440646954</v>
      </c>
      <c r="Z753" s="7">
        <f t="shared" si="118"/>
        <v>-2.1228121601295111</v>
      </c>
      <c r="AA753" s="7">
        <f t="shared" si="119"/>
        <v>-1.6291871272156131</v>
      </c>
    </row>
    <row r="754" spans="1:27" x14ac:dyDescent="0.25">
      <c r="A754" s="1" t="s">
        <v>1688</v>
      </c>
      <c r="B754" s="1" t="s">
        <v>861</v>
      </c>
      <c r="C754" s="1">
        <v>7</v>
      </c>
      <c r="D754" s="1">
        <v>5</v>
      </c>
      <c r="E754" s="1">
        <v>5</v>
      </c>
      <c r="F754" s="1">
        <v>5</v>
      </c>
      <c r="G754" s="1">
        <v>5</v>
      </c>
      <c r="H754" s="1">
        <v>3</v>
      </c>
      <c r="I754" s="1">
        <v>4</v>
      </c>
      <c r="J754" s="1">
        <v>4</v>
      </c>
      <c r="K754" s="1">
        <v>4</v>
      </c>
      <c r="L754" s="1">
        <v>5</v>
      </c>
      <c r="M754" s="1">
        <v>22</v>
      </c>
      <c r="N754" s="1">
        <v>16</v>
      </c>
      <c r="O754" s="1">
        <v>9</v>
      </c>
      <c r="P754" s="1">
        <v>47</v>
      </c>
      <c r="Q754" s="7">
        <v>1.0593499054713802</v>
      </c>
      <c r="R754" s="7">
        <f t="shared" si="110"/>
        <v>23.196700507614214</v>
      </c>
      <c r="S754" s="7">
        <f t="shared" si="111"/>
        <v>6.4306002317777482</v>
      </c>
      <c r="T754" s="7">
        <f t="shared" si="112"/>
        <v>22.771573604060915</v>
      </c>
      <c r="U754" s="7">
        <f t="shared" si="113"/>
        <v>6.5356886776680962</v>
      </c>
      <c r="V754" s="7">
        <f t="shared" si="114"/>
        <v>11.434010152284264</v>
      </c>
      <c r="W754" s="7">
        <f t="shared" si="115"/>
        <v>3.5019632409825281</v>
      </c>
      <c r="X754" s="7">
        <f t="shared" si="116"/>
        <v>-0.18609468237514495</v>
      </c>
      <c r="Y754" s="7">
        <f t="shared" si="117"/>
        <v>-1.0360918241407089</v>
      </c>
      <c r="Z754" s="7">
        <f t="shared" si="118"/>
        <v>-0.69504160517726232</v>
      </c>
      <c r="AA754" s="7">
        <f t="shared" si="119"/>
        <v>-0.63907603723103878</v>
      </c>
    </row>
    <row r="755" spans="1:27" x14ac:dyDescent="0.25">
      <c r="A755" s="1" t="s">
        <v>1688</v>
      </c>
      <c r="B755" s="1" t="s">
        <v>861</v>
      </c>
      <c r="C755" s="1">
        <v>2</v>
      </c>
      <c r="D755" s="1">
        <v>1</v>
      </c>
      <c r="E755" s="1">
        <v>1</v>
      </c>
      <c r="F755" s="1">
        <v>1</v>
      </c>
      <c r="G755" s="1">
        <v>2</v>
      </c>
      <c r="H755" s="1">
        <v>2</v>
      </c>
      <c r="I755" s="1">
        <v>2</v>
      </c>
      <c r="J755" s="1">
        <v>2</v>
      </c>
      <c r="K755" s="1">
        <v>2</v>
      </c>
      <c r="L755" s="1">
        <v>2</v>
      </c>
      <c r="M755" s="1">
        <v>5</v>
      </c>
      <c r="N755" s="1">
        <v>8</v>
      </c>
      <c r="O755" s="1">
        <v>4</v>
      </c>
      <c r="P755" s="1">
        <v>17</v>
      </c>
      <c r="Q755" s="7">
        <v>0.48304589153964794</v>
      </c>
      <c r="R755" s="7">
        <f t="shared" si="110"/>
        <v>23.196700507614214</v>
      </c>
      <c r="S755" s="7">
        <f t="shared" si="111"/>
        <v>6.4306002317777482</v>
      </c>
      <c r="T755" s="7">
        <f t="shared" si="112"/>
        <v>22.771573604060915</v>
      </c>
      <c r="U755" s="7">
        <f t="shared" si="113"/>
        <v>6.5356886776680962</v>
      </c>
      <c r="V755" s="7">
        <f t="shared" si="114"/>
        <v>11.434010152284264</v>
      </c>
      <c r="W755" s="7">
        <f t="shared" si="115"/>
        <v>3.5019632409825281</v>
      </c>
      <c r="X755" s="7">
        <f t="shared" si="116"/>
        <v>-2.8297048256386033</v>
      </c>
      <c r="Y755" s="7">
        <f t="shared" si="117"/>
        <v>-2.260140336019087</v>
      </c>
      <c r="Z755" s="7">
        <f t="shared" si="118"/>
        <v>-2.1228121601295111</v>
      </c>
      <c r="AA755" s="7">
        <f t="shared" si="119"/>
        <v>-2.4042191072624006</v>
      </c>
    </row>
    <row r="756" spans="1:27" x14ac:dyDescent="0.25">
      <c r="A756" s="1" t="s">
        <v>1688</v>
      </c>
      <c r="B756" s="1" t="s">
        <v>861</v>
      </c>
      <c r="C756" s="1">
        <v>5</v>
      </c>
      <c r="D756" s="1">
        <v>6</v>
      </c>
      <c r="E756" s="1">
        <v>5</v>
      </c>
      <c r="F756" s="1">
        <v>5</v>
      </c>
      <c r="G756" s="1">
        <v>5</v>
      </c>
      <c r="H756" s="1">
        <v>6</v>
      </c>
      <c r="I756" s="1">
        <v>6</v>
      </c>
      <c r="J756" s="1">
        <v>6</v>
      </c>
      <c r="K756" s="1">
        <v>5</v>
      </c>
      <c r="L756" s="1">
        <v>4</v>
      </c>
      <c r="M756" s="1">
        <v>21</v>
      </c>
      <c r="N756" s="1">
        <v>23</v>
      </c>
      <c r="O756" s="1">
        <v>9</v>
      </c>
      <c r="P756" s="1">
        <v>53</v>
      </c>
      <c r="Q756" s="7">
        <v>0.67494855771055284</v>
      </c>
      <c r="R756" s="7">
        <f t="shared" si="110"/>
        <v>23.196700507614214</v>
      </c>
      <c r="S756" s="7">
        <f t="shared" si="111"/>
        <v>6.4306002317777482</v>
      </c>
      <c r="T756" s="7">
        <f t="shared" si="112"/>
        <v>22.771573604060915</v>
      </c>
      <c r="U756" s="7">
        <f t="shared" si="113"/>
        <v>6.5356886776680962</v>
      </c>
      <c r="V756" s="7">
        <f t="shared" si="114"/>
        <v>11.434010152284264</v>
      </c>
      <c r="W756" s="7">
        <f t="shared" si="115"/>
        <v>3.5019632409825281</v>
      </c>
      <c r="X756" s="7">
        <f t="shared" si="116"/>
        <v>-0.3416011613906425</v>
      </c>
      <c r="Y756" s="7">
        <f t="shared" si="117"/>
        <v>3.4950623752872265E-2</v>
      </c>
      <c r="Z756" s="7">
        <f t="shared" si="118"/>
        <v>-0.69504160517726232</v>
      </c>
      <c r="AA756" s="7">
        <f t="shared" si="119"/>
        <v>-0.33389738093834415</v>
      </c>
    </row>
    <row r="757" spans="1:27" x14ac:dyDescent="0.25">
      <c r="A757" s="1" t="s">
        <v>1688</v>
      </c>
      <c r="B757" s="1" t="s">
        <v>861</v>
      </c>
      <c r="C757" s="1">
        <v>8</v>
      </c>
      <c r="D757" s="1">
        <v>5</v>
      </c>
      <c r="E757" s="1">
        <v>5</v>
      </c>
      <c r="F757" s="1">
        <v>5</v>
      </c>
      <c r="G757" s="1">
        <v>4</v>
      </c>
      <c r="H757" s="1">
        <v>4</v>
      </c>
      <c r="I757" s="1">
        <v>4</v>
      </c>
      <c r="J757" s="1">
        <v>3</v>
      </c>
      <c r="K757" s="1">
        <v>3</v>
      </c>
      <c r="L757" s="1">
        <v>4</v>
      </c>
      <c r="M757" s="1">
        <v>23</v>
      </c>
      <c r="N757" s="1">
        <v>15</v>
      </c>
      <c r="O757" s="1">
        <v>7</v>
      </c>
      <c r="P757" s="1">
        <v>45</v>
      </c>
      <c r="Q757" s="7">
        <v>1.4337208778404378</v>
      </c>
      <c r="R757" s="7">
        <f t="shared" si="110"/>
        <v>23.196700507614214</v>
      </c>
      <c r="S757" s="7">
        <f t="shared" si="111"/>
        <v>6.4306002317777482</v>
      </c>
      <c r="T757" s="7">
        <f t="shared" si="112"/>
        <v>22.771573604060915</v>
      </c>
      <c r="U757" s="7">
        <f t="shared" si="113"/>
        <v>6.5356886776680962</v>
      </c>
      <c r="V757" s="7">
        <f t="shared" si="114"/>
        <v>11.434010152284264</v>
      </c>
      <c r="W757" s="7">
        <f t="shared" si="115"/>
        <v>3.5019632409825281</v>
      </c>
      <c r="X757" s="7">
        <f t="shared" si="116"/>
        <v>-3.0588203359647428E-2</v>
      </c>
      <c r="Y757" s="7">
        <f t="shared" si="117"/>
        <v>-1.1890978881255061</v>
      </c>
      <c r="Z757" s="7">
        <f t="shared" si="118"/>
        <v>-1.2661498271581617</v>
      </c>
      <c r="AA757" s="7">
        <f t="shared" si="119"/>
        <v>-0.828611972881105</v>
      </c>
    </row>
    <row r="758" spans="1:27" x14ac:dyDescent="0.25">
      <c r="A758" s="1" t="s">
        <v>1688</v>
      </c>
      <c r="B758" s="1" t="s">
        <v>861</v>
      </c>
      <c r="C758" s="1">
        <v>2</v>
      </c>
      <c r="D758" s="1">
        <v>1</v>
      </c>
      <c r="E758" s="1">
        <v>1</v>
      </c>
      <c r="F758" s="1">
        <v>1</v>
      </c>
      <c r="G758" s="1">
        <v>2</v>
      </c>
      <c r="H758" s="1">
        <v>1</v>
      </c>
      <c r="I758" s="1">
        <v>1</v>
      </c>
      <c r="J758" s="1">
        <v>1</v>
      </c>
      <c r="K758" s="1">
        <v>1</v>
      </c>
      <c r="L758" s="1">
        <v>1</v>
      </c>
      <c r="M758" s="1">
        <v>5</v>
      </c>
      <c r="N758" s="1">
        <v>5</v>
      </c>
      <c r="O758" s="1">
        <v>2</v>
      </c>
      <c r="P758" s="1">
        <v>12</v>
      </c>
      <c r="Q758" s="7">
        <v>0.4216370213557839</v>
      </c>
      <c r="R758" s="7">
        <f t="shared" si="110"/>
        <v>23.196700507614214</v>
      </c>
      <c r="S758" s="7">
        <f t="shared" si="111"/>
        <v>6.4306002317777482</v>
      </c>
      <c r="T758" s="7">
        <f t="shared" si="112"/>
        <v>22.771573604060915</v>
      </c>
      <c r="U758" s="7">
        <f t="shared" si="113"/>
        <v>6.5356886776680962</v>
      </c>
      <c r="V758" s="7">
        <f t="shared" si="114"/>
        <v>11.434010152284264</v>
      </c>
      <c r="W758" s="7">
        <f t="shared" si="115"/>
        <v>3.5019632409825281</v>
      </c>
      <c r="X758" s="7">
        <f t="shared" si="116"/>
        <v>-2.8297048256386033</v>
      </c>
      <c r="Y758" s="7">
        <f t="shared" si="117"/>
        <v>-2.7191585279734793</v>
      </c>
      <c r="Z758" s="7">
        <f t="shared" si="118"/>
        <v>-2.6939203821104107</v>
      </c>
      <c r="AA758" s="7">
        <f t="shared" si="119"/>
        <v>-2.7475945785741644</v>
      </c>
    </row>
    <row r="759" spans="1:27" x14ac:dyDescent="0.25">
      <c r="A759" s="1" t="s">
        <v>1688</v>
      </c>
      <c r="B759" s="1" t="s">
        <v>861</v>
      </c>
      <c r="C759" s="1">
        <v>2</v>
      </c>
      <c r="D759" s="1">
        <v>1</v>
      </c>
      <c r="E759" s="1">
        <v>1</v>
      </c>
      <c r="F759" s="1">
        <v>1</v>
      </c>
      <c r="G759" s="1">
        <v>2</v>
      </c>
      <c r="H759" s="1">
        <v>1</v>
      </c>
      <c r="I759" s="1">
        <v>1</v>
      </c>
      <c r="J759" s="1">
        <v>1</v>
      </c>
      <c r="K759" s="1">
        <v>1</v>
      </c>
      <c r="L759" s="1">
        <v>1</v>
      </c>
      <c r="M759" s="1">
        <v>5</v>
      </c>
      <c r="N759" s="1">
        <v>5</v>
      </c>
      <c r="O759" s="1">
        <v>2</v>
      </c>
      <c r="P759" s="1">
        <v>12</v>
      </c>
      <c r="Q759" s="7">
        <v>0.4216370213557839</v>
      </c>
      <c r="R759" s="7">
        <f t="shared" si="110"/>
        <v>23.196700507614214</v>
      </c>
      <c r="S759" s="7">
        <f t="shared" si="111"/>
        <v>6.4306002317777482</v>
      </c>
      <c r="T759" s="7">
        <f t="shared" si="112"/>
        <v>22.771573604060915</v>
      </c>
      <c r="U759" s="7">
        <f t="shared" si="113"/>
        <v>6.5356886776680962</v>
      </c>
      <c r="V759" s="7">
        <f t="shared" si="114"/>
        <v>11.434010152284264</v>
      </c>
      <c r="W759" s="7">
        <f t="shared" si="115"/>
        <v>3.5019632409825281</v>
      </c>
      <c r="X759" s="7">
        <f t="shared" si="116"/>
        <v>-2.8297048256386033</v>
      </c>
      <c r="Y759" s="7">
        <f t="shared" si="117"/>
        <v>-2.7191585279734793</v>
      </c>
      <c r="Z759" s="7">
        <f t="shared" si="118"/>
        <v>-2.6939203821104107</v>
      </c>
      <c r="AA759" s="7">
        <f t="shared" si="119"/>
        <v>-2.7475945785741644</v>
      </c>
    </row>
    <row r="760" spans="1:27" x14ac:dyDescent="0.25">
      <c r="A760" s="1" t="s">
        <v>1688</v>
      </c>
      <c r="B760" s="1" t="s">
        <v>861</v>
      </c>
      <c r="C760" s="1">
        <v>3</v>
      </c>
      <c r="D760" s="1">
        <v>3</v>
      </c>
      <c r="E760" s="1">
        <v>3</v>
      </c>
      <c r="F760" s="1">
        <v>3</v>
      </c>
      <c r="G760" s="1">
        <v>3</v>
      </c>
      <c r="H760" s="1">
        <v>3</v>
      </c>
      <c r="I760" s="1">
        <v>3</v>
      </c>
      <c r="J760" s="1">
        <v>3</v>
      </c>
      <c r="K760" s="1">
        <v>3</v>
      </c>
      <c r="L760" s="1">
        <v>1</v>
      </c>
      <c r="M760" s="1">
        <v>12</v>
      </c>
      <c r="N760" s="1">
        <v>12</v>
      </c>
      <c r="O760" s="1">
        <v>4</v>
      </c>
      <c r="P760" s="1">
        <v>28</v>
      </c>
      <c r="Q760" s="7">
        <v>0.63245553203367588</v>
      </c>
      <c r="R760" s="7">
        <f t="shared" si="110"/>
        <v>23.196700507614214</v>
      </c>
      <c r="S760" s="7">
        <f t="shared" si="111"/>
        <v>6.4306002317777482</v>
      </c>
      <c r="T760" s="7">
        <f t="shared" si="112"/>
        <v>22.771573604060915</v>
      </c>
      <c r="U760" s="7">
        <f t="shared" si="113"/>
        <v>6.5356886776680962</v>
      </c>
      <c r="V760" s="7">
        <f t="shared" si="114"/>
        <v>11.434010152284264</v>
      </c>
      <c r="W760" s="7">
        <f t="shared" si="115"/>
        <v>3.5019632409825281</v>
      </c>
      <c r="X760" s="7">
        <f t="shared" si="116"/>
        <v>-1.7411594725301203</v>
      </c>
      <c r="Y760" s="7">
        <f t="shared" si="117"/>
        <v>-1.648116080079898</v>
      </c>
      <c r="Z760" s="7">
        <f t="shared" si="118"/>
        <v>-2.1228121601295111</v>
      </c>
      <c r="AA760" s="7">
        <f t="shared" si="119"/>
        <v>-1.8373625709131762</v>
      </c>
    </row>
    <row r="761" spans="1:27" x14ac:dyDescent="0.25">
      <c r="A761" s="1" t="s">
        <v>1688</v>
      </c>
      <c r="B761" s="1" t="s">
        <v>861</v>
      </c>
      <c r="C761" s="1">
        <v>7</v>
      </c>
      <c r="D761" s="1">
        <v>6</v>
      </c>
      <c r="E761" s="1">
        <v>5</v>
      </c>
      <c r="F761" s="1">
        <v>5</v>
      </c>
      <c r="G761" s="1">
        <v>6</v>
      </c>
      <c r="H761" s="1">
        <v>6</v>
      </c>
      <c r="I761" s="1">
        <v>6</v>
      </c>
      <c r="J761" s="1">
        <v>5</v>
      </c>
      <c r="K761" s="1">
        <v>5</v>
      </c>
      <c r="L761" s="1">
        <v>5</v>
      </c>
      <c r="M761" s="1">
        <v>23</v>
      </c>
      <c r="N761" s="1">
        <v>23</v>
      </c>
      <c r="O761" s="1">
        <v>10</v>
      </c>
      <c r="P761" s="1">
        <v>56</v>
      </c>
      <c r="Q761" s="7">
        <v>0.69920589878010098</v>
      </c>
      <c r="R761" s="7">
        <f t="shared" si="110"/>
        <v>23.196700507614214</v>
      </c>
      <c r="S761" s="7">
        <f t="shared" si="111"/>
        <v>6.4306002317777482</v>
      </c>
      <c r="T761" s="7">
        <f t="shared" si="112"/>
        <v>22.771573604060915</v>
      </c>
      <c r="U761" s="7">
        <f t="shared" si="113"/>
        <v>6.5356886776680962</v>
      </c>
      <c r="V761" s="7">
        <f t="shared" si="114"/>
        <v>11.434010152284264</v>
      </c>
      <c r="W761" s="7">
        <f t="shared" si="115"/>
        <v>3.5019632409825281</v>
      </c>
      <c r="X761" s="7">
        <f t="shared" si="116"/>
        <v>-3.0588203359647428E-2</v>
      </c>
      <c r="Y761" s="7">
        <f t="shared" si="117"/>
        <v>3.4950623752872265E-2</v>
      </c>
      <c r="Z761" s="7">
        <f t="shared" si="118"/>
        <v>-0.40948749418681252</v>
      </c>
      <c r="AA761" s="7">
        <f t="shared" si="119"/>
        <v>-0.13504169126452922</v>
      </c>
    </row>
    <row r="762" spans="1:27" x14ac:dyDescent="0.25">
      <c r="A762" s="1" t="s">
        <v>1688</v>
      </c>
      <c r="B762" s="1" t="s">
        <v>861</v>
      </c>
      <c r="C762" s="1">
        <v>6</v>
      </c>
      <c r="D762" s="1">
        <v>5</v>
      </c>
      <c r="E762" s="1">
        <v>5</v>
      </c>
      <c r="F762" s="1">
        <v>4</v>
      </c>
      <c r="G762" s="1">
        <v>6</v>
      </c>
      <c r="H762" s="1">
        <v>6</v>
      </c>
      <c r="I762" s="1">
        <v>6</v>
      </c>
      <c r="J762" s="1">
        <v>5</v>
      </c>
      <c r="K762" s="1">
        <v>5</v>
      </c>
      <c r="L762" s="1">
        <v>6</v>
      </c>
      <c r="M762" s="1">
        <v>20</v>
      </c>
      <c r="N762" s="1">
        <v>23</v>
      </c>
      <c r="O762" s="1">
        <v>11</v>
      </c>
      <c r="P762" s="1">
        <v>54</v>
      </c>
      <c r="Q762" s="7">
        <v>0.69920589878010087</v>
      </c>
      <c r="R762" s="7">
        <f t="shared" si="110"/>
        <v>23.196700507614214</v>
      </c>
      <c r="S762" s="7">
        <f t="shared" si="111"/>
        <v>6.4306002317777482</v>
      </c>
      <c r="T762" s="7">
        <f t="shared" si="112"/>
        <v>22.771573604060915</v>
      </c>
      <c r="U762" s="7">
        <f t="shared" si="113"/>
        <v>6.5356886776680962</v>
      </c>
      <c r="V762" s="7">
        <f t="shared" si="114"/>
        <v>11.434010152284264</v>
      </c>
      <c r="W762" s="7">
        <f t="shared" si="115"/>
        <v>3.5019632409825281</v>
      </c>
      <c r="X762" s="7">
        <f t="shared" si="116"/>
        <v>-0.49710764040614003</v>
      </c>
      <c r="Y762" s="7">
        <f t="shared" si="117"/>
        <v>3.4950623752872265E-2</v>
      </c>
      <c r="Z762" s="7">
        <f t="shared" si="118"/>
        <v>-0.12393338319636275</v>
      </c>
      <c r="AA762" s="7">
        <f t="shared" si="119"/>
        <v>-0.1953634666165435</v>
      </c>
    </row>
    <row r="763" spans="1:27" x14ac:dyDescent="0.25">
      <c r="A763" s="1" t="s">
        <v>1688</v>
      </c>
      <c r="B763" s="1" t="s">
        <v>861</v>
      </c>
      <c r="C763" s="1">
        <v>7</v>
      </c>
      <c r="D763" s="1">
        <v>5</v>
      </c>
      <c r="E763" s="1">
        <v>4</v>
      </c>
      <c r="F763" s="1">
        <v>4</v>
      </c>
      <c r="G763" s="1">
        <v>4</v>
      </c>
      <c r="H763" s="1">
        <v>4</v>
      </c>
      <c r="I763" s="1">
        <v>4</v>
      </c>
      <c r="J763" s="1">
        <v>4</v>
      </c>
      <c r="K763" s="1">
        <v>3</v>
      </c>
      <c r="L763" s="1">
        <v>4</v>
      </c>
      <c r="M763" s="1">
        <v>20</v>
      </c>
      <c r="N763" s="1">
        <v>16</v>
      </c>
      <c r="O763" s="1">
        <v>7</v>
      </c>
      <c r="P763" s="1">
        <v>43</v>
      </c>
      <c r="Q763" s="7">
        <v>1.0593499054713802</v>
      </c>
      <c r="R763" s="7">
        <f t="shared" si="110"/>
        <v>23.196700507614214</v>
      </c>
      <c r="S763" s="7">
        <f t="shared" si="111"/>
        <v>6.4306002317777482</v>
      </c>
      <c r="T763" s="7">
        <f t="shared" si="112"/>
        <v>22.771573604060915</v>
      </c>
      <c r="U763" s="7">
        <f t="shared" si="113"/>
        <v>6.5356886776680962</v>
      </c>
      <c r="V763" s="7">
        <f t="shared" si="114"/>
        <v>11.434010152284264</v>
      </c>
      <c r="W763" s="7">
        <f t="shared" si="115"/>
        <v>3.5019632409825281</v>
      </c>
      <c r="X763" s="7">
        <f t="shared" si="116"/>
        <v>-0.49710764040614003</v>
      </c>
      <c r="Y763" s="7">
        <f t="shared" si="117"/>
        <v>-1.0360918241407089</v>
      </c>
      <c r="Z763" s="7">
        <f t="shared" si="118"/>
        <v>-1.2661498271581617</v>
      </c>
      <c r="AA763" s="7">
        <f t="shared" si="119"/>
        <v>-0.93311643056833693</v>
      </c>
    </row>
    <row r="764" spans="1:27" x14ac:dyDescent="0.25">
      <c r="A764" s="1" t="s">
        <v>1688</v>
      </c>
      <c r="B764" s="1" t="s">
        <v>861</v>
      </c>
      <c r="C764" s="1">
        <v>7</v>
      </c>
      <c r="D764" s="1">
        <v>5</v>
      </c>
      <c r="E764" s="1">
        <v>5</v>
      </c>
      <c r="F764" s="1">
        <v>5</v>
      </c>
      <c r="G764" s="1">
        <v>5</v>
      </c>
      <c r="H764" s="1">
        <v>5</v>
      </c>
      <c r="I764" s="1">
        <v>5</v>
      </c>
      <c r="J764" s="1">
        <v>4</v>
      </c>
      <c r="K764" s="1">
        <v>5</v>
      </c>
      <c r="L764" s="1">
        <v>6</v>
      </c>
      <c r="M764" s="1">
        <v>22</v>
      </c>
      <c r="N764" s="1">
        <v>19</v>
      </c>
      <c r="O764" s="1">
        <v>11</v>
      </c>
      <c r="P764" s="1">
        <v>52</v>
      </c>
      <c r="Q764" s="7">
        <v>0.78881063774661564</v>
      </c>
      <c r="R764" s="7">
        <f t="shared" si="110"/>
        <v>23.196700507614214</v>
      </c>
      <c r="S764" s="7">
        <f t="shared" si="111"/>
        <v>6.4306002317777482</v>
      </c>
      <c r="T764" s="7">
        <f t="shared" si="112"/>
        <v>22.771573604060915</v>
      </c>
      <c r="U764" s="7">
        <f t="shared" si="113"/>
        <v>6.5356886776680962</v>
      </c>
      <c r="V764" s="7">
        <f t="shared" si="114"/>
        <v>11.434010152284264</v>
      </c>
      <c r="W764" s="7">
        <f t="shared" si="115"/>
        <v>3.5019632409825281</v>
      </c>
      <c r="X764" s="7">
        <f t="shared" si="116"/>
        <v>-0.18609468237514495</v>
      </c>
      <c r="Y764" s="7">
        <f t="shared" si="117"/>
        <v>-0.57707363218631691</v>
      </c>
      <c r="Z764" s="7">
        <f t="shared" si="118"/>
        <v>-0.12393338319636275</v>
      </c>
      <c r="AA764" s="7">
        <f t="shared" si="119"/>
        <v>-0.29570056591927485</v>
      </c>
    </row>
    <row r="765" spans="1:27" x14ac:dyDescent="0.25">
      <c r="A765" s="1" t="s">
        <v>1688</v>
      </c>
      <c r="B765" s="1" t="s">
        <v>861</v>
      </c>
      <c r="C765" s="1">
        <v>9</v>
      </c>
      <c r="D765" s="1">
        <v>8</v>
      </c>
      <c r="E765" s="1">
        <v>8</v>
      </c>
      <c r="F765" s="1">
        <v>9</v>
      </c>
      <c r="G765" s="1">
        <v>8</v>
      </c>
      <c r="H765" s="1">
        <v>8</v>
      </c>
      <c r="I765" s="1">
        <v>7</v>
      </c>
      <c r="J765" s="1">
        <v>8</v>
      </c>
      <c r="K765" s="1">
        <v>8</v>
      </c>
      <c r="L765" s="1">
        <v>8</v>
      </c>
      <c r="M765" s="1">
        <v>34</v>
      </c>
      <c r="N765" s="1">
        <v>31</v>
      </c>
      <c r="O765" s="1">
        <v>16</v>
      </c>
      <c r="P765" s="1">
        <v>81</v>
      </c>
      <c r="Q765" s="7">
        <v>0.56764621219754707</v>
      </c>
      <c r="R765" s="7">
        <f t="shared" si="110"/>
        <v>23.196700507614214</v>
      </c>
      <c r="S765" s="7">
        <f t="shared" si="111"/>
        <v>6.4306002317777482</v>
      </c>
      <c r="T765" s="7">
        <f t="shared" si="112"/>
        <v>22.771573604060915</v>
      </c>
      <c r="U765" s="7">
        <f t="shared" si="113"/>
        <v>6.5356886776680962</v>
      </c>
      <c r="V765" s="7">
        <f t="shared" si="114"/>
        <v>11.434010152284264</v>
      </c>
      <c r="W765" s="7">
        <f t="shared" si="115"/>
        <v>3.5019632409825281</v>
      </c>
      <c r="X765" s="7">
        <f t="shared" si="116"/>
        <v>1.6799830658108255</v>
      </c>
      <c r="Y765" s="7">
        <f t="shared" si="117"/>
        <v>1.2589991356312507</v>
      </c>
      <c r="Z765" s="7">
        <f t="shared" si="118"/>
        <v>1.3038371717558861</v>
      </c>
      <c r="AA765" s="7">
        <f t="shared" si="119"/>
        <v>1.4142731243993207</v>
      </c>
    </row>
    <row r="766" spans="1:27" x14ac:dyDescent="0.25">
      <c r="A766" s="1" t="s">
        <v>1688</v>
      </c>
      <c r="B766" s="1" t="s">
        <v>861</v>
      </c>
      <c r="C766" s="1">
        <v>8</v>
      </c>
      <c r="D766" s="1">
        <v>8</v>
      </c>
      <c r="E766" s="1">
        <v>8</v>
      </c>
      <c r="F766" s="1">
        <v>8</v>
      </c>
      <c r="G766" s="1">
        <v>8</v>
      </c>
      <c r="H766" s="1">
        <v>7</v>
      </c>
      <c r="I766" s="1">
        <v>7</v>
      </c>
      <c r="J766" s="1">
        <v>7</v>
      </c>
      <c r="K766" s="1">
        <v>7</v>
      </c>
      <c r="L766" s="1">
        <v>8</v>
      </c>
      <c r="M766" s="1">
        <v>32</v>
      </c>
      <c r="N766" s="1">
        <v>29</v>
      </c>
      <c r="O766" s="1">
        <v>15</v>
      </c>
      <c r="P766" s="1">
        <v>76</v>
      </c>
      <c r="Q766" s="7">
        <v>0.5163977794943222</v>
      </c>
      <c r="R766" s="7">
        <f t="shared" si="110"/>
        <v>23.196700507614214</v>
      </c>
      <c r="S766" s="7">
        <f t="shared" si="111"/>
        <v>6.4306002317777482</v>
      </c>
      <c r="T766" s="7">
        <f t="shared" si="112"/>
        <v>22.771573604060915</v>
      </c>
      <c r="U766" s="7">
        <f t="shared" si="113"/>
        <v>6.5356886776680962</v>
      </c>
      <c r="V766" s="7">
        <f t="shared" si="114"/>
        <v>11.434010152284264</v>
      </c>
      <c r="W766" s="7">
        <f t="shared" si="115"/>
        <v>3.5019632409825281</v>
      </c>
      <c r="X766" s="7">
        <f t="shared" si="116"/>
        <v>1.3689701077798304</v>
      </c>
      <c r="Y766" s="7">
        <f t="shared" si="117"/>
        <v>0.95298700766165612</v>
      </c>
      <c r="Z766" s="7">
        <f t="shared" si="118"/>
        <v>1.0182830607654363</v>
      </c>
      <c r="AA766" s="7">
        <f t="shared" si="119"/>
        <v>1.1134133920689742</v>
      </c>
    </row>
    <row r="767" spans="1:27" x14ac:dyDescent="0.25">
      <c r="A767" s="1" t="s">
        <v>1688</v>
      </c>
      <c r="B767" s="1" t="s">
        <v>861</v>
      </c>
      <c r="C767" s="1">
        <v>7</v>
      </c>
      <c r="D767" s="1">
        <v>4</v>
      </c>
      <c r="E767" s="1">
        <v>4</v>
      </c>
      <c r="F767" s="1">
        <v>5</v>
      </c>
      <c r="G767" s="1">
        <v>5</v>
      </c>
      <c r="H767" s="1">
        <v>5</v>
      </c>
      <c r="I767" s="1">
        <v>5</v>
      </c>
      <c r="J767" s="1">
        <v>6</v>
      </c>
      <c r="K767" s="1">
        <v>6</v>
      </c>
      <c r="L767" s="1">
        <v>5</v>
      </c>
      <c r="M767" s="1">
        <v>20</v>
      </c>
      <c r="N767" s="1">
        <v>21</v>
      </c>
      <c r="O767" s="1">
        <v>11</v>
      </c>
      <c r="P767" s="1">
        <v>52</v>
      </c>
      <c r="Q767" s="7">
        <v>0.91893658347268148</v>
      </c>
      <c r="R767" s="7">
        <f t="shared" si="110"/>
        <v>23.196700507614214</v>
      </c>
      <c r="S767" s="7">
        <f t="shared" si="111"/>
        <v>6.4306002317777482</v>
      </c>
      <c r="T767" s="7">
        <f t="shared" si="112"/>
        <v>22.771573604060915</v>
      </c>
      <c r="U767" s="7">
        <f t="shared" si="113"/>
        <v>6.5356886776680962</v>
      </c>
      <c r="V767" s="7">
        <f t="shared" si="114"/>
        <v>11.434010152284264</v>
      </c>
      <c r="W767" s="7">
        <f t="shared" si="115"/>
        <v>3.5019632409825281</v>
      </c>
      <c r="X767" s="7">
        <f t="shared" si="116"/>
        <v>-0.49710764040614003</v>
      </c>
      <c r="Y767" s="7">
        <f t="shared" si="117"/>
        <v>-0.27106150421672232</v>
      </c>
      <c r="Z767" s="7">
        <f t="shared" si="118"/>
        <v>-0.12393338319636275</v>
      </c>
      <c r="AA767" s="7">
        <f t="shared" si="119"/>
        <v>-0.29736750927307504</v>
      </c>
    </row>
    <row r="768" spans="1:27" x14ac:dyDescent="0.25">
      <c r="A768" s="1" t="s">
        <v>1688</v>
      </c>
      <c r="B768" s="1" t="s">
        <v>861</v>
      </c>
      <c r="C768" s="1">
        <v>7</v>
      </c>
      <c r="D768" s="1">
        <v>6</v>
      </c>
      <c r="E768" s="1">
        <v>6</v>
      </c>
      <c r="F768" s="1">
        <v>6</v>
      </c>
      <c r="G768" s="1">
        <v>7</v>
      </c>
      <c r="H768" s="1">
        <v>7</v>
      </c>
      <c r="I768" s="1">
        <v>7</v>
      </c>
      <c r="J768" s="1">
        <v>8</v>
      </c>
      <c r="K768" s="1">
        <v>7</v>
      </c>
      <c r="L768" s="1">
        <v>7</v>
      </c>
      <c r="M768" s="1">
        <v>25</v>
      </c>
      <c r="N768" s="1">
        <v>29</v>
      </c>
      <c r="O768" s="1">
        <v>14</v>
      </c>
      <c r="P768" s="1">
        <v>68</v>
      </c>
      <c r="Q768" s="7">
        <v>0.63245553203367588</v>
      </c>
      <c r="R768" s="7">
        <f t="shared" si="110"/>
        <v>23.196700507614214</v>
      </c>
      <c r="S768" s="7">
        <f t="shared" si="111"/>
        <v>6.4306002317777482</v>
      </c>
      <c r="T768" s="7">
        <f t="shared" si="112"/>
        <v>22.771573604060915</v>
      </c>
      <c r="U768" s="7">
        <f t="shared" si="113"/>
        <v>6.5356886776680962</v>
      </c>
      <c r="V768" s="7">
        <f t="shared" si="114"/>
        <v>11.434010152284264</v>
      </c>
      <c r="W768" s="7">
        <f t="shared" si="115"/>
        <v>3.5019632409825281</v>
      </c>
      <c r="X768" s="7">
        <f t="shared" si="116"/>
        <v>0.28042475467134764</v>
      </c>
      <c r="Y768" s="7">
        <f t="shared" si="117"/>
        <v>0.95298700766165612</v>
      </c>
      <c r="Z768" s="7">
        <f t="shared" si="118"/>
        <v>0.73272894977498659</v>
      </c>
      <c r="AA768" s="7">
        <f t="shared" si="119"/>
        <v>0.65538023736933004</v>
      </c>
    </row>
    <row r="769" spans="1:27" x14ac:dyDescent="0.25">
      <c r="A769" s="1" t="s">
        <v>1688</v>
      </c>
      <c r="B769" s="1" t="s">
        <v>861</v>
      </c>
      <c r="C769" s="1">
        <v>7</v>
      </c>
      <c r="D769" s="1">
        <v>6</v>
      </c>
      <c r="E769" s="1">
        <v>5</v>
      </c>
      <c r="F769" s="1">
        <v>5</v>
      </c>
      <c r="G769" s="1">
        <v>4</v>
      </c>
      <c r="H769" s="1">
        <v>4</v>
      </c>
      <c r="I769" s="1">
        <v>4</v>
      </c>
      <c r="J769" s="1">
        <v>2</v>
      </c>
      <c r="K769" s="1">
        <v>3</v>
      </c>
      <c r="L769" s="1">
        <v>3</v>
      </c>
      <c r="M769" s="1">
        <v>23</v>
      </c>
      <c r="N769" s="1">
        <v>14</v>
      </c>
      <c r="O769" s="1">
        <v>6</v>
      </c>
      <c r="P769" s="1">
        <v>43</v>
      </c>
      <c r="Q769" s="7">
        <v>1.4944341180973264</v>
      </c>
      <c r="R769" s="7">
        <f t="shared" si="110"/>
        <v>23.196700507614214</v>
      </c>
      <c r="S769" s="7">
        <f t="shared" si="111"/>
        <v>6.4306002317777482</v>
      </c>
      <c r="T769" s="7">
        <f t="shared" si="112"/>
        <v>22.771573604060915</v>
      </c>
      <c r="U769" s="7">
        <f t="shared" si="113"/>
        <v>6.5356886776680962</v>
      </c>
      <c r="V769" s="7">
        <f t="shared" si="114"/>
        <v>11.434010152284264</v>
      </c>
      <c r="W769" s="7">
        <f t="shared" si="115"/>
        <v>3.5019632409825281</v>
      </c>
      <c r="X769" s="7">
        <f t="shared" si="116"/>
        <v>-3.0588203359647428E-2</v>
      </c>
      <c r="Y769" s="7">
        <f t="shared" si="117"/>
        <v>-1.3421039521103035</v>
      </c>
      <c r="Z769" s="7">
        <f t="shared" si="118"/>
        <v>-1.5517039381486115</v>
      </c>
      <c r="AA769" s="7">
        <f t="shared" si="119"/>
        <v>-0.97479869787285411</v>
      </c>
    </row>
    <row r="770" spans="1:27" x14ac:dyDescent="0.25">
      <c r="A770" s="1" t="s">
        <v>1688</v>
      </c>
      <c r="B770" s="1" t="s">
        <v>861</v>
      </c>
      <c r="C770" s="1">
        <v>7</v>
      </c>
      <c r="D770" s="1">
        <v>5</v>
      </c>
      <c r="E770" s="1">
        <v>5</v>
      </c>
      <c r="F770" s="1">
        <v>5</v>
      </c>
      <c r="G770" s="1">
        <v>5</v>
      </c>
      <c r="H770" s="1">
        <v>6</v>
      </c>
      <c r="I770" s="1">
        <v>5</v>
      </c>
      <c r="J770" s="1">
        <v>6</v>
      </c>
      <c r="K770" s="1">
        <v>6</v>
      </c>
      <c r="L770" s="1">
        <v>7</v>
      </c>
      <c r="M770" s="1">
        <v>22</v>
      </c>
      <c r="N770" s="1">
        <v>22</v>
      </c>
      <c r="O770" s="1">
        <v>13</v>
      </c>
      <c r="P770" s="1">
        <v>57</v>
      </c>
      <c r="Q770" s="7">
        <v>0.82327260234856459</v>
      </c>
      <c r="R770" s="7">
        <f t="shared" si="110"/>
        <v>23.196700507614214</v>
      </c>
      <c r="S770" s="7">
        <f t="shared" si="111"/>
        <v>6.4306002317777482</v>
      </c>
      <c r="T770" s="7">
        <f t="shared" si="112"/>
        <v>22.771573604060915</v>
      </c>
      <c r="U770" s="7">
        <f t="shared" si="113"/>
        <v>6.5356886776680962</v>
      </c>
      <c r="V770" s="7">
        <f t="shared" si="114"/>
        <v>11.434010152284264</v>
      </c>
      <c r="W770" s="7">
        <f t="shared" si="115"/>
        <v>3.5019632409825281</v>
      </c>
      <c r="X770" s="7">
        <f t="shared" si="116"/>
        <v>-0.18609468237514495</v>
      </c>
      <c r="Y770" s="7">
        <f t="shared" si="117"/>
        <v>-0.11805544023192505</v>
      </c>
      <c r="Z770" s="7">
        <f t="shared" si="118"/>
        <v>0.44717483878453679</v>
      </c>
      <c r="AA770" s="7">
        <f t="shared" si="119"/>
        <v>4.7674905392488941E-2</v>
      </c>
    </row>
    <row r="771" spans="1:27" x14ac:dyDescent="0.25">
      <c r="A771" s="1" t="s">
        <v>1688</v>
      </c>
      <c r="B771" s="1" t="s">
        <v>861</v>
      </c>
      <c r="C771" s="1">
        <v>8</v>
      </c>
      <c r="D771" s="1">
        <v>8</v>
      </c>
      <c r="E771" s="1">
        <v>8</v>
      </c>
      <c r="F771" s="1">
        <v>8</v>
      </c>
      <c r="G771" s="1">
        <v>8</v>
      </c>
      <c r="H771" s="1">
        <v>8</v>
      </c>
      <c r="I771" s="1">
        <v>8</v>
      </c>
      <c r="J771" s="1">
        <v>8</v>
      </c>
      <c r="K771" s="1">
        <v>8</v>
      </c>
      <c r="L771" s="1">
        <v>9</v>
      </c>
      <c r="M771" s="1">
        <v>32</v>
      </c>
      <c r="N771" s="1">
        <v>32</v>
      </c>
      <c r="O771" s="1">
        <v>17</v>
      </c>
      <c r="P771" s="1">
        <v>81</v>
      </c>
      <c r="Q771" s="7">
        <v>0.316227766016838</v>
      </c>
      <c r="R771" s="7">
        <f t="shared" ref="R771:R789" si="120">AVERAGE(M:M)</f>
        <v>23.196700507614214</v>
      </c>
      <c r="S771" s="7">
        <f t="shared" ref="S771:S789" si="121">_xlfn.STDEV.S(M:M)</f>
        <v>6.4306002317777482</v>
      </c>
      <c r="T771" s="7">
        <f t="shared" ref="T771:T789" si="122">AVERAGE(N:N)</f>
        <v>22.771573604060915</v>
      </c>
      <c r="U771" s="7">
        <f t="shared" ref="U771:U789" si="123">_xlfn.STDEV.S(N:N)</f>
        <v>6.5356886776680962</v>
      </c>
      <c r="V771" s="7">
        <f t="shared" ref="V771:V789" si="124">AVERAGE(O:O)</f>
        <v>11.434010152284264</v>
      </c>
      <c r="W771" s="7">
        <f t="shared" ref="W771:W789" si="125">_xlfn.STDEV.S(O:O)</f>
        <v>3.5019632409825281</v>
      </c>
      <c r="X771" s="7">
        <f t="shared" ref="X771:X789" si="126">STANDARDIZE(M771,R771,S771)</f>
        <v>1.3689701077798304</v>
      </c>
      <c r="Y771" s="7">
        <f t="shared" ref="Y771:Y789" si="127">STANDARDIZE(N771,T771,U771)</f>
        <v>1.4120051996160479</v>
      </c>
      <c r="Z771" s="7">
        <f t="shared" ref="Z771:Z789" si="128">STANDARDIZE(O771,V771,W771)</f>
        <v>1.5893912827463359</v>
      </c>
      <c r="AA771" s="7">
        <f t="shared" ref="AA771:AA789" si="129">AVERAGE(X771:Z771)</f>
        <v>1.456788863380738</v>
      </c>
    </row>
    <row r="772" spans="1:27" x14ac:dyDescent="0.25">
      <c r="A772" s="1" t="s">
        <v>1688</v>
      </c>
      <c r="B772" s="1" t="s">
        <v>861</v>
      </c>
      <c r="C772" s="1">
        <v>8</v>
      </c>
      <c r="D772" s="1">
        <v>7</v>
      </c>
      <c r="E772" s="1">
        <v>7</v>
      </c>
      <c r="F772" s="1">
        <v>7</v>
      </c>
      <c r="G772" s="1">
        <v>8</v>
      </c>
      <c r="H772" s="1">
        <v>8</v>
      </c>
      <c r="I772" s="1">
        <v>8</v>
      </c>
      <c r="J772" s="1">
        <v>7</v>
      </c>
      <c r="K772" s="1">
        <v>7</v>
      </c>
      <c r="L772" s="1">
        <v>8</v>
      </c>
      <c r="M772" s="1">
        <v>29</v>
      </c>
      <c r="N772" s="1">
        <v>31</v>
      </c>
      <c r="O772" s="1">
        <v>15</v>
      </c>
      <c r="P772" s="1">
        <v>75</v>
      </c>
      <c r="Q772" s="7">
        <v>0.52704627669472981</v>
      </c>
      <c r="R772" s="7">
        <f t="shared" si="120"/>
        <v>23.196700507614214</v>
      </c>
      <c r="S772" s="7">
        <f t="shared" si="121"/>
        <v>6.4306002317777482</v>
      </c>
      <c r="T772" s="7">
        <f t="shared" si="122"/>
        <v>22.771573604060915</v>
      </c>
      <c r="U772" s="7">
        <f t="shared" si="123"/>
        <v>6.5356886776680962</v>
      </c>
      <c r="V772" s="7">
        <f t="shared" si="124"/>
        <v>11.434010152284264</v>
      </c>
      <c r="W772" s="7">
        <f t="shared" si="125"/>
        <v>3.5019632409825281</v>
      </c>
      <c r="X772" s="7">
        <f t="shared" si="126"/>
        <v>0.90245067073333785</v>
      </c>
      <c r="Y772" s="7">
        <f t="shared" si="127"/>
        <v>1.2589991356312507</v>
      </c>
      <c r="Z772" s="7">
        <f t="shared" si="128"/>
        <v>1.0182830607654363</v>
      </c>
      <c r="AA772" s="7">
        <f t="shared" si="129"/>
        <v>1.0599109557100084</v>
      </c>
    </row>
    <row r="773" spans="1:27" x14ac:dyDescent="0.25">
      <c r="A773" s="1" t="s">
        <v>1688</v>
      </c>
      <c r="B773" s="1" t="s">
        <v>861</v>
      </c>
      <c r="C773" s="1">
        <v>3</v>
      </c>
      <c r="D773" s="1">
        <v>3</v>
      </c>
      <c r="E773" s="1">
        <v>2</v>
      </c>
      <c r="F773" s="1">
        <v>2</v>
      </c>
      <c r="G773" s="1">
        <v>3</v>
      </c>
      <c r="H773" s="1">
        <v>4</v>
      </c>
      <c r="I773" s="1">
        <v>3</v>
      </c>
      <c r="J773" s="1">
        <v>4</v>
      </c>
      <c r="K773" s="1">
        <v>3</v>
      </c>
      <c r="L773" s="1">
        <v>3</v>
      </c>
      <c r="M773" s="1">
        <v>10</v>
      </c>
      <c r="N773" s="1">
        <v>14</v>
      </c>
      <c r="O773" s="1">
        <v>6</v>
      </c>
      <c r="P773" s="1">
        <v>30</v>
      </c>
      <c r="Q773" s="7">
        <v>0.66666666666666663</v>
      </c>
      <c r="R773" s="7">
        <f t="shared" si="120"/>
        <v>23.196700507614214</v>
      </c>
      <c r="S773" s="7">
        <f t="shared" si="121"/>
        <v>6.4306002317777482</v>
      </c>
      <c r="T773" s="7">
        <f t="shared" si="122"/>
        <v>22.771573604060915</v>
      </c>
      <c r="U773" s="7">
        <f t="shared" si="123"/>
        <v>6.5356886776680962</v>
      </c>
      <c r="V773" s="7">
        <f t="shared" si="124"/>
        <v>11.434010152284264</v>
      </c>
      <c r="W773" s="7">
        <f t="shared" si="125"/>
        <v>3.5019632409825281</v>
      </c>
      <c r="X773" s="7">
        <f t="shared" si="126"/>
        <v>-2.0521724305611153</v>
      </c>
      <c r="Y773" s="7">
        <f t="shared" si="127"/>
        <v>-1.3421039521103035</v>
      </c>
      <c r="Z773" s="7">
        <f t="shared" si="128"/>
        <v>-1.5517039381486115</v>
      </c>
      <c r="AA773" s="7">
        <f t="shared" si="129"/>
        <v>-1.6486601069400102</v>
      </c>
    </row>
    <row r="774" spans="1:27" x14ac:dyDescent="0.25">
      <c r="A774" s="1" t="s">
        <v>1688</v>
      </c>
      <c r="B774" s="1" t="s">
        <v>861</v>
      </c>
      <c r="C774" s="1">
        <v>5</v>
      </c>
      <c r="D774" s="1">
        <v>4</v>
      </c>
      <c r="E774" s="1">
        <v>5</v>
      </c>
      <c r="F774" s="1">
        <v>5</v>
      </c>
      <c r="G774" s="1">
        <v>5</v>
      </c>
      <c r="H774" s="1">
        <v>5</v>
      </c>
      <c r="I774" s="1">
        <v>5</v>
      </c>
      <c r="J774" s="1">
        <v>5</v>
      </c>
      <c r="K774" s="1">
        <v>5</v>
      </c>
      <c r="L774" s="1">
        <v>6</v>
      </c>
      <c r="M774" s="1">
        <v>19</v>
      </c>
      <c r="N774" s="1">
        <v>20</v>
      </c>
      <c r="O774" s="1">
        <v>11</v>
      </c>
      <c r="P774" s="1">
        <v>50</v>
      </c>
      <c r="Q774" s="7">
        <v>0.47140452079103162</v>
      </c>
      <c r="R774" s="7">
        <f t="shared" si="120"/>
        <v>23.196700507614214</v>
      </c>
      <c r="S774" s="7">
        <f t="shared" si="121"/>
        <v>6.4306002317777482</v>
      </c>
      <c r="T774" s="7">
        <f t="shared" si="122"/>
        <v>22.771573604060915</v>
      </c>
      <c r="U774" s="7">
        <f t="shared" si="123"/>
        <v>6.5356886776680962</v>
      </c>
      <c r="V774" s="7">
        <f t="shared" si="124"/>
        <v>11.434010152284264</v>
      </c>
      <c r="W774" s="7">
        <f t="shared" si="125"/>
        <v>3.5019632409825281</v>
      </c>
      <c r="X774" s="7">
        <f t="shared" si="126"/>
        <v>-0.65261411942163761</v>
      </c>
      <c r="Y774" s="7">
        <f t="shared" si="127"/>
        <v>-0.42406756820151964</v>
      </c>
      <c r="Z774" s="7">
        <f t="shared" si="128"/>
        <v>-0.12393338319636275</v>
      </c>
      <c r="AA774" s="7">
        <f t="shared" si="129"/>
        <v>-0.40020502360650667</v>
      </c>
    </row>
    <row r="775" spans="1:27" x14ac:dyDescent="0.25">
      <c r="A775" s="1" t="s">
        <v>1688</v>
      </c>
      <c r="B775" s="1" t="s">
        <v>861</v>
      </c>
      <c r="C775" s="1">
        <v>8</v>
      </c>
      <c r="D775" s="1">
        <v>7</v>
      </c>
      <c r="E775" s="1">
        <v>7</v>
      </c>
      <c r="F775" s="1">
        <v>7</v>
      </c>
      <c r="G775" s="1">
        <v>8</v>
      </c>
      <c r="H775" s="1">
        <v>8</v>
      </c>
      <c r="I775" s="1">
        <v>7</v>
      </c>
      <c r="J775" s="1">
        <v>8</v>
      </c>
      <c r="K775" s="1">
        <v>7</v>
      </c>
      <c r="L775" s="1">
        <v>7</v>
      </c>
      <c r="M775" s="1">
        <v>29</v>
      </c>
      <c r="N775" s="1">
        <v>31</v>
      </c>
      <c r="O775" s="1">
        <v>14</v>
      </c>
      <c r="P775" s="1">
        <v>74</v>
      </c>
      <c r="Q775" s="7">
        <v>0.5163977794943222</v>
      </c>
      <c r="R775" s="7">
        <f t="shared" si="120"/>
        <v>23.196700507614214</v>
      </c>
      <c r="S775" s="7">
        <f t="shared" si="121"/>
        <v>6.4306002317777482</v>
      </c>
      <c r="T775" s="7">
        <f t="shared" si="122"/>
        <v>22.771573604060915</v>
      </c>
      <c r="U775" s="7">
        <f t="shared" si="123"/>
        <v>6.5356886776680962</v>
      </c>
      <c r="V775" s="7">
        <f t="shared" si="124"/>
        <v>11.434010152284264</v>
      </c>
      <c r="W775" s="7">
        <f t="shared" si="125"/>
        <v>3.5019632409825281</v>
      </c>
      <c r="X775" s="7">
        <f t="shared" si="126"/>
        <v>0.90245067073333785</v>
      </c>
      <c r="Y775" s="7">
        <f t="shared" si="127"/>
        <v>1.2589991356312507</v>
      </c>
      <c r="Z775" s="7">
        <f t="shared" si="128"/>
        <v>0.73272894977498659</v>
      </c>
      <c r="AA775" s="7">
        <f t="shared" si="129"/>
        <v>0.96472625204652507</v>
      </c>
    </row>
    <row r="776" spans="1:27" x14ac:dyDescent="0.25">
      <c r="A776" s="1" t="s">
        <v>1688</v>
      </c>
      <c r="B776" s="1" t="s">
        <v>861</v>
      </c>
      <c r="C776" s="1">
        <v>6</v>
      </c>
      <c r="D776" s="1">
        <v>4</v>
      </c>
      <c r="E776" s="1">
        <v>5</v>
      </c>
      <c r="F776" s="1">
        <v>4</v>
      </c>
      <c r="G776" s="1">
        <v>3</v>
      </c>
      <c r="H776" s="1">
        <v>4</v>
      </c>
      <c r="I776" s="1">
        <v>3</v>
      </c>
      <c r="J776" s="1">
        <v>3</v>
      </c>
      <c r="K776" s="1">
        <v>3</v>
      </c>
      <c r="L776" s="1">
        <v>4</v>
      </c>
      <c r="M776" s="1">
        <v>19</v>
      </c>
      <c r="N776" s="1">
        <v>13</v>
      </c>
      <c r="O776" s="1">
        <v>7</v>
      </c>
      <c r="P776" s="1">
        <v>39</v>
      </c>
      <c r="Q776" s="7">
        <v>0.99442892601175348</v>
      </c>
      <c r="R776" s="7">
        <f t="shared" si="120"/>
        <v>23.196700507614214</v>
      </c>
      <c r="S776" s="7">
        <f t="shared" si="121"/>
        <v>6.4306002317777482</v>
      </c>
      <c r="T776" s="7">
        <f t="shared" si="122"/>
        <v>22.771573604060915</v>
      </c>
      <c r="U776" s="7">
        <f t="shared" si="123"/>
        <v>6.5356886776680962</v>
      </c>
      <c r="V776" s="7">
        <f t="shared" si="124"/>
        <v>11.434010152284264</v>
      </c>
      <c r="W776" s="7">
        <f t="shared" si="125"/>
        <v>3.5019632409825281</v>
      </c>
      <c r="X776" s="7">
        <f t="shared" si="126"/>
        <v>-0.65261411942163761</v>
      </c>
      <c r="Y776" s="7">
        <f t="shared" si="127"/>
        <v>-1.4951100160951007</v>
      </c>
      <c r="Z776" s="7">
        <f t="shared" si="128"/>
        <v>-1.2661498271581617</v>
      </c>
      <c r="AA776" s="7">
        <f t="shared" si="129"/>
        <v>-1.1379579875583001</v>
      </c>
    </row>
    <row r="777" spans="1:27" x14ac:dyDescent="0.25">
      <c r="A777" s="1" t="s">
        <v>1688</v>
      </c>
      <c r="B777" s="1" t="s">
        <v>861</v>
      </c>
      <c r="C777" s="1">
        <v>1</v>
      </c>
      <c r="D777" s="1">
        <v>2</v>
      </c>
      <c r="E777" s="1">
        <v>2</v>
      </c>
      <c r="F777" s="1">
        <v>2</v>
      </c>
      <c r="G777" s="1">
        <v>2</v>
      </c>
      <c r="H777" s="1">
        <v>2</v>
      </c>
      <c r="I777" s="1">
        <v>2</v>
      </c>
      <c r="J777" s="1">
        <v>2</v>
      </c>
      <c r="K777" s="1">
        <v>2</v>
      </c>
      <c r="L777" s="1">
        <v>2</v>
      </c>
      <c r="M777" s="1">
        <v>7</v>
      </c>
      <c r="N777" s="1">
        <v>8</v>
      </c>
      <c r="O777" s="1">
        <v>4</v>
      </c>
      <c r="P777" s="1">
        <v>19</v>
      </c>
      <c r="Q777" s="7">
        <v>0.31622776601683794</v>
      </c>
      <c r="R777" s="7">
        <f t="shared" si="120"/>
        <v>23.196700507614214</v>
      </c>
      <c r="S777" s="7">
        <f t="shared" si="121"/>
        <v>6.4306002317777482</v>
      </c>
      <c r="T777" s="7">
        <f t="shared" si="122"/>
        <v>22.771573604060915</v>
      </c>
      <c r="U777" s="7">
        <f t="shared" si="123"/>
        <v>6.5356886776680962</v>
      </c>
      <c r="V777" s="7">
        <f t="shared" si="124"/>
        <v>11.434010152284264</v>
      </c>
      <c r="W777" s="7">
        <f t="shared" si="125"/>
        <v>3.5019632409825281</v>
      </c>
      <c r="X777" s="7">
        <f t="shared" si="126"/>
        <v>-2.518691867607608</v>
      </c>
      <c r="Y777" s="7">
        <f t="shared" si="127"/>
        <v>-2.260140336019087</v>
      </c>
      <c r="Z777" s="7">
        <f t="shared" si="128"/>
        <v>-2.1228121601295111</v>
      </c>
      <c r="AA777" s="7">
        <f t="shared" si="129"/>
        <v>-2.3005481212520689</v>
      </c>
    </row>
    <row r="778" spans="1:27" x14ac:dyDescent="0.25">
      <c r="A778" s="1" t="s">
        <v>1688</v>
      </c>
      <c r="B778" s="1" t="s">
        <v>861</v>
      </c>
      <c r="C778" s="1">
        <v>6</v>
      </c>
      <c r="D778" s="1">
        <v>6</v>
      </c>
      <c r="E778" s="1">
        <v>6</v>
      </c>
      <c r="F778" s="1">
        <v>6</v>
      </c>
      <c r="G778" s="1">
        <v>5</v>
      </c>
      <c r="H778" s="1">
        <v>6</v>
      </c>
      <c r="I778" s="1">
        <v>5</v>
      </c>
      <c r="J778" s="1">
        <v>4</v>
      </c>
      <c r="K778" s="1">
        <v>5</v>
      </c>
      <c r="L778" s="1">
        <v>6</v>
      </c>
      <c r="M778" s="1">
        <v>24</v>
      </c>
      <c r="N778" s="1">
        <v>20</v>
      </c>
      <c r="O778" s="1">
        <v>11</v>
      </c>
      <c r="P778" s="1">
        <v>55</v>
      </c>
      <c r="Q778" s="7">
        <v>0.70710678118654757</v>
      </c>
      <c r="R778" s="7">
        <f t="shared" si="120"/>
        <v>23.196700507614214</v>
      </c>
      <c r="S778" s="7">
        <f t="shared" si="121"/>
        <v>6.4306002317777482</v>
      </c>
      <c r="T778" s="7">
        <f t="shared" si="122"/>
        <v>22.771573604060915</v>
      </c>
      <c r="U778" s="7">
        <f t="shared" si="123"/>
        <v>6.5356886776680962</v>
      </c>
      <c r="V778" s="7">
        <f t="shared" si="124"/>
        <v>11.434010152284264</v>
      </c>
      <c r="W778" s="7">
        <f t="shared" si="125"/>
        <v>3.5019632409825281</v>
      </c>
      <c r="X778" s="7">
        <f t="shared" si="126"/>
        <v>0.12491827565585011</v>
      </c>
      <c r="Y778" s="7">
        <f t="shared" si="127"/>
        <v>-0.42406756820151964</v>
      </c>
      <c r="Z778" s="7">
        <f t="shared" si="128"/>
        <v>-0.12393338319636275</v>
      </c>
      <c r="AA778" s="7">
        <f t="shared" si="129"/>
        <v>-0.14102755858067742</v>
      </c>
    </row>
    <row r="779" spans="1:27" x14ac:dyDescent="0.25">
      <c r="A779" s="1" t="s">
        <v>1688</v>
      </c>
      <c r="B779" s="1" t="s">
        <v>861</v>
      </c>
      <c r="C779" s="1">
        <v>3</v>
      </c>
      <c r="D779" s="1">
        <v>3</v>
      </c>
      <c r="E779" s="1">
        <v>4</v>
      </c>
      <c r="F779" s="1">
        <v>4</v>
      </c>
      <c r="G779" s="1">
        <v>4</v>
      </c>
      <c r="H779" s="1">
        <v>4</v>
      </c>
      <c r="I779" s="1">
        <v>3</v>
      </c>
      <c r="J779" s="1">
        <v>4</v>
      </c>
      <c r="K779" s="1">
        <v>3</v>
      </c>
      <c r="L779" s="1">
        <v>3</v>
      </c>
      <c r="M779" s="1">
        <v>14</v>
      </c>
      <c r="N779" s="1">
        <v>15</v>
      </c>
      <c r="O779" s="1">
        <v>6</v>
      </c>
      <c r="P779" s="1">
        <v>35</v>
      </c>
      <c r="Q779" s="7">
        <v>0.52704627669472992</v>
      </c>
      <c r="R779" s="7">
        <f t="shared" si="120"/>
        <v>23.196700507614214</v>
      </c>
      <c r="S779" s="7">
        <f t="shared" si="121"/>
        <v>6.4306002317777482</v>
      </c>
      <c r="T779" s="7">
        <f t="shared" si="122"/>
        <v>22.771573604060915</v>
      </c>
      <c r="U779" s="7">
        <f t="shared" si="123"/>
        <v>6.5356886776680962</v>
      </c>
      <c r="V779" s="7">
        <f t="shared" si="124"/>
        <v>11.434010152284264</v>
      </c>
      <c r="W779" s="7">
        <f t="shared" si="125"/>
        <v>3.5019632409825281</v>
      </c>
      <c r="X779" s="7">
        <f t="shared" si="126"/>
        <v>-1.4301465144991252</v>
      </c>
      <c r="Y779" s="7">
        <f t="shared" si="127"/>
        <v>-1.1890978881255061</v>
      </c>
      <c r="Z779" s="7">
        <f t="shared" si="128"/>
        <v>-1.5517039381486115</v>
      </c>
      <c r="AA779" s="7">
        <f t="shared" si="129"/>
        <v>-1.3903161135910811</v>
      </c>
    </row>
    <row r="780" spans="1:27" x14ac:dyDescent="0.25">
      <c r="A780" s="1" t="s">
        <v>1688</v>
      </c>
      <c r="B780" s="1" t="s">
        <v>861</v>
      </c>
      <c r="C780" s="1">
        <v>6</v>
      </c>
      <c r="D780" s="1">
        <v>5</v>
      </c>
      <c r="E780" s="1">
        <v>5</v>
      </c>
      <c r="F780" s="1">
        <v>5</v>
      </c>
      <c r="G780" s="1">
        <v>4</v>
      </c>
      <c r="H780" s="1">
        <v>5</v>
      </c>
      <c r="I780" s="1">
        <v>4</v>
      </c>
      <c r="J780" s="1">
        <v>4</v>
      </c>
      <c r="K780" s="1">
        <v>5</v>
      </c>
      <c r="L780" s="1">
        <v>4</v>
      </c>
      <c r="M780" s="1">
        <v>21</v>
      </c>
      <c r="N780" s="1">
        <v>17</v>
      </c>
      <c r="O780" s="1">
        <v>9</v>
      </c>
      <c r="P780" s="1">
        <v>47</v>
      </c>
      <c r="Q780" s="7">
        <v>0.67494855771055284</v>
      </c>
      <c r="R780" s="7">
        <f t="shared" si="120"/>
        <v>23.196700507614214</v>
      </c>
      <c r="S780" s="7">
        <f t="shared" si="121"/>
        <v>6.4306002317777482</v>
      </c>
      <c r="T780" s="7">
        <f t="shared" si="122"/>
        <v>22.771573604060915</v>
      </c>
      <c r="U780" s="7">
        <f t="shared" si="123"/>
        <v>6.5356886776680962</v>
      </c>
      <c r="V780" s="7">
        <f t="shared" si="124"/>
        <v>11.434010152284264</v>
      </c>
      <c r="W780" s="7">
        <f t="shared" si="125"/>
        <v>3.5019632409825281</v>
      </c>
      <c r="X780" s="7">
        <f t="shared" si="126"/>
        <v>-0.3416011613906425</v>
      </c>
      <c r="Y780" s="7">
        <f t="shared" si="127"/>
        <v>-0.88308576015591156</v>
      </c>
      <c r="Z780" s="7">
        <f t="shared" si="128"/>
        <v>-0.69504160517726232</v>
      </c>
      <c r="AA780" s="7">
        <f t="shared" si="129"/>
        <v>-0.63990950890793885</v>
      </c>
    </row>
    <row r="781" spans="1:27" x14ac:dyDescent="0.25">
      <c r="A781" s="1" t="s">
        <v>1688</v>
      </c>
      <c r="B781" s="1" t="s">
        <v>861</v>
      </c>
      <c r="C781" s="1">
        <v>6</v>
      </c>
      <c r="D781" s="1">
        <v>7</v>
      </c>
      <c r="E781" s="1">
        <v>7</v>
      </c>
      <c r="F781" s="1">
        <v>7</v>
      </c>
      <c r="G781" s="1">
        <v>7</v>
      </c>
      <c r="H781" s="1">
        <v>6</v>
      </c>
      <c r="I781" s="1">
        <v>5</v>
      </c>
      <c r="J781" s="1">
        <v>5</v>
      </c>
      <c r="K781" s="1">
        <v>5</v>
      </c>
      <c r="L781" s="1">
        <v>5</v>
      </c>
      <c r="M781" s="1">
        <v>27</v>
      </c>
      <c r="N781" s="1">
        <v>23</v>
      </c>
      <c r="O781" s="1">
        <v>10</v>
      </c>
      <c r="P781" s="1">
        <v>60</v>
      </c>
      <c r="Q781" s="7">
        <v>0.94280904158206302</v>
      </c>
      <c r="R781" s="7">
        <f t="shared" si="120"/>
        <v>23.196700507614214</v>
      </c>
      <c r="S781" s="7">
        <f t="shared" si="121"/>
        <v>6.4306002317777482</v>
      </c>
      <c r="T781" s="7">
        <f t="shared" si="122"/>
        <v>22.771573604060915</v>
      </c>
      <c r="U781" s="7">
        <f t="shared" si="123"/>
        <v>6.5356886776680962</v>
      </c>
      <c r="V781" s="7">
        <f t="shared" si="124"/>
        <v>11.434010152284264</v>
      </c>
      <c r="W781" s="7">
        <f t="shared" si="125"/>
        <v>3.5019632409825281</v>
      </c>
      <c r="X781" s="7">
        <f t="shared" si="126"/>
        <v>0.59143771270234269</v>
      </c>
      <c r="Y781" s="7">
        <f t="shared" si="127"/>
        <v>3.4950623752872265E-2</v>
      </c>
      <c r="Z781" s="7">
        <f t="shared" si="128"/>
        <v>-0.40948749418681252</v>
      </c>
      <c r="AA781" s="7">
        <f t="shared" si="129"/>
        <v>7.230028075613415E-2</v>
      </c>
    </row>
    <row r="782" spans="1:27" x14ac:dyDescent="0.25">
      <c r="A782" s="1" t="s">
        <v>1688</v>
      </c>
      <c r="B782" s="1" t="s">
        <v>861</v>
      </c>
      <c r="C782" s="1">
        <v>5</v>
      </c>
      <c r="D782" s="1">
        <v>4</v>
      </c>
      <c r="E782" s="1">
        <v>3</v>
      </c>
      <c r="F782" s="1">
        <v>4</v>
      </c>
      <c r="G782" s="1">
        <v>4</v>
      </c>
      <c r="H782" s="1">
        <v>3</v>
      </c>
      <c r="I782" s="1">
        <v>3</v>
      </c>
      <c r="J782" s="1">
        <v>3</v>
      </c>
      <c r="K782" s="1">
        <v>3</v>
      </c>
      <c r="L782" s="1">
        <v>3</v>
      </c>
      <c r="M782" s="1">
        <v>16</v>
      </c>
      <c r="N782" s="1">
        <v>13</v>
      </c>
      <c r="O782" s="1">
        <v>6</v>
      </c>
      <c r="P782" s="1">
        <v>35</v>
      </c>
      <c r="Q782" s="7">
        <v>0.70710678118654757</v>
      </c>
      <c r="R782" s="7">
        <f t="shared" si="120"/>
        <v>23.196700507614214</v>
      </c>
      <c r="S782" s="7">
        <f t="shared" si="121"/>
        <v>6.4306002317777482</v>
      </c>
      <c r="T782" s="7">
        <f t="shared" si="122"/>
        <v>22.771573604060915</v>
      </c>
      <c r="U782" s="7">
        <f t="shared" si="123"/>
        <v>6.5356886776680962</v>
      </c>
      <c r="V782" s="7">
        <f t="shared" si="124"/>
        <v>11.434010152284264</v>
      </c>
      <c r="W782" s="7">
        <f t="shared" si="125"/>
        <v>3.5019632409825281</v>
      </c>
      <c r="X782" s="7">
        <f t="shared" si="126"/>
        <v>-1.1191335564681302</v>
      </c>
      <c r="Y782" s="7">
        <f t="shared" si="127"/>
        <v>-1.4951100160951007</v>
      </c>
      <c r="Z782" s="7">
        <f t="shared" si="128"/>
        <v>-1.5517039381486115</v>
      </c>
      <c r="AA782" s="7">
        <f t="shared" si="129"/>
        <v>-1.3886491702372805</v>
      </c>
    </row>
    <row r="783" spans="1:27" x14ac:dyDescent="0.25">
      <c r="A783" s="1" t="s">
        <v>1688</v>
      </c>
      <c r="B783" s="1" t="s">
        <v>861</v>
      </c>
      <c r="C783" s="1">
        <v>6</v>
      </c>
      <c r="D783" s="1">
        <v>5</v>
      </c>
      <c r="E783" s="1">
        <v>5</v>
      </c>
      <c r="F783" s="1">
        <v>7</v>
      </c>
      <c r="G783" s="1">
        <v>7</v>
      </c>
      <c r="H783" s="1">
        <v>8</v>
      </c>
      <c r="I783" s="1">
        <v>7</v>
      </c>
      <c r="J783" s="1">
        <v>7</v>
      </c>
      <c r="K783" s="1">
        <v>7</v>
      </c>
      <c r="L783" s="1">
        <v>7</v>
      </c>
      <c r="M783" s="1">
        <v>23</v>
      </c>
      <c r="N783" s="1">
        <v>29</v>
      </c>
      <c r="O783" s="1">
        <v>14</v>
      </c>
      <c r="P783" s="1">
        <v>66</v>
      </c>
      <c r="Q783" s="7">
        <v>0.96609178307929611</v>
      </c>
      <c r="R783" s="7">
        <f t="shared" si="120"/>
        <v>23.196700507614214</v>
      </c>
      <c r="S783" s="7">
        <f t="shared" si="121"/>
        <v>6.4306002317777482</v>
      </c>
      <c r="T783" s="7">
        <f t="shared" si="122"/>
        <v>22.771573604060915</v>
      </c>
      <c r="U783" s="7">
        <f t="shared" si="123"/>
        <v>6.5356886776680962</v>
      </c>
      <c r="V783" s="7">
        <f t="shared" si="124"/>
        <v>11.434010152284264</v>
      </c>
      <c r="W783" s="7">
        <f t="shared" si="125"/>
        <v>3.5019632409825281</v>
      </c>
      <c r="X783" s="7">
        <f t="shared" si="126"/>
        <v>-3.0588203359647428E-2</v>
      </c>
      <c r="Y783" s="7">
        <f t="shared" si="127"/>
        <v>0.95298700766165612</v>
      </c>
      <c r="Z783" s="7">
        <f t="shared" si="128"/>
        <v>0.73272894977498659</v>
      </c>
      <c r="AA783" s="7">
        <f t="shared" si="129"/>
        <v>0.5517092513589984</v>
      </c>
    </row>
    <row r="784" spans="1:27" x14ac:dyDescent="0.25">
      <c r="A784" s="1" t="s">
        <v>1688</v>
      </c>
      <c r="B784" s="1" t="s">
        <v>861</v>
      </c>
      <c r="C784" s="1">
        <v>8</v>
      </c>
      <c r="D784" s="1">
        <v>8</v>
      </c>
      <c r="E784" s="1">
        <v>7</v>
      </c>
      <c r="F784" s="1">
        <v>8</v>
      </c>
      <c r="G784" s="1">
        <v>5</v>
      </c>
      <c r="H784" s="1">
        <v>5</v>
      </c>
      <c r="I784" s="1">
        <v>5</v>
      </c>
      <c r="J784" s="1">
        <v>5</v>
      </c>
      <c r="K784" s="1">
        <v>5</v>
      </c>
      <c r="L784" s="1">
        <v>6</v>
      </c>
      <c r="M784" s="1">
        <v>31</v>
      </c>
      <c r="N784" s="1">
        <v>20</v>
      </c>
      <c r="O784" s="1">
        <v>11</v>
      </c>
      <c r="P784" s="1">
        <v>62</v>
      </c>
      <c r="Q784" s="7">
        <v>1.3984117975602024</v>
      </c>
      <c r="R784" s="7">
        <f t="shared" si="120"/>
        <v>23.196700507614214</v>
      </c>
      <c r="S784" s="7">
        <f t="shared" si="121"/>
        <v>6.4306002317777482</v>
      </c>
      <c r="T784" s="7">
        <f t="shared" si="122"/>
        <v>22.771573604060915</v>
      </c>
      <c r="U784" s="7">
        <f t="shared" si="123"/>
        <v>6.5356886776680962</v>
      </c>
      <c r="V784" s="7">
        <f t="shared" si="124"/>
        <v>11.434010152284264</v>
      </c>
      <c r="W784" s="7">
        <f t="shared" si="125"/>
        <v>3.5019632409825281</v>
      </c>
      <c r="X784" s="7">
        <f t="shared" si="126"/>
        <v>1.2134636287643328</v>
      </c>
      <c r="Y784" s="7">
        <f t="shared" si="127"/>
        <v>-0.42406756820151964</v>
      </c>
      <c r="Z784" s="7">
        <f t="shared" si="128"/>
        <v>-0.12393338319636275</v>
      </c>
      <c r="AA784" s="7">
        <f t="shared" si="129"/>
        <v>0.2218208924554835</v>
      </c>
    </row>
    <row r="785" spans="1:27" x14ac:dyDescent="0.25">
      <c r="A785" s="1" t="s">
        <v>1688</v>
      </c>
      <c r="B785" s="1" t="s">
        <v>861</v>
      </c>
      <c r="C785" s="1">
        <v>6</v>
      </c>
      <c r="D785" s="1">
        <v>5</v>
      </c>
      <c r="E785" s="1">
        <v>5</v>
      </c>
      <c r="F785" s="1">
        <v>5</v>
      </c>
      <c r="G785" s="1">
        <v>5</v>
      </c>
      <c r="H785" s="1">
        <v>5</v>
      </c>
      <c r="I785" s="1">
        <v>5</v>
      </c>
      <c r="J785" s="1">
        <v>5</v>
      </c>
      <c r="K785" s="1">
        <v>5</v>
      </c>
      <c r="L785" s="1">
        <v>5</v>
      </c>
      <c r="M785" s="1">
        <v>21</v>
      </c>
      <c r="N785" s="1">
        <v>20</v>
      </c>
      <c r="O785" s="1">
        <v>10</v>
      </c>
      <c r="P785" s="1">
        <v>51</v>
      </c>
      <c r="Q785" s="7">
        <v>0.31622776601683794</v>
      </c>
      <c r="R785" s="7">
        <f t="shared" si="120"/>
        <v>23.196700507614214</v>
      </c>
      <c r="S785" s="7">
        <f t="shared" si="121"/>
        <v>6.4306002317777482</v>
      </c>
      <c r="T785" s="7">
        <f t="shared" si="122"/>
        <v>22.771573604060915</v>
      </c>
      <c r="U785" s="7">
        <f t="shared" si="123"/>
        <v>6.5356886776680962</v>
      </c>
      <c r="V785" s="7">
        <f t="shared" si="124"/>
        <v>11.434010152284264</v>
      </c>
      <c r="W785" s="7">
        <f t="shared" si="125"/>
        <v>3.5019632409825281</v>
      </c>
      <c r="X785" s="7">
        <f t="shared" si="126"/>
        <v>-0.3416011613906425</v>
      </c>
      <c r="Y785" s="7">
        <f t="shared" si="127"/>
        <v>-0.42406756820151964</v>
      </c>
      <c r="Z785" s="7">
        <f t="shared" si="128"/>
        <v>-0.40948749418681252</v>
      </c>
      <c r="AA785" s="7">
        <f t="shared" si="129"/>
        <v>-0.39171874125965828</v>
      </c>
    </row>
    <row r="786" spans="1:27" x14ac:dyDescent="0.25">
      <c r="A786" s="1" t="s">
        <v>1688</v>
      </c>
      <c r="B786" s="1" t="s">
        <v>861</v>
      </c>
      <c r="C786" s="1">
        <v>5</v>
      </c>
      <c r="D786" s="1">
        <v>4</v>
      </c>
      <c r="E786" s="1">
        <v>5</v>
      </c>
      <c r="F786" s="1">
        <v>4</v>
      </c>
      <c r="G786" s="1">
        <v>4</v>
      </c>
      <c r="H786" s="1">
        <v>5</v>
      </c>
      <c r="I786" s="1">
        <v>5</v>
      </c>
      <c r="J786" s="1">
        <v>4</v>
      </c>
      <c r="K786" s="1">
        <v>4</v>
      </c>
      <c r="L786" s="1">
        <v>4</v>
      </c>
      <c r="M786" s="1">
        <v>18</v>
      </c>
      <c r="N786" s="1">
        <v>18</v>
      </c>
      <c r="O786" s="1">
        <v>8</v>
      </c>
      <c r="P786" s="1">
        <v>44</v>
      </c>
      <c r="Q786" s="7">
        <v>0.51639777949432231</v>
      </c>
      <c r="R786" s="7">
        <f t="shared" si="120"/>
        <v>23.196700507614214</v>
      </c>
      <c r="S786" s="7">
        <f t="shared" si="121"/>
        <v>6.4306002317777482</v>
      </c>
      <c r="T786" s="7">
        <f t="shared" si="122"/>
        <v>22.771573604060915</v>
      </c>
      <c r="U786" s="7">
        <f t="shared" si="123"/>
        <v>6.5356886776680962</v>
      </c>
      <c r="V786" s="7">
        <f t="shared" si="124"/>
        <v>11.434010152284264</v>
      </c>
      <c r="W786" s="7">
        <f t="shared" si="125"/>
        <v>3.5019632409825281</v>
      </c>
      <c r="X786" s="7">
        <f t="shared" si="126"/>
        <v>-0.80812059843713513</v>
      </c>
      <c r="Y786" s="7">
        <f t="shared" si="127"/>
        <v>-0.73007969617111423</v>
      </c>
      <c r="Z786" s="7">
        <f t="shared" si="128"/>
        <v>-0.98059571616771202</v>
      </c>
      <c r="AA786" s="7">
        <f t="shared" si="129"/>
        <v>-0.83959867025865387</v>
      </c>
    </row>
    <row r="787" spans="1:27" x14ac:dyDescent="0.25">
      <c r="A787" s="1" t="s">
        <v>1688</v>
      </c>
      <c r="B787" s="1" t="s">
        <v>861</v>
      </c>
      <c r="C787" s="1">
        <v>5</v>
      </c>
      <c r="D787" s="1">
        <v>3</v>
      </c>
      <c r="E787" s="1">
        <v>3</v>
      </c>
      <c r="F787" s="1">
        <v>3</v>
      </c>
      <c r="G787" s="1">
        <v>3</v>
      </c>
      <c r="H787" s="1">
        <v>3</v>
      </c>
      <c r="I787" s="1">
        <v>4</v>
      </c>
      <c r="J787" s="1">
        <v>3</v>
      </c>
      <c r="K787" s="1">
        <v>3</v>
      </c>
      <c r="L787" s="1">
        <v>3</v>
      </c>
      <c r="M787" s="1">
        <v>14</v>
      </c>
      <c r="N787" s="1">
        <v>13</v>
      </c>
      <c r="O787" s="1">
        <v>6</v>
      </c>
      <c r="P787" s="1">
        <v>33</v>
      </c>
      <c r="Q787" s="7">
        <v>0.67494855771055307</v>
      </c>
      <c r="R787" s="7">
        <f t="shared" si="120"/>
        <v>23.196700507614214</v>
      </c>
      <c r="S787" s="7">
        <f t="shared" si="121"/>
        <v>6.4306002317777482</v>
      </c>
      <c r="T787" s="7">
        <f t="shared" si="122"/>
        <v>22.771573604060915</v>
      </c>
      <c r="U787" s="7">
        <f t="shared" si="123"/>
        <v>6.5356886776680962</v>
      </c>
      <c r="V787" s="7">
        <f t="shared" si="124"/>
        <v>11.434010152284264</v>
      </c>
      <c r="W787" s="7">
        <f t="shared" si="125"/>
        <v>3.5019632409825281</v>
      </c>
      <c r="X787" s="7">
        <f t="shared" si="126"/>
        <v>-1.4301465144991252</v>
      </c>
      <c r="Y787" s="7">
        <f t="shared" si="127"/>
        <v>-1.4951100160951007</v>
      </c>
      <c r="Z787" s="7">
        <f t="shared" si="128"/>
        <v>-1.5517039381486115</v>
      </c>
      <c r="AA787" s="7">
        <f t="shared" si="129"/>
        <v>-1.4923201562476125</v>
      </c>
    </row>
    <row r="788" spans="1:27" x14ac:dyDescent="0.25">
      <c r="A788" s="1" t="s">
        <v>1688</v>
      </c>
      <c r="B788" s="1" t="s">
        <v>861</v>
      </c>
      <c r="C788" s="1">
        <v>5</v>
      </c>
      <c r="D788" s="1">
        <v>5</v>
      </c>
      <c r="E788" s="1">
        <v>5</v>
      </c>
      <c r="F788" s="1">
        <v>5</v>
      </c>
      <c r="G788" s="1">
        <v>4</v>
      </c>
      <c r="H788" s="1">
        <v>5</v>
      </c>
      <c r="I788" s="1">
        <v>4</v>
      </c>
      <c r="J788" s="1">
        <v>4</v>
      </c>
      <c r="K788" s="1">
        <v>4</v>
      </c>
      <c r="L788" s="1">
        <v>4</v>
      </c>
      <c r="M788" s="1">
        <v>20</v>
      </c>
      <c r="N788" s="1">
        <v>17</v>
      </c>
      <c r="O788" s="1">
        <v>8</v>
      </c>
      <c r="P788" s="1">
        <v>45</v>
      </c>
      <c r="Q788" s="7">
        <v>0.52704627669472992</v>
      </c>
      <c r="R788" s="7">
        <f t="shared" si="120"/>
        <v>23.196700507614214</v>
      </c>
      <c r="S788" s="7">
        <f t="shared" si="121"/>
        <v>6.4306002317777482</v>
      </c>
      <c r="T788" s="7">
        <f t="shared" si="122"/>
        <v>22.771573604060915</v>
      </c>
      <c r="U788" s="7">
        <f t="shared" si="123"/>
        <v>6.5356886776680962</v>
      </c>
      <c r="V788" s="7">
        <f t="shared" si="124"/>
        <v>11.434010152284264</v>
      </c>
      <c r="W788" s="7">
        <f t="shared" si="125"/>
        <v>3.5019632409825281</v>
      </c>
      <c r="X788" s="7">
        <f t="shared" si="126"/>
        <v>-0.49710764040614003</v>
      </c>
      <c r="Y788" s="7">
        <f t="shared" si="127"/>
        <v>-0.88308576015591156</v>
      </c>
      <c r="Z788" s="7">
        <f t="shared" si="128"/>
        <v>-0.98059571616771202</v>
      </c>
      <c r="AA788" s="7">
        <f t="shared" si="129"/>
        <v>-0.78692970557658792</v>
      </c>
    </row>
    <row r="789" spans="1:27" x14ac:dyDescent="0.25">
      <c r="A789" s="1" t="s">
        <v>1688</v>
      </c>
      <c r="B789" s="1" t="s">
        <v>861</v>
      </c>
      <c r="C789" s="1">
        <v>8</v>
      </c>
      <c r="D789" s="1">
        <v>8</v>
      </c>
      <c r="E789" s="1">
        <v>6</v>
      </c>
      <c r="F789" s="1">
        <v>5</v>
      </c>
      <c r="G789" s="1">
        <v>9</v>
      </c>
      <c r="H789" s="1">
        <v>9</v>
      </c>
      <c r="I789" s="1">
        <v>8</v>
      </c>
      <c r="J789" s="1">
        <v>8</v>
      </c>
      <c r="K789" s="1">
        <v>8</v>
      </c>
      <c r="L789" s="1">
        <v>8</v>
      </c>
      <c r="M789" s="1">
        <v>27</v>
      </c>
      <c r="N789" s="1">
        <v>34</v>
      </c>
      <c r="O789" s="1">
        <v>16</v>
      </c>
      <c r="P789" s="1">
        <v>77</v>
      </c>
      <c r="Q789" s="7">
        <v>1.2516655570345725</v>
      </c>
      <c r="R789" s="7">
        <f t="shared" si="120"/>
        <v>23.196700507614214</v>
      </c>
      <c r="S789" s="7">
        <f t="shared" si="121"/>
        <v>6.4306002317777482</v>
      </c>
      <c r="T789" s="7">
        <f t="shared" si="122"/>
        <v>22.771573604060915</v>
      </c>
      <c r="U789" s="7">
        <f t="shared" si="123"/>
        <v>6.5356886776680962</v>
      </c>
      <c r="V789" s="7">
        <f t="shared" si="124"/>
        <v>11.434010152284264</v>
      </c>
      <c r="W789" s="7">
        <f t="shared" si="125"/>
        <v>3.5019632409825281</v>
      </c>
      <c r="X789" s="7">
        <f t="shared" si="126"/>
        <v>0.59143771270234269</v>
      </c>
      <c r="Y789" s="7">
        <f t="shared" si="127"/>
        <v>1.7180173275856425</v>
      </c>
      <c r="Z789" s="7">
        <f t="shared" si="128"/>
        <v>1.3038371717558861</v>
      </c>
      <c r="AA789" s="7">
        <f t="shared" si="129"/>
        <v>1.204430737347957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79C43-6283-4D45-995B-34D6B4176E41}">
  <dimension ref="A1:U791"/>
  <sheetViews>
    <sheetView zoomScale="55" zoomScaleNormal="55" workbookViewId="0">
      <selection activeCell="H1" sqref="H1"/>
    </sheetView>
  </sheetViews>
  <sheetFormatPr baseColWidth="10" defaultRowHeight="15" x14ac:dyDescent="0.25"/>
  <cols>
    <col min="1" max="1" width="14.42578125" style="1" customWidth="1"/>
    <col min="2" max="8" width="11.42578125" style="1"/>
    <col min="9" max="9" width="11.7109375" bestFit="1" customWidth="1"/>
    <col min="11" max="11" width="11.7109375" bestFit="1" customWidth="1"/>
    <col min="17" max="21" width="13.140625" customWidth="1"/>
  </cols>
  <sheetData>
    <row r="1" spans="1:21" s="1" customFormat="1" x14ac:dyDescent="0.25">
      <c r="A1" s="9" t="s">
        <v>0</v>
      </c>
      <c r="B1" s="10" t="s">
        <v>2</v>
      </c>
      <c r="C1" s="10" t="s">
        <v>19</v>
      </c>
      <c r="D1" s="10" t="s">
        <v>21</v>
      </c>
      <c r="E1" s="10" t="s">
        <v>23</v>
      </c>
      <c r="F1" s="10" t="s">
        <v>25</v>
      </c>
      <c r="G1" s="10" t="s">
        <v>1689</v>
      </c>
      <c r="H1" s="10" t="s">
        <v>1692</v>
      </c>
      <c r="I1" s="10" t="s">
        <v>1691</v>
      </c>
      <c r="J1" s="10" t="s">
        <v>20</v>
      </c>
      <c r="K1" s="10" t="s">
        <v>1693</v>
      </c>
      <c r="L1" s="10" t="s">
        <v>22</v>
      </c>
      <c r="M1" s="10" t="s">
        <v>1694</v>
      </c>
      <c r="N1" s="10" t="s">
        <v>24</v>
      </c>
      <c r="O1" s="10" t="s">
        <v>1695</v>
      </c>
      <c r="P1" s="10" t="s">
        <v>26</v>
      </c>
      <c r="Q1" s="10" t="s">
        <v>1696</v>
      </c>
      <c r="R1" s="10" t="s">
        <v>1697</v>
      </c>
      <c r="S1" s="10" t="s">
        <v>1698</v>
      </c>
      <c r="T1" s="10" t="s">
        <v>1699</v>
      </c>
      <c r="U1" s="10" t="s">
        <v>1700</v>
      </c>
    </row>
    <row r="2" spans="1:21" x14ac:dyDescent="0.25">
      <c r="A2" s="1" t="s">
        <v>1652</v>
      </c>
      <c r="B2" s="1" t="s">
        <v>36</v>
      </c>
      <c r="C2" s="1">
        <v>11</v>
      </c>
      <c r="D2" s="1">
        <v>15</v>
      </c>
      <c r="E2" s="1">
        <v>8</v>
      </c>
      <c r="F2" s="1">
        <v>10</v>
      </c>
      <c r="G2" s="1">
        <v>44</v>
      </c>
      <c r="H2" s="7">
        <v>0.86971849262290413</v>
      </c>
      <c r="I2" s="7">
        <f>AVERAGE(C:C)</f>
        <v>22.694936708860759</v>
      </c>
      <c r="J2" s="7">
        <f>_xlfn.STDEV.S(C:C)</f>
        <v>5.3055534129377486</v>
      </c>
      <c r="K2" s="7">
        <f>AVERAGE(D:D)</f>
        <v>22.140506329113926</v>
      </c>
      <c r="L2" s="7">
        <f>_xlfn.STDEV.S(D:D)</f>
        <v>4.9144008395218908</v>
      </c>
      <c r="M2" s="7">
        <f>AVERAGE(E:E)</f>
        <v>10.069620253164556</v>
      </c>
      <c r="N2" s="7">
        <f>_xlfn.STDEV.S(E:E)</f>
        <v>2.1089377326145904</v>
      </c>
      <c r="O2" s="7">
        <f>AVERAGE(F:F)</f>
        <v>10.958227848101266</v>
      </c>
      <c r="P2" s="7">
        <f>_xlfn.STDEV.S(F:F)</f>
        <v>2.2883463843764797</v>
      </c>
      <c r="Q2" s="7">
        <f>STANDARDIZE(C2,I2,J2)</f>
        <v>-2.2042821546838658</v>
      </c>
      <c r="R2" s="7">
        <f>STANDARDIZE(D2,K2,L2)</f>
        <v>-1.4529759704763128</v>
      </c>
      <c r="S2" s="7">
        <f>STANDARDIZE(E2,M2,N2)</f>
        <v>-0.98135673764000164</v>
      </c>
      <c r="T2" s="7">
        <f>STANDARDIZE(F2,O2,P2)</f>
        <v>-0.41874248349965643</v>
      </c>
      <c r="U2" s="7">
        <f>AVERAGE(Q2:T2)</f>
        <v>-1.2643393365749591</v>
      </c>
    </row>
    <row r="3" spans="1:21" x14ac:dyDescent="0.25">
      <c r="A3" s="1" t="s">
        <v>1652</v>
      </c>
      <c r="B3" s="1" t="s">
        <v>36</v>
      </c>
      <c r="C3" s="1">
        <v>15</v>
      </c>
      <c r="D3" s="1">
        <v>17</v>
      </c>
      <c r="E3" s="1">
        <v>8</v>
      </c>
      <c r="F3" s="1">
        <v>10</v>
      </c>
      <c r="G3" s="1">
        <v>50</v>
      </c>
      <c r="H3" s="7">
        <v>0.80064076902543568</v>
      </c>
      <c r="I3" s="7">
        <f>AVERAGE(C:C)</f>
        <v>22.694936708860759</v>
      </c>
      <c r="J3" s="7">
        <f t="shared" ref="J3:J66" si="0">_xlfn.STDEV.S(C:C)</f>
        <v>5.3055534129377486</v>
      </c>
      <c r="K3" s="7">
        <f t="shared" ref="K3:K66" si="1">AVERAGE(D:D)</f>
        <v>22.140506329113926</v>
      </c>
      <c r="L3" s="7">
        <f t="shared" ref="L3:L66" si="2">_xlfn.STDEV.S(D:D)</f>
        <v>4.9144008395218908</v>
      </c>
      <c r="M3" s="7">
        <f t="shared" ref="M3:M66" si="3">AVERAGE(E:E)</f>
        <v>10.069620253164556</v>
      </c>
      <c r="N3" s="7">
        <f t="shared" ref="N3:N66" si="4">_xlfn.STDEV.S(E:E)</f>
        <v>2.1089377326145904</v>
      </c>
      <c r="O3" s="7">
        <f t="shared" ref="O3:O66" si="5">AVERAGE(F:F)</f>
        <v>10.958227848101266</v>
      </c>
      <c r="P3" s="7">
        <f t="shared" ref="P3:P66" si="6">_xlfn.STDEV.S(F:F)</f>
        <v>2.2883463843764797</v>
      </c>
      <c r="Q3" s="7">
        <f t="shared" ref="Q3:Q66" si="7">STANDARDIZE(C3,I3,J3)</f>
        <v>-1.4503551486441411</v>
      </c>
      <c r="R3" s="7">
        <f t="shared" ref="R3:R66" si="8">STANDARDIZE(D3,K3,L3)</f>
        <v>-1.0460087601674006</v>
      </c>
      <c r="S3" s="7">
        <f t="shared" ref="S3:S66" si="9">STANDARDIZE(E3,M3,N3)</f>
        <v>-0.98135673764000164</v>
      </c>
      <c r="T3" s="7">
        <f t="shared" ref="T3:T66" si="10">STANDARDIZE(F3,O3,P3)</f>
        <v>-0.41874248349965643</v>
      </c>
      <c r="U3" s="7">
        <f t="shared" ref="U3:U66" si="11">AVERAGE(Q3:T3)</f>
        <v>-0.97411578248779995</v>
      </c>
    </row>
    <row r="4" spans="1:21" x14ac:dyDescent="0.25">
      <c r="A4" s="1" t="s">
        <v>1652</v>
      </c>
      <c r="B4" s="1" t="s">
        <v>36</v>
      </c>
      <c r="C4" s="1">
        <v>14</v>
      </c>
      <c r="D4" s="1">
        <v>15</v>
      </c>
      <c r="E4" s="1">
        <v>8</v>
      </c>
      <c r="F4" s="1">
        <v>9</v>
      </c>
      <c r="G4" s="1">
        <v>46</v>
      </c>
      <c r="H4" s="7">
        <v>0.5188745216627707</v>
      </c>
      <c r="I4" s="7">
        <f t="shared" ref="I4:I67" si="12">AVERAGE(C:C)</f>
        <v>22.694936708860759</v>
      </c>
      <c r="J4" s="7">
        <f t="shared" si="0"/>
        <v>5.3055534129377486</v>
      </c>
      <c r="K4" s="7">
        <f t="shared" si="1"/>
        <v>22.140506329113926</v>
      </c>
      <c r="L4" s="7">
        <f t="shared" si="2"/>
        <v>4.9144008395218908</v>
      </c>
      <c r="M4" s="7">
        <f t="shared" si="3"/>
        <v>10.069620253164556</v>
      </c>
      <c r="N4" s="7">
        <f t="shared" si="4"/>
        <v>2.1089377326145904</v>
      </c>
      <c r="O4" s="7">
        <f t="shared" si="5"/>
        <v>10.958227848101266</v>
      </c>
      <c r="P4" s="7">
        <f t="shared" si="6"/>
        <v>2.2883463843764797</v>
      </c>
      <c r="Q4" s="7">
        <f t="shared" si="7"/>
        <v>-1.6388369001540724</v>
      </c>
      <c r="R4" s="7">
        <f t="shared" si="8"/>
        <v>-1.4529759704763128</v>
      </c>
      <c r="S4" s="7">
        <f t="shared" si="9"/>
        <v>-0.98135673764000164</v>
      </c>
      <c r="T4" s="7">
        <f t="shared" si="10"/>
        <v>-0.85573926284540058</v>
      </c>
      <c r="U4" s="7">
        <f t="shared" si="11"/>
        <v>-1.2322272177789468</v>
      </c>
    </row>
    <row r="5" spans="1:21" x14ac:dyDescent="0.25">
      <c r="A5" s="1" t="s">
        <v>1652</v>
      </c>
      <c r="B5" s="1" t="s">
        <v>36</v>
      </c>
      <c r="C5" s="1">
        <v>18</v>
      </c>
      <c r="D5" s="1">
        <v>16</v>
      </c>
      <c r="E5" s="1">
        <v>9</v>
      </c>
      <c r="F5" s="1">
        <v>8</v>
      </c>
      <c r="G5" s="1">
        <v>51</v>
      </c>
      <c r="H5" s="7">
        <v>1.0377490433255416</v>
      </c>
      <c r="I5" s="7">
        <f t="shared" si="12"/>
        <v>22.694936708860759</v>
      </c>
      <c r="J5" s="7">
        <f t="shared" si="0"/>
        <v>5.3055534129377486</v>
      </c>
      <c r="K5" s="7">
        <f t="shared" si="1"/>
        <v>22.140506329113926</v>
      </c>
      <c r="L5" s="7">
        <f t="shared" si="2"/>
        <v>4.9144008395218908</v>
      </c>
      <c r="M5" s="7">
        <f t="shared" si="3"/>
        <v>10.069620253164556</v>
      </c>
      <c r="N5" s="7">
        <f t="shared" si="4"/>
        <v>2.1089377326145904</v>
      </c>
      <c r="O5" s="7">
        <f t="shared" si="5"/>
        <v>10.958227848101266</v>
      </c>
      <c r="P5" s="7">
        <f t="shared" si="6"/>
        <v>2.2883463843764797</v>
      </c>
      <c r="Q5" s="7">
        <f t="shared" si="7"/>
        <v>-0.88490989411434762</v>
      </c>
      <c r="R5" s="7">
        <f t="shared" si="8"/>
        <v>-1.2494923653218568</v>
      </c>
      <c r="S5" s="7">
        <f t="shared" si="9"/>
        <v>-0.5071843689943738</v>
      </c>
      <c r="T5" s="7">
        <f t="shared" si="10"/>
        <v>-1.2927360421911447</v>
      </c>
      <c r="U5" s="7">
        <f t="shared" si="11"/>
        <v>-0.98358066765543084</v>
      </c>
    </row>
    <row r="6" spans="1:21" x14ac:dyDescent="0.25">
      <c r="A6" s="1" t="s">
        <v>1652</v>
      </c>
      <c r="B6" s="1" t="s">
        <v>36</v>
      </c>
      <c r="C6" s="1">
        <v>19</v>
      </c>
      <c r="D6" s="1">
        <v>16</v>
      </c>
      <c r="E6" s="1">
        <v>9</v>
      </c>
      <c r="F6" s="1">
        <v>8</v>
      </c>
      <c r="G6" s="1">
        <v>52</v>
      </c>
      <c r="H6" s="7">
        <v>1.0000000000000002</v>
      </c>
      <c r="I6" s="7">
        <f t="shared" si="12"/>
        <v>22.694936708860759</v>
      </c>
      <c r="J6" s="7">
        <f t="shared" si="0"/>
        <v>5.3055534129377486</v>
      </c>
      <c r="K6" s="7">
        <f t="shared" si="1"/>
        <v>22.140506329113926</v>
      </c>
      <c r="L6" s="7">
        <f t="shared" si="2"/>
        <v>4.9144008395218908</v>
      </c>
      <c r="M6" s="7">
        <f t="shared" si="3"/>
        <v>10.069620253164556</v>
      </c>
      <c r="N6" s="7">
        <f t="shared" si="4"/>
        <v>2.1089377326145904</v>
      </c>
      <c r="O6" s="7">
        <f t="shared" si="5"/>
        <v>10.958227848101266</v>
      </c>
      <c r="P6" s="7">
        <f t="shared" si="6"/>
        <v>2.2883463843764797</v>
      </c>
      <c r="Q6" s="7">
        <f t="shared" si="7"/>
        <v>-0.69642814260441643</v>
      </c>
      <c r="R6" s="7">
        <f t="shared" si="8"/>
        <v>-1.2494923653218568</v>
      </c>
      <c r="S6" s="7">
        <f t="shared" si="9"/>
        <v>-0.5071843689943738</v>
      </c>
      <c r="T6" s="7">
        <f t="shared" si="10"/>
        <v>-1.2927360421911447</v>
      </c>
      <c r="U6" s="7">
        <f t="shared" si="11"/>
        <v>-0.93646022977794785</v>
      </c>
    </row>
    <row r="7" spans="1:21" x14ac:dyDescent="0.25">
      <c r="A7" s="1" t="s">
        <v>1652</v>
      </c>
      <c r="B7" s="1" t="s">
        <v>36</v>
      </c>
      <c r="C7" s="1">
        <v>20</v>
      </c>
      <c r="D7" s="1">
        <v>17</v>
      </c>
      <c r="E7" s="1">
        <v>9</v>
      </c>
      <c r="F7" s="1">
        <v>9</v>
      </c>
      <c r="G7" s="1">
        <v>55</v>
      </c>
      <c r="H7" s="7">
        <v>1.0919284281983379</v>
      </c>
      <c r="I7" s="7">
        <f t="shared" si="12"/>
        <v>22.694936708860759</v>
      </c>
      <c r="J7" s="7">
        <f t="shared" si="0"/>
        <v>5.3055534129377486</v>
      </c>
      <c r="K7" s="7">
        <f t="shared" si="1"/>
        <v>22.140506329113926</v>
      </c>
      <c r="L7" s="7">
        <f t="shared" si="2"/>
        <v>4.9144008395218908</v>
      </c>
      <c r="M7" s="7">
        <f t="shared" si="3"/>
        <v>10.069620253164556</v>
      </c>
      <c r="N7" s="7">
        <f t="shared" si="4"/>
        <v>2.1089377326145904</v>
      </c>
      <c r="O7" s="7">
        <f t="shared" si="5"/>
        <v>10.958227848101266</v>
      </c>
      <c r="P7" s="7">
        <f t="shared" si="6"/>
        <v>2.2883463843764797</v>
      </c>
      <c r="Q7" s="7">
        <f t="shared" si="7"/>
        <v>-0.50794639109448525</v>
      </c>
      <c r="R7" s="7">
        <f t="shared" si="8"/>
        <v>-1.0460087601674006</v>
      </c>
      <c r="S7" s="7">
        <f t="shared" si="9"/>
        <v>-0.5071843689943738</v>
      </c>
      <c r="T7" s="7">
        <f t="shared" si="10"/>
        <v>-0.85573926284540058</v>
      </c>
      <c r="U7" s="7">
        <f t="shared" si="11"/>
        <v>-0.72921969577541512</v>
      </c>
    </row>
    <row r="8" spans="1:21" x14ac:dyDescent="0.25">
      <c r="A8" s="1" t="s">
        <v>1652</v>
      </c>
      <c r="B8" s="1" t="s">
        <v>36</v>
      </c>
      <c r="C8" s="1">
        <v>16</v>
      </c>
      <c r="D8" s="1">
        <v>16</v>
      </c>
      <c r="E8" s="1">
        <v>9</v>
      </c>
      <c r="F8" s="1">
        <v>9</v>
      </c>
      <c r="G8" s="1">
        <v>50</v>
      </c>
      <c r="H8" s="7">
        <v>0.68873723172119439</v>
      </c>
      <c r="I8" s="7">
        <f t="shared" si="12"/>
        <v>22.694936708860759</v>
      </c>
      <c r="J8" s="7">
        <f t="shared" si="0"/>
        <v>5.3055534129377486</v>
      </c>
      <c r="K8" s="7">
        <f t="shared" si="1"/>
        <v>22.140506329113926</v>
      </c>
      <c r="L8" s="7">
        <f t="shared" si="2"/>
        <v>4.9144008395218908</v>
      </c>
      <c r="M8" s="7">
        <f t="shared" si="3"/>
        <v>10.069620253164556</v>
      </c>
      <c r="N8" s="7">
        <f t="shared" si="4"/>
        <v>2.1089377326145904</v>
      </c>
      <c r="O8" s="7">
        <f t="shared" si="5"/>
        <v>10.958227848101266</v>
      </c>
      <c r="P8" s="7">
        <f t="shared" si="6"/>
        <v>2.2883463843764797</v>
      </c>
      <c r="Q8" s="7">
        <f t="shared" si="7"/>
        <v>-1.26187339713421</v>
      </c>
      <c r="R8" s="7">
        <f t="shared" si="8"/>
        <v>-1.2494923653218568</v>
      </c>
      <c r="S8" s="7">
        <f t="shared" si="9"/>
        <v>-0.5071843689943738</v>
      </c>
      <c r="T8" s="7">
        <f t="shared" si="10"/>
        <v>-0.85573926284540058</v>
      </c>
      <c r="U8" s="7">
        <f t="shared" si="11"/>
        <v>-0.96857234857396035</v>
      </c>
    </row>
    <row r="9" spans="1:21" x14ac:dyDescent="0.25">
      <c r="A9" s="1" t="s">
        <v>1652</v>
      </c>
      <c r="B9" s="1" t="s">
        <v>36</v>
      </c>
      <c r="C9" s="1">
        <v>16</v>
      </c>
      <c r="D9" s="1">
        <v>12</v>
      </c>
      <c r="E9" s="1">
        <v>8</v>
      </c>
      <c r="F9" s="1">
        <v>9</v>
      </c>
      <c r="G9" s="1">
        <v>45</v>
      </c>
      <c r="H9" s="7">
        <v>0.66022529177352474</v>
      </c>
      <c r="I9" s="7">
        <f t="shared" si="12"/>
        <v>22.694936708860759</v>
      </c>
      <c r="J9" s="7">
        <f t="shared" si="0"/>
        <v>5.3055534129377486</v>
      </c>
      <c r="K9" s="7">
        <f t="shared" si="1"/>
        <v>22.140506329113926</v>
      </c>
      <c r="L9" s="7">
        <f t="shared" si="2"/>
        <v>4.9144008395218908</v>
      </c>
      <c r="M9" s="7">
        <f t="shared" si="3"/>
        <v>10.069620253164556</v>
      </c>
      <c r="N9" s="7">
        <f t="shared" si="4"/>
        <v>2.1089377326145904</v>
      </c>
      <c r="O9" s="7">
        <f t="shared" si="5"/>
        <v>10.958227848101266</v>
      </c>
      <c r="P9" s="7">
        <f t="shared" si="6"/>
        <v>2.2883463843764797</v>
      </c>
      <c r="Q9" s="7">
        <f t="shared" si="7"/>
        <v>-1.26187339713421</v>
      </c>
      <c r="R9" s="7">
        <f t="shared" si="8"/>
        <v>-2.0634267859396811</v>
      </c>
      <c r="S9" s="7">
        <f t="shared" si="9"/>
        <v>-0.98135673764000164</v>
      </c>
      <c r="T9" s="7">
        <f t="shared" si="10"/>
        <v>-0.85573926284540058</v>
      </c>
      <c r="U9" s="7">
        <f t="shared" si="11"/>
        <v>-1.2905990458898233</v>
      </c>
    </row>
    <row r="10" spans="1:21" x14ac:dyDescent="0.25">
      <c r="A10" s="1" t="s">
        <v>1652</v>
      </c>
      <c r="B10" s="1" t="s">
        <v>36</v>
      </c>
      <c r="C10" s="1">
        <v>11</v>
      </c>
      <c r="D10" s="1">
        <v>12</v>
      </c>
      <c r="E10" s="1">
        <v>7</v>
      </c>
      <c r="F10" s="1">
        <v>8</v>
      </c>
      <c r="G10" s="1">
        <v>38</v>
      </c>
      <c r="H10" s="7">
        <v>0.49354811679282456</v>
      </c>
      <c r="I10" s="7">
        <f t="shared" si="12"/>
        <v>22.694936708860759</v>
      </c>
      <c r="J10" s="7">
        <f t="shared" si="0"/>
        <v>5.3055534129377486</v>
      </c>
      <c r="K10" s="7">
        <f t="shared" si="1"/>
        <v>22.140506329113926</v>
      </c>
      <c r="L10" s="7">
        <f t="shared" si="2"/>
        <v>4.9144008395218908</v>
      </c>
      <c r="M10" s="7">
        <f t="shared" si="3"/>
        <v>10.069620253164556</v>
      </c>
      <c r="N10" s="7">
        <f t="shared" si="4"/>
        <v>2.1089377326145904</v>
      </c>
      <c r="O10" s="7">
        <f t="shared" si="5"/>
        <v>10.958227848101266</v>
      </c>
      <c r="P10" s="7">
        <f t="shared" si="6"/>
        <v>2.2883463843764797</v>
      </c>
      <c r="Q10" s="7">
        <f t="shared" si="7"/>
        <v>-2.2042821546838658</v>
      </c>
      <c r="R10" s="7">
        <f t="shared" si="8"/>
        <v>-2.0634267859396811</v>
      </c>
      <c r="S10" s="7">
        <f t="shared" si="9"/>
        <v>-1.4555291062856295</v>
      </c>
      <c r="T10" s="7">
        <f t="shared" si="10"/>
        <v>-1.2927360421911447</v>
      </c>
      <c r="U10" s="7">
        <f t="shared" si="11"/>
        <v>-1.7539935222750802</v>
      </c>
    </row>
    <row r="11" spans="1:21" x14ac:dyDescent="0.25">
      <c r="A11" s="1" t="s">
        <v>1652</v>
      </c>
      <c r="B11" s="1" t="s">
        <v>36</v>
      </c>
      <c r="C11" s="1">
        <v>13</v>
      </c>
      <c r="D11" s="1">
        <v>13</v>
      </c>
      <c r="E11" s="1">
        <v>9</v>
      </c>
      <c r="F11" s="1">
        <v>9</v>
      </c>
      <c r="G11" s="1">
        <v>44</v>
      </c>
      <c r="H11" s="7">
        <v>0.6504436355879909</v>
      </c>
      <c r="I11" s="7">
        <f t="shared" si="12"/>
        <v>22.694936708860759</v>
      </c>
      <c r="J11" s="7">
        <f t="shared" si="0"/>
        <v>5.3055534129377486</v>
      </c>
      <c r="K11" s="7">
        <f t="shared" si="1"/>
        <v>22.140506329113926</v>
      </c>
      <c r="L11" s="7">
        <f t="shared" si="2"/>
        <v>4.9144008395218908</v>
      </c>
      <c r="M11" s="7">
        <f t="shared" si="3"/>
        <v>10.069620253164556</v>
      </c>
      <c r="N11" s="7">
        <f t="shared" si="4"/>
        <v>2.1089377326145904</v>
      </c>
      <c r="O11" s="7">
        <f t="shared" si="5"/>
        <v>10.958227848101266</v>
      </c>
      <c r="P11" s="7">
        <f t="shared" si="6"/>
        <v>2.2883463843764797</v>
      </c>
      <c r="Q11" s="7">
        <f t="shared" si="7"/>
        <v>-1.8273186516640034</v>
      </c>
      <c r="R11" s="7">
        <f t="shared" si="8"/>
        <v>-1.8599431807852249</v>
      </c>
      <c r="S11" s="7">
        <f t="shared" si="9"/>
        <v>-0.5071843689943738</v>
      </c>
      <c r="T11" s="7">
        <f t="shared" si="10"/>
        <v>-0.85573926284540058</v>
      </c>
      <c r="U11" s="7">
        <f t="shared" si="11"/>
        <v>-1.2625463660722507</v>
      </c>
    </row>
    <row r="12" spans="1:21" x14ac:dyDescent="0.25">
      <c r="A12" s="1" t="s">
        <v>1652</v>
      </c>
      <c r="B12" s="1" t="s">
        <v>36</v>
      </c>
      <c r="C12" s="1">
        <v>15</v>
      </c>
      <c r="D12" s="1">
        <v>16</v>
      </c>
      <c r="E12" s="1">
        <v>9</v>
      </c>
      <c r="F12" s="1">
        <v>9</v>
      </c>
      <c r="G12" s="1">
        <v>49</v>
      </c>
      <c r="H12" s="7">
        <v>0.72501105208198413</v>
      </c>
      <c r="I12" s="7">
        <f t="shared" si="12"/>
        <v>22.694936708860759</v>
      </c>
      <c r="J12" s="7">
        <f t="shared" si="0"/>
        <v>5.3055534129377486</v>
      </c>
      <c r="K12" s="7">
        <f t="shared" si="1"/>
        <v>22.140506329113926</v>
      </c>
      <c r="L12" s="7">
        <f t="shared" si="2"/>
        <v>4.9144008395218908</v>
      </c>
      <c r="M12" s="7">
        <f t="shared" si="3"/>
        <v>10.069620253164556</v>
      </c>
      <c r="N12" s="7">
        <f t="shared" si="4"/>
        <v>2.1089377326145904</v>
      </c>
      <c r="O12" s="7">
        <f t="shared" si="5"/>
        <v>10.958227848101266</v>
      </c>
      <c r="P12" s="7">
        <f t="shared" si="6"/>
        <v>2.2883463843764797</v>
      </c>
      <c r="Q12" s="7">
        <f t="shared" si="7"/>
        <v>-1.4503551486441411</v>
      </c>
      <c r="R12" s="7">
        <f t="shared" si="8"/>
        <v>-1.2494923653218568</v>
      </c>
      <c r="S12" s="7">
        <f t="shared" si="9"/>
        <v>-0.5071843689943738</v>
      </c>
      <c r="T12" s="7">
        <f t="shared" si="10"/>
        <v>-0.85573926284540058</v>
      </c>
      <c r="U12" s="7">
        <f t="shared" si="11"/>
        <v>-1.0156927864514431</v>
      </c>
    </row>
    <row r="13" spans="1:21" x14ac:dyDescent="0.25">
      <c r="A13" s="1" t="s">
        <v>1652</v>
      </c>
      <c r="B13" s="1" t="s">
        <v>36</v>
      </c>
      <c r="C13" s="1">
        <v>15</v>
      </c>
      <c r="D13" s="1">
        <v>18</v>
      </c>
      <c r="E13" s="1">
        <v>9</v>
      </c>
      <c r="F13" s="1">
        <v>9</v>
      </c>
      <c r="G13" s="1">
        <v>51</v>
      </c>
      <c r="H13" s="7">
        <v>0.86231649850257619</v>
      </c>
      <c r="I13" s="7">
        <f t="shared" si="12"/>
        <v>22.694936708860759</v>
      </c>
      <c r="J13" s="7">
        <f t="shared" si="0"/>
        <v>5.3055534129377486</v>
      </c>
      <c r="K13" s="7">
        <f t="shared" si="1"/>
        <v>22.140506329113926</v>
      </c>
      <c r="L13" s="7">
        <f t="shared" si="2"/>
        <v>4.9144008395218908</v>
      </c>
      <c r="M13" s="7">
        <f t="shared" si="3"/>
        <v>10.069620253164556</v>
      </c>
      <c r="N13" s="7">
        <f t="shared" si="4"/>
        <v>2.1089377326145904</v>
      </c>
      <c r="O13" s="7">
        <f t="shared" si="5"/>
        <v>10.958227848101266</v>
      </c>
      <c r="P13" s="7">
        <f t="shared" si="6"/>
        <v>2.2883463843764797</v>
      </c>
      <c r="Q13" s="7">
        <f t="shared" si="7"/>
        <v>-1.4503551486441411</v>
      </c>
      <c r="R13" s="7">
        <f t="shared" si="8"/>
        <v>-0.84252515501294456</v>
      </c>
      <c r="S13" s="7">
        <f t="shared" si="9"/>
        <v>-0.5071843689943738</v>
      </c>
      <c r="T13" s="7">
        <f t="shared" si="10"/>
        <v>-0.85573926284540058</v>
      </c>
      <c r="U13" s="7">
        <f t="shared" si="11"/>
        <v>-0.91395098387421503</v>
      </c>
    </row>
    <row r="14" spans="1:21" x14ac:dyDescent="0.25">
      <c r="A14" s="1" t="s">
        <v>1652</v>
      </c>
      <c r="B14" s="1" t="s">
        <v>36</v>
      </c>
      <c r="C14" s="1">
        <v>14</v>
      </c>
      <c r="D14" s="1">
        <v>16</v>
      </c>
      <c r="E14" s="1">
        <v>7</v>
      </c>
      <c r="F14" s="1">
        <v>11</v>
      </c>
      <c r="G14" s="1">
        <v>48</v>
      </c>
      <c r="H14" s="7">
        <v>0.48038446141526137</v>
      </c>
      <c r="I14" s="7">
        <f t="shared" si="12"/>
        <v>22.694936708860759</v>
      </c>
      <c r="J14" s="7">
        <f t="shared" si="0"/>
        <v>5.3055534129377486</v>
      </c>
      <c r="K14" s="7">
        <f t="shared" si="1"/>
        <v>22.140506329113926</v>
      </c>
      <c r="L14" s="7">
        <f t="shared" si="2"/>
        <v>4.9144008395218908</v>
      </c>
      <c r="M14" s="7">
        <f t="shared" si="3"/>
        <v>10.069620253164556</v>
      </c>
      <c r="N14" s="7">
        <f t="shared" si="4"/>
        <v>2.1089377326145904</v>
      </c>
      <c r="O14" s="7">
        <f t="shared" si="5"/>
        <v>10.958227848101266</v>
      </c>
      <c r="P14" s="7">
        <f t="shared" si="6"/>
        <v>2.2883463843764797</v>
      </c>
      <c r="Q14" s="7">
        <f t="shared" si="7"/>
        <v>-1.6388369001540724</v>
      </c>
      <c r="R14" s="7">
        <f t="shared" si="8"/>
        <v>-1.2494923653218568</v>
      </c>
      <c r="S14" s="7">
        <f t="shared" si="9"/>
        <v>-1.4555291062856295</v>
      </c>
      <c r="T14" s="7">
        <f t="shared" si="10"/>
        <v>1.8254295846087756E-2</v>
      </c>
      <c r="U14" s="7">
        <f t="shared" si="11"/>
        <v>-1.0814010189788676</v>
      </c>
    </row>
    <row r="15" spans="1:21" x14ac:dyDescent="0.25">
      <c r="A15" s="1" t="s">
        <v>1652</v>
      </c>
      <c r="B15" s="1" t="s">
        <v>36</v>
      </c>
      <c r="C15" s="1">
        <v>17</v>
      </c>
      <c r="D15" s="1">
        <v>18</v>
      </c>
      <c r="E15" s="1">
        <v>9</v>
      </c>
      <c r="F15" s="1">
        <v>12</v>
      </c>
      <c r="G15" s="1">
        <v>56</v>
      </c>
      <c r="H15" s="7">
        <v>0.48038446141526142</v>
      </c>
      <c r="I15" s="7">
        <f t="shared" si="12"/>
        <v>22.694936708860759</v>
      </c>
      <c r="J15" s="7">
        <f t="shared" si="0"/>
        <v>5.3055534129377486</v>
      </c>
      <c r="K15" s="7">
        <f t="shared" si="1"/>
        <v>22.140506329113926</v>
      </c>
      <c r="L15" s="7">
        <f t="shared" si="2"/>
        <v>4.9144008395218908</v>
      </c>
      <c r="M15" s="7">
        <f t="shared" si="3"/>
        <v>10.069620253164556</v>
      </c>
      <c r="N15" s="7">
        <f t="shared" si="4"/>
        <v>2.1089377326145904</v>
      </c>
      <c r="O15" s="7">
        <f t="shared" si="5"/>
        <v>10.958227848101266</v>
      </c>
      <c r="P15" s="7">
        <f t="shared" si="6"/>
        <v>2.2883463843764797</v>
      </c>
      <c r="Q15" s="7">
        <f t="shared" si="7"/>
        <v>-1.0733916456242787</v>
      </c>
      <c r="R15" s="7">
        <f t="shared" si="8"/>
        <v>-0.84252515501294456</v>
      </c>
      <c r="S15" s="7">
        <f t="shared" si="9"/>
        <v>-0.5071843689943738</v>
      </c>
      <c r="T15" s="7">
        <f t="shared" si="10"/>
        <v>0.45525107519183194</v>
      </c>
      <c r="U15" s="7">
        <f t="shared" si="11"/>
        <v>-0.4919625236099413</v>
      </c>
    </row>
    <row r="16" spans="1:21" x14ac:dyDescent="0.25">
      <c r="A16" s="1" t="s">
        <v>1652</v>
      </c>
      <c r="B16" s="1" t="s">
        <v>36</v>
      </c>
      <c r="C16" s="1">
        <v>15</v>
      </c>
      <c r="D16" s="1">
        <v>15</v>
      </c>
      <c r="E16" s="1">
        <v>9</v>
      </c>
      <c r="F16" s="1">
        <v>10</v>
      </c>
      <c r="G16" s="1">
        <v>49</v>
      </c>
      <c r="H16" s="7">
        <v>0.59914468951527811</v>
      </c>
      <c r="I16" s="7">
        <f t="shared" si="12"/>
        <v>22.694936708860759</v>
      </c>
      <c r="J16" s="7">
        <f t="shared" si="0"/>
        <v>5.3055534129377486</v>
      </c>
      <c r="K16" s="7">
        <f t="shared" si="1"/>
        <v>22.140506329113926</v>
      </c>
      <c r="L16" s="7">
        <f t="shared" si="2"/>
        <v>4.9144008395218908</v>
      </c>
      <c r="M16" s="7">
        <f t="shared" si="3"/>
        <v>10.069620253164556</v>
      </c>
      <c r="N16" s="7">
        <f t="shared" si="4"/>
        <v>2.1089377326145904</v>
      </c>
      <c r="O16" s="7">
        <f t="shared" si="5"/>
        <v>10.958227848101266</v>
      </c>
      <c r="P16" s="7">
        <f t="shared" si="6"/>
        <v>2.2883463843764797</v>
      </c>
      <c r="Q16" s="7">
        <f t="shared" si="7"/>
        <v>-1.4503551486441411</v>
      </c>
      <c r="R16" s="7">
        <f t="shared" si="8"/>
        <v>-1.4529759704763128</v>
      </c>
      <c r="S16" s="7">
        <f t="shared" si="9"/>
        <v>-0.5071843689943738</v>
      </c>
      <c r="T16" s="7">
        <f t="shared" si="10"/>
        <v>-0.41874248349965643</v>
      </c>
      <c r="U16" s="7">
        <f t="shared" si="11"/>
        <v>-0.95731449290362092</v>
      </c>
    </row>
    <row r="17" spans="1:21" x14ac:dyDescent="0.25">
      <c r="A17" s="1" t="s">
        <v>1652</v>
      </c>
      <c r="B17" s="1" t="s">
        <v>36</v>
      </c>
      <c r="C17" s="1">
        <v>20</v>
      </c>
      <c r="D17" s="1">
        <v>19</v>
      </c>
      <c r="E17" s="1">
        <v>10</v>
      </c>
      <c r="F17" s="1">
        <v>11</v>
      </c>
      <c r="G17" s="1">
        <v>60</v>
      </c>
      <c r="H17" s="7">
        <v>0.7679476477883046</v>
      </c>
      <c r="I17" s="7">
        <f t="shared" si="12"/>
        <v>22.694936708860759</v>
      </c>
      <c r="J17" s="7">
        <f t="shared" si="0"/>
        <v>5.3055534129377486</v>
      </c>
      <c r="K17" s="7">
        <f t="shared" si="1"/>
        <v>22.140506329113926</v>
      </c>
      <c r="L17" s="7">
        <f t="shared" si="2"/>
        <v>4.9144008395218908</v>
      </c>
      <c r="M17" s="7">
        <f t="shared" si="3"/>
        <v>10.069620253164556</v>
      </c>
      <c r="N17" s="7">
        <f t="shared" si="4"/>
        <v>2.1089377326145904</v>
      </c>
      <c r="O17" s="7">
        <f t="shared" si="5"/>
        <v>10.958227848101266</v>
      </c>
      <c r="P17" s="7">
        <f t="shared" si="6"/>
        <v>2.2883463843764797</v>
      </c>
      <c r="Q17" s="7">
        <f t="shared" si="7"/>
        <v>-0.50794639109448525</v>
      </c>
      <c r="R17" s="7">
        <f t="shared" si="8"/>
        <v>-0.63904154985848838</v>
      </c>
      <c r="S17" s="7">
        <f t="shared" si="9"/>
        <v>-3.3012000348745997E-2</v>
      </c>
      <c r="T17" s="7">
        <f t="shared" si="10"/>
        <v>1.8254295846087756E-2</v>
      </c>
      <c r="U17" s="7">
        <f t="shared" si="11"/>
        <v>-0.29043641136390791</v>
      </c>
    </row>
    <row r="18" spans="1:21" x14ac:dyDescent="0.25">
      <c r="A18" s="1" t="s">
        <v>1652</v>
      </c>
      <c r="B18" s="1" t="s">
        <v>36</v>
      </c>
      <c r="C18" s="1">
        <v>18</v>
      </c>
      <c r="D18" s="1">
        <v>17</v>
      </c>
      <c r="E18" s="1">
        <v>7</v>
      </c>
      <c r="F18" s="1">
        <v>10</v>
      </c>
      <c r="G18" s="1">
        <v>52</v>
      </c>
      <c r="H18" s="7">
        <v>0.70710678118654757</v>
      </c>
      <c r="I18" s="7">
        <f t="shared" si="12"/>
        <v>22.694936708860759</v>
      </c>
      <c r="J18" s="7">
        <f t="shared" si="0"/>
        <v>5.3055534129377486</v>
      </c>
      <c r="K18" s="7">
        <f t="shared" si="1"/>
        <v>22.140506329113926</v>
      </c>
      <c r="L18" s="7">
        <f t="shared" si="2"/>
        <v>4.9144008395218908</v>
      </c>
      <c r="M18" s="7">
        <f t="shared" si="3"/>
        <v>10.069620253164556</v>
      </c>
      <c r="N18" s="7">
        <f t="shared" si="4"/>
        <v>2.1089377326145904</v>
      </c>
      <c r="O18" s="7">
        <f t="shared" si="5"/>
        <v>10.958227848101266</v>
      </c>
      <c r="P18" s="7">
        <f t="shared" si="6"/>
        <v>2.2883463843764797</v>
      </c>
      <c r="Q18" s="7">
        <f t="shared" si="7"/>
        <v>-0.88490989411434762</v>
      </c>
      <c r="R18" s="7">
        <f t="shared" si="8"/>
        <v>-1.0460087601674006</v>
      </c>
      <c r="S18" s="7">
        <f t="shared" si="9"/>
        <v>-1.4555291062856295</v>
      </c>
      <c r="T18" s="7">
        <f t="shared" si="10"/>
        <v>-0.41874248349965643</v>
      </c>
      <c r="U18" s="7">
        <f t="shared" si="11"/>
        <v>-0.95129756101675844</v>
      </c>
    </row>
    <row r="19" spans="1:21" x14ac:dyDescent="0.25">
      <c r="A19" s="1" t="s">
        <v>1652</v>
      </c>
      <c r="B19" s="1" t="s">
        <v>36</v>
      </c>
      <c r="C19" s="1">
        <v>17</v>
      </c>
      <c r="D19" s="1">
        <v>14</v>
      </c>
      <c r="E19" s="1">
        <v>7</v>
      </c>
      <c r="F19" s="1">
        <v>9</v>
      </c>
      <c r="G19" s="1">
        <v>47</v>
      </c>
      <c r="H19" s="7">
        <v>0.7679476477883046</v>
      </c>
      <c r="I19" s="7">
        <f t="shared" si="12"/>
        <v>22.694936708860759</v>
      </c>
      <c r="J19" s="7">
        <f t="shared" si="0"/>
        <v>5.3055534129377486</v>
      </c>
      <c r="K19" s="7">
        <f t="shared" si="1"/>
        <v>22.140506329113926</v>
      </c>
      <c r="L19" s="7">
        <f t="shared" si="2"/>
        <v>4.9144008395218908</v>
      </c>
      <c r="M19" s="7">
        <f t="shared" si="3"/>
        <v>10.069620253164556</v>
      </c>
      <c r="N19" s="7">
        <f t="shared" si="4"/>
        <v>2.1089377326145904</v>
      </c>
      <c r="O19" s="7">
        <f t="shared" si="5"/>
        <v>10.958227848101266</v>
      </c>
      <c r="P19" s="7">
        <f t="shared" si="6"/>
        <v>2.2883463843764797</v>
      </c>
      <c r="Q19" s="7">
        <f t="shared" si="7"/>
        <v>-1.0733916456242787</v>
      </c>
      <c r="R19" s="7">
        <f t="shared" si="8"/>
        <v>-1.656459575630769</v>
      </c>
      <c r="S19" s="7">
        <f t="shared" si="9"/>
        <v>-1.4555291062856295</v>
      </c>
      <c r="T19" s="7">
        <f t="shared" si="10"/>
        <v>-0.85573926284540058</v>
      </c>
      <c r="U19" s="7">
        <f t="shared" si="11"/>
        <v>-1.2602798975965195</v>
      </c>
    </row>
    <row r="20" spans="1:21" x14ac:dyDescent="0.25">
      <c r="A20" s="1" t="s">
        <v>1652</v>
      </c>
      <c r="B20" s="1" t="s">
        <v>36</v>
      </c>
      <c r="C20" s="1">
        <v>17</v>
      </c>
      <c r="D20" s="1">
        <v>12</v>
      </c>
      <c r="E20" s="1">
        <v>6</v>
      </c>
      <c r="F20" s="1">
        <v>8</v>
      </c>
      <c r="G20" s="1">
        <v>43</v>
      </c>
      <c r="H20" s="7">
        <v>0.85485041426511044</v>
      </c>
      <c r="I20" s="7">
        <f t="shared" si="12"/>
        <v>22.694936708860759</v>
      </c>
      <c r="J20" s="7">
        <f t="shared" si="0"/>
        <v>5.3055534129377486</v>
      </c>
      <c r="K20" s="7">
        <f t="shared" si="1"/>
        <v>22.140506329113926</v>
      </c>
      <c r="L20" s="7">
        <f t="shared" si="2"/>
        <v>4.9144008395218908</v>
      </c>
      <c r="M20" s="7">
        <f t="shared" si="3"/>
        <v>10.069620253164556</v>
      </c>
      <c r="N20" s="7">
        <f t="shared" si="4"/>
        <v>2.1089377326145904</v>
      </c>
      <c r="O20" s="7">
        <f t="shared" si="5"/>
        <v>10.958227848101266</v>
      </c>
      <c r="P20" s="7">
        <f t="shared" si="6"/>
        <v>2.2883463843764797</v>
      </c>
      <c r="Q20" s="7">
        <f t="shared" si="7"/>
        <v>-1.0733916456242787</v>
      </c>
      <c r="R20" s="7">
        <f t="shared" si="8"/>
        <v>-2.0634267859396811</v>
      </c>
      <c r="S20" s="7">
        <f t="shared" si="9"/>
        <v>-1.9297014749312573</v>
      </c>
      <c r="T20" s="7">
        <f t="shared" si="10"/>
        <v>-1.2927360421911447</v>
      </c>
      <c r="U20" s="7">
        <f t="shared" si="11"/>
        <v>-1.5898139871715904</v>
      </c>
    </row>
    <row r="21" spans="1:21" x14ac:dyDescent="0.25">
      <c r="A21" s="1" t="s">
        <v>1652</v>
      </c>
      <c r="B21" s="1" t="s">
        <v>36</v>
      </c>
      <c r="C21" s="1">
        <v>16</v>
      </c>
      <c r="D21" s="1">
        <v>13</v>
      </c>
      <c r="E21" s="1">
        <v>5</v>
      </c>
      <c r="F21" s="1">
        <v>8</v>
      </c>
      <c r="G21" s="1">
        <v>42</v>
      </c>
      <c r="H21" s="7">
        <v>0.83205029433784361</v>
      </c>
      <c r="I21" s="7">
        <f t="shared" si="12"/>
        <v>22.694936708860759</v>
      </c>
      <c r="J21" s="7">
        <f t="shared" si="0"/>
        <v>5.3055534129377486</v>
      </c>
      <c r="K21" s="7">
        <f t="shared" si="1"/>
        <v>22.140506329113926</v>
      </c>
      <c r="L21" s="7">
        <f t="shared" si="2"/>
        <v>4.9144008395218908</v>
      </c>
      <c r="M21" s="7">
        <f t="shared" si="3"/>
        <v>10.069620253164556</v>
      </c>
      <c r="N21" s="7">
        <f t="shared" si="4"/>
        <v>2.1089377326145904</v>
      </c>
      <c r="O21" s="7">
        <f t="shared" si="5"/>
        <v>10.958227848101266</v>
      </c>
      <c r="P21" s="7">
        <f t="shared" si="6"/>
        <v>2.2883463843764797</v>
      </c>
      <c r="Q21" s="7">
        <f t="shared" si="7"/>
        <v>-1.26187339713421</v>
      </c>
      <c r="R21" s="7">
        <f t="shared" si="8"/>
        <v>-1.8599431807852249</v>
      </c>
      <c r="S21" s="7">
        <f t="shared" si="9"/>
        <v>-2.4038738435768852</v>
      </c>
      <c r="T21" s="7">
        <f t="shared" si="10"/>
        <v>-1.2927360421911447</v>
      </c>
      <c r="U21" s="7">
        <f t="shared" si="11"/>
        <v>-1.704606615921866</v>
      </c>
    </row>
    <row r="22" spans="1:21" x14ac:dyDescent="0.25">
      <c r="A22" s="1" t="s">
        <v>1652</v>
      </c>
      <c r="B22" s="1" t="s">
        <v>36</v>
      </c>
      <c r="C22" s="1">
        <v>15</v>
      </c>
      <c r="D22" s="1">
        <v>13</v>
      </c>
      <c r="E22" s="1">
        <v>6</v>
      </c>
      <c r="F22" s="1">
        <v>10</v>
      </c>
      <c r="G22" s="1">
        <v>44</v>
      </c>
      <c r="H22" s="7">
        <v>0.50636968354183332</v>
      </c>
      <c r="I22" s="7">
        <f t="shared" si="12"/>
        <v>22.694936708860759</v>
      </c>
      <c r="J22" s="7">
        <f t="shared" si="0"/>
        <v>5.3055534129377486</v>
      </c>
      <c r="K22" s="7">
        <f t="shared" si="1"/>
        <v>22.140506329113926</v>
      </c>
      <c r="L22" s="7">
        <f t="shared" si="2"/>
        <v>4.9144008395218908</v>
      </c>
      <c r="M22" s="7">
        <f t="shared" si="3"/>
        <v>10.069620253164556</v>
      </c>
      <c r="N22" s="7">
        <f t="shared" si="4"/>
        <v>2.1089377326145904</v>
      </c>
      <c r="O22" s="7">
        <f t="shared" si="5"/>
        <v>10.958227848101266</v>
      </c>
      <c r="P22" s="7">
        <f t="shared" si="6"/>
        <v>2.2883463843764797</v>
      </c>
      <c r="Q22" s="7">
        <f t="shared" si="7"/>
        <v>-1.4503551486441411</v>
      </c>
      <c r="R22" s="7">
        <f t="shared" si="8"/>
        <v>-1.8599431807852249</v>
      </c>
      <c r="S22" s="7">
        <f t="shared" si="9"/>
        <v>-1.9297014749312573</v>
      </c>
      <c r="T22" s="7">
        <f t="shared" si="10"/>
        <v>-0.41874248349965643</v>
      </c>
      <c r="U22" s="7">
        <f t="shared" si="11"/>
        <v>-1.4146855719650699</v>
      </c>
    </row>
    <row r="23" spans="1:21" x14ac:dyDescent="0.25">
      <c r="A23" s="1" t="s">
        <v>1652</v>
      </c>
      <c r="B23" s="1" t="s">
        <v>36</v>
      </c>
      <c r="C23" s="1">
        <v>15</v>
      </c>
      <c r="D23" s="1">
        <v>12</v>
      </c>
      <c r="E23" s="1">
        <v>6</v>
      </c>
      <c r="F23" s="1">
        <v>10</v>
      </c>
      <c r="G23" s="1">
        <v>43</v>
      </c>
      <c r="H23" s="7">
        <v>0.48038446141526137</v>
      </c>
      <c r="I23" s="7">
        <f t="shared" si="12"/>
        <v>22.694936708860759</v>
      </c>
      <c r="J23" s="7">
        <f t="shared" si="0"/>
        <v>5.3055534129377486</v>
      </c>
      <c r="K23" s="7">
        <f t="shared" si="1"/>
        <v>22.140506329113926</v>
      </c>
      <c r="L23" s="7">
        <f t="shared" si="2"/>
        <v>4.9144008395218908</v>
      </c>
      <c r="M23" s="7">
        <f t="shared" si="3"/>
        <v>10.069620253164556</v>
      </c>
      <c r="N23" s="7">
        <f t="shared" si="4"/>
        <v>2.1089377326145904</v>
      </c>
      <c r="O23" s="7">
        <f t="shared" si="5"/>
        <v>10.958227848101266</v>
      </c>
      <c r="P23" s="7">
        <f t="shared" si="6"/>
        <v>2.2883463843764797</v>
      </c>
      <c r="Q23" s="7">
        <f t="shared" si="7"/>
        <v>-1.4503551486441411</v>
      </c>
      <c r="R23" s="7">
        <f t="shared" si="8"/>
        <v>-2.0634267859396811</v>
      </c>
      <c r="S23" s="7">
        <f t="shared" si="9"/>
        <v>-1.9297014749312573</v>
      </c>
      <c r="T23" s="7">
        <f t="shared" si="10"/>
        <v>-0.41874248349965643</v>
      </c>
      <c r="U23" s="7">
        <f t="shared" si="11"/>
        <v>-1.4655564732536839</v>
      </c>
    </row>
    <row r="24" spans="1:21" x14ac:dyDescent="0.25">
      <c r="A24" s="1" t="s">
        <v>1652</v>
      </c>
      <c r="B24" s="1" t="s">
        <v>36</v>
      </c>
      <c r="C24" s="1">
        <v>13</v>
      </c>
      <c r="D24" s="1">
        <v>12</v>
      </c>
      <c r="E24" s="1">
        <v>6</v>
      </c>
      <c r="F24" s="1">
        <v>8</v>
      </c>
      <c r="G24" s="1">
        <v>39</v>
      </c>
      <c r="H24" s="7">
        <v>0.40824829046386318</v>
      </c>
      <c r="I24" s="7">
        <f t="shared" si="12"/>
        <v>22.694936708860759</v>
      </c>
      <c r="J24" s="7">
        <f t="shared" si="0"/>
        <v>5.3055534129377486</v>
      </c>
      <c r="K24" s="7">
        <f t="shared" si="1"/>
        <v>22.140506329113926</v>
      </c>
      <c r="L24" s="7">
        <f t="shared" si="2"/>
        <v>4.9144008395218908</v>
      </c>
      <c r="M24" s="7">
        <f t="shared" si="3"/>
        <v>10.069620253164556</v>
      </c>
      <c r="N24" s="7">
        <f t="shared" si="4"/>
        <v>2.1089377326145904</v>
      </c>
      <c r="O24" s="7">
        <f t="shared" si="5"/>
        <v>10.958227848101266</v>
      </c>
      <c r="P24" s="7">
        <f t="shared" si="6"/>
        <v>2.2883463843764797</v>
      </c>
      <c r="Q24" s="7">
        <f t="shared" si="7"/>
        <v>-1.8273186516640034</v>
      </c>
      <c r="R24" s="7">
        <f t="shared" si="8"/>
        <v>-2.0634267859396811</v>
      </c>
      <c r="S24" s="7">
        <f t="shared" si="9"/>
        <v>-1.9297014749312573</v>
      </c>
      <c r="T24" s="7">
        <f t="shared" si="10"/>
        <v>-1.2927360421911447</v>
      </c>
      <c r="U24" s="7">
        <f t="shared" si="11"/>
        <v>-1.7782957386815217</v>
      </c>
    </row>
    <row r="25" spans="1:21" x14ac:dyDescent="0.25">
      <c r="A25" s="1" t="s">
        <v>1652</v>
      </c>
      <c r="B25" s="1" t="s">
        <v>36</v>
      </c>
      <c r="C25" s="1">
        <v>13</v>
      </c>
      <c r="D25" s="1">
        <v>11</v>
      </c>
      <c r="E25" s="1">
        <v>6</v>
      </c>
      <c r="F25" s="1">
        <v>7</v>
      </c>
      <c r="G25" s="1">
        <v>37</v>
      </c>
      <c r="H25" s="7">
        <v>0.55470019622522926</v>
      </c>
      <c r="I25" s="7">
        <f t="shared" si="12"/>
        <v>22.694936708860759</v>
      </c>
      <c r="J25" s="7">
        <f t="shared" si="0"/>
        <v>5.3055534129377486</v>
      </c>
      <c r="K25" s="7">
        <f t="shared" si="1"/>
        <v>22.140506329113926</v>
      </c>
      <c r="L25" s="7">
        <f t="shared" si="2"/>
        <v>4.9144008395218908</v>
      </c>
      <c r="M25" s="7">
        <f t="shared" si="3"/>
        <v>10.069620253164556</v>
      </c>
      <c r="N25" s="7">
        <f t="shared" si="4"/>
        <v>2.1089377326145904</v>
      </c>
      <c r="O25" s="7">
        <f t="shared" si="5"/>
        <v>10.958227848101266</v>
      </c>
      <c r="P25" s="7">
        <f t="shared" si="6"/>
        <v>2.2883463843764797</v>
      </c>
      <c r="Q25" s="7">
        <f t="shared" si="7"/>
        <v>-1.8273186516640034</v>
      </c>
      <c r="R25" s="7">
        <f t="shared" si="8"/>
        <v>-2.2669103910941373</v>
      </c>
      <c r="S25" s="7">
        <f t="shared" si="9"/>
        <v>-1.9297014749312573</v>
      </c>
      <c r="T25" s="7">
        <f t="shared" si="10"/>
        <v>-1.729732821536889</v>
      </c>
      <c r="U25" s="7">
        <f t="shared" si="11"/>
        <v>-1.9384158348065719</v>
      </c>
    </row>
    <row r="26" spans="1:21" x14ac:dyDescent="0.25">
      <c r="A26" s="1" t="s">
        <v>1652</v>
      </c>
      <c r="B26" s="1" t="s">
        <v>36</v>
      </c>
      <c r="C26" s="1">
        <v>15</v>
      </c>
      <c r="D26" s="1">
        <v>15</v>
      </c>
      <c r="E26" s="1">
        <v>8</v>
      </c>
      <c r="F26" s="1">
        <v>9</v>
      </c>
      <c r="G26" s="1">
        <v>47</v>
      </c>
      <c r="H26" s="7">
        <v>0.65044363558799068</v>
      </c>
      <c r="I26" s="7">
        <f t="shared" si="12"/>
        <v>22.694936708860759</v>
      </c>
      <c r="J26" s="7">
        <f t="shared" si="0"/>
        <v>5.3055534129377486</v>
      </c>
      <c r="K26" s="7">
        <f t="shared" si="1"/>
        <v>22.140506329113926</v>
      </c>
      <c r="L26" s="7">
        <f t="shared" si="2"/>
        <v>4.9144008395218908</v>
      </c>
      <c r="M26" s="7">
        <f t="shared" si="3"/>
        <v>10.069620253164556</v>
      </c>
      <c r="N26" s="7">
        <f t="shared" si="4"/>
        <v>2.1089377326145904</v>
      </c>
      <c r="O26" s="7">
        <f t="shared" si="5"/>
        <v>10.958227848101266</v>
      </c>
      <c r="P26" s="7">
        <f t="shared" si="6"/>
        <v>2.2883463843764797</v>
      </c>
      <c r="Q26" s="7">
        <f t="shared" si="7"/>
        <v>-1.4503551486441411</v>
      </c>
      <c r="R26" s="7">
        <f t="shared" si="8"/>
        <v>-1.4529759704763128</v>
      </c>
      <c r="S26" s="7">
        <f t="shared" si="9"/>
        <v>-0.98135673764000164</v>
      </c>
      <c r="T26" s="7">
        <f t="shared" si="10"/>
        <v>-0.85573926284540058</v>
      </c>
      <c r="U26" s="7">
        <f t="shared" si="11"/>
        <v>-1.1851067799014638</v>
      </c>
    </row>
    <row r="27" spans="1:21" x14ac:dyDescent="0.25">
      <c r="A27" s="1" t="s">
        <v>1652</v>
      </c>
      <c r="B27" s="1" t="s">
        <v>36</v>
      </c>
      <c r="C27" s="1">
        <v>13</v>
      </c>
      <c r="D27" s="1">
        <v>14</v>
      </c>
      <c r="E27" s="1">
        <v>7</v>
      </c>
      <c r="F27" s="1">
        <v>8</v>
      </c>
      <c r="G27" s="1">
        <v>42</v>
      </c>
      <c r="H27" s="7">
        <v>0.59914468951527811</v>
      </c>
      <c r="I27" s="7">
        <f t="shared" si="12"/>
        <v>22.694936708860759</v>
      </c>
      <c r="J27" s="7">
        <f t="shared" si="0"/>
        <v>5.3055534129377486</v>
      </c>
      <c r="K27" s="7">
        <f t="shared" si="1"/>
        <v>22.140506329113926</v>
      </c>
      <c r="L27" s="7">
        <f t="shared" si="2"/>
        <v>4.9144008395218908</v>
      </c>
      <c r="M27" s="7">
        <f t="shared" si="3"/>
        <v>10.069620253164556</v>
      </c>
      <c r="N27" s="7">
        <f t="shared" si="4"/>
        <v>2.1089377326145904</v>
      </c>
      <c r="O27" s="7">
        <f t="shared" si="5"/>
        <v>10.958227848101266</v>
      </c>
      <c r="P27" s="7">
        <f t="shared" si="6"/>
        <v>2.2883463843764797</v>
      </c>
      <c r="Q27" s="7">
        <f t="shared" si="7"/>
        <v>-1.8273186516640034</v>
      </c>
      <c r="R27" s="7">
        <f t="shared" si="8"/>
        <v>-1.656459575630769</v>
      </c>
      <c r="S27" s="7">
        <f t="shared" si="9"/>
        <v>-1.4555291062856295</v>
      </c>
      <c r="T27" s="7">
        <f t="shared" si="10"/>
        <v>-1.2927360421911447</v>
      </c>
      <c r="U27" s="7">
        <f t="shared" si="11"/>
        <v>-1.5580108439428866</v>
      </c>
    </row>
    <row r="28" spans="1:21" x14ac:dyDescent="0.25">
      <c r="A28" s="1" t="s">
        <v>1652</v>
      </c>
      <c r="B28" s="1" t="s">
        <v>36</v>
      </c>
      <c r="C28" s="1">
        <v>15</v>
      </c>
      <c r="D28" s="1">
        <v>13</v>
      </c>
      <c r="E28" s="1">
        <v>7</v>
      </c>
      <c r="F28" s="1">
        <v>9</v>
      </c>
      <c r="G28" s="1">
        <v>44</v>
      </c>
      <c r="H28" s="7">
        <v>0.6504436355879909</v>
      </c>
      <c r="I28" s="7">
        <f t="shared" si="12"/>
        <v>22.694936708860759</v>
      </c>
      <c r="J28" s="7">
        <f t="shared" si="0"/>
        <v>5.3055534129377486</v>
      </c>
      <c r="K28" s="7">
        <f t="shared" si="1"/>
        <v>22.140506329113926</v>
      </c>
      <c r="L28" s="7">
        <f t="shared" si="2"/>
        <v>4.9144008395218908</v>
      </c>
      <c r="M28" s="7">
        <f t="shared" si="3"/>
        <v>10.069620253164556</v>
      </c>
      <c r="N28" s="7">
        <f t="shared" si="4"/>
        <v>2.1089377326145904</v>
      </c>
      <c r="O28" s="7">
        <f t="shared" si="5"/>
        <v>10.958227848101266</v>
      </c>
      <c r="P28" s="7">
        <f t="shared" si="6"/>
        <v>2.2883463843764797</v>
      </c>
      <c r="Q28" s="7">
        <f t="shared" si="7"/>
        <v>-1.4503551486441411</v>
      </c>
      <c r="R28" s="7">
        <f t="shared" si="8"/>
        <v>-1.8599431807852249</v>
      </c>
      <c r="S28" s="7">
        <f t="shared" si="9"/>
        <v>-1.4555291062856295</v>
      </c>
      <c r="T28" s="7">
        <f t="shared" si="10"/>
        <v>-0.85573926284540058</v>
      </c>
      <c r="U28" s="7">
        <f t="shared" si="11"/>
        <v>-1.405391674640099</v>
      </c>
    </row>
    <row r="29" spans="1:21" x14ac:dyDescent="0.25">
      <c r="A29" s="1" t="s">
        <v>1652</v>
      </c>
      <c r="B29" s="1" t="s">
        <v>36</v>
      </c>
      <c r="C29" s="1">
        <v>19</v>
      </c>
      <c r="D29" s="1">
        <v>15</v>
      </c>
      <c r="E29" s="1">
        <v>8</v>
      </c>
      <c r="F29" s="1">
        <v>10</v>
      </c>
      <c r="G29" s="1">
        <v>52</v>
      </c>
      <c r="H29" s="7">
        <v>0.70710678118654746</v>
      </c>
      <c r="I29" s="7">
        <f t="shared" si="12"/>
        <v>22.694936708860759</v>
      </c>
      <c r="J29" s="7">
        <f t="shared" si="0"/>
        <v>5.3055534129377486</v>
      </c>
      <c r="K29" s="7">
        <f t="shared" si="1"/>
        <v>22.140506329113926</v>
      </c>
      <c r="L29" s="7">
        <f t="shared" si="2"/>
        <v>4.9144008395218908</v>
      </c>
      <c r="M29" s="7">
        <f t="shared" si="3"/>
        <v>10.069620253164556</v>
      </c>
      <c r="N29" s="7">
        <f t="shared" si="4"/>
        <v>2.1089377326145904</v>
      </c>
      <c r="O29" s="7">
        <f t="shared" si="5"/>
        <v>10.958227848101266</v>
      </c>
      <c r="P29" s="7">
        <f t="shared" si="6"/>
        <v>2.2883463843764797</v>
      </c>
      <c r="Q29" s="7">
        <f t="shared" si="7"/>
        <v>-0.69642814260441643</v>
      </c>
      <c r="R29" s="7">
        <f t="shared" si="8"/>
        <v>-1.4529759704763128</v>
      </c>
      <c r="S29" s="7">
        <f t="shared" si="9"/>
        <v>-0.98135673764000164</v>
      </c>
      <c r="T29" s="7">
        <f t="shared" si="10"/>
        <v>-0.41874248349965643</v>
      </c>
      <c r="U29" s="7">
        <f t="shared" si="11"/>
        <v>-0.88737583355509675</v>
      </c>
    </row>
    <row r="30" spans="1:21" x14ac:dyDescent="0.25">
      <c r="A30" s="1" t="s">
        <v>1652</v>
      </c>
      <c r="B30" s="1" t="s">
        <v>36</v>
      </c>
      <c r="C30" s="1">
        <v>20</v>
      </c>
      <c r="D30" s="1">
        <v>14</v>
      </c>
      <c r="E30" s="1">
        <v>8</v>
      </c>
      <c r="F30" s="1">
        <v>11</v>
      </c>
      <c r="G30" s="1">
        <v>53</v>
      </c>
      <c r="H30" s="7">
        <v>0.86231649850257619</v>
      </c>
      <c r="I30" s="7">
        <f t="shared" si="12"/>
        <v>22.694936708860759</v>
      </c>
      <c r="J30" s="7">
        <f t="shared" si="0"/>
        <v>5.3055534129377486</v>
      </c>
      <c r="K30" s="7">
        <f t="shared" si="1"/>
        <v>22.140506329113926</v>
      </c>
      <c r="L30" s="7">
        <f t="shared" si="2"/>
        <v>4.9144008395218908</v>
      </c>
      <c r="M30" s="7">
        <f t="shared" si="3"/>
        <v>10.069620253164556</v>
      </c>
      <c r="N30" s="7">
        <f t="shared" si="4"/>
        <v>2.1089377326145904</v>
      </c>
      <c r="O30" s="7">
        <f t="shared" si="5"/>
        <v>10.958227848101266</v>
      </c>
      <c r="P30" s="7">
        <f t="shared" si="6"/>
        <v>2.2883463843764797</v>
      </c>
      <c r="Q30" s="7">
        <f t="shared" si="7"/>
        <v>-0.50794639109448525</v>
      </c>
      <c r="R30" s="7">
        <f t="shared" si="8"/>
        <v>-1.656459575630769</v>
      </c>
      <c r="S30" s="7">
        <f t="shared" si="9"/>
        <v>-0.98135673764000164</v>
      </c>
      <c r="T30" s="7">
        <f t="shared" si="10"/>
        <v>1.8254295846087756E-2</v>
      </c>
      <c r="U30" s="7">
        <f t="shared" si="11"/>
        <v>-0.78187710212979189</v>
      </c>
    </row>
    <row r="31" spans="1:21" x14ac:dyDescent="0.25">
      <c r="A31" s="1" t="s">
        <v>1652</v>
      </c>
      <c r="B31" s="1" t="s">
        <v>36</v>
      </c>
      <c r="C31" s="1">
        <v>19</v>
      </c>
      <c r="D31" s="1">
        <v>13</v>
      </c>
      <c r="E31" s="1">
        <v>8</v>
      </c>
      <c r="F31" s="1">
        <v>10</v>
      </c>
      <c r="G31" s="1">
        <v>50</v>
      </c>
      <c r="H31" s="7">
        <v>0.80064076902543579</v>
      </c>
      <c r="I31" s="7">
        <f t="shared" si="12"/>
        <v>22.694936708860759</v>
      </c>
      <c r="J31" s="7">
        <f t="shared" si="0"/>
        <v>5.3055534129377486</v>
      </c>
      <c r="K31" s="7">
        <f t="shared" si="1"/>
        <v>22.140506329113926</v>
      </c>
      <c r="L31" s="7">
        <f t="shared" si="2"/>
        <v>4.9144008395218908</v>
      </c>
      <c r="M31" s="7">
        <f t="shared" si="3"/>
        <v>10.069620253164556</v>
      </c>
      <c r="N31" s="7">
        <f t="shared" si="4"/>
        <v>2.1089377326145904</v>
      </c>
      <c r="O31" s="7">
        <f t="shared" si="5"/>
        <v>10.958227848101266</v>
      </c>
      <c r="P31" s="7">
        <f t="shared" si="6"/>
        <v>2.2883463843764797</v>
      </c>
      <c r="Q31" s="7">
        <f t="shared" si="7"/>
        <v>-0.69642814260441643</v>
      </c>
      <c r="R31" s="7">
        <f t="shared" si="8"/>
        <v>-1.8599431807852249</v>
      </c>
      <c r="S31" s="7">
        <f t="shared" si="9"/>
        <v>-0.98135673764000164</v>
      </c>
      <c r="T31" s="7">
        <f t="shared" si="10"/>
        <v>-0.41874248349965643</v>
      </c>
      <c r="U31" s="7">
        <f t="shared" si="11"/>
        <v>-0.98911763613232484</v>
      </c>
    </row>
    <row r="32" spans="1:21" x14ac:dyDescent="0.25">
      <c r="A32" s="1" t="s">
        <v>1652</v>
      </c>
      <c r="B32" s="1" t="s">
        <v>36</v>
      </c>
      <c r="C32" s="1">
        <v>19</v>
      </c>
      <c r="D32" s="1">
        <v>13</v>
      </c>
      <c r="E32" s="1">
        <v>8</v>
      </c>
      <c r="F32" s="1">
        <v>9</v>
      </c>
      <c r="G32" s="1">
        <v>49</v>
      </c>
      <c r="H32" s="7">
        <v>0.83205029433784383</v>
      </c>
      <c r="I32" s="7">
        <f t="shared" si="12"/>
        <v>22.694936708860759</v>
      </c>
      <c r="J32" s="7">
        <f t="shared" si="0"/>
        <v>5.3055534129377486</v>
      </c>
      <c r="K32" s="7">
        <f t="shared" si="1"/>
        <v>22.140506329113926</v>
      </c>
      <c r="L32" s="7">
        <f t="shared" si="2"/>
        <v>4.9144008395218908</v>
      </c>
      <c r="M32" s="7">
        <f t="shared" si="3"/>
        <v>10.069620253164556</v>
      </c>
      <c r="N32" s="7">
        <f t="shared" si="4"/>
        <v>2.1089377326145904</v>
      </c>
      <c r="O32" s="7">
        <f t="shared" si="5"/>
        <v>10.958227848101266</v>
      </c>
      <c r="P32" s="7">
        <f t="shared" si="6"/>
        <v>2.2883463843764797</v>
      </c>
      <c r="Q32" s="7">
        <f t="shared" si="7"/>
        <v>-0.69642814260441643</v>
      </c>
      <c r="R32" s="7">
        <f t="shared" si="8"/>
        <v>-1.8599431807852249</v>
      </c>
      <c r="S32" s="7">
        <f t="shared" si="9"/>
        <v>-0.98135673764000164</v>
      </c>
      <c r="T32" s="7">
        <f t="shared" si="10"/>
        <v>-0.85573926284540058</v>
      </c>
      <c r="U32" s="7">
        <f t="shared" si="11"/>
        <v>-1.0983668309687609</v>
      </c>
    </row>
    <row r="33" spans="1:21" x14ac:dyDescent="0.25">
      <c r="A33" s="1" t="s">
        <v>1652</v>
      </c>
      <c r="B33" s="1" t="s">
        <v>36</v>
      </c>
      <c r="C33" s="1">
        <v>21</v>
      </c>
      <c r="D33" s="1">
        <v>17</v>
      </c>
      <c r="E33" s="1">
        <v>8</v>
      </c>
      <c r="F33" s="1">
        <v>11</v>
      </c>
      <c r="G33" s="1">
        <v>57</v>
      </c>
      <c r="H33" s="7">
        <v>0.96076892283052295</v>
      </c>
      <c r="I33" s="7">
        <f t="shared" si="12"/>
        <v>22.694936708860759</v>
      </c>
      <c r="J33" s="7">
        <f t="shared" si="0"/>
        <v>5.3055534129377486</v>
      </c>
      <c r="K33" s="7">
        <f t="shared" si="1"/>
        <v>22.140506329113926</v>
      </c>
      <c r="L33" s="7">
        <f t="shared" si="2"/>
        <v>4.9144008395218908</v>
      </c>
      <c r="M33" s="7">
        <f t="shared" si="3"/>
        <v>10.069620253164556</v>
      </c>
      <c r="N33" s="7">
        <f t="shared" si="4"/>
        <v>2.1089377326145904</v>
      </c>
      <c r="O33" s="7">
        <f t="shared" si="5"/>
        <v>10.958227848101266</v>
      </c>
      <c r="P33" s="7">
        <f t="shared" si="6"/>
        <v>2.2883463843764797</v>
      </c>
      <c r="Q33" s="7">
        <f t="shared" si="7"/>
        <v>-0.31946463958455407</v>
      </c>
      <c r="R33" s="7">
        <f t="shared" si="8"/>
        <v>-1.0460087601674006</v>
      </c>
      <c r="S33" s="7">
        <f t="shared" si="9"/>
        <v>-0.98135673764000164</v>
      </c>
      <c r="T33" s="7">
        <f t="shared" si="10"/>
        <v>1.8254295846087756E-2</v>
      </c>
      <c r="U33" s="7">
        <f t="shared" si="11"/>
        <v>-0.5821439603864671</v>
      </c>
    </row>
    <row r="34" spans="1:21" x14ac:dyDescent="0.25">
      <c r="A34" s="1" t="s">
        <v>1653</v>
      </c>
      <c r="B34" s="1" t="s">
        <v>36</v>
      </c>
      <c r="C34" s="1">
        <v>22</v>
      </c>
      <c r="D34" s="1">
        <v>21</v>
      </c>
      <c r="E34" s="1">
        <v>9</v>
      </c>
      <c r="F34" s="1">
        <v>10</v>
      </c>
      <c r="G34" s="1">
        <v>62</v>
      </c>
      <c r="H34" s="7">
        <v>1.4232501627054275</v>
      </c>
      <c r="I34" s="7">
        <f t="shared" si="12"/>
        <v>22.694936708860759</v>
      </c>
      <c r="J34" s="7">
        <f t="shared" si="0"/>
        <v>5.3055534129377486</v>
      </c>
      <c r="K34" s="7">
        <f t="shared" si="1"/>
        <v>22.140506329113926</v>
      </c>
      <c r="L34" s="7">
        <f t="shared" si="2"/>
        <v>4.9144008395218908</v>
      </c>
      <c r="M34" s="7">
        <f t="shared" si="3"/>
        <v>10.069620253164556</v>
      </c>
      <c r="N34" s="7">
        <f t="shared" si="4"/>
        <v>2.1089377326145904</v>
      </c>
      <c r="O34" s="7">
        <f t="shared" si="5"/>
        <v>10.958227848101266</v>
      </c>
      <c r="P34" s="7">
        <f t="shared" si="6"/>
        <v>2.2883463843764797</v>
      </c>
      <c r="Q34" s="7">
        <f t="shared" si="7"/>
        <v>-0.13098288807462291</v>
      </c>
      <c r="R34" s="7">
        <f t="shared" si="8"/>
        <v>-0.23207433954957621</v>
      </c>
      <c r="S34" s="7">
        <f t="shared" si="9"/>
        <v>-0.5071843689943738</v>
      </c>
      <c r="T34" s="7">
        <f t="shared" si="10"/>
        <v>-0.41874248349965643</v>
      </c>
      <c r="U34" s="7">
        <f t="shared" si="11"/>
        <v>-0.32224602002955732</v>
      </c>
    </row>
    <row r="35" spans="1:21" x14ac:dyDescent="0.25">
      <c r="A35" s="1" t="s">
        <v>1653</v>
      </c>
      <c r="B35" s="1" t="s">
        <v>36</v>
      </c>
      <c r="C35" s="1">
        <v>17</v>
      </c>
      <c r="D35" s="1">
        <v>22</v>
      </c>
      <c r="E35" s="1">
        <v>8</v>
      </c>
      <c r="F35" s="1">
        <v>8</v>
      </c>
      <c r="G35" s="1">
        <v>55</v>
      </c>
      <c r="H35" s="7">
        <v>1.5892265495016833</v>
      </c>
      <c r="I35" s="7">
        <f t="shared" si="12"/>
        <v>22.694936708860759</v>
      </c>
      <c r="J35" s="7">
        <f t="shared" si="0"/>
        <v>5.3055534129377486</v>
      </c>
      <c r="K35" s="7">
        <f t="shared" si="1"/>
        <v>22.140506329113926</v>
      </c>
      <c r="L35" s="7">
        <f t="shared" si="2"/>
        <v>4.9144008395218908</v>
      </c>
      <c r="M35" s="7">
        <f t="shared" si="3"/>
        <v>10.069620253164556</v>
      </c>
      <c r="N35" s="7">
        <f t="shared" si="4"/>
        <v>2.1089377326145904</v>
      </c>
      <c r="O35" s="7">
        <f t="shared" si="5"/>
        <v>10.958227848101266</v>
      </c>
      <c r="P35" s="7">
        <f t="shared" si="6"/>
        <v>2.2883463843764797</v>
      </c>
      <c r="Q35" s="7">
        <f t="shared" si="7"/>
        <v>-1.0733916456242787</v>
      </c>
      <c r="R35" s="7">
        <f t="shared" si="8"/>
        <v>-2.8590734395120113E-2</v>
      </c>
      <c r="S35" s="7">
        <f t="shared" si="9"/>
        <v>-0.98135673764000164</v>
      </c>
      <c r="T35" s="7">
        <f t="shared" si="10"/>
        <v>-1.2927360421911447</v>
      </c>
      <c r="U35" s="7">
        <f t="shared" si="11"/>
        <v>-0.84401878996263635</v>
      </c>
    </row>
    <row r="36" spans="1:21" x14ac:dyDescent="0.25">
      <c r="A36" s="1" t="s">
        <v>1653</v>
      </c>
      <c r="B36" s="1" t="s">
        <v>36</v>
      </c>
      <c r="C36" s="1">
        <v>12</v>
      </c>
      <c r="D36" s="1">
        <v>15</v>
      </c>
      <c r="E36" s="1">
        <v>6</v>
      </c>
      <c r="F36" s="1">
        <v>9</v>
      </c>
      <c r="G36" s="1">
        <v>42</v>
      </c>
      <c r="H36" s="7">
        <v>0.92680869599629845</v>
      </c>
      <c r="I36" s="7">
        <f t="shared" si="12"/>
        <v>22.694936708860759</v>
      </c>
      <c r="J36" s="7">
        <f t="shared" si="0"/>
        <v>5.3055534129377486</v>
      </c>
      <c r="K36" s="7">
        <f t="shared" si="1"/>
        <v>22.140506329113926</v>
      </c>
      <c r="L36" s="7">
        <f t="shared" si="2"/>
        <v>4.9144008395218908</v>
      </c>
      <c r="M36" s="7">
        <f t="shared" si="3"/>
        <v>10.069620253164556</v>
      </c>
      <c r="N36" s="7">
        <f t="shared" si="4"/>
        <v>2.1089377326145904</v>
      </c>
      <c r="O36" s="7">
        <f t="shared" si="5"/>
        <v>10.958227848101266</v>
      </c>
      <c r="P36" s="7">
        <f t="shared" si="6"/>
        <v>2.2883463843764797</v>
      </c>
      <c r="Q36" s="7">
        <f t="shared" si="7"/>
        <v>-2.0158004031739347</v>
      </c>
      <c r="R36" s="7">
        <f t="shared" si="8"/>
        <v>-1.4529759704763128</v>
      </c>
      <c r="S36" s="7">
        <f t="shared" si="9"/>
        <v>-1.9297014749312573</v>
      </c>
      <c r="T36" s="7">
        <f t="shared" si="10"/>
        <v>-0.85573926284540058</v>
      </c>
      <c r="U36" s="7">
        <f t="shared" si="11"/>
        <v>-1.5635542778567264</v>
      </c>
    </row>
    <row r="37" spans="1:21" x14ac:dyDescent="0.25">
      <c r="A37" s="1" t="s">
        <v>1653</v>
      </c>
      <c r="B37" s="1" t="s">
        <v>36</v>
      </c>
      <c r="C37" s="1">
        <v>24</v>
      </c>
      <c r="D37" s="1">
        <v>25</v>
      </c>
      <c r="E37" s="1">
        <v>11</v>
      </c>
      <c r="F37" s="1">
        <v>13</v>
      </c>
      <c r="G37" s="1">
        <v>73</v>
      </c>
      <c r="H37" s="7">
        <v>1.4455945454184551</v>
      </c>
      <c r="I37" s="7">
        <f t="shared" si="12"/>
        <v>22.694936708860759</v>
      </c>
      <c r="J37" s="7">
        <f t="shared" si="0"/>
        <v>5.3055534129377486</v>
      </c>
      <c r="K37" s="7">
        <f t="shared" si="1"/>
        <v>22.140506329113926</v>
      </c>
      <c r="L37" s="7">
        <f t="shared" si="2"/>
        <v>4.9144008395218908</v>
      </c>
      <c r="M37" s="7">
        <f t="shared" si="3"/>
        <v>10.069620253164556</v>
      </c>
      <c r="N37" s="7">
        <f t="shared" si="4"/>
        <v>2.1089377326145904</v>
      </c>
      <c r="O37" s="7">
        <f t="shared" si="5"/>
        <v>10.958227848101266</v>
      </c>
      <c r="P37" s="7">
        <f t="shared" si="6"/>
        <v>2.2883463843764797</v>
      </c>
      <c r="Q37" s="7">
        <f t="shared" si="7"/>
        <v>0.24598061494523943</v>
      </c>
      <c r="R37" s="7">
        <f t="shared" si="8"/>
        <v>0.58186008106824816</v>
      </c>
      <c r="S37" s="7">
        <f t="shared" si="9"/>
        <v>0.44116036829688182</v>
      </c>
      <c r="T37" s="7">
        <f t="shared" si="10"/>
        <v>0.89224785453757616</v>
      </c>
      <c r="U37" s="7">
        <f t="shared" si="11"/>
        <v>0.54031222971198645</v>
      </c>
    </row>
    <row r="38" spans="1:21" x14ac:dyDescent="0.25">
      <c r="A38" s="1" t="s">
        <v>1653</v>
      </c>
      <c r="B38" s="1" t="s">
        <v>36</v>
      </c>
      <c r="C38" s="1">
        <v>18</v>
      </c>
      <c r="D38" s="1">
        <v>19</v>
      </c>
      <c r="E38" s="1">
        <v>7</v>
      </c>
      <c r="F38" s="1">
        <v>9</v>
      </c>
      <c r="G38" s="1">
        <v>53</v>
      </c>
      <c r="H38" s="7">
        <v>1.3204505835470497</v>
      </c>
      <c r="I38" s="7">
        <f t="shared" si="12"/>
        <v>22.694936708860759</v>
      </c>
      <c r="J38" s="7">
        <f t="shared" si="0"/>
        <v>5.3055534129377486</v>
      </c>
      <c r="K38" s="7">
        <f t="shared" si="1"/>
        <v>22.140506329113926</v>
      </c>
      <c r="L38" s="7">
        <f t="shared" si="2"/>
        <v>4.9144008395218908</v>
      </c>
      <c r="M38" s="7">
        <f t="shared" si="3"/>
        <v>10.069620253164556</v>
      </c>
      <c r="N38" s="7">
        <f t="shared" si="4"/>
        <v>2.1089377326145904</v>
      </c>
      <c r="O38" s="7">
        <f t="shared" si="5"/>
        <v>10.958227848101266</v>
      </c>
      <c r="P38" s="7">
        <f t="shared" si="6"/>
        <v>2.2883463843764797</v>
      </c>
      <c r="Q38" s="7">
        <f t="shared" si="7"/>
        <v>-0.88490989411434762</v>
      </c>
      <c r="R38" s="7">
        <f t="shared" si="8"/>
        <v>-0.63904154985848838</v>
      </c>
      <c r="S38" s="7">
        <f t="shared" si="9"/>
        <v>-1.4555291062856295</v>
      </c>
      <c r="T38" s="7">
        <f t="shared" si="10"/>
        <v>-0.85573926284540058</v>
      </c>
      <c r="U38" s="7">
        <f t="shared" si="11"/>
        <v>-0.9588049532759666</v>
      </c>
    </row>
    <row r="39" spans="1:21" x14ac:dyDescent="0.25">
      <c r="A39" s="1" t="s">
        <v>1653</v>
      </c>
      <c r="B39" s="1" t="s">
        <v>36</v>
      </c>
      <c r="C39" s="1">
        <v>25</v>
      </c>
      <c r="D39" s="1">
        <v>23</v>
      </c>
      <c r="E39" s="1">
        <v>11</v>
      </c>
      <c r="F39" s="1">
        <v>13</v>
      </c>
      <c r="G39" s="1">
        <v>72</v>
      </c>
      <c r="H39" s="7">
        <v>1.3913653136029502</v>
      </c>
      <c r="I39" s="7">
        <f t="shared" si="12"/>
        <v>22.694936708860759</v>
      </c>
      <c r="J39" s="7">
        <f t="shared" si="0"/>
        <v>5.3055534129377486</v>
      </c>
      <c r="K39" s="7">
        <f t="shared" si="1"/>
        <v>22.140506329113926</v>
      </c>
      <c r="L39" s="7">
        <f t="shared" si="2"/>
        <v>4.9144008395218908</v>
      </c>
      <c r="M39" s="7">
        <f t="shared" si="3"/>
        <v>10.069620253164556</v>
      </c>
      <c r="N39" s="7">
        <f t="shared" si="4"/>
        <v>2.1089377326145904</v>
      </c>
      <c r="O39" s="7">
        <f t="shared" si="5"/>
        <v>10.958227848101266</v>
      </c>
      <c r="P39" s="7">
        <f t="shared" si="6"/>
        <v>2.2883463843764797</v>
      </c>
      <c r="Q39" s="7">
        <f t="shared" si="7"/>
        <v>0.43446236645517061</v>
      </c>
      <c r="R39" s="7">
        <f t="shared" si="8"/>
        <v>0.17489287075933599</v>
      </c>
      <c r="S39" s="7">
        <f t="shared" si="9"/>
        <v>0.44116036829688182</v>
      </c>
      <c r="T39" s="7">
        <f t="shared" si="10"/>
        <v>0.89224785453757616</v>
      </c>
      <c r="U39" s="7">
        <f t="shared" si="11"/>
        <v>0.48569086501224112</v>
      </c>
    </row>
    <row r="40" spans="1:21" x14ac:dyDescent="0.25">
      <c r="A40" s="1" t="s">
        <v>1653</v>
      </c>
      <c r="B40" s="1" t="s">
        <v>36</v>
      </c>
      <c r="C40" s="1">
        <v>26</v>
      </c>
      <c r="D40" s="1">
        <v>24</v>
      </c>
      <c r="E40" s="1">
        <v>11</v>
      </c>
      <c r="F40" s="1">
        <v>11</v>
      </c>
      <c r="G40" s="1">
        <v>72</v>
      </c>
      <c r="H40" s="7">
        <v>1.5607361839521232</v>
      </c>
      <c r="I40" s="7">
        <f t="shared" si="12"/>
        <v>22.694936708860759</v>
      </c>
      <c r="J40" s="7">
        <f t="shared" si="0"/>
        <v>5.3055534129377486</v>
      </c>
      <c r="K40" s="7">
        <f t="shared" si="1"/>
        <v>22.140506329113926</v>
      </c>
      <c r="L40" s="7">
        <f t="shared" si="2"/>
        <v>4.9144008395218908</v>
      </c>
      <c r="M40" s="7">
        <f t="shared" si="3"/>
        <v>10.069620253164556</v>
      </c>
      <c r="N40" s="7">
        <f t="shared" si="4"/>
        <v>2.1089377326145904</v>
      </c>
      <c r="O40" s="7">
        <f t="shared" si="5"/>
        <v>10.958227848101266</v>
      </c>
      <c r="P40" s="7">
        <f t="shared" si="6"/>
        <v>2.2883463843764797</v>
      </c>
      <c r="Q40" s="7">
        <f t="shared" si="7"/>
        <v>0.62294411796510174</v>
      </c>
      <c r="R40" s="7">
        <f t="shared" si="8"/>
        <v>0.37837647591379209</v>
      </c>
      <c r="S40" s="7">
        <f t="shared" si="9"/>
        <v>0.44116036829688182</v>
      </c>
      <c r="T40" s="7">
        <f t="shared" si="10"/>
        <v>1.8254295846087756E-2</v>
      </c>
      <c r="U40" s="7">
        <f t="shared" si="11"/>
        <v>0.36518381450546589</v>
      </c>
    </row>
    <row r="41" spans="1:21" x14ac:dyDescent="0.25">
      <c r="A41" s="1" t="s">
        <v>1653</v>
      </c>
      <c r="B41" s="1" t="s">
        <v>36</v>
      </c>
      <c r="C41" s="1">
        <v>21</v>
      </c>
      <c r="D41" s="1">
        <v>22</v>
      </c>
      <c r="E41" s="1">
        <v>11</v>
      </c>
      <c r="F41" s="1">
        <v>12</v>
      </c>
      <c r="G41" s="1">
        <v>66</v>
      </c>
      <c r="H41" s="7">
        <v>1.3204505835470495</v>
      </c>
      <c r="I41" s="7">
        <f t="shared" si="12"/>
        <v>22.694936708860759</v>
      </c>
      <c r="J41" s="7">
        <f t="shared" si="0"/>
        <v>5.3055534129377486</v>
      </c>
      <c r="K41" s="7">
        <f t="shared" si="1"/>
        <v>22.140506329113926</v>
      </c>
      <c r="L41" s="7">
        <f t="shared" si="2"/>
        <v>4.9144008395218908</v>
      </c>
      <c r="M41" s="7">
        <f t="shared" si="3"/>
        <v>10.069620253164556</v>
      </c>
      <c r="N41" s="7">
        <f t="shared" si="4"/>
        <v>2.1089377326145904</v>
      </c>
      <c r="O41" s="7">
        <f t="shared" si="5"/>
        <v>10.958227848101266</v>
      </c>
      <c r="P41" s="7">
        <f t="shared" si="6"/>
        <v>2.2883463843764797</v>
      </c>
      <c r="Q41" s="7">
        <f t="shared" si="7"/>
        <v>-0.31946463958455407</v>
      </c>
      <c r="R41" s="7">
        <f t="shared" si="8"/>
        <v>-2.8590734395120113E-2</v>
      </c>
      <c r="S41" s="7">
        <f t="shared" si="9"/>
        <v>0.44116036829688182</v>
      </c>
      <c r="T41" s="7">
        <f t="shared" si="10"/>
        <v>0.45525107519183194</v>
      </c>
      <c r="U41" s="7">
        <f t="shared" si="11"/>
        <v>0.1370890173772599</v>
      </c>
    </row>
    <row r="42" spans="1:21" x14ac:dyDescent="0.25">
      <c r="A42" s="1" t="s">
        <v>1653</v>
      </c>
      <c r="B42" s="1" t="s">
        <v>36</v>
      </c>
      <c r="C42" s="1">
        <v>20</v>
      </c>
      <c r="D42" s="1">
        <v>18</v>
      </c>
      <c r="E42" s="1">
        <v>9</v>
      </c>
      <c r="F42" s="1">
        <v>10</v>
      </c>
      <c r="G42" s="1">
        <v>57</v>
      </c>
      <c r="H42" s="7">
        <v>1.1208970766356101</v>
      </c>
      <c r="I42" s="7">
        <f t="shared" si="12"/>
        <v>22.694936708860759</v>
      </c>
      <c r="J42" s="7">
        <f t="shared" si="0"/>
        <v>5.3055534129377486</v>
      </c>
      <c r="K42" s="7">
        <f t="shared" si="1"/>
        <v>22.140506329113926</v>
      </c>
      <c r="L42" s="7">
        <f t="shared" si="2"/>
        <v>4.9144008395218908</v>
      </c>
      <c r="M42" s="7">
        <f t="shared" si="3"/>
        <v>10.069620253164556</v>
      </c>
      <c r="N42" s="7">
        <f t="shared" si="4"/>
        <v>2.1089377326145904</v>
      </c>
      <c r="O42" s="7">
        <f t="shared" si="5"/>
        <v>10.958227848101266</v>
      </c>
      <c r="P42" s="7">
        <f t="shared" si="6"/>
        <v>2.2883463843764797</v>
      </c>
      <c r="Q42" s="7">
        <f t="shared" si="7"/>
        <v>-0.50794639109448525</v>
      </c>
      <c r="R42" s="7">
        <f t="shared" si="8"/>
        <v>-0.84252515501294456</v>
      </c>
      <c r="S42" s="7">
        <f t="shared" si="9"/>
        <v>-0.5071843689943738</v>
      </c>
      <c r="T42" s="7">
        <f t="shared" si="10"/>
        <v>-0.41874248349965643</v>
      </c>
      <c r="U42" s="7">
        <f t="shared" si="11"/>
        <v>-0.56909959965036494</v>
      </c>
    </row>
    <row r="43" spans="1:21" x14ac:dyDescent="0.25">
      <c r="A43" s="1" t="s">
        <v>1653</v>
      </c>
      <c r="B43" s="1" t="s">
        <v>36</v>
      </c>
      <c r="C43" s="1">
        <v>24</v>
      </c>
      <c r="D43" s="1">
        <v>21</v>
      </c>
      <c r="E43" s="1">
        <v>11</v>
      </c>
      <c r="F43" s="1">
        <v>10</v>
      </c>
      <c r="G43" s="1">
        <v>66</v>
      </c>
      <c r="H43" s="7">
        <v>1.5525000516123695</v>
      </c>
      <c r="I43" s="7">
        <f t="shared" si="12"/>
        <v>22.694936708860759</v>
      </c>
      <c r="J43" s="7">
        <f t="shared" si="0"/>
        <v>5.3055534129377486</v>
      </c>
      <c r="K43" s="7">
        <f t="shared" si="1"/>
        <v>22.140506329113926</v>
      </c>
      <c r="L43" s="7">
        <f t="shared" si="2"/>
        <v>4.9144008395218908</v>
      </c>
      <c r="M43" s="7">
        <f t="shared" si="3"/>
        <v>10.069620253164556</v>
      </c>
      <c r="N43" s="7">
        <f t="shared" si="4"/>
        <v>2.1089377326145904</v>
      </c>
      <c r="O43" s="7">
        <f t="shared" si="5"/>
        <v>10.958227848101266</v>
      </c>
      <c r="P43" s="7">
        <f t="shared" si="6"/>
        <v>2.2883463843764797</v>
      </c>
      <c r="Q43" s="7">
        <f t="shared" si="7"/>
        <v>0.24598061494523943</v>
      </c>
      <c r="R43" s="7">
        <f t="shared" si="8"/>
        <v>-0.23207433954957621</v>
      </c>
      <c r="S43" s="7">
        <f t="shared" si="9"/>
        <v>0.44116036829688182</v>
      </c>
      <c r="T43" s="7">
        <f t="shared" si="10"/>
        <v>-0.41874248349965643</v>
      </c>
      <c r="U43" s="7">
        <f t="shared" si="11"/>
        <v>9.0810400482221471E-3</v>
      </c>
    </row>
    <row r="44" spans="1:21" x14ac:dyDescent="0.25">
      <c r="A44" s="1" t="s">
        <v>1653</v>
      </c>
      <c r="B44" s="1" t="s">
        <v>36</v>
      </c>
      <c r="C44" s="1">
        <v>25</v>
      </c>
      <c r="D44" s="1">
        <v>21</v>
      </c>
      <c r="E44" s="1">
        <v>11</v>
      </c>
      <c r="F44" s="1">
        <v>10</v>
      </c>
      <c r="G44" s="1">
        <v>67</v>
      </c>
      <c r="H44" s="7">
        <v>1.5730095277394143</v>
      </c>
      <c r="I44" s="7">
        <f t="shared" si="12"/>
        <v>22.694936708860759</v>
      </c>
      <c r="J44" s="7">
        <f t="shared" si="0"/>
        <v>5.3055534129377486</v>
      </c>
      <c r="K44" s="7">
        <f t="shared" si="1"/>
        <v>22.140506329113926</v>
      </c>
      <c r="L44" s="7">
        <f t="shared" si="2"/>
        <v>4.9144008395218908</v>
      </c>
      <c r="M44" s="7">
        <f t="shared" si="3"/>
        <v>10.069620253164556</v>
      </c>
      <c r="N44" s="7">
        <f t="shared" si="4"/>
        <v>2.1089377326145904</v>
      </c>
      <c r="O44" s="7">
        <f t="shared" si="5"/>
        <v>10.958227848101266</v>
      </c>
      <c r="P44" s="7">
        <f t="shared" si="6"/>
        <v>2.2883463843764797</v>
      </c>
      <c r="Q44" s="7">
        <f t="shared" si="7"/>
        <v>0.43446236645517061</v>
      </c>
      <c r="R44" s="7">
        <f t="shared" si="8"/>
        <v>-0.23207433954957621</v>
      </c>
      <c r="S44" s="7">
        <f t="shared" si="9"/>
        <v>0.44116036829688182</v>
      </c>
      <c r="T44" s="7">
        <f t="shared" si="10"/>
        <v>-0.41874248349965643</v>
      </c>
      <c r="U44" s="7">
        <f t="shared" si="11"/>
        <v>5.6201477925704943E-2</v>
      </c>
    </row>
    <row r="45" spans="1:21" x14ac:dyDescent="0.25">
      <c r="A45" s="1" t="s">
        <v>1653</v>
      </c>
      <c r="B45" s="1" t="s">
        <v>36</v>
      </c>
      <c r="C45" s="1">
        <v>16</v>
      </c>
      <c r="D45" s="1">
        <v>19</v>
      </c>
      <c r="E45" s="1">
        <v>7</v>
      </c>
      <c r="F45" s="1">
        <v>11</v>
      </c>
      <c r="G45" s="1">
        <v>53</v>
      </c>
      <c r="H45" s="7">
        <v>1.1875421719907091</v>
      </c>
      <c r="I45" s="7">
        <f t="shared" si="12"/>
        <v>22.694936708860759</v>
      </c>
      <c r="J45" s="7">
        <f t="shared" si="0"/>
        <v>5.3055534129377486</v>
      </c>
      <c r="K45" s="7">
        <f t="shared" si="1"/>
        <v>22.140506329113926</v>
      </c>
      <c r="L45" s="7">
        <f t="shared" si="2"/>
        <v>4.9144008395218908</v>
      </c>
      <c r="M45" s="7">
        <f t="shared" si="3"/>
        <v>10.069620253164556</v>
      </c>
      <c r="N45" s="7">
        <f t="shared" si="4"/>
        <v>2.1089377326145904</v>
      </c>
      <c r="O45" s="7">
        <f t="shared" si="5"/>
        <v>10.958227848101266</v>
      </c>
      <c r="P45" s="7">
        <f t="shared" si="6"/>
        <v>2.2883463843764797</v>
      </c>
      <c r="Q45" s="7">
        <f t="shared" si="7"/>
        <v>-1.26187339713421</v>
      </c>
      <c r="R45" s="7">
        <f t="shared" si="8"/>
        <v>-0.63904154985848838</v>
      </c>
      <c r="S45" s="7">
        <f t="shared" si="9"/>
        <v>-1.4555291062856295</v>
      </c>
      <c r="T45" s="7">
        <f t="shared" si="10"/>
        <v>1.8254295846087756E-2</v>
      </c>
      <c r="U45" s="7">
        <f t="shared" si="11"/>
        <v>-0.83454743935805997</v>
      </c>
    </row>
    <row r="46" spans="1:21" x14ac:dyDescent="0.25">
      <c r="A46" s="1" t="s">
        <v>1653</v>
      </c>
      <c r="B46" s="1" t="s">
        <v>36</v>
      </c>
      <c r="C46" s="1">
        <v>19</v>
      </c>
      <c r="D46" s="1">
        <v>17</v>
      </c>
      <c r="E46" s="1">
        <v>5</v>
      </c>
      <c r="F46" s="1">
        <v>9</v>
      </c>
      <c r="G46" s="1">
        <v>50</v>
      </c>
      <c r="H46" s="7">
        <v>1.2142318453899048</v>
      </c>
      <c r="I46" s="7">
        <f t="shared" si="12"/>
        <v>22.694936708860759</v>
      </c>
      <c r="J46" s="7">
        <f t="shared" si="0"/>
        <v>5.3055534129377486</v>
      </c>
      <c r="K46" s="7">
        <f t="shared" si="1"/>
        <v>22.140506329113926</v>
      </c>
      <c r="L46" s="7">
        <f t="shared" si="2"/>
        <v>4.9144008395218908</v>
      </c>
      <c r="M46" s="7">
        <f t="shared" si="3"/>
        <v>10.069620253164556</v>
      </c>
      <c r="N46" s="7">
        <f t="shared" si="4"/>
        <v>2.1089377326145904</v>
      </c>
      <c r="O46" s="7">
        <f t="shared" si="5"/>
        <v>10.958227848101266</v>
      </c>
      <c r="P46" s="7">
        <f t="shared" si="6"/>
        <v>2.2883463843764797</v>
      </c>
      <c r="Q46" s="7">
        <f t="shared" si="7"/>
        <v>-0.69642814260441643</v>
      </c>
      <c r="R46" s="7">
        <f t="shared" si="8"/>
        <v>-1.0460087601674006</v>
      </c>
      <c r="S46" s="7">
        <f t="shared" si="9"/>
        <v>-2.4038738435768852</v>
      </c>
      <c r="T46" s="7">
        <f t="shared" si="10"/>
        <v>-0.85573926284540058</v>
      </c>
      <c r="U46" s="7">
        <f t="shared" si="11"/>
        <v>-1.2505125022985255</v>
      </c>
    </row>
    <row r="47" spans="1:21" x14ac:dyDescent="0.25">
      <c r="A47" s="1" t="s">
        <v>1653</v>
      </c>
      <c r="B47" s="1" t="s">
        <v>36</v>
      </c>
      <c r="C47" s="1">
        <v>16</v>
      </c>
      <c r="D47" s="1">
        <v>16</v>
      </c>
      <c r="E47" s="1">
        <v>7</v>
      </c>
      <c r="F47" s="1">
        <v>6</v>
      </c>
      <c r="G47" s="1">
        <v>45</v>
      </c>
      <c r="H47" s="7">
        <v>1.1266014242982165</v>
      </c>
      <c r="I47" s="7">
        <f t="shared" si="12"/>
        <v>22.694936708860759</v>
      </c>
      <c r="J47" s="7">
        <f t="shared" si="0"/>
        <v>5.3055534129377486</v>
      </c>
      <c r="K47" s="7">
        <f t="shared" si="1"/>
        <v>22.140506329113926</v>
      </c>
      <c r="L47" s="7">
        <f t="shared" si="2"/>
        <v>4.9144008395218908</v>
      </c>
      <c r="M47" s="7">
        <f t="shared" si="3"/>
        <v>10.069620253164556</v>
      </c>
      <c r="N47" s="7">
        <f t="shared" si="4"/>
        <v>2.1089377326145904</v>
      </c>
      <c r="O47" s="7">
        <f t="shared" si="5"/>
        <v>10.958227848101266</v>
      </c>
      <c r="P47" s="7">
        <f t="shared" si="6"/>
        <v>2.2883463843764797</v>
      </c>
      <c r="Q47" s="7">
        <f t="shared" si="7"/>
        <v>-1.26187339713421</v>
      </c>
      <c r="R47" s="7">
        <f t="shared" si="8"/>
        <v>-1.2494923653218568</v>
      </c>
      <c r="S47" s="7">
        <f t="shared" si="9"/>
        <v>-1.4555291062856295</v>
      </c>
      <c r="T47" s="7">
        <f t="shared" si="10"/>
        <v>-2.1667296008826331</v>
      </c>
      <c r="U47" s="7">
        <f t="shared" si="11"/>
        <v>-1.5334061174060825</v>
      </c>
    </row>
    <row r="48" spans="1:21" x14ac:dyDescent="0.25">
      <c r="A48" s="1" t="s">
        <v>1653</v>
      </c>
      <c r="B48" s="1" t="s">
        <v>36</v>
      </c>
      <c r="C48" s="1">
        <v>24</v>
      </c>
      <c r="D48" s="1">
        <v>24</v>
      </c>
      <c r="E48" s="1">
        <v>11</v>
      </c>
      <c r="F48" s="1">
        <v>11</v>
      </c>
      <c r="G48" s="1">
        <v>70</v>
      </c>
      <c r="H48" s="7">
        <v>1.5566235649883127</v>
      </c>
      <c r="I48" s="7">
        <f t="shared" si="12"/>
        <v>22.694936708860759</v>
      </c>
      <c r="J48" s="7">
        <f t="shared" si="0"/>
        <v>5.3055534129377486</v>
      </c>
      <c r="K48" s="7">
        <f t="shared" si="1"/>
        <v>22.140506329113926</v>
      </c>
      <c r="L48" s="7">
        <f t="shared" si="2"/>
        <v>4.9144008395218908</v>
      </c>
      <c r="M48" s="7">
        <f t="shared" si="3"/>
        <v>10.069620253164556</v>
      </c>
      <c r="N48" s="7">
        <f t="shared" si="4"/>
        <v>2.1089377326145904</v>
      </c>
      <c r="O48" s="7">
        <f t="shared" si="5"/>
        <v>10.958227848101266</v>
      </c>
      <c r="P48" s="7">
        <f t="shared" si="6"/>
        <v>2.2883463843764797</v>
      </c>
      <c r="Q48" s="7">
        <f t="shared" si="7"/>
        <v>0.24598061494523943</v>
      </c>
      <c r="R48" s="7">
        <f t="shared" si="8"/>
        <v>0.37837647591379209</v>
      </c>
      <c r="S48" s="7">
        <f t="shared" si="9"/>
        <v>0.44116036829688182</v>
      </c>
      <c r="T48" s="7">
        <f t="shared" si="10"/>
        <v>1.8254295846087756E-2</v>
      </c>
      <c r="U48" s="7">
        <f t="shared" si="11"/>
        <v>0.2709429387505003</v>
      </c>
    </row>
    <row r="49" spans="1:21" x14ac:dyDescent="0.25">
      <c r="A49" s="1" t="s">
        <v>1653</v>
      </c>
      <c r="B49" s="1" t="s">
        <v>36</v>
      </c>
      <c r="C49" s="1">
        <v>17</v>
      </c>
      <c r="D49" s="1">
        <v>17</v>
      </c>
      <c r="E49" s="1">
        <v>8</v>
      </c>
      <c r="F49" s="1">
        <v>9</v>
      </c>
      <c r="G49" s="1">
        <v>51</v>
      </c>
      <c r="H49" s="7">
        <v>0.8623164985025763</v>
      </c>
      <c r="I49" s="7">
        <f t="shared" si="12"/>
        <v>22.694936708860759</v>
      </c>
      <c r="J49" s="7">
        <f t="shared" si="0"/>
        <v>5.3055534129377486</v>
      </c>
      <c r="K49" s="7">
        <f t="shared" si="1"/>
        <v>22.140506329113926</v>
      </c>
      <c r="L49" s="7">
        <f t="shared" si="2"/>
        <v>4.9144008395218908</v>
      </c>
      <c r="M49" s="7">
        <f t="shared" si="3"/>
        <v>10.069620253164556</v>
      </c>
      <c r="N49" s="7">
        <f t="shared" si="4"/>
        <v>2.1089377326145904</v>
      </c>
      <c r="O49" s="7">
        <f t="shared" si="5"/>
        <v>10.958227848101266</v>
      </c>
      <c r="P49" s="7">
        <f t="shared" si="6"/>
        <v>2.2883463843764797</v>
      </c>
      <c r="Q49" s="7">
        <f t="shared" si="7"/>
        <v>-1.0733916456242787</v>
      </c>
      <c r="R49" s="7">
        <f t="shared" si="8"/>
        <v>-1.0460087601674006</v>
      </c>
      <c r="S49" s="7">
        <f t="shared" si="9"/>
        <v>-0.98135673764000164</v>
      </c>
      <c r="T49" s="7">
        <f t="shared" si="10"/>
        <v>-0.85573926284540058</v>
      </c>
      <c r="U49" s="7">
        <f t="shared" si="11"/>
        <v>-0.98912410156927022</v>
      </c>
    </row>
    <row r="50" spans="1:21" x14ac:dyDescent="0.25">
      <c r="A50" s="1" t="s">
        <v>1653</v>
      </c>
      <c r="B50" s="1" t="s">
        <v>36</v>
      </c>
      <c r="C50" s="1">
        <v>17</v>
      </c>
      <c r="D50" s="1">
        <v>17</v>
      </c>
      <c r="E50" s="1">
        <v>9</v>
      </c>
      <c r="F50" s="1">
        <v>9</v>
      </c>
      <c r="G50" s="1">
        <v>52</v>
      </c>
      <c r="H50" s="7">
        <v>1.1547005383792515</v>
      </c>
      <c r="I50" s="7">
        <f t="shared" si="12"/>
        <v>22.694936708860759</v>
      </c>
      <c r="J50" s="7">
        <f t="shared" si="0"/>
        <v>5.3055534129377486</v>
      </c>
      <c r="K50" s="7">
        <f t="shared" si="1"/>
        <v>22.140506329113926</v>
      </c>
      <c r="L50" s="7">
        <f t="shared" si="2"/>
        <v>4.9144008395218908</v>
      </c>
      <c r="M50" s="7">
        <f t="shared" si="3"/>
        <v>10.069620253164556</v>
      </c>
      <c r="N50" s="7">
        <f t="shared" si="4"/>
        <v>2.1089377326145904</v>
      </c>
      <c r="O50" s="7">
        <f t="shared" si="5"/>
        <v>10.958227848101266</v>
      </c>
      <c r="P50" s="7">
        <f t="shared" si="6"/>
        <v>2.2883463843764797</v>
      </c>
      <c r="Q50" s="7">
        <f t="shared" si="7"/>
        <v>-1.0733916456242787</v>
      </c>
      <c r="R50" s="7">
        <f t="shared" si="8"/>
        <v>-1.0460087601674006</v>
      </c>
      <c r="S50" s="7">
        <f t="shared" si="9"/>
        <v>-0.5071843689943738</v>
      </c>
      <c r="T50" s="7">
        <f t="shared" si="10"/>
        <v>-0.85573926284540058</v>
      </c>
      <c r="U50" s="7">
        <f t="shared" si="11"/>
        <v>-0.87058100940786343</v>
      </c>
    </row>
    <row r="51" spans="1:21" x14ac:dyDescent="0.25">
      <c r="A51" s="1" t="s">
        <v>1653</v>
      </c>
      <c r="B51" s="1" t="s">
        <v>36</v>
      </c>
      <c r="C51" s="1">
        <v>19</v>
      </c>
      <c r="D51" s="1">
        <v>19</v>
      </c>
      <c r="E51" s="1">
        <v>9</v>
      </c>
      <c r="F51" s="1">
        <v>10</v>
      </c>
      <c r="G51" s="1">
        <v>57</v>
      </c>
      <c r="H51" s="7">
        <v>1.0439078454267836</v>
      </c>
      <c r="I51" s="7">
        <f t="shared" si="12"/>
        <v>22.694936708860759</v>
      </c>
      <c r="J51" s="7">
        <f t="shared" si="0"/>
        <v>5.3055534129377486</v>
      </c>
      <c r="K51" s="7">
        <f t="shared" si="1"/>
        <v>22.140506329113926</v>
      </c>
      <c r="L51" s="7">
        <f t="shared" si="2"/>
        <v>4.9144008395218908</v>
      </c>
      <c r="M51" s="7">
        <f t="shared" si="3"/>
        <v>10.069620253164556</v>
      </c>
      <c r="N51" s="7">
        <f t="shared" si="4"/>
        <v>2.1089377326145904</v>
      </c>
      <c r="O51" s="7">
        <f t="shared" si="5"/>
        <v>10.958227848101266</v>
      </c>
      <c r="P51" s="7">
        <f t="shared" si="6"/>
        <v>2.2883463843764797</v>
      </c>
      <c r="Q51" s="7">
        <f t="shared" si="7"/>
        <v>-0.69642814260441643</v>
      </c>
      <c r="R51" s="7">
        <f t="shared" si="8"/>
        <v>-0.63904154985848838</v>
      </c>
      <c r="S51" s="7">
        <f t="shared" si="9"/>
        <v>-0.5071843689943738</v>
      </c>
      <c r="T51" s="7">
        <f t="shared" si="10"/>
        <v>-0.41874248349965643</v>
      </c>
      <c r="U51" s="7">
        <f t="shared" si="11"/>
        <v>-0.56534913623923377</v>
      </c>
    </row>
    <row r="52" spans="1:21" x14ac:dyDescent="0.25">
      <c r="A52" s="1" t="s">
        <v>1653</v>
      </c>
      <c r="B52" s="1" t="s">
        <v>36</v>
      </c>
      <c r="C52" s="1">
        <v>22</v>
      </c>
      <c r="D52" s="1">
        <v>21</v>
      </c>
      <c r="E52" s="1">
        <v>11</v>
      </c>
      <c r="F52" s="1">
        <v>10</v>
      </c>
      <c r="G52" s="1">
        <v>64</v>
      </c>
      <c r="H52" s="7">
        <v>1.6052797503622462</v>
      </c>
      <c r="I52" s="7">
        <f t="shared" si="12"/>
        <v>22.694936708860759</v>
      </c>
      <c r="J52" s="7">
        <f t="shared" si="0"/>
        <v>5.3055534129377486</v>
      </c>
      <c r="K52" s="7">
        <f t="shared" si="1"/>
        <v>22.140506329113926</v>
      </c>
      <c r="L52" s="7">
        <f t="shared" si="2"/>
        <v>4.9144008395218908</v>
      </c>
      <c r="M52" s="7">
        <f t="shared" si="3"/>
        <v>10.069620253164556</v>
      </c>
      <c r="N52" s="7">
        <f t="shared" si="4"/>
        <v>2.1089377326145904</v>
      </c>
      <c r="O52" s="7">
        <f t="shared" si="5"/>
        <v>10.958227848101266</v>
      </c>
      <c r="P52" s="7">
        <f t="shared" si="6"/>
        <v>2.2883463843764797</v>
      </c>
      <c r="Q52" s="7">
        <f t="shared" si="7"/>
        <v>-0.13098288807462291</v>
      </c>
      <c r="R52" s="7">
        <f t="shared" si="8"/>
        <v>-0.23207433954957621</v>
      </c>
      <c r="S52" s="7">
        <f t="shared" si="9"/>
        <v>0.44116036829688182</v>
      </c>
      <c r="T52" s="7">
        <f t="shared" si="10"/>
        <v>-0.41874248349965643</v>
      </c>
      <c r="U52" s="7">
        <f t="shared" si="11"/>
        <v>-8.5159835706743431E-2</v>
      </c>
    </row>
    <row r="53" spans="1:21" x14ac:dyDescent="0.25">
      <c r="A53" s="1" t="s">
        <v>1653</v>
      </c>
      <c r="B53" s="1" t="s">
        <v>36</v>
      </c>
      <c r="C53" s="1">
        <v>22</v>
      </c>
      <c r="D53" s="1">
        <v>16</v>
      </c>
      <c r="E53" s="1">
        <v>9</v>
      </c>
      <c r="F53" s="1">
        <v>9</v>
      </c>
      <c r="G53" s="1">
        <v>56</v>
      </c>
      <c r="H53" s="7">
        <v>1.3774744634423892</v>
      </c>
      <c r="I53" s="7">
        <f t="shared" si="12"/>
        <v>22.694936708860759</v>
      </c>
      <c r="J53" s="7">
        <f t="shared" si="0"/>
        <v>5.3055534129377486</v>
      </c>
      <c r="K53" s="7">
        <f t="shared" si="1"/>
        <v>22.140506329113926</v>
      </c>
      <c r="L53" s="7">
        <f t="shared" si="2"/>
        <v>4.9144008395218908</v>
      </c>
      <c r="M53" s="7">
        <f t="shared" si="3"/>
        <v>10.069620253164556</v>
      </c>
      <c r="N53" s="7">
        <f t="shared" si="4"/>
        <v>2.1089377326145904</v>
      </c>
      <c r="O53" s="7">
        <f t="shared" si="5"/>
        <v>10.958227848101266</v>
      </c>
      <c r="P53" s="7">
        <f t="shared" si="6"/>
        <v>2.2883463843764797</v>
      </c>
      <c r="Q53" s="7">
        <f t="shared" si="7"/>
        <v>-0.13098288807462291</v>
      </c>
      <c r="R53" s="7">
        <f t="shared" si="8"/>
        <v>-1.2494923653218568</v>
      </c>
      <c r="S53" s="7">
        <f t="shared" si="9"/>
        <v>-0.5071843689943738</v>
      </c>
      <c r="T53" s="7">
        <f t="shared" si="10"/>
        <v>-0.85573926284540058</v>
      </c>
      <c r="U53" s="7">
        <f t="shared" si="11"/>
        <v>-0.68584972130906352</v>
      </c>
    </row>
    <row r="54" spans="1:21" x14ac:dyDescent="0.25">
      <c r="A54" s="1" t="s">
        <v>1653</v>
      </c>
      <c r="B54" s="1" t="s">
        <v>36</v>
      </c>
      <c r="C54" s="1">
        <v>20</v>
      </c>
      <c r="D54" s="1">
        <v>15</v>
      </c>
      <c r="E54" s="1">
        <v>8</v>
      </c>
      <c r="F54" s="1">
        <v>13</v>
      </c>
      <c r="G54" s="1">
        <v>56</v>
      </c>
      <c r="H54" s="7">
        <v>0.94733093343134178</v>
      </c>
      <c r="I54" s="7">
        <f t="shared" si="12"/>
        <v>22.694936708860759</v>
      </c>
      <c r="J54" s="7">
        <f t="shared" si="0"/>
        <v>5.3055534129377486</v>
      </c>
      <c r="K54" s="7">
        <f t="shared" si="1"/>
        <v>22.140506329113926</v>
      </c>
      <c r="L54" s="7">
        <f t="shared" si="2"/>
        <v>4.9144008395218908</v>
      </c>
      <c r="M54" s="7">
        <f t="shared" si="3"/>
        <v>10.069620253164556</v>
      </c>
      <c r="N54" s="7">
        <f t="shared" si="4"/>
        <v>2.1089377326145904</v>
      </c>
      <c r="O54" s="7">
        <f t="shared" si="5"/>
        <v>10.958227848101266</v>
      </c>
      <c r="P54" s="7">
        <f t="shared" si="6"/>
        <v>2.2883463843764797</v>
      </c>
      <c r="Q54" s="7">
        <f t="shared" si="7"/>
        <v>-0.50794639109448525</v>
      </c>
      <c r="R54" s="7">
        <f t="shared" si="8"/>
        <v>-1.4529759704763128</v>
      </c>
      <c r="S54" s="7">
        <f t="shared" si="9"/>
        <v>-0.98135673764000164</v>
      </c>
      <c r="T54" s="7">
        <f t="shared" si="10"/>
        <v>0.89224785453757616</v>
      </c>
      <c r="U54" s="7">
        <f t="shared" si="11"/>
        <v>-0.5125078111683059</v>
      </c>
    </row>
    <row r="55" spans="1:21" x14ac:dyDescent="0.25">
      <c r="A55" s="1" t="s">
        <v>1653</v>
      </c>
      <c r="B55" s="1" t="s">
        <v>36</v>
      </c>
      <c r="C55" s="1">
        <v>21</v>
      </c>
      <c r="D55" s="1">
        <v>20</v>
      </c>
      <c r="E55" s="1">
        <v>9</v>
      </c>
      <c r="F55" s="1">
        <v>13</v>
      </c>
      <c r="G55" s="1">
        <v>63</v>
      </c>
      <c r="H55" s="7">
        <v>0.80064076902543579</v>
      </c>
      <c r="I55" s="7">
        <f t="shared" si="12"/>
        <v>22.694936708860759</v>
      </c>
      <c r="J55" s="7">
        <f t="shared" si="0"/>
        <v>5.3055534129377486</v>
      </c>
      <c r="K55" s="7">
        <f t="shared" si="1"/>
        <v>22.140506329113926</v>
      </c>
      <c r="L55" s="7">
        <f t="shared" si="2"/>
        <v>4.9144008395218908</v>
      </c>
      <c r="M55" s="7">
        <f t="shared" si="3"/>
        <v>10.069620253164556</v>
      </c>
      <c r="N55" s="7">
        <f t="shared" si="4"/>
        <v>2.1089377326145904</v>
      </c>
      <c r="O55" s="7">
        <f t="shared" si="5"/>
        <v>10.958227848101266</v>
      </c>
      <c r="P55" s="7">
        <f t="shared" si="6"/>
        <v>2.2883463843764797</v>
      </c>
      <c r="Q55" s="7">
        <f t="shared" si="7"/>
        <v>-0.31946463958455407</v>
      </c>
      <c r="R55" s="7">
        <f t="shared" si="8"/>
        <v>-0.43555794470403231</v>
      </c>
      <c r="S55" s="7">
        <f t="shared" si="9"/>
        <v>-0.5071843689943738</v>
      </c>
      <c r="T55" s="7">
        <f t="shared" si="10"/>
        <v>0.89224785453757616</v>
      </c>
      <c r="U55" s="7">
        <f t="shared" si="11"/>
        <v>-9.2489774686345977E-2</v>
      </c>
    </row>
    <row r="56" spans="1:21" x14ac:dyDescent="0.25">
      <c r="A56" s="1" t="s">
        <v>1653</v>
      </c>
      <c r="B56" s="1" t="s">
        <v>36</v>
      </c>
      <c r="C56" s="1">
        <v>26</v>
      </c>
      <c r="D56" s="1">
        <v>28</v>
      </c>
      <c r="E56" s="1">
        <v>11</v>
      </c>
      <c r="F56" s="1">
        <v>15</v>
      </c>
      <c r="G56" s="1">
        <v>80</v>
      </c>
      <c r="H56" s="7">
        <v>1.3445044840729643</v>
      </c>
      <c r="I56" s="7">
        <f t="shared" si="12"/>
        <v>22.694936708860759</v>
      </c>
      <c r="J56" s="7">
        <f t="shared" si="0"/>
        <v>5.3055534129377486</v>
      </c>
      <c r="K56" s="7">
        <f t="shared" si="1"/>
        <v>22.140506329113926</v>
      </c>
      <c r="L56" s="7">
        <f t="shared" si="2"/>
        <v>4.9144008395218908</v>
      </c>
      <c r="M56" s="7">
        <f t="shared" si="3"/>
        <v>10.069620253164556</v>
      </c>
      <c r="N56" s="7">
        <f t="shared" si="4"/>
        <v>2.1089377326145904</v>
      </c>
      <c r="O56" s="7">
        <f t="shared" si="5"/>
        <v>10.958227848101266</v>
      </c>
      <c r="P56" s="7">
        <f t="shared" si="6"/>
        <v>2.2883463843764797</v>
      </c>
      <c r="Q56" s="7">
        <f t="shared" si="7"/>
        <v>0.62294411796510174</v>
      </c>
      <c r="R56" s="7">
        <f t="shared" si="8"/>
        <v>1.1923108965316165</v>
      </c>
      <c r="S56" s="7">
        <f t="shared" si="9"/>
        <v>0.44116036829688182</v>
      </c>
      <c r="T56" s="7">
        <f t="shared" si="10"/>
        <v>1.7662414132290645</v>
      </c>
      <c r="U56" s="7">
        <f t="shared" si="11"/>
        <v>1.0056641990056661</v>
      </c>
    </row>
    <row r="57" spans="1:21" x14ac:dyDescent="0.25">
      <c r="A57" s="1" t="s">
        <v>1653</v>
      </c>
      <c r="B57" s="1" t="s">
        <v>36</v>
      </c>
      <c r="C57" s="1">
        <v>19</v>
      </c>
      <c r="D57" s="1">
        <v>16</v>
      </c>
      <c r="E57" s="1">
        <v>8</v>
      </c>
      <c r="F57" s="1">
        <v>9</v>
      </c>
      <c r="G57" s="1">
        <v>52</v>
      </c>
      <c r="H57" s="7">
        <v>0.99999999999999978</v>
      </c>
      <c r="I57" s="7">
        <f t="shared" si="12"/>
        <v>22.694936708860759</v>
      </c>
      <c r="J57" s="7">
        <f t="shared" si="0"/>
        <v>5.3055534129377486</v>
      </c>
      <c r="K57" s="7">
        <f t="shared" si="1"/>
        <v>22.140506329113926</v>
      </c>
      <c r="L57" s="7">
        <f t="shared" si="2"/>
        <v>4.9144008395218908</v>
      </c>
      <c r="M57" s="7">
        <f t="shared" si="3"/>
        <v>10.069620253164556</v>
      </c>
      <c r="N57" s="7">
        <f t="shared" si="4"/>
        <v>2.1089377326145904</v>
      </c>
      <c r="O57" s="7">
        <f t="shared" si="5"/>
        <v>10.958227848101266</v>
      </c>
      <c r="P57" s="7">
        <f t="shared" si="6"/>
        <v>2.2883463843764797</v>
      </c>
      <c r="Q57" s="7">
        <f t="shared" si="7"/>
        <v>-0.69642814260441643</v>
      </c>
      <c r="R57" s="7">
        <f t="shared" si="8"/>
        <v>-1.2494923653218568</v>
      </c>
      <c r="S57" s="7">
        <f t="shared" si="9"/>
        <v>-0.98135673764000164</v>
      </c>
      <c r="T57" s="7">
        <f t="shared" si="10"/>
        <v>-0.85573926284540058</v>
      </c>
      <c r="U57" s="7">
        <f t="shared" si="11"/>
        <v>-0.94575412710291884</v>
      </c>
    </row>
    <row r="58" spans="1:21" x14ac:dyDescent="0.25">
      <c r="A58" s="1" t="s">
        <v>1653</v>
      </c>
      <c r="B58" s="1" t="s">
        <v>36</v>
      </c>
      <c r="C58" s="1">
        <v>22</v>
      </c>
      <c r="D58" s="1">
        <v>22</v>
      </c>
      <c r="E58" s="1">
        <v>11</v>
      </c>
      <c r="F58" s="1">
        <v>14</v>
      </c>
      <c r="G58" s="1">
        <v>69</v>
      </c>
      <c r="H58" s="7">
        <v>1.1094003924504581</v>
      </c>
      <c r="I58" s="7">
        <f t="shared" si="12"/>
        <v>22.694936708860759</v>
      </c>
      <c r="J58" s="7">
        <f t="shared" si="0"/>
        <v>5.3055534129377486</v>
      </c>
      <c r="K58" s="7">
        <f t="shared" si="1"/>
        <v>22.140506329113926</v>
      </c>
      <c r="L58" s="7">
        <f t="shared" si="2"/>
        <v>4.9144008395218908</v>
      </c>
      <c r="M58" s="7">
        <f t="shared" si="3"/>
        <v>10.069620253164556</v>
      </c>
      <c r="N58" s="7">
        <f t="shared" si="4"/>
        <v>2.1089377326145904</v>
      </c>
      <c r="O58" s="7">
        <f t="shared" si="5"/>
        <v>10.958227848101266</v>
      </c>
      <c r="P58" s="7">
        <f t="shared" si="6"/>
        <v>2.2883463843764797</v>
      </c>
      <c r="Q58" s="7">
        <f t="shared" si="7"/>
        <v>-0.13098288807462291</v>
      </c>
      <c r="R58" s="7">
        <f t="shared" si="8"/>
        <v>-2.8590734395120113E-2</v>
      </c>
      <c r="S58" s="7">
        <f t="shared" si="9"/>
        <v>0.44116036829688182</v>
      </c>
      <c r="T58" s="7">
        <f t="shared" si="10"/>
        <v>1.3292446338833204</v>
      </c>
      <c r="U58" s="7">
        <f t="shared" si="11"/>
        <v>0.4027078449276148</v>
      </c>
    </row>
    <row r="59" spans="1:21" x14ac:dyDescent="0.25">
      <c r="A59" s="1" t="s">
        <v>1653</v>
      </c>
      <c r="B59" s="1" t="s">
        <v>36</v>
      </c>
      <c r="C59" s="1">
        <v>22</v>
      </c>
      <c r="D59" s="1">
        <v>22</v>
      </c>
      <c r="E59" s="1">
        <v>9</v>
      </c>
      <c r="F59" s="1">
        <v>10</v>
      </c>
      <c r="G59" s="1">
        <v>63</v>
      </c>
      <c r="H59" s="7">
        <v>1.4632243987255136</v>
      </c>
      <c r="I59" s="7">
        <f t="shared" si="12"/>
        <v>22.694936708860759</v>
      </c>
      <c r="J59" s="7">
        <f t="shared" si="0"/>
        <v>5.3055534129377486</v>
      </c>
      <c r="K59" s="7">
        <f t="shared" si="1"/>
        <v>22.140506329113926</v>
      </c>
      <c r="L59" s="7">
        <f t="shared" si="2"/>
        <v>4.9144008395218908</v>
      </c>
      <c r="M59" s="7">
        <f t="shared" si="3"/>
        <v>10.069620253164556</v>
      </c>
      <c r="N59" s="7">
        <f t="shared" si="4"/>
        <v>2.1089377326145904</v>
      </c>
      <c r="O59" s="7">
        <f t="shared" si="5"/>
        <v>10.958227848101266</v>
      </c>
      <c r="P59" s="7">
        <f t="shared" si="6"/>
        <v>2.2883463843764797</v>
      </c>
      <c r="Q59" s="7">
        <f t="shared" si="7"/>
        <v>-0.13098288807462291</v>
      </c>
      <c r="R59" s="7">
        <f t="shared" si="8"/>
        <v>-2.8590734395120113E-2</v>
      </c>
      <c r="S59" s="7">
        <f t="shared" si="9"/>
        <v>-0.5071843689943738</v>
      </c>
      <c r="T59" s="7">
        <f t="shared" si="10"/>
        <v>-0.41874248349965643</v>
      </c>
      <c r="U59" s="7">
        <f t="shared" si="11"/>
        <v>-0.27137511874094333</v>
      </c>
    </row>
    <row r="60" spans="1:21" x14ac:dyDescent="0.25">
      <c r="A60" s="1" t="s">
        <v>1653</v>
      </c>
      <c r="B60" s="1" t="s">
        <v>36</v>
      </c>
      <c r="C60" s="1">
        <v>22</v>
      </c>
      <c r="D60" s="1">
        <v>19</v>
      </c>
      <c r="E60" s="1">
        <v>9</v>
      </c>
      <c r="F60" s="1">
        <v>9</v>
      </c>
      <c r="G60" s="1">
        <v>59</v>
      </c>
      <c r="H60" s="7">
        <v>1.3913653136029502</v>
      </c>
      <c r="I60" s="7">
        <f t="shared" si="12"/>
        <v>22.694936708860759</v>
      </c>
      <c r="J60" s="7">
        <f t="shared" si="0"/>
        <v>5.3055534129377486</v>
      </c>
      <c r="K60" s="7">
        <f t="shared" si="1"/>
        <v>22.140506329113926</v>
      </c>
      <c r="L60" s="7">
        <f t="shared" si="2"/>
        <v>4.9144008395218908</v>
      </c>
      <c r="M60" s="7">
        <f t="shared" si="3"/>
        <v>10.069620253164556</v>
      </c>
      <c r="N60" s="7">
        <f t="shared" si="4"/>
        <v>2.1089377326145904</v>
      </c>
      <c r="O60" s="7">
        <f t="shared" si="5"/>
        <v>10.958227848101266</v>
      </c>
      <c r="P60" s="7">
        <f t="shared" si="6"/>
        <v>2.2883463843764797</v>
      </c>
      <c r="Q60" s="7">
        <f t="shared" si="7"/>
        <v>-0.13098288807462291</v>
      </c>
      <c r="R60" s="7">
        <f t="shared" si="8"/>
        <v>-0.63904154985848838</v>
      </c>
      <c r="S60" s="7">
        <f t="shared" si="9"/>
        <v>-0.5071843689943738</v>
      </c>
      <c r="T60" s="7">
        <f t="shared" si="10"/>
        <v>-0.85573926284540058</v>
      </c>
      <c r="U60" s="7">
        <f t="shared" si="11"/>
        <v>-0.53323701744322149</v>
      </c>
    </row>
    <row r="61" spans="1:21" x14ac:dyDescent="0.25">
      <c r="A61" s="1" t="s">
        <v>1653</v>
      </c>
      <c r="B61" s="1" t="s">
        <v>36</v>
      </c>
      <c r="C61" s="1">
        <v>15</v>
      </c>
      <c r="D61" s="1">
        <v>15</v>
      </c>
      <c r="E61" s="1">
        <v>6</v>
      </c>
      <c r="F61" s="1">
        <v>8</v>
      </c>
      <c r="G61" s="1">
        <v>44</v>
      </c>
      <c r="H61" s="7">
        <v>0.76794764778830416</v>
      </c>
      <c r="I61" s="7">
        <f t="shared" si="12"/>
        <v>22.694936708860759</v>
      </c>
      <c r="J61" s="7">
        <f t="shared" si="0"/>
        <v>5.3055534129377486</v>
      </c>
      <c r="K61" s="7">
        <f t="shared" si="1"/>
        <v>22.140506329113926</v>
      </c>
      <c r="L61" s="7">
        <f t="shared" si="2"/>
        <v>4.9144008395218908</v>
      </c>
      <c r="M61" s="7">
        <f t="shared" si="3"/>
        <v>10.069620253164556</v>
      </c>
      <c r="N61" s="7">
        <f t="shared" si="4"/>
        <v>2.1089377326145904</v>
      </c>
      <c r="O61" s="7">
        <f t="shared" si="5"/>
        <v>10.958227848101266</v>
      </c>
      <c r="P61" s="7">
        <f t="shared" si="6"/>
        <v>2.2883463843764797</v>
      </c>
      <c r="Q61" s="7">
        <f t="shared" si="7"/>
        <v>-1.4503551486441411</v>
      </c>
      <c r="R61" s="7">
        <f t="shared" si="8"/>
        <v>-1.4529759704763128</v>
      </c>
      <c r="S61" s="7">
        <f t="shared" si="9"/>
        <v>-1.9297014749312573</v>
      </c>
      <c r="T61" s="7">
        <f t="shared" si="10"/>
        <v>-1.2927360421911447</v>
      </c>
      <c r="U61" s="7">
        <f t="shared" si="11"/>
        <v>-1.5314421590607139</v>
      </c>
    </row>
    <row r="62" spans="1:21" x14ac:dyDescent="0.25">
      <c r="A62" s="1" t="s">
        <v>1653</v>
      </c>
      <c r="B62" s="1" t="s">
        <v>36</v>
      </c>
      <c r="C62" s="1">
        <v>23</v>
      </c>
      <c r="D62" s="1">
        <v>21</v>
      </c>
      <c r="E62" s="1">
        <v>10</v>
      </c>
      <c r="F62" s="1">
        <v>12</v>
      </c>
      <c r="G62" s="1">
        <v>66</v>
      </c>
      <c r="H62" s="7">
        <v>1.1151635501529555</v>
      </c>
      <c r="I62" s="7">
        <f t="shared" si="12"/>
        <v>22.694936708860759</v>
      </c>
      <c r="J62" s="7">
        <f t="shared" si="0"/>
        <v>5.3055534129377486</v>
      </c>
      <c r="K62" s="7">
        <f t="shared" si="1"/>
        <v>22.140506329113926</v>
      </c>
      <c r="L62" s="7">
        <f t="shared" si="2"/>
        <v>4.9144008395218908</v>
      </c>
      <c r="M62" s="7">
        <f t="shared" si="3"/>
        <v>10.069620253164556</v>
      </c>
      <c r="N62" s="7">
        <f t="shared" si="4"/>
        <v>2.1089377326145904</v>
      </c>
      <c r="O62" s="7">
        <f t="shared" si="5"/>
        <v>10.958227848101266</v>
      </c>
      <c r="P62" s="7">
        <f t="shared" si="6"/>
        <v>2.2883463843764797</v>
      </c>
      <c r="Q62" s="7">
        <f t="shared" si="7"/>
        <v>5.7498863435308259E-2</v>
      </c>
      <c r="R62" s="7">
        <f t="shared" si="8"/>
        <v>-0.23207433954957621</v>
      </c>
      <c r="S62" s="7">
        <f t="shared" si="9"/>
        <v>-3.3012000348745997E-2</v>
      </c>
      <c r="T62" s="7">
        <f t="shared" si="10"/>
        <v>0.45525107519183194</v>
      </c>
      <c r="U62" s="7">
        <f t="shared" si="11"/>
        <v>6.1915899682204505E-2</v>
      </c>
    </row>
    <row r="63" spans="1:21" x14ac:dyDescent="0.25">
      <c r="A63" s="1" t="s">
        <v>1653</v>
      </c>
      <c r="B63" s="1" t="s">
        <v>36</v>
      </c>
      <c r="C63" s="1">
        <v>22</v>
      </c>
      <c r="D63" s="1">
        <v>21</v>
      </c>
      <c r="E63" s="1">
        <v>10</v>
      </c>
      <c r="F63" s="1">
        <v>11</v>
      </c>
      <c r="G63" s="1">
        <v>64</v>
      </c>
      <c r="H63" s="7">
        <v>1.1875421719907087</v>
      </c>
      <c r="I63" s="7">
        <f t="shared" si="12"/>
        <v>22.694936708860759</v>
      </c>
      <c r="J63" s="7">
        <f t="shared" si="0"/>
        <v>5.3055534129377486</v>
      </c>
      <c r="K63" s="7">
        <f t="shared" si="1"/>
        <v>22.140506329113926</v>
      </c>
      <c r="L63" s="7">
        <f t="shared" si="2"/>
        <v>4.9144008395218908</v>
      </c>
      <c r="M63" s="7">
        <f t="shared" si="3"/>
        <v>10.069620253164556</v>
      </c>
      <c r="N63" s="7">
        <f t="shared" si="4"/>
        <v>2.1089377326145904</v>
      </c>
      <c r="O63" s="7">
        <f t="shared" si="5"/>
        <v>10.958227848101266</v>
      </c>
      <c r="P63" s="7">
        <f t="shared" si="6"/>
        <v>2.2883463843764797</v>
      </c>
      <c r="Q63" s="7">
        <f t="shared" si="7"/>
        <v>-0.13098288807462291</v>
      </c>
      <c r="R63" s="7">
        <f t="shared" si="8"/>
        <v>-0.23207433954957621</v>
      </c>
      <c r="S63" s="7">
        <f t="shared" si="9"/>
        <v>-3.3012000348745997E-2</v>
      </c>
      <c r="T63" s="7">
        <f t="shared" si="10"/>
        <v>1.8254295846087756E-2</v>
      </c>
      <c r="U63" s="7">
        <f t="shared" si="11"/>
        <v>-9.4453733031714351E-2</v>
      </c>
    </row>
    <row r="64" spans="1:21" x14ac:dyDescent="0.25">
      <c r="A64" s="1" t="s">
        <v>1653</v>
      </c>
      <c r="B64" s="1" t="s">
        <v>36</v>
      </c>
      <c r="C64" s="1">
        <v>13</v>
      </c>
      <c r="D64" s="1">
        <v>14</v>
      </c>
      <c r="E64" s="1">
        <v>6</v>
      </c>
      <c r="F64" s="1">
        <v>7</v>
      </c>
      <c r="G64" s="1">
        <v>40</v>
      </c>
      <c r="H64" s="7">
        <v>1.0377490433255416</v>
      </c>
      <c r="I64" s="7">
        <f t="shared" si="12"/>
        <v>22.694936708860759</v>
      </c>
      <c r="J64" s="7">
        <f t="shared" si="0"/>
        <v>5.3055534129377486</v>
      </c>
      <c r="K64" s="7">
        <f t="shared" si="1"/>
        <v>22.140506329113926</v>
      </c>
      <c r="L64" s="7">
        <f t="shared" si="2"/>
        <v>4.9144008395218908</v>
      </c>
      <c r="M64" s="7">
        <f t="shared" si="3"/>
        <v>10.069620253164556</v>
      </c>
      <c r="N64" s="7">
        <f t="shared" si="4"/>
        <v>2.1089377326145904</v>
      </c>
      <c r="O64" s="7">
        <f t="shared" si="5"/>
        <v>10.958227848101266</v>
      </c>
      <c r="P64" s="7">
        <f t="shared" si="6"/>
        <v>2.2883463843764797</v>
      </c>
      <c r="Q64" s="7">
        <f t="shared" si="7"/>
        <v>-1.8273186516640034</v>
      </c>
      <c r="R64" s="7">
        <f t="shared" si="8"/>
        <v>-1.656459575630769</v>
      </c>
      <c r="S64" s="7">
        <f t="shared" si="9"/>
        <v>-1.9297014749312573</v>
      </c>
      <c r="T64" s="7">
        <f t="shared" si="10"/>
        <v>-1.729732821536889</v>
      </c>
      <c r="U64" s="7">
        <f t="shared" si="11"/>
        <v>-1.7858031309407298</v>
      </c>
    </row>
    <row r="65" spans="1:21" x14ac:dyDescent="0.25">
      <c r="A65" s="1" t="s">
        <v>1653</v>
      </c>
      <c r="B65" s="1" t="s">
        <v>36</v>
      </c>
      <c r="C65" s="1">
        <v>18</v>
      </c>
      <c r="D65" s="1">
        <v>22</v>
      </c>
      <c r="E65" s="1">
        <v>10</v>
      </c>
      <c r="F65" s="1">
        <v>12</v>
      </c>
      <c r="G65" s="1">
        <v>62</v>
      </c>
      <c r="H65" s="7">
        <v>0.83205029433784372</v>
      </c>
      <c r="I65" s="7">
        <f t="shared" si="12"/>
        <v>22.694936708860759</v>
      </c>
      <c r="J65" s="7">
        <f t="shared" si="0"/>
        <v>5.3055534129377486</v>
      </c>
      <c r="K65" s="7">
        <f t="shared" si="1"/>
        <v>22.140506329113926</v>
      </c>
      <c r="L65" s="7">
        <f t="shared" si="2"/>
        <v>4.9144008395218908</v>
      </c>
      <c r="M65" s="7">
        <f t="shared" si="3"/>
        <v>10.069620253164556</v>
      </c>
      <c r="N65" s="7">
        <f t="shared" si="4"/>
        <v>2.1089377326145904</v>
      </c>
      <c r="O65" s="7">
        <f t="shared" si="5"/>
        <v>10.958227848101266</v>
      </c>
      <c r="P65" s="7">
        <f t="shared" si="6"/>
        <v>2.2883463843764797</v>
      </c>
      <c r="Q65" s="7">
        <f t="shared" si="7"/>
        <v>-0.88490989411434762</v>
      </c>
      <c r="R65" s="7">
        <f t="shared" si="8"/>
        <v>-2.8590734395120113E-2</v>
      </c>
      <c r="S65" s="7">
        <f t="shared" si="9"/>
        <v>-3.3012000348745997E-2</v>
      </c>
      <c r="T65" s="7">
        <f t="shared" si="10"/>
        <v>0.45525107519183194</v>
      </c>
      <c r="U65" s="7">
        <f t="shared" si="11"/>
        <v>-0.12281538841659545</v>
      </c>
    </row>
    <row r="66" spans="1:21" x14ac:dyDescent="0.25">
      <c r="A66" s="1" t="s">
        <v>1653</v>
      </c>
      <c r="B66" s="1" t="s">
        <v>36</v>
      </c>
      <c r="C66" s="1">
        <v>12</v>
      </c>
      <c r="D66" s="1">
        <v>13</v>
      </c>
      <c r="E66" s="1">
        <v>5</v>
      </c>
      <c r="F66" s="1">
        <v>7</v>
      </c>
      <c r="G66" s="1">
        <v>37</v>
      </c>
      <c r="H66" s="7">
        <v>0.68873723172119472</v>
      </c>
      <c r="I66" s="7">
        <f t="shared" si="12"/>
        <v>22.694936708860759</v>
      </c>
      <c r="J66" s="7">
        <f t="shared" si="0"/>
        <v>5.3055534129377486</v>
      </c>
      <c r="K66" s="7">
        <f t="shared" si="1"/>
        <v>22.140506329113926</v>
      </c>
      <c r="L66" s="7">
        <f t="shared" si="2"/>
        <v>4.9144008395218908</v>
      </c>
      <c r="M66" s="7">
        <f t="shared" si="3"/>
        <v>10.069620253164556</v>
      </c>
      <c r="N66" s="7">
        <f t="shared" si="4"/>
        <v>2.1089377326145904</v>
      </c>
      <c r="O66" s="7">
        <f t="shared" si="5"/>
        <v>10.958227848101266</v>
      </c>
      <c r="P66" s="7">
        <f t="shared" si="6"/>
        <v>2.2883463843764797</v>
      </c>
      <c r="Q66" s="7">
        <f t="shared" si="7"/>
        <v>-2.0158004031739347</v>
      </c>
      <c r="R66" s="7">
        <f t="shared" si="8"/>
        <v>-1.8599431807852249</v>
      </c>
      <c r="S66" s="7">
        <f t="shared" si="9"/>
        <v>-2.4038738435768852</v>
      </c>
      <c r="T66" s="7">
        <f t="shared" si="10"/>
        <v>-1.729732821536889</v>
      </c>
      <c r="U66" s="7">
        <f t="shared" si="11"/>
        <v>-2.0023375622682336</v>
      </c>
    </row>
    <row r="67" spans="1:21" x14ac:dyDescent="0.25">
      <c r="A67" s="1" t="s">
        <v>1653</v>
      </c>
      <c r="B67" s="1" t="s">
        <v>36</v>
      </c>
      <c r="C67" s="1">
        <v>24</v>
      </c>
      <c r="D67" s="1">
        <v>24</v>
      </c>
      <c r="E67" s="1">
        <v>10</v>
      </c>
      <c r="F67" s="1">
        <v>13</v>
      </c>
      <c r="G67" s="1">
        <v>71</v>
      </c>
      <c r="H67" s="7">
        <v>1.3301243435223529</v>
      </c>
      <c r="I67" s="7">
        <f t="shared" si="12"/>
        <v>22.694936708860759</v>
      </c>
      <c r="J67" s="7">
        <f t="shared" ref="J67:J130" si="13">_xlfn.STDEV.S(C:C)</f>
        <v>5.3055534129377486</v>
      </c>
      <c r="K67" s="7">
        <f t="shared" ref="K67:K130" si="14">AVERAGE(D:D)</f>
        <v>22.140506329113926</v>
      </c>
      <c r="L67" s="7">
        <f t="shared" ref="L67:L130" si="15">_xlfn.STDEV.S(D:D)</f>
        <v>4.9144008395218908</v>
      </c>
      <c r="M67" s="7">
        <f t="shared" ref="M67:M130" si="16">AVERAGE(E:E)</f>
        <v>10.069620253164556</v>
      </c>
      <c r="N67" s="7">
        <f t="shared" ref="N67:N130" si="17">_xlfn.STDEV.S(E:E)</f>
        <v>2.1089377326145904</v>
      </c>
      <c r="O67" s="7">
        <f t="shared" ref="O67:O130" si="18">AVERAGE(F:F)</f>
        <v>10.958227848101266</v>
      </c>
      <c r="P67" s="7">
        <f t="shared" ref="P67:P130" si="19">_xlfn.STDEV.S(F:F)</f>
        <v>2.2883463843764797</v>
      </c>
      <c r="Q67" s="7">
        <f t="shared" ref="Q67:Q130" si="20">STANDARDIZE(C67,I67,J67)</f>
        <v>0.24598061494523943</v>
      </c>
      <c r="R67" s="7">
        <f t="shared" ref="R67:R130" si="21">STANDARDIZE(D67,K67,L67)</f>
        <v>0.37837647591379209</v>
      </c>
      <c r="S67" s="7">
        <f t="shared" ref="S67:S130" si="22">STANDARDIZE(E67,M67,N67)</f>
        <v>-3.3012000348745997E-2</v>
      </c>
      <c r="T67" s="7">
        <f t="shared" ref="T67:T130" si="23">STANDARDIZE(F67,O67,P67)</f>
        <v>0.89224785453757616</v>
      </c>
      <c r="U67" s="7">
        <f t="shared" ref="U67:U130" si="24">AVERAGE(Q67:T67)</f>
        <v>0.37089823626196539</v>
      </c>
    </row>
    <row r="68" spans="1:21" x14ac:dyDescent="0.25">
      <c r="A68" s="1" t="s">
        <v>1653</v>
      </c>
      <c r="B68" s="1" t="s">
        <v>36</v>
      </c>
      <c r="C68" s="1">
        <v>21</v>
      </c>
      <c r="D68" s="1">
        <v>20</v>
      </c>
      <c r="E68" s="1">
        <v>8</v>
      </c>
      <c r="F68" s="1">
        <v>12</v>
      </c>
      <c r="G68" s="1">
        <v>61</v>
      </c>
      <c r="H68" s="7">
        <v>1.1821319289469754</v>
      </c>
      <c r="I68" s="7">
        <f t="shared" ref="I68:I131" si="25">AVERAGE(C:C)</f>
        <v>22.694936708860759</v>
      </c>
      <c r="J68" s="7">
        <f t="shared" si="13"/>
        <v>5.3055534129377486</v>
      </c>
      <c r="K68" s="7">
        <f t="shared" si="14"/>
        <v>22.140506329113926</v>
      </c>
      <c r="L68" s="7">
        <f t="shared" si="15"/>
        <v>4.9144008395218908</v>
      </c>
      <c r="M68" s="7">
        <f t="shared" si="16"/>
        <v>10.069620253164556</v>
      </c>
      <c r="N68" s="7">
        <f t="shared" si="17"/>
        <v>2.1089377326145904</v>
      </c>
      <c r="O68" s="7">
        <f t="shared" si="18"/>
        <v>10.958227848101266</v>
      </c>
      <c r="P68" s="7">
        <f t="shared" si="19"/>
        <v>2.2883463843764797</v>
      </c>
      <c r="Q68" s="7">
        <f t="shared" si="20"/>
        <v>-0.31946463958455407</v>
      </c>
      <c r="R68" s="7">
        <f t="shared" si="21"/>
        <v>-0.43555794470403231</v>
      </c>
      <c r="S68" s="7">
        <f t="shared" si="22"/>
        <v>-0.98135673764000164</v>
      </c>
      <c r="T68" s="7">
        <f t="shared" si="23"/>
        <v>0.45525107519183194</v>
      </c>
      <c r="U68" s="7">
        <f t="shared" si="24"/>
        <v>-0.32028206168418905</v>
      </c>
    </row>
    <row r="69" spans="1:21" x14ac:dyDescent="0.25">
      <c r="A69" s="1" t="s">
        <v>1653</v>
      </c>
      <c r="B69" s="1" t="s">
        <v>36</v>
      </c>
      <c r="C69" s="1">
        <v>21</v>
      </c>
      <c r="D69" s="1">
        <v>19</v>
      </c>
      <c r="E69" s="1">
        <v>8</v>
      </c>
      <c r="F69" s="1">
        <v>11</v>
      </c>
      <c r="G69" s="1">
        <v>59</v>
      </c>
      <c r="H69" s="7">
        <v>1.0500305245868344</v>
      </c>
      <c r="I69" s="7">
        <f t="shared" si="25"/>
        <v>22.694936708860759</v>
      </c>
      <c r="J69" s="7">
        <f t="shared" si="13"/>
        <v>5.3055534129377486</v>
      </c>
      <c r="K69" s="7">
        <f t="shared" si="14"/>
        <v>22.140506329113926</v>
      </c>
      <c r="L69" s="7">
        <f t="shared" si="15"/>
        <v>4.9144008395218908</v>
      </c>
      <c r="M69" s="7">
        <f t="shared" si="16"/>
        <v>10.069620253164556</v>
      </c>
      <c r="N69" s="7">
        <f t="shared" si="17"/>
        <v>2.1089377326145904</v>
      </c>
      <c r="O69" s="7">
        <f t="shared" si="18"/>
        <v>10.958227848101266</v>
      </c>
      <c r="P69" s="7">
        <f t="shared" si="19"/>
        <v>2.2883463843764797</v>
      </c>
      <c r="Q69" s="7">
        <f t="shared" si="20"/>
        <v>-0.31946463958455407</v>
      </c>
      <c r="R69" s="7">
        <f t="shared" si="21"/>
        <v>-0.63904154985848838</v>
      </c>
      <c r="S69" s="7">
        <f t="shared" si="22"/>
        <v>-0.98135673764000164</v>
      </c>
      <c r="T69" s="7">
        <f t="shared" si="23"/>
        <v>1.8254295846087756E-2</v>
      </c>
      <c r="U69" s="7">
        <f t="shared" si="24"/>
        <v>-0.48040215780923906</v>
      </c>
    </row>
    <row r="70" spans="1:21" x14ac:dyDescent="0.25">
      <c r="A70" s="1" t="s">
        <v>1653</v>
      </c>
      <c r="B70" s="1" t="s">
        <v>36</v>
      </c>
      <c r="C70" s="1">
        <v>23</v>
      </c>
      <c r="D70" s="1">
        <v>23</v>
      </c>
      <c r="E70" s="1">
        <v>10</v>
      </c>
      <c r="F70" s="1">
        <v>11</v>
      </c>
      <c r="G70" s="1">
        <v>67</v>
      </c>
      <c r="H70" s="7">
        <v>1.6756169931378437</v>
      </c>
      <c r="I70" s="7">
        <f t="shared" si="25"/>
        <v>22.694936708860759</v>
      </c>
      <c r="J70" s="7">
        <f t="shared" si="13"/>
        <v>5.3055534129377486</v>
      </c>
      <c r="K70" s="7">
        <f t="shared" si="14"/>
        <v>22.140506329113926</v>
      </c>
      <c r="L70" s="7">
        <f t="shared" si="15"/>
        <v>4.9144008395218908</v>
      </c>
      <c r="M70" s="7">
        <f t="shared" si="16"/>
        <v>10.069620253164556</v>
      </c>
      <c r="N70" s="7">
        <f t="shared" si="17"/>
        <v>2.1089377326145904</v>
      </c>
      <c r="O70" s="7">
        <f t="shared" si="18"/>
        <v>10.958227848101266</v>
      </c>
      <c r="P70" s="7">
        <f t="shared" si="19"/>
        <v>2.2883463843764797</v>
      </c>
      <c r="Q70" s="7">
        <f t="shared" si="20"/>
        <v>5.7498863435308259E-2</v>
      </c>
      <c r="R70" s="7">
        <f t="shared" si="21"/>
        <v>0.17489287075933599</v>
      </c>
      <c r="S70" s="7">
        <f t="shared" si="22"/>
        <v>-3.3012000348745997E-2</v>
      </c>
      <c r="T70" s="7">
        <f t="shared" si="23"/>
        <v>1.8254295846087756E-2</v>
      </c>
      <c r="U70" s="7">
        <f t="shared" si="24"/>
        <v>5.4408507422996508E-2</v>
      </c>
    </row>
    <row r="71" spans="1:21" x14ac:dyDescent="0.25">
      <c r="A71" s="1" t="s">
        <v>1653</v>
      </c>
      <c r="B71" s="1" t="s">
        <v>36</v>
      </c>
      <c r="C71" s="1">
        <v>22</v>
      </c>
      <c r="D71" s="1">
        <v>20</v>
      </c>
      <c r="E71" s="1">
        <v>11</v>
      </c>
      <c r="F71" s="1">
        <v>12</v>
      </c>
      <c r="G71" s="1">
        <v>65</v>
      </c>
      <c r="H71" s="7">
        <v>1.2909944487358054</v>
      </c>
      <c r="I71" s="7">
        <f t="shared" si="25"/>
        <v>22.694936708860759</v>
      </c>
      <c r="J71" s="7">
        <f t="shared" si="13"/>
        <v>5.3055534129377486</v>
      </c>
      <c r="K71" s="7">
        <f t="shared" si="14"/>
        <v>22.140506329113926</v>
      </c>
      <c r="L71" s="7">
        <f t="shared" si="15"/>
        <v>4.9144008395218908</v>
      </c>
      <c r="M71" s="7">
        <f t="shared" si="16"/>
        <v>10.069620253164556</v>
      </c>
      <c r="N71" s="7">
        <f t="shared" si="17"/>
        <v>2.1089377326145904</v>
      </c>
      <c r="O71" s="7">
        <f t="shared" si="18"/>
        <v>10.958227848101266</v>
      </c>
      <c r="P71" s="7">
        <f t="shared" si="19"/>
        <v>2.2883463843764797</v>
      </c>
      <c r="Q71" s="7">
        <f t="shared" si="20"/>
        <v>-0.13098288807462291</v>
      </c>
      <c r="R71" s="7">
        <f t="shared" si="21"/>
        <v>-0.43555794470403231</v>
      </c>
      <c r="S71" s="7">
        <f t="shared" si="22"/>
        <v>0.44116036829688182</v>
      </c>
      <c r="T71" s="7">
        <f t="shared" si="23"/>
        <v>0.45525107519183194</v>
      </c>
      <c r="U71" s="7">
        <f t="shared" si="24"/>
        <v>8.2467652677514644E-2</v>
      </c>
    </row>
    <row r="72" spans="1:21" x14ac:dyDescent="0.25">
      <c r="A72" s="1" t="s">
        <v>1653</v>
      </c>
      <c r="B72" s="1" t="s">
        <v>36</v>
      </c>
      <c r="C72" s="1">
        <v>23</v>
      </c>
      <c r="D72" s="1">
        <v>24</v>
      </c>
      <c r="E72" s="1">
        <v>9</v>
      </c>
      <c r="F72" s="1">
        <v>12</v>
      </c>
      <c r="G72" s="1">
        <v>68</v>
      </c>
      <c r="H72" s="7">
        <v>1.3634420996046586</v>
      </c>
      <c r="I72" s="7">
        <f t="shared" si="25"/>
        <v>22.694936708860759</v>
      </c>
      <c r="J72" s="7">
        <f t="shared" si="13"/>
        <v>5.3055534129377486</v>
      </c>
      <c r="K72" s="7">
        <f t="shared" si="14"/>
        <v>22.140506329113926</v>
      </c>
      <c r="L72" s="7">
        <f t="shared" si="15"/>
        <v>4.9144008395218908</v>
      </c>
      <c r="M72" s="7">
        <f t="shared" si="16"/>
        <v>10.069620253164556</v>
      </c>
      <c r="N72" s="7">
        <f t="shared" si="17"/>
        <v>2.1089377326145904</v>
      </c>
      <c r="O72" s="7">
        <f t="shared" si="18"/>
        <v>10.958227848101266</v>
      </c>
      <c r="P72" s="7">
        <f t="shared" si="19"/>
        <v>2.2883463843764797</v>
      </c>
      <c r="Q72" s="7">
        <f t="shared" si="20"/>
        <v>5.7498863435308259E-2</v>
      </c>
      <c r="R72" s="7">
        <f t="shared" si="21"/>
        <v>0.37837647591379209</v>
      </c>
      <c r="S72" s="7">
        <f t="shared" si="22"/>
        <v>-0.5071843689943738</v>
      </c>
      <c r="T72" s="7">
        <f t="shared" si="23"/>
        <v>0.45525107519183194</v>
      </c>
      <c r="U72" s="7">
        <f t="shared" si="24"/>
        <v>9.5985511386639619E-2</v>
      </c>
    </row>
    <row r="73" spans="1:21" x14ac:dyDescent="0.25">
      <c r="A73" s="1" t="s">
        <v>1653</v>
      </c>
      <c r="B73" s="1" t="s">
        <v>36</v>
      </c>
      <c r="C73" s="1">
        <v>24</v>
      </c>
      <c r="D73" s="1">
        <v>20</v>
      </c>
      <c r="E73" s="1">
        <v>9</v>
      </c>
      <c r="F73" s="1">
        <v>9</v>
      </c>
      <c r="G73" s="1">
        <v>62</v>
      </c>
      <c r="H73" s="7">
        <v>1.5358952955766085</v>
      </c>
      <c r="I73" s="7">
        <f t="shared" si="25"/>
        <v>22.694936708860759</v>
      </c>
      <c r="J73" s="7">
        <f t="shared" si="13"/>
        <v>5.3055534129377486</v>
      </c>
      <c r="K73" s="7">
        <f t="shared" si="14"/>
        <v>22.140506329113926</v>
      </c>
      <c r="L73" s="7">
        <f t="shared" si="15"/>
        <v>4.9144008395218908</v>
      </c>
      <c r="M73" s="7">
        <f t="shared" si="16"/>
        <v>10.069620253164556</v>
      </c>
      <c r="N73" s="7">
        <f t="shared" si="17"/>
        <v>2.1089377326145904</v>
      </c>
      <c r="O73" s="7">
        <f t="shared" si="18"/>
        <v>10.958227848101266</v>
      </c>
      <c r="P73" s="7">
        <f t="shared" si="19"/>
        <v>2.2883463843764797</v>
      </c>
      <c r="Q73" s="7">
        <f t="shared" si="20"/>
        <v>0.24598061494523943</v>
      </c>
      <c r="R73" s="7">
        <f t="shared" si="21"/>
        <v>-0.43555794470403231</v>
      </c>
      <c r="S73" s="7">
        <f t="shared" si="22"/>
        <v>-0.5071843689943738</v>
      </c>
      <c r="T73" s="7">
        <f t="shared" si="23"/>
        <v>-0.85573926284540058</v>
      </c>
      <c r="U73" s="7">
        <f t="shared" si="24"/>
        <v>-0.3881252403996418</v>
      </c>
    </row>
    <row r="74" spans="1:21" x14ac:dyDescent="0.25">
      <c r="A74" s="1" t="s">
        <v>1653</v>
      </c>
      <c r="B74" s="1" t="s">
        <v>36</v>
      </c>
      <c r="C74" s="1">
        <v>24</v>
      </c>
      <c r="D74" s="1">
        <v>24</v>
      </c>
      <c r="E74" s="1">
        <v>11</v>
      </c>
      <c r="F74" s="1">
        <v>14</v>
      </c>
      <c r="G74" s="1">
        <v>73</v>
      </c>
      <c r="H74" s="7">
        <v>1.3252962900462129</v>
      </c>
      <c r="I74" s="7">
        <f t="shared" si="25"/>
        <v>22.694936708860759</v>
      </c>
      <c r="J74" s="7">
        <f t="shared" si="13"/>
        <v>5.3055534129377486</v>
      </c>
      <c r="K74" s="7">
        <f t="shared" si="14"/>
        <v>22.140506329113926</v>
      </c>
      <c r="L74" s="7">
        <f t="shared" si="15"/>
        <v>4.9144008395218908</v>
      </c>
      <c r="M74" s="7">
        <f t="shared" si="16"/>
        <v>10.069620253164556</v>
      </c>
      <c r="N74" s="7">
        <f t="shared" si="17"/>
        <v>2.1089377326145904</v>
      </c>
      <c r="O74" s="7">
        <f t="shared" si="18"/>
        <v>10.958227848101266</v>
      </c>
      <c r="P74" s="7">
        <f t="shared" si="19"/>
        <v>2.2883463843764797</v>
      </c>
      <c r="Q74" s="7">
        <f t="shared" si="20"/>
        <v>0.24598061494523943</v>
      </c>
      <c r="R74" s="7">
        <f t="shared" si="21"/>
        <v>0.37837647591379209</v>
      </c>
      <c r="S74" s="7">
        <f t="shared" si="22"/>
        <v>0.44116036829688182</v>
      </c>
      <c r="T74" s="7">
        <f t="shared" si="23"/>
        <v>1.3292446338833204</v>
      </c>
      <c r="U74" s="7">
        <f t="shared" si="24"/>
        <v>0.59869052325980843</v>
      </c>
    </row>
    <row r="75" spans="1:21" x14ac:dyDescent="0.25">
      <c r="A75" s="1" t="s">
        <v>1653</v>
      </c>
      <c r="B75" s="1" t="s">
        <v>36</v>
      </c>
      <c r="C75" s="1">
        <v>27</v>
      </c>
      <c r="D75" s="1">
        <v>23</v>
      </c>
      <c r="E75" s="1">
        <v>10</v>
      </c>
      <c r="F75" s="1">
        <v>11</v>
      </c>
      <c r="G75" s="1">
        <v>71</v>
      </c>
      <c r="H75" s="7">
        <v>1.713446070320696</v>
      </c>
      <c r="I75" s="7">
        <f t="shared" si="25"/>
        <v>22.694936708860759</v>
      </c>
      <c r="J75" s="7">
        <f t="shared" si="13"/>
        <v>5.3055534129377486</v>
      </c>
      <c r="K75" s="7">
        <f t="shared" si="14"/>
        <v>22.140506329113926</v>
      </c>
      <c r="L75" s="7">
        <f t="shared" si="15"/>
        <v>4.9144008395218908</v>
      </c>
      <c r="M75" s="7">
        <f t="shared" si="16"/>
        <v>10.069620253164556</v>
      </c>
      <c r="N75" s="7">
        <f t="shared" si="17"/>
        <v>2.1089377326145904</v>
      </c>
      <c r="O75" s="7">
        <f t="shared" si="18"/>
        <v>10.958227848101266</v>
      </c>
      <c r="P75" s="7">
        <f t="shared" si="19"/>
        <v>2.2883463843764797</v>
      </c>
      <c r="Q75" s="7">
        <f t="shared" si="20"/>
        <v>0.81142586947503292</v>
      </c>
      <c r="R75" s="7">
        <f t="shared" si="21"/>
        <v>0.17489287075933599</v>
      </c>
      <c r="S75" s="7">
        <f t="shared" si="22"/>
        <v>-3.3012000348745997E-2</v>
      </c>
      <c r="T75" s="7">
        <f t="shared" si="23"/>
        <v>1.8254295846087756E-2</v>
      </c>
      <c r="U75" s="7">
        <f t="shared" si="24"/>
        <v>0.24289025893292768</v>
      </c>
    </row>
    <row r="76" spans="1:21" x14ac:dyDescent="0.25">
      <c r="A76" s="1" t="s">
        <v>1653</v>
      </c>
      <c r="B76" s="1" t="s">
        <v>36</v>
      </c>
      <c r="C76" s="1">
        <v>23</v>
      </c>
      <c r="D76" s="1">
        <v>23</v>
      </c>
      <c r="E76" s="1">
        <v>8</v>
      </c>
      <c r="F76" s="1">
        <v>11</v>
      </c>
      <c r="G76" s="1">
        <v>65</v>
      </c>
      <c r="H76" s="7">
        <v>1.5811388300841898</v>
      </c>
      <c r="I76" s="7">
        <f t="shared" si="25"/>
        <v>22.694936708860759</v>
      </c>
      <c r="J76" s="7">
        <f t="shared" si="13"/>
        <v>5.3055534129377486</v>
      </c>
      <c r="K76" s="7">
        <f t="shared" si="14"/>
        <v>22.140506329113926</v>
      </c>
      <c r="L76" s="7">
        <f t="shared" si="15"/>
        <v>4.9144008395218908</v>
      </c>
      <c r="M76" s="7">
        <f t="shared" si="16"/>
        <v>10.069620253164556</v>
      </c>
      <c r="N76" s="7">
        <f t="shared" si="17"/>
        <v>2.1089377326145904</v>
      </c>
      <c r="O76" s="7">
        <f t="shared" si="18"/>
        <v>10.958227848101266</v>
      </c>
      <c r="P76" s="7">
        <f t="shared" si="19"/>
        <v>2.2883463843764797</v>
      </c>
      <c r="Q76" s="7">
        <f t="shared" si="20"/>
        <v>5.7498863435308259E-2</v>
      </c>
      <c r="R76" s="7">
        <f t="shared" si="21"/>
        <v>0.17489287075933599</v>
      </c>
      <c r="S76" s="7">
        <f t="shared" si="22"/>
        <v>-0.98135673764000164</v>
      </c>
      <c r="T76" s="7">
        <f t="shared" si="23"/>
        <v>1.8254295846087756E-2</v>
      </c>
      <c r="U76" s="7">
        <f t="shared" si="24"/>
        <v>-0.18267767689981743</v>
      </c>
    </row>
    <row r="77" spans="1:21" x14ac:dyDescent="0.25">
      <c r="A77" s="1" t="s">
        <v>1655</v>
      </c>
      <c r="B77" s="1" t="s">
        <v>36</v>
      </c>
      <c r="C77" s="1">
        <v>21</v>
      </c>
      <c r="D77" s="1">
        <v>23</v>
      </c>
      <c r="E77" s="1">
        <v>12</v>
      </c>
      <c r="F77" s="1">
        <v>10</v>
      </c>
      <c r="G77" s="1">
        <v>66</v>
      </c>
      <c r="H77" s="7">
        <v>1.3821202589704018</v>
      </c>
      <c r="I77" s="7">
        <f t="shared" si="25"/>
        <v>22.694936708860759</v>
      </c>
      <c r="J77" s="7">
        <f t="shared" si="13"/>
        <v>5.3055534129377486</v>
      </c>
      <c r="K77" s="7">
        <f t="shared" si="14"/>
        <v>22.140506329113926</v>
      </c>
      <c r="L77" s="7">
        <f t="shared" si="15"/>
        <v>4.9144008395218908</v>
      </c>
      <c r="M77" s="7">
        <f t="shared" si="16"/>
        <v>10.069620253164556</v>
      </c>
      <c r="N77" s="7">
        <f t="shared" si="17"/>
        <v>2.1089377326145904</v>
      </c>
      <c r="O77" s="7">
        <f t="shared" si="18"/>
        <v>10.958227848101266</v>
      </c>
      <c r="P77" s="7">
        <f t="shared" si="19"/>
        <v>2.2883463843764797</v>
      </c>
      <c r="Q77" s="7">
        <f t="shared" si="20"/>
        <v>-0.31946463958455407</v>
      </c>
      <c r="R77" s="7">
        <f t="shared" si="21"/>
        <v>0.17489287075933599</v>
      </c>
      <c r="S77" s="7">
        <f t="shared" si="22"/>
        <v>0.91533273694250961</v>
      </c>
      <c r="T77" s="7">
        <f t="shared" si="23"/>
        <v>-0.41874248349965643</v>
      </c>
      <c r="U77" s="7">
        <f t="shared" si="24"/>
        <v>8.8004621154408783E-2</v>
      </c>
    </row>
    <row r="78" spans="1:21" x14ac:dyDescent="0.25">
      <c r="A78" s="1" t="s">
        <v>1655</v>
      </c>
      <c r="B78" s="1" t="s">
        <v>36</v>
      </c>
      <c r="C78" s="1">
        <v>16</v>
      </c>
      <c r="D78" s="1">
        <v>19</v>
      </c>
      <c r="E78" s="1">
        <v>10</v>
      </c>
      <c r="F78" s="1">
        <v>8</v>
      </c>
      <c r="G78" s="1">
        <v>53</v>
      </c>
      <c r="H78" s="7">
        <v>1.1875421719907087</v>
      </c>
      <c r="I78" s="7">
        <f t="shared" si="25"/>
        <v>22.694936708860759</v>
      </c>
      <c r="J78" s="7">
        <f t="shared" si="13"/>
        <v>5.3055534129377486</v>
      </c>
      <c r="K78" s="7">
        <f t="shared" si="14"/>
        <v>22.140506329113926</v>
      </c>
      <c r="L78" s="7">
        <f t="shared" si="15"/>
        <v>4.9144008395218908</v>
      </c>
      <c r="M78" s="7">
        <f t="shared" si="16"/>
        <v>10.069620253164556</v>
      </c>
      <c r="N78" s="7">
        <f t="shared" si="17"/>
        <v>2.1089377326145904</v>
      </c>
      <c r="O78" s="7">
        <f t="shared" si="18"/>
        <v>10.958227848101266</v>
      </c>
      <c r="P78" s="7">
        <f t="shared" si="19"/>
        <v>2.2883463843764797</v>
      </c>
      <c r="Q78" s="7">
        <f t="shared" si="20"/>
        <v>-1.26187339713421</v>
      </c>
      <c r="R78" s="7">
        <f t="shared" si="21"/>
        <v>-0.63904154985848838</v>
      </c>
      <c r="S78" s="7">
        <f t="shared" si="22"/>
        <v>-3.3012000348745997E-2</v>
      </c>
      <c r="T78" s="7">
        <f t="shared" si="23"/>
        <v>-1.2927360421911447</v>
      </c>
      <c r="U78" s="7">
        <f t="shared" si="24"/>
        <v>-0.80666574738314722</v>
      </c>
    </row>
    <row r="79" spans="1:21" x14ac:dyDescent="0.25">
      <c r="A79" s="1" t="s">
        <v>1655</v>
      </c>
      <c r="B79" s="1" t="s">
        <v>36</v>
      </c>
      <c r="C79" s="1">
        <v>24</v>
      </c>
      <c r="D79" s="1">
        <v>24</v>
      </c>
      <c r="E79" s="1">
        <v>11</v>
      </c>
      <c r="F79" s="1">
        <v>11</v>
      </c>
      <c r="G79" s="1">
        <v>70</v>
      </c>
      <c r="H79" s="7">
        <v>1.5566235649883122</v>
      </c>
      <c r="I79" s="7">
        <f t="shared" si="25"/>
        <v>22.694936708860759</v>
      </c>
      <c r="J79" s="7">
        <f t="shared" si="13"/>
        <v>5.3055534129377486</v>
      </c>
      <c r="K79" s="7">
        <f t="shared" si="14"/>
        <v>22.140506329113926</v>
      </c>
      <c r="L79" s="7">
        <f t="shared" si="15"/>
        <v>4.9144008395218908</v>
      </c>
      <c r="M79" s="7">
        <f t="shared" si="16"/>
        <v>10.069620253164556</v>
      </c>
      <c r="N79" s="7">
        <f t="shared" si="17"/>
        <v>2.1089377326145904</v>
      </c>
      <c r="O79" s="7">
        <f t="shared" si="18"/>
        <v>10.958227848101266</v>
      </c>
      <c r="P79" s="7">
        <f t="shared" si="19"/>
        <v>2.2883463843764797</v>
      </c>
      <c r="Q79" s="7">
        <f t="shared" si="20"/>
        <v>0.24598061494523943</v>
      </c>
      <c r="R79" s="7">
        <f t="shared" si="21"/>
        <v>0.37837647591379209</v>
      </c>
      <c r="S79" s="7">
        <f t="shared" si="22"/>
        <v>0.44116036829688182</v>
      </c>
      <c r="T79" s="7">
        <f t="shared" si="23"/>
        <v>1.8254295846087756E-2</v>
      </c>
      <c r="U79" s="7">
        <f t="shared" si="24"/>
        <v>0.2709429387505003</v>
      </c>
    </row>
    <row r="80" spans="1:21" x14ac:dyDescent="0.25">
      <c r="A80" s="1" t="s">
        <v>1655</v>
      </c>
      <c r="B80" s="1" t="s">
        <v>36</v>
      </c>
      <c r="C80" s="1">
        <v>25</v>
      </c>
      <c r="D80" s="1">
        <v>23</v>
      </c>
      <c r="E80" s="1">
        <v>11</v>
      </c>
      <c r="F80" s="1">
        <v>11</v>
      </c>
      <c r="G80" s="1">
        <v>70</v>
      </c>
      <c r="H80" s="7">
        <v>1.6092680291808414</v>
      </c>
      <c r="I80" s="7">
        <f t="shared" si="25"/>
        <v>22.694936708860759</v>
      </c>
      <c r="J80" s="7">
        <f t="shared" si="13"/>
        <v>5.3055534129377486</v>
      </c>
      <c r="K80" s="7">
        <f t="shared" si="14"/>
        <v>22.140506329113926</v>
      </c>
      <c r="L80" s="7">
        <f t="shared" si="15"/>
        <v>4.9144008395218908</v>
      </c>
      <c r="M80" s="7">
        <f t="shared" si="16"/>
        <v>10.069620253164556</v>
      </c>
      <c r="N80" s="7">
        <f t="shared" si="17"/>
        <v>2.1089377326145904</v>
      </c>
      <c r="O80" s="7">
        <f t="shared" si="18"/>
        <v>10.958227848101266</v>
      </c>
      <c r="P80" s="7">
        <f t="shared" si="19"/>
        <v>2.2883463843764797</v>
      </c>
      <c r="Q80" s="7">
        <f t="shared" si="20"/>
        <v>0.43446236645517061</v>
      </c>
      <c r="R80" s="7">
        <f t="shared" si="21"/>
        <v>0.17489287075933599</v>
      </c>
      <c r="S80" s="7">
        <f t="shared" si="22"/>
        <v>0.44116036829688182</v>
      </c>
      <c r="T80" s="7">
        <f t="shared" si="23"/>
        <v>1.8254295846087756E-2</v>
      </c>
      <c r="U80" s="7">
        <f t="shared" si="24"/>
        <v>0.26719247533936907</v>
      </c>
    </row>
    <row r="81" spans="1:21" x14ac:dyDescent="0.25">
      <c r="A81" s="1" t="s">
        <v>1655</v>
      </c>
      <c r="B81" s="1" t="s">
        <v>36</v>
      </c>
      <c r="C81" s="1">
        <v>25</v>
      </c>
      <c r="D81" s="1">
        <v>26</v>
      </c>
      <c r="E81" s="1">
        <v>12</v>
      </c>
      <c r="F81" s="1">
        <v>13</v>
      </c>
      <c r="G81" s="1">
        <v>76</v>
      </c>
      <c r="H81" s="7">
        <v>1.5730095277394136</v>
      </c>
      <c r="I81" s="7">
        <f t="shared" si="25"/>
        <v>22.694936708860759</v>
      </c>
      <c r="J81" s="7">
        <f t="shared" si="13"/>
        <v>5.3055534129377486</v>
      </c>
      <c r="K81" s="7">
        <f t="shared" si="14"/>
        <v>22.140506329113926</v>
      </c>
      <c r="L81" s="7">
        <f t="shared" si="15"/>
        <v>4.9144008395218908</v>
      </c>
      <c r="M81" s="7">
        <f t="shared" si="16"/>
        <v>10.069620253164556</v>
      </c>
      <c r="N81" s="7">
        <f t="shared" si="17"/>
        <v>2.1089377326145904</v>
      </c>
      <c r="O81" s="7">
        <f t="shared" si="18"/>
        <v>10.958227848101266</v>
      </c>
      <c r="P81" s="7">
        <f t="shared" si="19"/>
        <v>2.2883463843764797</v>
      </c>
      <c r="Q81" s="7">
        <f t="shared" si="20"/>
        <v>0.43446236645517061</v>
      </c>
      <c r="R81" s="7">
        <f t="shared" si="21"/>
        <v>0.78534368622270434</v>
      </c>
      <c r="S81" s="7">
        <f t="shared" si="22"/>
        <v>0.91533273694250961</v>
      </c>
      <c r="T81" s="7">
        <f t="shared" si="23"/>
        <v>0.89224785453757616</v>
      </c>
      <c r="U81" s="7">
        <f t="shared" si="24"/>
        <v>0.75684666103949017</v>
      </c>
    </row>
    <row r="82" spans="1:21" x14ac:dyDescent="0.25">
      <c r="A82" s="1" t="s">
        <v>1655</v>
      </c>
      <c r="B82" s="1" t="s">
        <v>36</v>
      </c>
      <c r="C82" s="1">
        <v>23</v>
      </c>
      <c r="D82" s="1">
        <v>25</v>
      </c>
      <c r="E82" s="1">
        <v>12</v>
      </c>
      <c r="F82" s="1">
        <v>11</v>
      </c>
      <c r="G82" s="1">
        <v>71</v>
      </c>
      <c r="H82" s="7">
        <v>1.5063966175050878</v>
      </c>
      <c r="I82" s="7">
        <f t="shared" si="25"/>
        <v>22.694936708860759</v>
      </c>
      <c r="J82" s="7">
        <f t="shared" si="13"/>
        <v>5.3055534129377486</v>
      </c>
      <c r="K82" s="7">
        <f t="shared" si="14"/>
        <v>22.140506329113926</v>
      </c>
      <c r="L82" s="7">
        <f t="shared" si="15"/>
        <v>4.9144008395218908</v>
      </c>
      <c r="M82" s="7">
        <f t="shared" si="16"/>
        <v>10.069620253164556</v>
      </c>
      <c r="N82" s="7">
        <f t="shared" si="17"/>
        <v>2.1089377326145904</v>
      </c>
      <c r="O82" s="7">
        <f t="shared" si="18"/>
        <v>10.958227848101266</v>
      </c>
      <c r="P82" s="7">
        <f t="shared" si="19"/>
        <v>2.2883463843764797</v>
      </c>
      <c r="Q82" s="7">
        <f t="shared" si="20"/>
        <v>5.7498863435308259E-2</v>
      </c>
      <c r="R82" s="7">
        <f t="shared" si="21"/>
        <v>0.58186008106824816</v>
      </c>
      <c r="S82" s="7">
        <f t="shared" si="22"/>
        <v>0.91533273694250961</v>
      </c>
      <c r="T82" s="7">
        <f t="shared" si="23"/>
        <v>1.8254295846087756E-2</v>
      </c>
      <c r="U82" s="7">
        <f t="shared" si="24"/>
        <v>0.39323649432303848</v>
      </c>
    </row>
    <row r="83" spans="1:21" x14ac:dyDescent="0.25">
      <c r="A83" s="1" t="s">
        <v>1655</v>
      </c>
      <c r="B83" s="1" t="s">
        <v>36</v>
      </c>
      <c r="C83" s="1">
        <v>15</v>
      </c>
      <c r="D83" s="1">
        <v>17</v>
      </c>
      <c r="E83" s="1">
        <v>10</v>
      </c>
      <c r="F83" s="1">
        <v>12</v>
      </c>
      <c r="G83" s="1">
        <v>54</v>
      </c>
      <c r="H83" s="7">
        <v>0.89871703427291716</v>
      </c>
      <c r="I83" s="7">
        <f t="shared" si="25"/>
        <v>22.694936708860759</v>
      </c>
      <c r="J83" s="7">
        <f t="shared" si="13"/>
        <v>5.3055534129377486</v>
      </c>
      <c r="K83" s="7">
        <f t="shared" si="14"/>
        <v>22.140506329113926</v>
      </c>
      <c r="L83" s="7">
        <f t="shared" si="15"/>
        <v>4.9144008395218908</v>
      </c>
      <c r="M83" s="7">
        <f t="shared" si="16"/>
        <v>10.069620253164556</v>
      </c>
      <c r="N83" s="7">
        <f t="shared" si="17"/>
        <v>2.1089377326145904</v>
      </c>
      <c r="O83" s="7">
        <f t="shared" si="18"/>
        <v>10.958227848101266</v>
      </c>
      <c r="P83" s="7">
        <f t="shared" si="19"/>
        <v>2.2883463843764797</v>
      </c>
      <c r="Q83" s="7">
        <f t="shared" si="20"/>
        <v>-1.4503551486441411</v>
      </c>
      <c r="R83" s="7">
        <f t="shared" si="21"/>
        <v>-1.0460087601674006</v>
      </c>
      <c r="S83" s="7">
        <f t="shared" si="22"/>
        <v>-3.3012000348745997E-2</v>
      </c>
      <c r="T83" s="7">
        <f t="shared" si="23"/>
        <v>0.45525107519183194</v>
      </c>
      <c r="U83" s="7">
        <f t="shared" si="24"/>
        <v>-0.51853120849211398</v>
      </c>
    </row>
    <row r="84" spans="1:21" x14ac:dyDescent="0.25">
      <c r="A84" s="1" t="s">
        <v>1655</v>
      </c>
      <c r="B84" s="1" t="s">
        <v>36</v>
      </c>
      <c r="C84" s="1">
        <v>26</v>
      </c>
      <c r="D84" s="1">
        <v>22</v>
      </c>
      <c r="E84" s="1">
        <v>11</v>
      </c>
      <c r="F84" s="1">
        <v>10</v>
      </c>
      <c r="G84" s="1">
        <v>69</v>
      </c>
      <c r="H84" s="7">
        <v>1.7021856236720769</v>
      </c>
      <c r="I84" s="7">
        <f t="shared" si="25"/>
        <v>22.694936708860759</v>
      </c>
      <c r="J84" s="7">
        <f t="shared" si="13"/>
        <v>5.3055534129377486</v>
      </c>
      <c r="K84" s="7">
        <f t="shared" si="14"/>
        <v>22.140506329113926</v>
      </c>
      <c r="L84" s="7">
        <f t="shared" si="15"/>
        <v>4.9144008395218908</v>
      </c>
      <c r="M84" s="7">
        <f t="shared" si="16"/>
        <v>10.069620253164556</v>
      </c>
      <c r="N84" s="7">
        <f t="shared" si="17"/>
        <v>2.1089377326145904</v>
      </c>
      <c r="O84" s="7">
        <f t="shared" si="18"/>
        <v>10.958227848101266</v>
      </c>
      <c r="P84" s="7">
        <f t="shared" si="19"/>
        <v>2.2883463843764797</v>
      </c>
      <c r="Q84" s="7">
        <f t="shared" si="20"/>
        <v>0.62294411796510174</v>
      </c>
      <c r="R84" s="7">
        <f t="shared" si="21"/>
        <v>-2.8590734395120113E-2</v>
      </c>
      <c r="S84" s="7">
        <f t="shared" si="22"/>
        <v>0.44116036829688182</v>
      </c>
      <c r="T84" s="7">
        <f t="shared" si="23"/>
        <v>-0.41874248349965643</v>
      </c>
      <c r="U84" s="7">
        <f t="shared" si="24"/>
        <v>0.15419281709180171</v>
      </c>
    </row>
    <row r="85" spans="1:21" x14ac:dyDescent="0.25">
      <c r="A85" s="1" t="s">
        <v>1655</v>
      </c>
      <c r="B85" s="1" t="s">
        <v>36</v>
      </c>
      <c r="C85" s="1">
        <v>19</v>
      </c>
      <c r="D85" s="1">
        <v>19</v>
      </c>
      <c r="E85" s="1">
        <v>10</v>
      </c>
      <c r="F85" s="1">
        <v>11</v>
      </c>
      <c r="G85" s="1">
        <v>59</v>
      </c>
      <c r="H85" s="7">
        <v>1.1266014242982163</v>
      </c>
      <c r="I85" s="7">
        <f t="shared" si="25"/>
        <v>22.694936708860759</v>
      </c>
      <c r="J85" s="7">
        <f t="shared" si="13"/>
        <v>5.3055534129377486</v>
      </c>
      <c r="K85" s="7">
        <f t="shared" si="14"/>
        <v>22.140506329113926</v>
      </c>
      <c r="L85" s="7">
        <f t="shared" si="15"/>
        <v>4.9144008395218908</v>
      </c>
      <c r="M85" s="7">
        <f t="shared" si="16"/>
        <v>10.069620253164556</v>
      </c>
      <c r="N85" s="7">
        <f t="shared" si="17"/>
        <v>2.1089377326145904</v>
      </c>
      <c r="O85" s="7">
        <f t="shared" si="18"/>
        <v>10.958227848101266</v>
      </c>
      <c r="P85" s="7">
        <f t="shared" si="19"/>
        <v>2.2883463843764797</v>
      </c>
      <c r="Q85" s="7">
        <f t="shared" si="20"/>
        <v>-0.69642814260441643</v>
      </c>
      <c r="R85" s="7">
        <f t="shared" si="21"/>
        <v>-0.63904154985848838</v>
      </c>
      <c r="S85" s="7">
        <f t="shared" si="22"/>
        <v>-3.3012000348745997E-2</v>
      </c>
      <c r="T85" s="7">
        <f t="shared" si="23"/>
        <v>1.8254295846087756E-2</v>
      </c>
      <c r="U85" s="7">
        <f t="shared" si="24"/>
        <v>-0.33755684924139073</v>
      </c>
    </row>
    <row r="86" spans="1:21" x14ac:dyDescent="0.25">
      <c r="A86" s="1" t="s">
        <v>1655</v>
      </c>
      <c r="B86" s="1" t="s">
        <v>36</v>
      </c>
      <c r="C86" s="1">
        <v>22</v>
      </c>
      <c r="D86" s="1">
        <v>18</v>
      </c>
      <c r="E86" s="1">
        <v>8</v>
      </c>
      <c r="F86" s="1">
        <v>9</v>
      </c>
      <c r="G86" s="1">
        <v>57</v>
      </c>
      <c r="H86" s="7">
        <v>1.2608503439122307</v>
      </c>
      <c r="I86" s="7">
        <f t="shared" si="25"/>
        <v>22.694936708860759</v>
      </c>
      <c r="J86" s="7">
        <f t="shared" si="13"/>
        <v>5.3055534129377486</v>
      </c>
      <c r="K86" s="7">
        <f t="shared" si="14"/>
        <v>22.140506329113926</v>
      </c>
      <c r="L86" s="7">
        <f t="shared" si="15"/>
        <v>4.9144008395218908</v>
      </c>
      <c r="M86" s="7">
        <f t="shared" si="16"/>
        <v>10.069620253164556</v>
      </c>
      <c r="N86" s="7">
        <f t="shared" si="17"/>
        <v>2.1089377326145904</v>
      </c>
      <c r="O86" s="7">
        <f t="shared" si="18"/>
        <v>10.958227848101266</v>
      </c>
      <c r="P86" s="7">
        <f t="shared" si="19"/>
        <v>2.2883463843764797</v>
      </c>
      <c r="Q86" s="7">
        <f t="shared" si="20"/>
        <v>-0.13098288807462291</v>
      </c>
      <c r="R86" s="7">
        <f t="shared" si="21"/>
        <v>-0.84252515501294456</v>
      </c>
      <c r="S86" s="7">
        <f t="shared" si="22"/>
        <v>-0.98135673764000164</v>
      </c>
      <c r="T86" s="7">
        <f t="shared" si="23"/>
        <v>-0.85573926284540058</v>
      </c>
      <c r="U86" s="7">
        <f t="shared" si="24"/>
        <v>-0.70265101089324244</v>
      </c>
    </row>
    <row r="87" spans="1:21" x14ac:dyDescent="0.25">
      <c r="A87" s="1" t="s">
        <v>1655</v>
      </c>
      <c r="B87" s="1" t="s">
        <v>36</v>
      </c>
      <c r="C87" s="1">
        <v>20</v>
      </c>
      <c r="D87" s="1">
        <v>20</v>
      </c>
      <c r="E87" s="1">
        <v>10</v>
      </c>
      <c r="F87" s="1">
        <v>9</v>
      </c>
      <c r="G87" s="1">
        <v>59</v>
      </c>
      <c r="H87" s="7">
        <v>1.3913653136029502</v>
      </c>
      <c r="I87" s="7">
        <f t="shared" si="25"/>
        <v>22.694936708860759</v>
      </c>
      <c r="J87" s="7">
        <f t="shared" si="13"/>
        <v>5.3055534129377486</v>
      </c>
      <c r="K87" s="7">
        <f t="shared" si="14"/>
        <v>22.140506329113926</v>
      </c>
      <c r="L87" s="7">
        <f t="shared" si="15"/>
        <v>4.9144008395218908</v>
      </c>
      <c r="M87" s="7">
        <f t="shared" si="16"/>
        <v>10.069620253164556</v>
      </c>
      <c r="N87" s="7">
        <f t="shared" si="17"/>
        <v>2.1089377326145904</v>
      </c>
      <c r="O87" s="7">
        <f t="shared" si="18"/>
        <v>10.958227848101266</v>
      </c>
      <c r="P87" s="7">
        <f t="shared" si="19"/>
        <v>2.2883463843764797</v>
      </c>
      <c r="Q87" s="7">
        <f t="shared" si="20"/>
        <v>-0.50794639109448525</v>
      </c>
      <c r="R87" s="7">
        <f t="shared" si="21"/>
        <v>-0.43555794470403231</v>
      </c>
      <c r="S87" s="7">
        <f t="shared" si="22"/>
        <v>-3.3012000348745997E-2</v>
      </c>
      <c r="T87" s="7">
        <f t="shared" si="23"/>
        <v>-0.85573926284540058</v>
      </c>
      <c r="U87" s="7">
        <f t="shared" si="24"/>
        <v>-0.45806389974816603</v>
      </c>
    </row>
    <row r="88" spans="1:21" x14ac:dyDescent="0.25">
      <c r="A88" s="1" t="s">
        <v>1655</v>
      </c>
      <c r="B88" s="1" t="s">
        <v>36</v>
      </c>
      <c r="C88" s="1">
        <v>18</v>
      </c>
      <c r="D88" s="1">
        <v>19</v>
      </c>
      <c r="E88" s="1">
        <v>10</v>
      </c>
      <c r="F88" s="1">
        <v>8</v>
      </c>
      <c r="G88" s="1">
        <v>55</v>
      </c>
      <c r="H88" s="7">
        <v>1.3008872711759818</v>
      </c>
      <c r="I88" s="7">
        <f t="shared" si="25"/>
        <v>22.694936708860759</v>
      </c>
      <c r="J88" s="7">
        <f t="shared" si="13"/>
        <v>5.3055534129377486</v>
      </c>
      <c r="K88" s="7">
        <f t="shared" si="14"/>
        <v>22.140506329113926</v>
      </c>
      <c r="L88" s="7">
        <f t="shared" si="15"/>
        <v>4.9144008395218908</v>
      </c>
      <c r="M88" s="7">
        <f t="shared" si="16"/>
        <v>10.069620253164556</v>
      </c>
      <c r="N88" s="7">
        <f t="shared" si="17"/>
        <v>2.1089377326145904</v>
      </c>
      <c r="O88" s="7">
        <f t="shared" si="18"/>
        <v>10.958227848101266</v>
      </c>
      <c r="P88" s="7">
        <f t="shared" si="19"/>
        <v>2.2883463843764797</v>
      </c>
      <c r="Q88" s="7">
        <f t="shared" si="20"/>
        <v>-0.88490989411434762</v>
      </c>
      <c r="R88" s="7">
        <f t="shared" si="21"/>
        <v>-0.63904154985848838</v>
      </c>
      <c r="S88" s="7">
        <f t="shared" si="22"/>
        <v>-3.3012000348745997E-2</v>
      </c>
      <c r="T88" s="7">
        <f t="shared" si="23"/>
        <v>-1.2927360421911447</v>
      </c>
      <c r="U88" s="7">
        <f t="shared" si="24"/>
        <v>-0.71242487162818169</v>
      </c>
    </row>
    <row r="89" spans="1:21" x14ac:dyDescent="0.25">
      <c r="A89" s="1" t="s">
        <v>1655</v>
      </c>
      <c r="B89" s="1" t="s">
        <v>36</v>
      </c>
      <c r="C89" s="1">
        <v>24</v>
      </c>
      <c r="D89" s="1">
        <v>24</v>
      </c>
      <c r="E89" s="1">
        <v>11</v>
      </c>
      <c r="F89" s="1">
        <v>12</v>
      </c>
      <c r="G89" s="1">
        <v>71</v>
      </c>
      <c r="H89" s="7">
        <v>1.4500221041639683</v>
      </c>
      <c r="I89" s="7">
        <f t="shared" si="25"/>
        <v>22.694936708860759</v>
      </c>
      <c r="J89" s="7">
        <f t="shared" si="13"/>
        <v>5.3055534129377486</v>
      </c>
      <c r="K89" s="7">
        <f t="shared" si="14"/>
        <v>22.140506329113926</v>
      </c>
      <c r="L89" s="7">
        <f t="shared" si="15"/>
        <v>4.9144008395218908</v>
      </c>
      <c r="M89" s="7">
        <f t="shared" si="16"/>
        <v>10.069620253164556</v>
      </c>
      <c r="N89" s="7">
        <f t="shared" si="17"/>
        <v>2.1089377326145904</v>
      </c>
      <c r="O89" s="7">
        <f t="shared" si="18"/>
        <v>10.958227848101266</v>
      </c>
      <c r="P89" s="7">
        <f t="shared" si="19"/>
        <v>2.2883463843764797</v>
      </c>
      <c r="Q89" s="7">
        <f t="shared" si="20"/>
        <v>0.24598061494523943</v>
      </c>
      <c r="R89" s="7">
        <f t="shared" si="21"/>
        <v>0.37837647591379209</v>
      </c>
      <c r="S89" s="7">
        <f t="shared" si="22"/>
        <v>0.44116036829688182</v>
      </c>
      <c r="T89" s="7">
        <f t="shared" si="23"/>
        <v>0.45525107519183194</v>
      </c>
      <c r="U89" s="7">
        <f t="shared" si="24"/>
        <v>0.38019213358693632</v>
      </c>
    </row>
    <row r="90" spans="1:21" x14ac:dyDescent="0.25">
      <c r="A90" s="1" t="s">
        <v>1655</v>
      </c>
      <c r="B90" s="1" t="s">
        <v>36</v>
      </c>
      <c r="C90" s="1">
        <v>24</v>
      </c>
      <c r="D90" s="1">
        <v>24</v>
      </c>
      <c r="E90" s="1">
        <v>11</v>
      </c>
      <c r="F90" s="1">
        <v>10</v>
      </c>
      <c r="G90" s="1">
        <v>69</v>
      </c>
      <c r="H90" s="7">
        <v>1.6525039276108333</v>
      </c>
      <c r="I90" s="7">
        <f t="shared" si="25"/>
        <v>22.694936708860759</v>
      </c>
      <c r="J90" s="7">
        <f t="shared" si="13"/>
        <v>5.3055534129377486</v>
      </c>
      <c r="K90" s="7">
        <f t="shared" si="14"/>
        <v>22.140506329113926</v>
      </c>
      <c r="L90" s="7">
        <f t="shared" si="15"/>
        <v>4.9144008395218908</v>
      </c>
      <c r="M90" s="7">
        <f t="shared" si="16"/>
        <v>10.069620253164556</v>
      </c>
      <c r="N90" s="7">
        <f t="shared" si="17"/>
        <v>2.1089377326145904</v>
      </c>
      <c r="O90" s="7">
        <f t="shared" si="18"/>
        <v>10.958227848101266</v>
      </c>
      <c r="P90" s="7">
        <f t="shared" si="19"/>
        <v>2.2883463843764797</v>
      </c>
      <c r="Q90" s="7">
        <f t="shared" si="20"/>
        <v>0.24598061494523943</v>
      </c>
      <c r="R90" s="7">
        <f t="shared" si="21"/>
        <v>0.37837647591379209</v>
      </c>
      <c r="S90" s="7">
        <f t="shared" si="22"/>
        <v>0.44116036829688182</v>
      </c>
      <c r="T90" s="7">
        <f t="shared" si="23"/>
        <v>-0.41874248349965643</v>
      </c>
      <c r="U90" s="7">
        <f t="shared" si="24"/>
        <v>0.16169374391406421</v>
      </c>
    </row>
    <row r="91" spans="1:21" x14ac:dyDescent="0.25">
      <c r="A91" s="1" t="s">
        <v>1655</v>
      </c>
      <c r="B91" s="1" t="s">
        <v>36</v>
      </c>
      <c r="C91" s="1">
        <v>23</v>
      </c>
      <c r="D91" s="1">
        <v>22</v>
      </c>
      <c r="E91" s="1">
        <v>10</v>
      </c>
      <c r="F91" s="1">
        <v>11</v>
      </c>
      <c r="G91" s="1">
        <v>66</v>
      </c>
      <c r="H91" s="7">
        <v>1.497861723788195</v>
      </c>
      <c r="I91" s="7">
        <f t="shared" si="25"/>
        <v>22.694936708860759</v>
      </c>
      <c r="J91" s="7">
        <f t="shared" si="13"/>
        <v>5.3055534129377486</v>
      </c>
      <c r="K91" s="7">
        <f t="shared" si="14"/>
        <v>22.140506329113926</v>
      </c>
      <c r="L91" s="7">
        <f t="shared" si="15"/>
        <v>4.9144008395218908</v>
      </c>
      <c r="M91" s="7">
        <f t="shared" si="16"/>
        <v>10.069620253164556</v>
      </c>
      <c r="N91" s="7">
        <f t="shared" si="17"/>
        <v>2.1089377326145904</v>
      </c>
      <c r="O91" s="7">
        <f t="shared" si="18"/>
        <v>10.958227848101266</v>
      </c>
      <c r="P91" s="7">
        <f t="shared" si="19"/>
        <v>2.2883463843764797</v>
      </c>
      <c r="Q91" s="7">
        <f t="shared" si="20"/>
        <v>5.7498863435308259E-2</v>
      </c>
      <c r="R91" s="7">
        <f t="shared" si="21"/>
        <v>-2.8590734395120113E-2</v>
      </c>
      <c r="S91" s="7">
        <f t="shared" si="22"/>
        <v>-3.3012000348745997E-2</v>
      </c>
      <c r="T91" s="7">
        <f t="shared" si="23"/>
        <v>1.8254295846087756E-2</v>
      </c>
      <c r="U91" s="7">
        <f t="shared" si="24"/>
        <v>3.5376061343824761E-3</v>
      </c>
    </row>
    <row r="92" spans="1:21" x14ac:dyDescent="0.25">
      <c r="A92" s="1" t="s">
        <v>1655</v>
      </c>
      <c r="B92" s="1" t="s">
        <v>36</v>
      </c>
      <c r="C92" s="1">
        <v>23</v>
      </c>
      <c r="D92" s="1">
        <v>21</v>
      </c>
      <c r="E92" s="1">
        <v>10</v>
      </c>
      <c r="F92" s="1">
        <v>10</v>
      </c>
      <c r="G92" s="1">
        <v>64</v>
      </c>
      <c r="H92" s="7">
        <v>1.4411533842457842</v>
      </c>
      <c r="I92" s="7">
        <f t="shared" si="25"/>
        <v>22.694936708860759</v>
      </c>
      <c r="J92" s="7">
        <f t="shared" si="13"/>
        <v>5.3055534129377486</v>
      </c>
      <c r="K92" s="7">
        <f t="shared" si="14"/>
        <v>22.140506329113926</v>
      </c>
      <c r="L92" s="7">
        <f t="shared" si="15"/>
        <v>4.9144008395218908</v>
      </c>
      <c r="M92" s="7">
        <f t="shared" si="16"/>
        <v>10.069620253164556</v>
      </c>
      <c r="N92" s="7">
        <f t="shared" si="17"/>
        <v>2.1089377326145904</v>
      </c>
      <c r="O92" s="7">
        <f t="shared" si="18"/>
        <v>10.958227848101266</v>
      </c>
      <c r="P92" s="7">
        <f t="shared" si="19"/>
        <v>2.2883463843764797</v>
      </c>
      <c r="Q92" s="7">
        <f t="shared" si="20"/>
        <v>5.7498863435308259E-2</v>
      </c>
      <c r="R92" s="7">
        <f t="shared" si="21"/>
        <v>-0.23207433954957621</v>
      </c>
      <c r="S92" s="7">
        <f t="shared" si="22"/>
        <v>-3.3012000348745997E-2</v>
      </c>
      <c r="T92" s="7">
        <f t="shared" si="23"/>
        <v>-0.41874248349965643</v>
      </c>
      <c r="U92" s="7">
        <f t="shared" si="24"/>
        <v>-0.15658248999066759</v>
      </c>
    </row>
    <row r="93" spans="1:21" x14ac:dyDescent="0.25">
      <c r="A93" s="1" t="s">
        <v>1657</v>
      </c>
      <c r="B93" s="1" t="s">
        <v>36</v>
      </c>
      <c r="C93" s="1">
        <v>12</v>
      </c>
      <c r="D93" s="1">
        <v>15</v>
      </c>
      <c r="E93" s="1">
        <v>9</v>
      </c>
      <c r="F93" s="1">
        <v>9</v>
      </c>
      <c r="G93" s="1">
        <v>45</v>
      </c>
      <c r="H93" s="7">
        <v>1.3301243435223524</v>
      </c>
      <c r="I93" s="7">
        <f t="shared" si="25"/>
        <v>22.694936708860759</v>
      </c>
      <c r="J93" s="7">
        <f t="shared" si="13"/>
        <v>5.3055534129377486</v>
      </c>
      <c r="K93" s="7">
        <f t="shared" si="14"/>
        <v>22.140506329113926</v>
      </c>
      <c r="L93" s="7">
        <f t="shared" si="15"/>
        <v>4.9144008395218908</v>
      </c>
      <c r="M93" s="7">
        <f t="shared" si="16"/>
        <v>10.069620253164556</v>
      </c>
      <c r="N93" s="7">
        <f t="shared" si="17"/>
        <v>2.1089377326145904</v>
      </c>
      <c r="O93" s="7">
        <f t="shared" si="18"/>
        <v>10.958227848101266</v>
      </c>
      <c r="P93" s="7">
        <f t="shared" si="19"/>
        <v>2.2883463843764797</v>
      </c>
      <c r="Q93" s="7">
        <f t="shared" si="20"/>
        <v>-2.0158004031739347</v>
      </c>
      <c r="R93" s="7">
        <f t="shared" si="21"/>
        <v>-1.4529759704763128</v>
      </c>
      <c r="S93" s="7">
        <f t="shared" si="22"/>
        <v>-0.5071843689943738</v>
      </c>
      <c r="T93" s="7">
        <f t="shared" si="23"/>
        <v>-0.85573926284540058</v>
      </c>
      <c r="U93" s="7">
        <f t="shared" si="24"/>
        <v>-1.2079250013725056</v>
      </c>
    </row>
    <row r="94" spans="1:21" x14ac:dyDescent="0.25">
      <c r="A94" s="1" t="s">
        <v>1657</v>
      </c>
      <c r="B94" s="1" t="s">
        <v>36</v>
      </c>
      <c r="C94" s="1">
        <v>26</v>
      </c>
      <c r="D94" s="1">
        <v>20</v>
      </c>
      <c r="E94" s="1">
        <v>9</v>
      </c>
      <c r="F94" s="1">
        <v>8</v>
      </c>
      <c r="G94" s="1">
        <v>63</v>
      </c>
      <c r="H94" s="7">
        <v>1.7722938923964167</v>
      </c>
      <c r="I94" s="7">
        <f t="shared" si="25"/>
        <v>22.694936708860759</v>
      </c>
      <c r="J94" s="7">
        <f t="shared" si="13"/>
        <v>5.3055534129377486</v>
      </c>
      <c r="K94" s="7">
        <f t="shared" si="14"/>
        <v>22.140506329113926</v>
      </c>
      <c r="L94" s="7">
        <f t="shared" si="15"/>
        <v>4.9144008395218908</v>
      </c>
      <c r="M94" s="7">
        <f t="shared" si="16"/>
        <v>10.069620253164556</v>
      </c>
      <c r="N94" s="7">
        <f t="shared" si="17"/>
        <v>2.1089377326145904</v>
      </c>
      <c r="O94" s="7">
        <f t="shared" si="18"/>
        <v>10.958227848101266</v>
      </c>
      <c r="P94" s="7">
        <f t="shared" si="19"/>
        <v>2.2883463843764797</v>
      </c>
      <c r="Q94" s="7">
        <f t="shared" si="20"/>
        <v>0.62294411796510174</v>
      </c>
      <c r="R94" s="7">
        <f t="shared" si="21"/>
        <v>-0.43555794470403231</v>
      </c>
      <c r="S94" s="7">
        <f t="shared" si="22"/>
        <v>-0.5071843689943738</v>
      </c>
      <c r="T94" s="7">
        <f t="shared" si="23"/>
        <v>-1.2927360421911447</v>
      </c>
      <c r="U94" s="7">
        <f t="shared" si="24"/>
        <v>-0.40313355948111229</v>
      </c>
    </row>
    <row r="95" spans="1:21" x14ac:dyDescent="0.25">
      <c r="A95" s="1" t="s">
        <v>1657</v>
      </c>
      <c r="B95" s="1" t="s">
        <v>36</v>
      </c>
      <c r="C95" s="1">
        <v>11</v>
      </c>
      <c r="D95" s="1">
        <v>13</v>
      </c>
      <c r="E95" s="1">
        <v>7</v>
      </c>
      <c r="F95" s="1">
        <v>7</v>
      </c>
      <c r="G95" s="1">
        <v>38</v>
      </c>
      <c r="H95" s="7">
        <v>0.9540735874430285</v>
      </c>
      <c r="I95" s="7">
        <f t="shared" si="25"/>
        <v>22.694936708860759</v>
      </c>
      <c r="J95" s="7">
        <f t="shared" si="13"/>
        <v>5.3055534129377486</v>
      </c>
      <c r="K95" s="7">
        <f t="shared" si="14"/>
        <v>22.140506329113926</v>
      </c>
      <c r="L95" s="7">
        <f t="shared" si="15"/>
        <v>4.9144008395218908</v>
      </c>
      <c r="M95" s="7">
        <f t="shared" si="16"/>
        <v>10.069620253164556</v>
      </c>
      <c r="N95" s="7">
        <f t="shared" si="17"/>
        <v>2.1089377326145904</v>
      </c>
      <c r="O95" s="7">
        <f t="shared" si="18"/>
        <v>10.958227848101266</v>
      </c>
      <c r="P95" s="7">
        <f t="shared" si="19"/>
        <v>2.2883463843764797</v>
      </c>
      <c r="Q95" s="7">
        <f t="shared" si="20"/>
        <v>-2.2042821546838658</v>
      </c>
      <c r="R95" s="7">
        <f t="shared" si="21"/>
        <v>-1.8599431807852249</v>
      </c>
      <c r="S95" s="7">
        <f t="shared" si="22"/>
        <v>-1.4555291062856295</v>
      </c>
      <c r="T95" s="7">
        <f t="shared" si="23"/>
        <v>-1.729732821536889</v>
      </c>
      <c r="U95" s="7">
        <f t="shared" si="24"/>
        <v>-1.8123718158229023</v>
      </c>
    </row>
    <row r="96" spans="1:21" x14ac:dyDescent="0.25">
      <c r="A96" s="1" t="s">
        <v>1657</v>
      </c>
      <c r="B96" s="1" t="s">
        <v>36</v>
      </c>
      <c r="C96" s="1">
        <v>29</v>
      </c>
      <c r="D96" s="1">
        <v>19</v>
      </c>
      <c r="E96" s="1">
        <v>8</v>
      </c>
      <c r="F96" s="1">
        <v>14</v>
      </c>
      <c r="G96" s="1">
        <v>70</v>
      </c>
      <c r="H96" s="7">
        <v>1.9381460874790264</v>
      </c>
      <c r="I96" s="7">
        <f t="shared" si="25"/>
        <v>22.694936708860759</v>
      </c>
      <c r="J96" s="7">
        <f t="shared" si="13"/>
        <v>5.3055534129377486</v>
      </c>
      <c r="K96" s="7">
        <f t="shared" si="14"/>
        <v>22.140506329113926</v>
      </c>
      <c r="L96" s="7">
        <f t="shared" si="15"/>
        <v>4.9144008395218908</v>
      </c>
      <c r="M96" s="7">
        <f t="shared" si="16"/>
        <v>10.069620253164556</v>
      </c>
      <c r="N96" s="7">
        <f t="shared" si="17"/>
        <v>2.1089377326145904</v>
      </c>
      <c r="O96" s="7">
        <f t="shared" si="18"/>
        <v>10.958227848101266</v>
      </c>
      <c r="P96" s="7">
        <f t="shared" si="19"/>
        <v>2.2883463843764797</v>
      </c>
      <c r="Q96" s="7">
        <f t="shared" si="20"/>
        <v>1.1883893724948953</v>
      </c>
      <c r="R96" s="7">
        <f t="shared" si="21"/>
        <v>-0.63904154985848838</v>
      </c>
      <c r="S96" s="7">
        <f t="shared" si="22"/>
        <v>-0.98135673764000164</v>
      </c>
      <c r="T96" s="7">
        <f t="shared" si="23"/>
        <v>1.3292446338833204</v>
      </c>
      <c r="U96" s="7">
        <f t="shared" si="24"/>
        <v>0.22430892971993141</v>
      </c>
    </row>
    <row r="97" spans="1:21" x14ac:dyDescent="0.25">
      <c r="A97" s="1" t="s">
        <v>1657</v>
      </c>
      <c r="B97" s="1" t="s">
        <v>36</v>
      </c>
      <c r="C97" s="1">
        <v>28</v>
      </c>
      <c r="D97" s="1">
        <v>17</v>
      </c>
      <c r="E97" s="1">
        <v>7</v>
      </c>
      <c r="F97" s="1">
        <v>7</v>
      </c>
      <c r="G97" s="1">
        <v>59</v>
      </c>
      <c r="H97" s="7">
        <v>2.1838568563966754</v>
      </c>
      <c r="I97" s="7">
        <f t="shared" si="25"/>
        <v>22.694936708860759</v>
      </c>
      <c r="J97" s="7">
        <f t="shared" si="13"/>
        <v>5.3055534129377486</v>
      </c>
      <c r="K97" s="7">
        <f t="shared" si="14"/>
        <v>22.140506329113926</v>
      </c>
      <c r="L97" s="7">
        <f t="shared" si="15"/>
        <v>4.9144008395218908</v>
      </c>
      <c r="M97" s="7">
        <f t="shared" si="16"/>
        <v>10.069620253164556</v>
      </c>
      <c r="N97" s="7">
        <f t="shared" si="17"/>
        <v>2.1089377326145904</v>
      </c>
      <c r="O97" s="7">
        <f t="shared" si="18"/>
        <v>10.958227848101266</v>
      </c>
      <c r="P97" s="7">
        <f t="shared" si="19"/>
        <v>2.2883463843764797</v>
      </c>
      <c r="Q97" s="7">
        <f t="shared" si="20"/>
        <v>0.99990762098496411</v>
      </c>
      <c r="R97" s="7">
        <f t="shared" si="21"/>
        <v>-1.0460087601674006</v>
      </c>
      <c r="S97" s="7">
        <f t="shared" si="22"/>
        <v>-1.4555291062856295</v>
      </c>
      <c r="T97" s="7">
        <f t="shared" si="23"/>
        <v>-1.729732821536889</v>
      </c>
      <c r="U97" s="7">
        <f t="shared" si="24"/>
        <v>-0.80784076675123873</v>
      </c>
    </row>
    <row r="98" spans="1:21" x14ac:dyDescent="0.25">
      <c r="A98" s="1" t="s">
        <v>1657</v>
      </c>
      <c r="B98" s="1" t="s">
        <v>36</v>
      </c>
      <c r="C98" s="1">
        <v>23</v>
      </c>
      <c r="D98" s="1">
        <v>16</v>
      </c>
      <c r="E98" s="1">
        <v>5</v>
      </c>
      <c r="F98" s="1">
        <v>9</v>
      </c>
      <c r="G98" s="1">
        <v>53</v>
      </c>
      <c r="H98" s="7">
        <v>1.5525000516123699</v>
      </c>
      <c r="I98" s="7">
        <f t="shared" si="25"/>
        <v>22.694936708860759</v>
      </c>
      <c r="J98" s="7">
        <f t="shared" si="13"/>
        <v>5.3055534129377486</v>
      </c>
      <c r="K98" s="7">
        <f t="shared" si="14"/>
        <v>22.140506329113926</v>
      </c>
      <c r="L98" s="7">
        <f t="shared" si="15"/>
        <v>4.9144008395218908</v>
      </c>
      <c r="M98" s="7">
        <f t="shared" si="16"/>
        <v>10.069620253164556</v>
      </c>
      <c r="N98" s="7">
        <f t="shared" si="17"/>
        <v>2.1089377326145904</v>
      </c>
      <c r="O98" s="7">
        <f t="shared" si="18"/>
        <v>10.958227848101266</v>
      </c>
      <c r="P98" s="7">
        <f t="shared" si="19"/>
        <v>2.2883463843764797</v>
      </c>
      <c r="Q98" s="7">
        <f t="shared" si="20"/>
        <v>5.7498863435308259E-2</v>
      </c>
      <c r="R98" s="7">
        <f t="shared" si="21"/>
        <v>-1.2494923653218568</v>
      </c>
      <c r="S98" s="7">
        <f t="shared" si="22"/>
        <v>-2.4038738435768852</v>
      </c>
      <c r="T98" s="7">
        <f t="shared" si="23"/>
        <v>-0.85573926284540058</v>
      </c>
      <c r="U98" s="7">
        <f t="shared" si="24"/>
        <v>-1.1129016520772086</v>
      </c>
    </row>
    <row r="99" spans="1:21" x14ac:dyDescent="0.25">
      <c r="A99" s="1" t="s">
        <v>1657</v>
      </c>
      <c r="B99" s="1" t="s">
        <v>36</v>
      </c>
      <c r="C99" s="1">
        <v>12</v>
      </c>
      <c r="D99" s="1">
        <v>14</v>
      </c>
      <c r="E99" s="1">
        <v>5</v>
      </c>
      <c r="F99" s="1">
        <v>7</v>
      </c>
      <c r="G99" s="1">
        <v>38</v>
      </c>
      <c r="H99" s="7">
        <v>0.75955452531275003</v>
      </c>
      <c r="I99" s="7">
        <f t="shared" si="25"/>
        <v>22.694936708860759</v>
      </c>
      <c r="J99" s="7">
        <f t="shared" si="13"/>
        <v>5.3055534129377486</v>
      </c>
      <c r="K99" s="7">
        <f t="shared" si="14"/>
        <v>22.140506329113926</v>
      </c>
      <c r="L99" s="7">
        <f t="shared" si="15"/>
        <v>4.9144008395218908</v>
      </c>
      <c r="M99" s="7">
        <f t="shared" si="16"/>
        <v>10.069620253164556</v>
      </c>
      <c r="N99" s="7">
        <f t="shared" si="17"/>
        <v>2.1089377326145904</v>
      </c>
      <c r="O99" s="7">
        <f t="shared" si="18"/>
        <v>10.958227848101266</v>
      </c>
      <c r="P99" s="7">
        <f t="shared" si="19"/>
        <v>2.2883463843764797</v>
      </c>
      <c r="Q99" s="7">
        <f t="shared" si="20"/>
        <v>-2.0158004031739347</v>
      </c>
      <c r="R99" s="7">
        <f t="shared" si="21"/>
        <v>-1.656459575630769</v>
      </c>
      <c r="S99" s="7">
        <f t="shared" si="22"/>
        <v>-2.4038738435768852</v>
      </c>
      <c r="T99" s="7">
        <f t="shared" si="23"/>
        <v>-1.729732821536889</v>
      </c>
      <c r="U99" s="7">
        <f t="shared" si="24"/>
        <v>-1.9514666609796194</v>
      </c>
    </row>
    <row r="100" spans="1:21" x14ac:dyDescent="0.25">
      <c r="A100" s="1" t="s">
        <v>1657</v>
      </c>
      <c r="B100" s="1" t="s">
        <v>36</v>
      </c>
      <c r="C100" s="1">
        <v>31</v>
      </c>
      <c r="D100" s="1">
        <v>32</v>
      </c>
      <c r="E100" s="1">
        <v>11</v>
      </c>
      <c r="F100" s="1">
        <v>10</v>
      </c>
      <c r="G100" s="1">
        <v>84</v>
      </c>
      <c r="H100" s="7">
        <v>2.7873339895374514</v>
      </c>
      <c r="I100" s="7">
        <f t="shared" si="25"/>
        <v>22.694936708860759</v>
      </c>
      <c r="J100" s="7">
        <f t="shared" si="13"/>
        <v>5.3055534129377486</v>
      </c>
      <c r="K100" s="7">
        <f t="shared" si="14"/>
        <v>22.140506329113926</v>
      </c>
      <c r="L100" s="7">
        <f t="shared" si="15"/>
        <v>4.9144008395218908</v>
      </c>
      <c r="M100" s="7">
        <f t="shared" si="16"/>
        <v>10.069620253164556</v>
      </c>
      <c r="N100" s="7">
        <f t="shared" si="17"/>
        <v>2.1089377326145904</v>
      </c>
      <c r="O100" s="7">
        <f t="shared" si="18"/>
        <v>10.958227848101266</v>
      </c>
      <c r="P100" s="7">
        <f t="shared" si="19"/>
        <v>2.2883463843764797</v>
      </c>
      <c r="Q100" s="7">
        <f t="shared" si="20"/>
        <v>1.5653528755147577</v>
      </c>
      <c r="R100" s="7">
        <f t="shared" si="21"/>
        <v>2.0062453171494408</v>
      </c>
      <c r="S100" s="7">
        <f t="shared" si="22"/>
        <v>0.44116036829688182</v>
      </c>
      <c r="T100" s="7">
        <f t="shared" si="23"/>
        <v>-0.41874248349965643</v>
      </c>
      <c r="U100" s="7">
        <f t="shared" si="24"/>
        <v>0.89850401936535595</v>
      </c>
    </row>
    <row r="101" spans="1:21" x14ac:dyDescent="0.25">
      <c r="A101" s="1" t="s">
        <v>1657</v>
      </c>
      <c r="B101" s="1" t="s">
        <v>36</v>
      </c>
      <c r="C101" s="1">
        <v>19</v>
      </c>
      <c r="D101" s="1">
        <v>17</v>
      </c>
      <c r="E101" s="1">
        <v>6</v>
      </c>
      <c r="F101" s="1">
        <v>9</v>
      </c>
      <c r="G101" s="1">
        <v>51</v>
      </c>
      <c r="H101" s="7">
        <v>1.6052797503622465</v>
      </c>
      <c r="I101" s="7">
        <f t="shared" si="25"/>
        <v>22.694936708860759</v>
      </c>
      <c r="J101" s="7">
        <f t="shared" si="13"/>
        <v>5.3055534129377486</v>
      </c>
      <c r="K101" s="7">
        <f t="shared" si="14"/>
        <v>22.140506329113926</v>
      </c>
      <c r="L101" s="7">
        <f t="shared" si="15"/>
        <v>4.9144008395218908</v>
      </c>
      <c r="M101" s="7">
        <f t="shared" si="16"/>
        <v>10.069620253164556</v>
      </c>
      <c r="N101" s="7">
        <f t="shared" si="17"/>
        <v>2.1089377326145904</v>
      </c>
      <c r="O101" s="7">
        <f t="shared" si="18"/>
        <v>10.958227848101266</v>
      </c>
      <c r="P101" s="7">
        <f t="shared" si="19"/>
        <v>2.2883463843764797</v>
      </c>
      <c r="Q101" s="7">
        <f t="shared" si="20"/>
        <v>-0.69642814260441643</v>
      </c>
      <c r="R101" s="7">
        <f t="shared" si="21"/>
        <v>-1.0460087601674006</v>
      </c>
      <c r="S101" s="7">
        <f t="shared" si="22"/>
        <v>-1.9297014749312573</v>
      </c>
      <c r="T101" s="7">
        <f t="shared" si="23"/>
        <v>-0.85573926284540058</v>
      </c>
      <c r="U101" s="7">
        <f t="shared" si="24"/>
        <v>-1.1319694101371187</v>
      </c>
    </row>
    <row r="102" spans="1:21" x14ac:dyDescent="0.25">
      <c r="A102" s="1" t="s">
        <v>1658</v>
      </c>
      <c r="B102" s="1" t="s">
        <v>36</v>
      </c>
      <c r="C102" s="1">
        <v>20</v>
      </c>
      <c r="D102" s="1">
        <v>23</v>
      </c>
      <c r="E102" s="1">
        <v>7</v>
      </c>
      <c r="F102" s="1">
        <v>15</v>
      </c>
      <c r="G102" s="1">
        <v>65</v>
      </c>
      <c r="H102" s="7">
        <v>1.2247448713915889</v>
      </c>
      <c r="I102" s="7">
        <f t="shared" si="25"/>
        <v>22.694936708860759</v>
      </c>
      <c r="J102" s="7">
        <f t="shared" si="13"/>
        <v>5.3055534129377486</v>
      </c>
      <c r="K102" s="7">
        <f t="shared" si="14"/>
        <v>22.140506329113926</v>
      </c>
      <c r="L102" s="7">
        <f t="shared" si="15"/>
        <v>4.9144008395218908</v>
      </c>
      <c r="M102" s="7">
        <f t="shared" si="16"/>
        <v>10.069620253164556</v>
      </c>
      <c r="N102" s="7">
        <f t="shared" si="17"/>
        <v>2.1089377326145904</v>
      </c>
      <c r="O102" s="7">
        <f t="shared" si="18"/>
        <v>10.958227848101266</v>
      </c>
      <c r="P102" s="7">
        <f t="shared" si="19"/>
        <v>2.2883463843764797</v>
      </c>
      <c r="Q102" s="7">
        <f t="shared" si="20"/>
        <v>-0.50794639109448525</v>
      </c>
      <c r="R102" s="7">
        <f t="shared" si="21"/>
        <v>0.17489287075933599</v>
      </c>
      <c r="S102" s="7">
        <f t="shared" si="22"/>
        <v>-1.4555291062856295</v>
      </c>
      <c r="T102" s="7">
        <f t="shared" si="23"/>
        <v>1.7662414132290645</v>
      </c>
      <c r="U102" s="7">
        <f t="shared" si="24"/>
        <v>-5.5853033479285608E-3</v>
      </c>
    </row>
    <row r="103" spans="1:21" x14ac:dyDescent="0.25">
      <c r="A103" s="1" t="s">
        <v>1658</v>
      </c>
      <c r="B103" s="1" t="s">
        <v>36</v>
      </c>
      <c r="C103" s="1">
        <v>23</v>
      </c>
      <c r="D103" s="1">
        <v>24</v>
      </c>
      <c r="E103" s="1">
        <v>11</v>
      </c>
      <c r="F103" s="1">
        <v>13</v>
      </c>
      <c r="G103" s="1">
        <v>71</v>
      </c>
      <c r="H103" s="7">
        <v>1.3301243435223524</v>
      </c>
      <c r="I103" s="7">
        <f t="shared" si="25"/>
        <v>22.694936708860759</v>
      </c>
      <c r="J103" s="7">
        <f t="shared" si="13"/>
        <v>5.3055534129377486</v>
      </c>
      <c r="K103" s="7">
        <f t="shared" si="14"/>
        <v>22.140506329113926</v>
      </c>
      <c r="L103" s="7">
        <f t="shared" si="15"/>
        <v>4.9144008395218908</v>
      </c>
      <c r="M103" s="7">
        <f t="shared" si="16"/>
        <v>10.069620253164556</v>
      </c>
      <c r="N103" s="7">
        <f t="shared" si="17"/>
        <v>2.1089377326145904</v>
      </c>
      <c r="O103" s="7">
        <f t="shared" si="18"/>
        <v>10.958227848101266</v>
      </c>
      <c r="P103" s="7">
        <f t="shared" si="19"/>
        <v>2.2883463843764797</v>
      </c>
      <c r="Q103" s="7">
        <f t="shared" si="20"/>
        <v>5.7498863435308259E-2</v>
      </c>
      <c r="R103" s="7">
        <f t="shared" si="21"/>
        <v>0.37837647591379209</v>
      </c>
      <c r="S103" s="7">
        <f t="shared" si="22"/>
        <v>0.44116036829688182</v>
      </c>
      <c r="T103" s="7">
        <f t="shared" si="23"/>
        <v>0.89224785453757616</v>
      </c>
      <c r="U103" s="7">
        <f t="shared" si="24"/>
        <v>0.44232089054588958</v>
      </c>
    </row>
    <row r="104" spans="1:21" x14ac:dyDescent="0.25">
      <c r="A104" s="1" t="s">
        <v>1658</v>
      </c>
      <c r="B104" s="1" t="s">
        <v>36</v>
      </c>
      <c r="C104" s="1">
        <v>26</v>
      </c>
      <c r="D104" s="1">
        <v>25</v>
      </c>
      <c r="E104" s="1">
        <v>10</v>
      </c>
      <c r="F104" s="1">
        <v>14</v>
      </c>
      <c r="G104" s="1">
        <v>75</v>
      </c>
      <c r="H104" s="7">
        <v>1.8327504901034286</v>
      </c>
      <c r="I104" s="7">
        <f t="shared" si="25"/>
        <v>22.694936708860759</v>
      </c>
      <c r="J104" s="7">
        <f t="shared" si="13"/>
        <v>5.3055534129377486</v>
      </c>
      <c r="K104" s="7">
        <f t="shared" si="14"/>
        <v>22.140506329113926</v>
      </c>
      <c r="L104" s="7">
        <f t="shared" si="15"/>
        <v>4.9144008395218908</v>
      </c>
      <c r="M104" s="7">
        <f t="shared" si="16"/>
        <v>10.069620253164556</v>
      </c>
      <c r="N104" s="7">
        <f t="shared" si="17"/>
        <v>2.1089377326145904</v>
      </c>
      <c r="O104" s="7">
        <f t="shared" si="18"/>
        <v>10.958227848101266</v>
      </c>
      <c r="P104" s="7">
        <f t="shared" si="19"/>
        <v>2.2883463843764797</v>
      </c>
      <c r="Q104" s="7">
        <f t="shared" si="20"/>
        <v>0.62294411796510174</v>
      </c>
      <c r="R104" s="7">
        <f t="shared" si="21"/>
        <v>0.58186008106824816</v>
      </c>
      <c r="S104" s="7">
        <f t="shared" si="22"/>
        <v>-3.3012000348745997E-2</v>
      </c>
      <c r="T104" s="7">
        <f t="shared" si="23"/>
        <v>1.3292446338833204</v>
      </c>
      <c r="U104" s="7">
        <f t="shared" si="24"/>
        <v>0.6252592081419811</v>
      </c>
    </row>
    <row r="105" spans="1:21" x14ac:dyDescent="0.25">
      <c r="A105" s="1" t="s">
        <v>1658</v>
      </c>
      <c r="B105" s="1" t="s">
        <v>36</v>
      </c>
      <c r="C105" s="1">
        <v>18</v>
      </c>
      <c r="D105" s="1">
        <v>16</v>
      </c>
      <c r="E105" s="1">
        <v>7</v>
      </c>
      <c r="F105" s="1">
        <v>9</v>
      </c>
      <c r="G105" s="1">
        <v>50</v>
      </c>
      <c r="H105" s="7">
        <v>1.214231845389905</v>
      </c>
      <c r="I105" s="7">
        <f t="shared" si="25"/>
        <v>22.694936708860759</v>
      </c>
      <c r="J105" s="7">
        <f t="shared" si="13"/>
        <v>5.3055534129377486</v>
      </c>
      <c r="K105" s="7">
        <f t="shared" si="14"/>
        <v>22.140506329113926</v>
      </c>
      <c r="L105" s="7">
        <f t="shared" si="15"/>
        <v>4.9144008395218908</v>
      </c>
      <c r="M105" s="7">
        <f t="shared" si="16"/>
        <v>10.069620253164556</v>
      </c>
      <c r="N105" s="7">
        <f t="shared" si="17"/>
        <v>2.1089377326145904</v>
      </c>
      <c r="O105" s="7">
        <f t="shared" si="18"/>
        <v>10.958227848101266</v>
      </c>
      <c r="P105" s="7">
        <f t="shared" si="19"/>
        <v>2.2883463843764797</v>
      </c>
      <c r="Q105" s="7">
        <f t="shared" si="20"/>
        <v>-0.88490989411434762</v>
      </c>
      <c r="R105" s="7">
        <f t="shared" si="21"/>
        <v>-1.2494923653218568</v>
      </c>
      <c r="S105" s="7">
        <f t="shared" si="22"/>
        <v>-1.4555291062856295</v>
      </c>
      <c r="T105" s="7">
        <f t="shared" si="23"/>
        <v>-0.85573926284540058</v>
      </c>
      <c r="U105" s="7">
        <f t="shared" si="24"/>
        <v>-1.1114176571418086</v>
      </c>
    </row>
    <row r="106" spans="1:21" x14ac:dyDescent="0.25">
      <c r="A106" s="1" t="s">
        <v>1658</v>
      </c>
      <c r="B106" s="1" t="s">
        <v>36</v>
      </c>
      <c r="C106" s="1">
        <v>14</v>
      </c>
      <c r="D106" s="1">
        <v>21</v>
      </c>
      <c r="E106" s="1">
        <v>4</v>
      </c>
      <c r="F106" s="1">
        <v>10</v>
      </c>
      <c r="G106" s="1">
        <v>49</v>
      </c>
      <c r="H106" s="7">
        <v>2.2786635759382499</v>
      </c>
      <c r="I106" s="7">
        <f t="shared" si="25"/>
        <v>22.694936708860759</v>
      </c>
      <c r="J106" s="7">
        <f t="shared" si="13"/>
        <v>5.3055534129377486</v>
      </c>
      <c r="K106" s="7">
        <f t="shared" si="14"/>
        <v>22.140506329113926</v>
      </c>
      <c r="L106" s="7">
        <f t="shared" si="15"/>
        <v>4.9144008395218908</v>
      </c>
      <c r="M106" s="7">
        <f t="shared" si="16"/>
        <v>10.069620253164556</v>
      </c>
      <c r="N106" s="7">
        <f t="shared" si="17"/>
        <v>2.1089377326145904</v>
      </c>
      <c r="O106" s="7">
        <f t="shared" si="18"/>
        <v>10.958227848101266</v>
      </c>
      <c r="P106" s="7">
        <f t="shared" si="19"/>
        <v>2.2883463843764797</v>
      </c>
      <c r="Q106" s="7">
        <f t="shared" si="20"/>
        <v>-1.6388369001540724</v>
      </c>
      <c r="R106" s="7">
        <f t="shared" si="21"/>
        <v>-0.23207433954957621</v>
      </c>
      <c r="S106" s="7">
        <f t="shared" si="22"/>
        <v>-2.8780462122225128</v>
      </c>
      <c r="T106" s="7">
        <f t="shared" si="23"/>
        <v>-0.41874248349965643</v>
      </c>
      <c r="U106" s="7">
        <f t="shared" si="24"/>
        <v>-1.2919249838564544</v>
      </c>
    </row>
    <row r="107" spans="1:21" x14ac:dyDescent="0.25">
      <c r="A107" s="1" t="s">
        <v>1658</v>
      </c>
      <c r="B107" s="1" t="s">
        <v>36</v>
      </c>
      <c r="C107" s="1">
        <v>18</v>
      </c>
      <c r="D107" s="1">
        <v>18</v>
      </c>
      <c r="E107" s="1">
        <v>7</v>
      </c>
      <c r="F107" s="1">
        <v>7</v>
      </c>
      <c r="G107" s="1">
        <v>50</v>
      </c>
      <c r="H107" s="7">
        <v>1.5730095277394138</v>
      </c>
      <c r="I107" s="7">
        <f t="shared" si="25"/>
        <v>22.694936708860759</v>
      </c>
      <c r="J107" s="7">
        <f t="shared" si="13"/>
        <v>5.3055534129377486</v>
      </c>
      <c r="K107" s="7">
        <f t="shared" si="14"/>
        <v>22.140506329113926</v>
      </c>
      <c r="L107" s="7">
        <f t="shared" si="15"/>
        <v>4.9144008395218908</v>
      </c>
      <c r="M107" s="7">
        <f t="shared" si="16"/>
        <v>10.069620253164556</v>
      </c>
      <c r="N107" s="7">
        <f t="shared" si="17"/>
        <v>2.1089377326145904</v>
      </c>
      <c r="O107" s="7">
        <f t="shared" si="18"/>
        <v>10.958227848101266</v>
      </c>
      <c r="P107" s="7">
        <f t="shared" si="19"/>
        <v>2.2883463843764797</v>
      </c>
      <c r="Q107" s="7">
        <f t="shared" si="20"/>
        <v>-0.88490989411434762</v>
      </c>
      <c r="R107" s="7">
        <f t="shared" si="21"/>
        <v>-0.84252515501294456</v>
      </c>
      <c r="S107" s="7">
        <f t="shared" si="22"/>
        <v>-1.4555291062856295</v>
      </c>
      <c r="T107" s="7">
        <f t="shared" si="23"/>
        <v>-1.729732821536889</v>
      </c>
      <c r="U107" s="7">
        <f t="shared" si="24"/>
        <v>-1.2281742442374526</v>
      </c>
    </row>
    <row r="108" spans="1:21" x14ac:dyDescent="0.25">
      <c r="A108" s="1" t="s">
        <v>1658</v>
      </c>
      <c r="B108" s="1" t="s">
        <v>36</v>
      </c>
      <c r="C108" s="1">
        <v>24</v>
      </c>
      <c r="D108" s="1">
        <v>25</v>
      </c>
      <c r="E108" s="1">
        <v>4</v>
      </c>
      <c r="F108" s="1">
        <v>10</v>
      </c>
      <c r="G108" s="1">
        <v>63</v>
      </c>
      <c r="H108" s="7">
        <v>2.0754980866510833</v>
      </c>
      <c r="I108" s="7">
        <f t="shared" si="25"/>
        <v>22.694936708860759</v>
      </c>
      <c r="J108" s="7">
        <f t="shared" si="13"/>
        <v>5.3055534129377486</v>
      </c>
      <c r="K108" s="7">
        <f t="shared" si="14"/>
        <v>22.140506329113926</v>
      </c>
      <c r="L108" s="7">
        <f t="shared" si="15"/>
        <v>4.9144008395218908</v>
      </c>
      <c r="M108" s="7">
        <f t="shared" si="16"/>
        <v>10.069620253164556</v>
      </c>
      <c r="N108" s="7">
        <f t="shared" si="17"/>
        <v>2.1089377326145904</v>
      </c>
      <c r="O108" s="7">
        <f t="shared" si="18"/>
        <v>10.958227848101266</v>
      </c>
      <c r="P108" s="7">
        <f t="shared" si="19"/>
        <v>2.2883463843764797</v>
      </c>
      <c r="Q108" s="7">
        <f t="shared" si="20"/>
        <v>0.24598061494523943</v>
      </c>
      <c r="R108" s="7">
        <f t="shared" si="21"/>
        <v>0.58186008106824816</v>
      </c>
      <c r="S108" s="7">
        <f t="shared" si="22"/>
        <v>-2.8780462122225128</v>
      </c>
      <c r="T108" s="7">
        <f t="shared" si="23"/>
        <v>-0.41874248349965643</v>
      </c>
      <c r="U108" s="7">
        <f t="shared" si="24"/>
        <v>-0.61723699992717029</v>
      </c>
    </row>
    <row r="109" spans="1:21" x14ac:dyDescent="0.25">
      <c r="A109" s="1" t="s">
        <v>1658</v>
      </c>
      <c r="B109" s="1" t="s">
        <v>36</v>
      </c>
      <c r="C109" s="1">
        <v>16</v>
      </c>
      <c r="D109" s="1">
        <v>20</v>
      </c>
      <c r="E109" s="1">
        <v>9</v>
      </c>
      <c r="F109" s="1">
        <v>10</v>
      </c>
      <c r="G109" s="1">
        <v>55</v>
      </c>
      <c r="H109" s="7">
        <v>1.4232501627054273</v>
      </c>
      <c r="I109" s="7">
        <f t="shared" si="25"/>
        <v>22.694936708860759</v>
      </c>
      <c r="J109" s="7">
        <f t="shared" si="13"/>
        <v>5.3055534129377486</v>
      </c>
      <c r="K109" s="7">
        <f t="shared" si="14"/>
        <v>22.140506329113926</v>
      </c>
      <c r="L109" s="7">
        <f t="shared" si="15"/>
        <v>4.9144008395218908</v>
      </c>
      <c r="M109" s="7">
        <f t="shared" si="16"/>
        <v>10.069620253164556</v>
      </c>
      <c r="N109" s="7">
        <f t="shared" si="17"/>
        <v>2.1089377326145904</v>
      </c>
      <c r="O109" s="7">
        <f t="shared" si="18"/>
        <v>10.958227848101266</v>
      </c>
      <c r="P109" s="7">
        <f t="shared" si="19"/>
        <v>2.2883463843764797</v>
      </c>
      <c r="Q109" s="7">
        <f t="shared" si="20"/>
        <v>-1.26187339713421</v>
      </c>
      <c r="R109" s="7">
        <f t="shared" si="21"/>
        <v>-0.43555794470403231</v>
      </c>
      <c r="S109" s="7">
        <f t="shared" si="22"/>
        <v>-0.5071843689943738</v>
      </c>
      <c r="T109" s="7">
        <f t="shared" si="23"/>
        <v>-0.41874248349965643</v>
      </c>
      <c r="U109" s="7">
        <f t="shared" si="24"/>
        <v>-0.65583954858306814</v>
      </c>
    </row>
    <row r="110" spans="1:21" x14ac:dyDescent="0.25">
      <c r="A110" s="1" t="s">
        <v>1658</v>
      </c>
      <c r="B110" s="1" t="s">
        <v>36</v>
      </c>
      <c r="C110" s="1">
        <v>14</v>
      </c>
      <c r="D110" s="1">
        <v>19</v>
      </c>
      <c r="E110" s="1">
        <v>6</v>
      </c>
      <c r="F110" s="1">
        <v>10</v>
      </c>
      <c r="G110" s="1">
        <v>49</v>
      </c>
      <c r="H110" s="7">
        <v>1.3634420996046583</v>
      </c>
      <c r="I110" s="7">
        <f t="shared" si="25"/>
        <v>22.694936708860759</v>
      </c>
      <c r="J110" s="7">
        <f t="shared" si="13"/>
        <v>5.3055534129377486</v>
      </c>
      <c r="K110" s="7">
        <f t="shared" si="14"/>
        <v>22.140506329113926</v>
      </c>
      <c r="L110" s="7">
        <f t="shared" si="15"/>
        <v>4.9144008395218908</v>
      </c>
      <c r="M110" s="7">
        <f t="shared" si="16"/>
        <v>10.069620253164556</v>
      </c>
      <c r="N110" s="7">
        <f t="shared" si="17"/>
        <v>2.1089377326145904</v>
      </c>
      <c r="O110" s="7">
        <f t="shared" si="18"/>
        <v>10.958227848101266</v>
      </c>
      <c r="P110" s="7">
        <f t="shared" si="19"/>
        <v>2.2883463843764797</v>
      </c>
      <c r="Q110" s="7">
        <f t="shared" si="20"/>
        <v>-1.6388369001540724</v>
      </c>
      <c r="R110" s="7">
        <f t="shared" si="21"/>
        <v>-0.63904154985848838</v>
      </c>
      <c r="S110" s="7">
        <f t="shared" si="22"/>
        <v>-1.9297014749312573</v>
      </c>
      <c r="T110" s="7">
        <f t="shared" si="23"/>
        <v>-0.41874248349965643</v>
      </c>
      <c r="U110" s="7">
        <f t="shared" si="24"/>
        <v>-1.1565806021108687</v>
      </c>
    </row>
    <row r="111" spans="1:21" x14ac:dyDescent="0.25">
      <c r="A111" s="1" t="s">
        <v>1658</v>
      </c>
      <c r="B111" s="1" t="s">
        <v>36</v>
      </c>
      <c r="C111" s="1">
        <v>21</v>
      </c>
      <c r="D111" s="1">
        <v>21</v>
      </c>
      <c r="E111" s="1">
        <v>10</v>
      </c>
      <c r="F111" s="1">
        <v>10</v>
      </c>
      <c r="G111" s="1">
        <v>62</v>
      </c>
      <c r="H111" s="7">
        <v>1.4232501627054273</v>
      </c>
      <c r="I111" s="7">
        <f t="shared" si="25"/>
        <v>22.694936708860759</v>
      </c>
      <c r="J111" s="7">
        <f t="shared" si="13"/>
        <v>5.3055534129377486</v>
      </c>
      <c r="K111" s="7">
        <f t="shared" si="14"/>
        <v>22.140506329113926</v>
      </c>
      <c r="L111" s="7">
        <f t="shared" si="15"/>
        <v>4.9144008395218908</v>
      </c>
      <c r="M111" s="7">
        <f t="shared" si="16"/>
        <v>10.069620253164556</v>
      </c>
      <c r="N111" s="7">
        <f t="shared" si="17"/>
        <v>2.1089377326145904</v>
      </c>
      <c r="O111" s="7">
        <f t="shared" si="18"/>
        <v>10.958227848101266</v>
      </c>
      <c r="P111" s="7">
        <f t="shared" si="19"/>
        <v>2.2883463843764797</v>
      </c>
      <c r="Q111" s="7">
        <f t="shared" si="20"/>
        <v>-0.31946463958455407</v>
      </c>
      <c r="R111" s="7">
        <f t="shared" si="21"/>
        <v>-0.23207433954957621</v>
      </c>
      <c r="S111" s="7">
        <f t="shared" si="22"/>
        <v>-3.3012000348745997E-2</v>
      </c>
      <c r="T111" s="7">
        <f t="shared" si="23"/>
        <v>-0.41874248349965643</v>
      </c>
      <c r="U111" s="7">
        <f t="shared" si="24"/>
        <v>-0.25082336574563319</v>
      </c>
    </row>
    <row r="112" spans="1:21" x14ac:dyDescent="0.25">
      <c r="A112" s="1" t="s">
        <v>1658</v>
      </c>
      <c r="B112" s="1" t="s">
        <v>36</v>
      </c>
      <c r="C112" s="1">
        <v>26</v>
      </c>
      <c r="D112" s="1">
        <v>26</v>
      </c>
      <c r="E112" s="1">
        <v>12</v>
      </c>
      <c r="F112" s="1">
        <v>12</v>
      </c>
      <c r="G112" s="1">
        <v>76</v>
      </c>
      <c r="H112" s="7">
        <v>1.8187062180825986</v>
      </c>
      <c r="I112" s="7">
        <f t="shared" si="25"/>
        <v>22.694936708860759</v>
      </c>
      <c r="J112" s="7">
        <f t="shared" si="13"/>
        <v>5.3055534129377486</v>
      </c>
      <c r="K112" s="7">
        <f t="shared" si="14"/>
        <v>22.140506329113926</v>
      </c>
      <c r="L112" s="7">
        <f t="shared" si="15"/>
        <v>4.9144008395218908</v>
      </c>
      <c r="M112" s="7">
        <f t="shared" si="16"/>
        <v>10.069620253164556</v>
      </c>
      <c r="N112" s="7">
        <f t="shared" si="17"/>
        <v>2.1089377326145904</v>
      </c>
      <c r="O112" s="7">
        <f t="shared" si="18"/>
        <v>10.958227848101266</v>
      </c>
      <c r="P112" s="7">
        <f t="shared" si="19"/>
        <v>2.2883463843764797</v>
      </c>
      <c r="Q112" s="7">
        <f t="shared" si="20"/>
        <v>0.62294411796510174</v>
      </c>
      <c r="R112" s="7">
        <f t="shared" si="21"/>
        <v>0.78534368622270434</v>
      </c>
      <c r="S112" s="7">
        <f t="shared" si="22"/>
        <v>0.91533273694250961</v>
      </c>
      <c r="T112" s="7">
        <f t="shared" si="23"/>
        <v>0.45525107519183194</v>
      </c>
      <c r="U112" s="7">
        <f t="shared" si="24"/>
        <v>0.69471790408053691</v>
      </c>
    </row>
    <row r="113" spans="1:21" x14ac:dyDescent="0.25">
      <c r="A113" s="1" t="s">
        <v>1658</v>
      </c>
      <c r="B113" s="1" t="s">
        <v>36</v>
      </c>
      <c r="C113" s="1">
        <v>16</v>
      </c>
      <c r="D113" s="1">
        <v>19</v>
      </c>
      <c r="E113" s="1">
        <v>10</v>
      </c>
      <c r="F113" s="1">
        <v>11</v>
      </c>
      <c r="G113" s="1">
        <v>56</v>
      </c>
      <c r="H113" s="7">
        <v>1.031553471276484</v>
      </c>
      <c r="I113" s="7">
        <f t="shared" si="25"/>
        <v>22.694936708860759</v>
      </c>
      <c r="J113" s="7">
        <f t="shared" si="13"/>
        <v>5.3055534129377486</v>
      </c>
      <c r="K113" s="7">
        <f t="shared" si="14"/>
        <v>22.140506329113926</v>
      </c>
      <c r="L113" s="7">
        <f t="shared" si="15"/>
        <v>4.9144008395218908</v>
      </c>
      <c r="M113" s="7">
        <f t="shared" si="16"/>
        <v>10.069620253164556</v>
      </c>
      <c r="N113" s="7">
        <f t="shared" si="17"/>
        <v>2.1089377326145904</v>
      </c>
      <c r="O113" s="7">
        <f t="shared" si="18"/>
        <v>10.958227848101266</v>
      </c>
      <c r="P113" s="7">
        <f t="shared" si="19"/>
        <v>2.2883463843764797</v>
      </c>
      <c r="Q113" s="7">
        <f t="shared" si="20"/>
        <v>-1.26187339713421</v>
      </c>
      <c r="R113" s="7">
        <f t="shared" si="21"/>
        <v>-0.63904154985848838</v>
      </c>
      <c r="S113" s="7">
        <f t="shared" si="22"/>
        <v>-3.3012000348745997E-2</v>
      </c>
      <c r="T113" s="7">
        <f t="shared" si="23"/>
        <v>1.8254295846087756E-2</v>
      </c>
      <c r="U113" s="7">
        <f t="shared" si="24"/>
        <v>-0.47891816287383909</v>
      </c>
    </row>
    <row r="114" spans="1:21" x14ac:dyDescent="0.25">
      <c r="A114" s="1" t="s">
        <v>1658</v>
      </c>
      <c r="B114" s="1" t="s">
        <v>36</v>
      </c>
      <c r="C114" s="1">
        <v>26</v>
      </c>
      <c r="D114" s="1">
        <v>26</v>
      </c>
      <c r="E114" s="1">
        <v>12</v>
      </c>
      <c r="F114" s="1">
        <v>12</v>
      </c>
      <c r="G114" s="1">
        <v>76</v>
      </c>
      <c r="H114" s="7">
        <v>1.8187062180825986</v>
      </c>
      <c r="I114" s="7">
        <f t="shared" si="25"/>
        <v>22.694936708860759</v>
      </c>
      <c r="J114" s="7">
        <f t="shared" si="13"/>
        <v>5.3055534129377486</v>
      </c>
      <c r="K114" s="7">
        <f t="shared" si="14"/>
        <v>22.140506329113926</v>
      </c>
      <c r="L114" s="7">
        <f t="shared" si="15"/>
        <v>4.9144008395218908</v>
      </c>
      <c r="M114" s="7">
        <f t="shared" si="16"/>
        <v>10.069620253164556</v>
      </c>
      <c r="N114" s="7">
        <f t="shared" si="17"/>
        <v>2.1089377326145904</v>
      </c>
      <c r="O114" s="7">
        <f t="shared" si="18"/>
        <v>10.958227848101266</v>
      </c>
      <c r="P114" s="7">
        <f t="shared" si="19"/>
        <v>2.2883463843764797</v>
      </c>
      <c r="Q114" s="7">
        <f t="shared" si="20"/>
        <v>0.62294411796510174</v>
      </c>
      <c r="R114" s="7">
        <f t="shared" si="21"/>
        <v>0.78534368622270434</v>
      </c>
      <c r="S114" s="7">
        <f t="shared" si="22"/>
        <v>0.91533273694250961</v>
      </c>
      <c r="T114" s="7">
        <f t="shared" si="23"/>
        <v>0.45525107519183194</v>
      </c>
      <c r="U114" s="7">
        <f t="shared" si="24"/>
        <v>0.69471790408053691</v>
      </c>
    </row>
    <row r="115" spans="1:21" x14ac:dyDescent="0.25">
      <c r="A115" s="1" t="s">
        <v>1658</v>
      </c>
      <c r="B115" s="1" t="s">
        <v>36</v>
      </c>
      <c r="C115" s="1">
        <v>27</v>
      </c>
      <c r="D115" s="1">
        <v>27</v>
      </c>
      <c r="E115" s="1">
        <v>12</v>
      </c>
      <c r="F115" s="1">
        <v>14</v>
      </c>
      <c r="G115" s="1">
        <v>80</v>
      </c>
      <c r="H115" s="7">
        <v>1.8187062180825984</v>
      </c>
      <c r="I115" s="7">
        <f t="shared" si="25"/>
        <v>22.694936708860759</v>
      </c>
      <c r="J115" s="7">
        <f t="shared" si="13"/>
        <v>5.3055534129377486</v>
      </c>
      <c r="K115" s="7">
        <f t="shared" si="14"/>
        <v>22.140506329113926</v>
      </c>
      <c r="L115" s="7">
        <f t="shared" si="15"/>
        <v>4.9144008395218908</v>
      </c>
      <c r="M115" s="7">
        <f t="shared" si="16"/>
        <v>10.069620253164556</v>
      </c>
      <c r="N115" s="7">
        <f t="shared" si="17"/>
        <v>2.1089377326145904</v>
      </c>
      <c r="O115" s="7">
        <f t="shared" si="18"/>
        <v>10.958227848101266</v>
      </c>
      <c r="P115" s="7">
        <f t="shared" si="19"/>
        <v>2.2883463843764797</v>
      </c>
      <c r="Q115" s="7">
        <f t="shared" si="20"/>
        <v>0.81142586947503292</v>
      </c>
      <c r="R115" s="7">
        <f t="shared" si="21"/>
        <v>0.98882729137716041</v>
      </c>
      <c r="S115" s="7">
        <f t="shared" si="22"/>
        <v>0.91533273694250961</v>
      </c>
      <c r="T115" s="7">
        <f t="shared" si="23"/>
        <v>1.3292446338833204</v>
      </c>
      <c r="U115" s="7">
        <f t="shared" si="24"/>
        <v>1.0112076329195059</v>
      </c>
    </row>
    <row r="116" spans="1:21" x14ac:dyDescent="0.25">
      <c r="A116" s="1" t="s">
        <v>1658</v>
      </c>
      <c r="B116" s="1" t="s">
        <v>36</v>
      </c>
      <c r="C116" s="1">
        <v>31</v>
      </c>
      <c r="D116" s="1">
        <v>28</v>
      </c>
      <c r="E116" s="1">
        <v>13</v>
      </c>
      <c r="F116" s="1">
        <v>14</v>
      </c>
      <c r="G116" s="1">
        <v>86</v>
      </c>
      <c r="H116" s="7">
        <v>2.2560460078960247</v>
      </c>
      <c r="I116" s="7">
        <f t="shared" si="25"/>
        <v>22.694936708860759</v>
      </c>
      <c r="J116" s="7">
        <f t="shared" si="13"/>
        <v>5.3055534129377486</v>
      </c>
      <c r="K116" s="7">
        <f t="shared" si="14"/>
        <v>22.140506329113926</v>
      </c>
      <c r="L116" s="7">
        <f t="shared" si="15"/>
        <v>4.9144008395218908</v>
      </c>
      <c r="M116" s="7">
        <f t="shared" si="16"/>
        <v>10.069620253164556</v>
      </c>
      <c r="N116" s="7">
        <f t="shared" si="17"/>
        <v>2.1089377326145904</v>
      </c>
      <c r="O116" s="7">
        <f t="shared" si="18"/>
        <v>10.958227848101266</v>
      </c>
      <c r="P116" s="7">
        <f t="shared" si="19"/>
        <v>2.2883463843764797</v>
      </c>
      <c r="Q116" s="7">
        <f t="shared" si="20"/>
        <v>1.5653528755147577</v>
      </c>
      <c r="R116" s="7">
        <f t="shared" si="21"/>
        <v>1.1923108965316165</v>
      </c>
      <c r="S116" s="7">
        <f t="shared" si="22"/>
        <v>1.3895051055881373</v>
      </c>
      <c r="T116" s="7">
        <f t="shared" si="23"/>
        <v>1.3292446338833204</v>
      </c>
      <c r="U116" s="7">
        <f t="shared" si="24"/>
        <v>1.3691033778794579</v>
      </c>
    </row>
    <row r="117" spans="1:21" x14ac:dyDescent="0.25">
      <c r="A117" s="1" t="s">
        <v>1658</v>
      </c>
      <c r="B117" s="1" t="s">
        <v>36</v>
      </c>
      <c r="C117" s="1">
        <v>25</v>
      </c>
      <c r="D117" s="1">
        <v>26</v>
      </c>
      <c r="E117" s="1">
        <v>10</v>
      </c>
      <c r="F117" s="1">
        <v>13</v>
      </c>
      <c r="G117" s="1">
        <v>74</v>
      </c>
      <c r="H117" s="7">
        <v>1.7021856236720769</v>
      </c>
      <c r="I117" s="7">
        <f t="shared" si="25"/>
        <v>22.694936708860759</v>
      </c>
      <c r="J117" s="7">
        <f t="shared" si="13"/>
        <v>5.3055534129377486</v>
      </c>
      <c r="K117" s="7">
        <f t="shared" si="14"/>
        <v>22.140506329113926</v>
      </c>
      <c r="L117" s="7">
        <f t="shared" si="15"/>
        <v>4.9144008395218908</v>
      </c>
      <c r="M117" s="7">
        <f t="shared" si="16"/>
        <v>10.069620253164556</v>
      </c>
      <c r="N117" s="7">
        <f t="shared" si="17"/>
        <v>2.1089377326145904</v>
      </c>
      <c r="O117" s="7">
        <f t="shared" si="18"/>
        <v>10.958227848101266</v>
      </c>
      <c r="P117" s="7">
        <f t="shared" si="19"/>
        <v>2.2883463843764797</v>
      </c>
      <c r="Q117" s="7">
        <f t="shared" si="20"/>
        <v>0.43446236645517061</v>
      </c>
      <c r="R117" s="7">
        <f t="shared" si="21"/>
        <v>0.78534368622270434</v>
      </c>
      <c r="S117" s="7">
        <f t="shared" si="22"/>
        <v>-3.3012000348745997E-2</v>
      </c>
      <c r="T117" s="7">
        <f t="shared" si="23"/>
        <v>0.89224785453757616</v>
      </c>
      <c r="U117" s="7">
        <f t="shared" si="24"/>
        <v>0.51976047671667625</v>
      </c>
    </row>
    <row r="118" spans="1:21" x14ac:dyDescent="0.25">
      <c r="A118" s="1" t="s">
        <v>1658</v>
      </c>
      <c r="B118" s="1" t="s">
        <v>36</v>
      </c>
      <c r="C118" s="1">
        <v>25</v>
      </c>
      <c r="D118" s="1">
        <v>23</v>
      </c>
      <c r="E118" s="1">
        <v>8</v>
      </c>
      <c r="F118" s="1">
        <v>12</v>
      </c>
      <c r="G118" s="1">
        <v>68</v>
      </c>
      <c r="H118" s="7">
        <v>1.6408253082847342</v>
      </c>
      <c r="I118" s="7">
        <f t="shared" si="25"/>
        <v>22.694936708860759</v>
      </c>
      <c r="J118" s="7">
        <f t="shared" si="13"/>
        <v>5.3055534129377486</v>
      </c>
      <c r="K118" s="7">
        <f t="shared" si="14"/>
        <v>22.140506329113926</v>
      </c>
      <c r="L118" s="7">
        <f t="shared" si="15"/>
        <v>4.9144008395218908</v>
      </c>
      <c r="M118" s="7">
        <f t="shared" si="16"/>
        <v>10.069620253164556</v>
      </c>
      <c r="N118" s="7">
        <f t="shared" si="17"/>
        <v>2.1089377326145904</v>
      </c>
      <c r="O118" s="7">
        <f t="shared" si="18"/>
        <v>10.958227848101266</v>
      </c>
      <c r="P118" s="7">
        <f t="shared" si="19"/>
        <v>2.2883463843764797</v>
      </c>
      <c r="Q118" s="7">
        <f t="shared" si="20"/>
        <v>0.43446236645517061</v>
      </c>
      <c r="R118" s="7">
        <f t="shared" si="21"/>
        <v>0.17489287075933599</v>
      </c>
      <c r="S118" s="7">
        <f t="shared" si="22"/>
        <v>-0.98135673764000164</v>
      </c>
      <c r="T118" s="7">
        <f t="shared" si="23"/>
        <v>0.45525107519183194</v>
      </c>
      <c r="U118" s="7">
        <f t="shared" si="24"/>
        <v>2.0812393691584219E-2</v>
      </c>
    </row>
    <row r="119" spans="1:21" x14ac:dyDescent="0.25">
      <c r="A119" s="1" t="s">
        <v>1658</v>
      </c>
      <c r="B119" s="1" t="s">
        <v>36</v>
      </c>
      <c r="C119" s="1">
        <v>21</v>
      </c>
      <c r="D119" s="1">
        <v>20</v>
      </c>
      <c r="E119" s="1">
        <v>9</v>
      </c>
      <c r="F119" s="1">
        <v>9</v>
      </c>
      <c r="G119" s="1">
        <v>59</v>
      </c>
      <c r="H119" s="7">
        <v>1.5607361839521232</v>
      </c>
      <c r="I119" s="7">
        <f t="shared" si="25"/>
        <v>22.694936708860759</v>
      </c>
      <c r="J119" s="7">
        <f t="shared" si="13"/>
        <v>5.3055534129377486</v>
      </c>
      <c r="K119" s="7">
        <f t="shared" si="14"/>
        <v>22.140506329113926</v>
      </c>
      <c r="L119" s="7">
        <f t="shared" si="15"/>
        <v>4.9144008395218908</v>
      </c>
      <c r="M119" s="7">
        <f t="shared" si="16"/>
        <v>10.069620253164556</v>
      </c>
      <c r="N119" s="7">
        <f t="shared" si="17"/>
        <v>2.1089377326145904</v>
      </c>
      <c r="O119" s="7">
        <f t="shared" si="18"/>
        <v>10.958227848101266</v>
      </c>
      <c r="P119" s="7">
        <f t="shared" si="19"/>
        <v>2.2883463843764797</v>
      </c>
      <c r="Q119" s="7">
        <f t="shared" si="20"/>
        <v>-0.31946463958455407</v>
      </c>
      <c r="R119" s="7">
        <f t="shared" si="21"/>
        <v>-0.43555794470403231</v>
      </c>
      <c r="S119" s="7">
        <f t="shared" si="22"/>
        <v>-0.5071843689943738</v>
      </c>
      <c r="T119" s="7">
        <f t="shared" si="23"/>
        <v>-0.85573926284540058</v>
      </c>
      <c r="U119" s="7">
        <f t="shared" si="24"/>
        <v>-0.52948655403209011</v>
      </c>
    </row>
    <row r="120" spans="1:21" x14ac:dyDescent="0.25">
      <c r="A120" s="1" t="s">
        <v>1658</v>
      </c>
      <c r="B120" s="1" t="s">
        <v>36</v>
      </c>
      <c r="C120" s="1">
        <v>23</v>
      </c>
      <c r="D120" s="1">
        <v>22</v>
      </c>
      <c r="E120" s="1">
        <v>11</v>
      </c>
      <c r="F120" s="1">
        <v>12</v>
      </c>
      <c r="G120" s="1">
        <v>68</v>
      </c>
      <c r="H120" s="7">
        <v>1.4232501627054275</v>
      </c>
      <c r="I120" s="7">
        <f t="shared" si="25"/>
        <v>22.694936708860759</v>
      </c>
      <c r="J120" s="7">
        <f t="shared" si="13"/>
        <v>5.3055534129377486</v>
      </c>
      <c r="K120" s="7">
        <f t="shared" si="14"/>
        <v>22.140506329113926</v>
      </c>
      <c r="L120" s="7">
        <f t="shared" si="15"/>
        <v>4.9144008395218908</v>
      </c>
      <c r="M120" s="7">
        <f t="shared" si="16"/>
        <v>10.069620253164556</v>
      </c>
      <c r="N120" s="7">
        <f t="shared" si="17"/>
        <v>2.1089377326145904</v>
      </c>
      <c r="O120" s="7">
        <f t="shared" si="18"/>
        <v>10.958227848101266</v>
      </c>
      <c r="P120" s="7">
        <f t="shared" si="19"/>
        <v>2.2883463843764797</v>
      </c>
      <c r="Q120" s="7">
        <f t="shared" si="20"/>
        <v>5.7498863435308259E-2</v>
      </c>
      <c r="R120" s="7">
        <f t="shared" si="21"/>
        <v>-2.8590734395120113E-2</v>
      </c>
      <c r="S120" s="7">
        <f t="shared" si="22"/>
        <v>0.44116036829688182</v>
      </c>
      <c r="T120" s="7">
        <f t="shared" si="23"/>
        <v>0.45525107519183194</v>
      </c>
      <c r="U120" s="7">
        <f t="shared" si="24"/>
        <v>0.23132989313222546</v>
      </c>
    </row>
    <row r="121" spans="1:21" x14ac:dyDescent="0.25">
      <c r="A121" s="1" t="s">
        <v>1658</v>
      </c>
      <c r="B121" s="1" t="s">
        <v>36</v>
      </c>
      <c r="C121" s="1">
        <v>20</v>
      </c>
      <c r="D121" s="1">
        <v>22</v>
      </c>
      <c r="E121" s="1">
        <v>10</v>
      </c>
      <c r="F121" s="1">
        <v>11</v>
      </c>
      <c r="G121" s="1">
        <v>63</v>
      </c>
      <c r="H121" s="7">
        <v>1.1435437497937309</v>
      </c>
      <c r="I121" s="7">
        <f t="shared" si="25"/>
        <v>22.694936708860759</v>
      </c>
      <c r="J121" s="7">
        <f t="shared" si="13"/>
        <v>5.3055534129377486</v>
      </c>
      <c r="K121" s="7">
        <f t="shared" si="14"/>
        <v>22.140506329113926</v>
      </c>
      <c r="L121" s="7">
        <f t="shared" si="15"/>
        <v>4.9144008395218908</v>
      </c>
      <c r="M121" s="7">
        <f t="shared" si="16"/>
        <v>10.069620253164556</v>
      </c>
      <c r="N121" s="7">
        <f t="shared" si="17"/>
        <v>2.1089377326145904</v>
      </c>
      <c r="O121" s="7">
        <f t="shared" si="18"/>
        <v>10.958227848101266</v>
      </c>
      <c r="P121" s="7">
        <f t="shared" si="19"/>
        <v>2.2883463843764797</v>
      </c>
      <c r="Q121" s="7">
        <f t="shared" si="20"/>
        <v>-0.50794639109448525</v>
      </c>
      <c r="R121" s="7">
        <f t="shared" si="21"/>
        <v>-2.8590734395120113E-2</v>
      </c>
      <c r="S121" s="7">
        <f t="shared" si="22"/>
        <v>-3.3012000348745997E-2</v>
      </c>
      <c r="T121" s="7">
        <f t="shared" si="23"/>
        <v>1.8254295846087756E-2</v>
      </c>
      <c r="U121" s="7">
        <f t="shared" si="24"/>
        <v>-0.13782370749806591</v>
      </c>
    </row>
    <row r="122" spans="1:21" x14ac:dyDescent="0.25">
      <c r="A122" s="1" t="s">
        <v>1658</v>
      </c>
      <c r="B122" s="1" t="s">
        <v>36</v>
      </c>
      <c r="C122" s="1">
        <v>23</v>
      </c>
      <c r="D122" s="1">
        <v>19</v>
      </c>
      <c r="E122" s="1">
        <v>9</v>
      </c>
      <c r="F122" s="1">
        <v>10</v>
      </c>
      <c r="G122" s="1">
        <v>61</v>
      </c>
      <c r="H122" s="7">
        <v>1.6012815380508714</v>
      </c>
      <c r="I122" s="7">
        <f t="shared" si="25"/>
        <v>22.694936708860759</v>
      </c>
      <c r="J122" s="7">
        <f t="shared" si="13"/>
        <v>5.3055534129377486</v>
      </c>
      <c r="K122" s="7">
        <f t="shared" si="14"/>
        <v>22.140506329113926</v>
      </c>
      <c r="L122" s="7">
        <f t="shared" si="15"/>
        <v>4.9144008395218908</v>
      </c>
      <c r="M122" s="7">
        <f t="shared" si="16"/>
        <v>10.069620253164556</v>
      </c>
      <c r="N122" s="7">
        <f t="shared" si="17"/>
        <v>2.1089377326145904</v>
      </c>
      <c r="O122" s="7">
        <f t="shared" si="18"/>
        <v>10.958227848101266</v>
      </c>
      <c r="P122" s="7">
        <f t="shared" si="19"/>
        <v>2.2883463843764797</v>
      </c>
      <c r="Q122" s="7">
        <f t="shared" si="20"/>
        <v>5.7498863435308259E-2</v>
      </c>
      <c r="R122" s="7">
        <f t="shared" si="21"/>
        <v>-0.63904154985848838</v>
      </c>
      <c r="S122" s="7">
        <f t="shared" si="22"/>
        <v>-0.5071843689943738</v>
      </c>
      <c r="T122" s="7">
        <f t="shared" si="23"/>
        <v>-0.41874248349965643</v>
      </c>
      <c r="U122" s="7">
        <f t="shared" si="24"/>
        <v>-0.37686738472930259</v>
      </c>
    </row>
    <row r="123" spans="1:21" x14ac:dyDescent="0.25">
      <c r="A123" s="1" t="s">
        <v>1658</v>
      </c>
      <c r="B123" s="1" t="s">
        <v>36</v>
      </c>
      <c r="C123" s="1">
        <v>25</v>
      </c>
      <c r="D123" s="1">
        <v>25</v>
      </c>
      <c r="E123" s="1">
        <v>11</v>
      </c>
      <c r="F123" s="1">
        <v>12</v>
      </c>
      <c r="G123" s="1">
        <v>73</v>
      </c>
      <c r="H123" s="7">
        <v>1.6092680291808414</v>
      </c>
      <c r="I123" s="7">
        <f t="shared" si="25"/>
        <v>22.694936708860759</v>
      </c>
      <c r="J123" s="7">
        <f t="shared" si="13"/>
        <v>5.3055534129377486</v>
      </c>
      <c r="K123" s="7">
        <f t="shared" si="14"/>
        <v>22.140506329113926</v>
      </c>
      <c r="L123" s="7">
        <f t="shared" si="15"/>
        <v>4.9144008395218908</v>
      </c>
      <c r="M123" s="7">
        <f t="shared" si="16"/>
        <v>10.069620253164556</v>
      </c>
      <c r="N123" s="7">
        <f t="shared" si="17"/>
        <v>2.1089377326145904</v>
      </c>
      <c r="O123" s="7">
        <f t="shared" si="18"/>
        <v>10.958227848101266</v>
      </c>
      <c r="P123" s="7">
        <f t="shared" si="19"/>
        <v>2.2883463843764797</v>
      </c>
      <c r="Q123" s="7">
        <f t="shared" si="20"/>
        <v>0.43446236645517061</v>
      </c>
      <c r="R123" s="7">
        <f t="shared" si="21"/>
        <v>0.58186008106824816</v>
      </c>
      <c r="S123" s="7">
        <f t="shared" si="22"/>
        <v>0.44116036829688182</v>
      </c>
      <c r="T123" s="7">
        <f t="shared" si="23"/>
        <v>0.45525107519183194</v>
      </c>
      <c r="U123" s="7">
        <f t="shared" si="24"/>
        <v>0.47818347275303313</v>
      </c>
    </row>
    <row r="124" spans="1:21" x14ac:dyDescent="0.25">
      <c r="A124" s="1" t="s">
        <v>1658</v>
      </c>
      <c r="B124" s="1" t="s">
        <v>36</v>
      </c>
      <c r="C124" s="1">
        <v>24</v>
      </c>
      <c r="D124" s="1">
        <v>21</v>
      </c>
      <c r="E124" s="1">
        <v>11</v>
      </c>
      <c r="F124" s="1">
        <v>10</v>
      </c>
      <c r="G124" s="1">
        <v>66</v>
      </c>
      <c r="H124" s="7">
        <v>1.84668795692624</v>
      </c>
      <c r="I124" s="7">
        <f t="shared" si="25"/>
        <v>22.694936708860759</v>
      </c>
      <c r="J124" s="7">
        <f t="shared" si="13"/>
        <v>5.3055534129377486</v>
      </c>
      <c r="K124" s="7">
        <f t="shared" si="14"/>
        <v>22.140506329113926</v>
      </c>
      <c r="L124" s="7">
        <f t="shared" si="15"/>
        <v>4.9144008395218908</v>
      </c>
      <c r="M124" s="7">
        <f t="shared" si="16"/>
        <v>10.069620253164556</v>
      </c>
      <c r="N124" s="7">
        <f t="shared" si="17"/>
        <v>2.1089377326145904</v>
      </c>
      <c r="O124" s="7">
        <f t="shared" si="18"/>
        <v>10.958227848101266</v>
      </c>
      <c r="P124" s="7">
        <f t="shared" si="19"/>
        <v>2.2883463843764797</v>
      </c>
      <c r="Q124" s="7">
        <f t="shared" si="20"/>
        <v>0.24598061494523943</v>
      </c>
      <c r="R124" s="7">
        <f t="shared" si="21"/>
        <v>-0.23207433954957621</v>
      </c>
      <c r="S124" s="7">
        <f t="shared" si="22"/>
        <v>0.44116036829688182</v>
      </c>
      <c r="T124" s="7">
        <f t="shared" si="23"/>
        <v>-0.41874248349965643</v>
      </c>
      <c r="U124" s="7">
        <f t="shared" si="24"/>
        <v>9.0810400482221471E-3</v>
      </c>
    </row>
    <row r="125" spans="1:21" x14ac:dyDescent="0.25">
      <c r="A125" s="1" t="s">
        <v>1658</v>
      </c>
      <c r="B125" s="1" t="s">
        <v>36</v>
      </c>
      <c r="C125" s="1">
        <v>24</v>
      </c>
      <c r="D125" s="1">
        <v>24</v>
      </c>
      <c r="E125" s="1">
        <v>11</v>
      </c>
      <c r="F125" s="1">
        <v>10</v>
      </c>
      <c r="G125" s="1">
        <v>69</v>
      </c>
      <c r="H125" s="7">
        <v>2.0159619451027746</v>
      </c>
      <c r="I125" s="7">
        <f t="shared" si="25"/>
        <v>22.694936708860759</v>
      </c>
      <c r="J125" s="7">
        <f t="shared" si="13"/>
        <v>5.3055534129377486</v>
      </c>
      <c r="K125" s="7">
        <f t="shared" si="14"/>
        <v>22.140506329113926</v>
      </c>
      <c r="L125" s="7">
        <f t="shared" si="15"/>
        <v>4.9144008395218908</v>
      </c>
      <c r="M125" s="7">
        <f t="shared" si="16"/>
        <v>10.069620253164556</v>
      </c>
      <c r="N125" s="7">
        <f t="shared" si="17"/>
        <v>2.1089377326145904</v>
      </c>
      <c r="O125" s="7">
        <f t="shared" si="18"/>
        <v>10.958227848101266</v>
      </c>
      <c r="P125" s="7">
        <f t="shared" si="19"/>
        <v>2.2883463843764797</v>
      </c>
      <c r="Q125" s="7">
        <f t="shared" si="20"/>
        <v>0.24598061494523943</v>
      </c>
      <c r="R125" s="7">
        <f t="shared" si="21"/>
        <v>0.37837647591379209</v>
      </c>
      <c r="S125" s="7">
        <f t="shared" si="22"/>
        <v>0.44116036829688182</v>
      </c>
      <c r="T125" s="7">
        <f t="shared" si="23"/>
        <v>-0.41874248349965643</v>
      </c>
      <c r="U125" s="7">
        <f t="shared" si="24"/>
        <v>0.16169374391406421</v>
      </c>
    </row>
    <row r="126" spans="1:21" x14ac:dyDescent="0.25">
      <c r="A126" s="1" t="s">
        <v>1658</v>
      </c>
      <c r="B126" s="1" t="s">
        <v>36</v>
      </c>
      <c r="C126" s="1">
        <v>19</v>
      </c>
      <c r="D126" s="1">
        <v>21</v>
      </c>
      <c r="E126" s="1">
        <v>9</v>
      </c>
      <c r="F126" s="1">
        <v>6</v>
      </c>
      <c r="G126" s="1">
        <v>55</v>
      </c>
      <c r="H126" s="7">
        <v>1.8776690404970264</v>
      </c>
      <c r="I126" s="7">
        <f t="shared" si="25"/>
        <v>22.694936708860759</v>
      </c>
      <c r="J126" s="7">
        <f t="shared" si="13"/>
        <v>5.3055534129377486</v>
      </c>
      <c r="K126" s="7">
        <f t="shared" si="14"/>
        <v>22.140506329113926</v>
      </c>
      <c r="L126" s="7">
        <f t="shared" si="15"/>
        <v>4.9144008395218908</v>
      </c>
      <c r="M126" s="7">
        <f t="shared" si="16"/>
        <v>10.069620253164556</v>
      </c>
      <c r="N126" s="7">
        <f t="shared" si="17"/>
        <v>2.1089377326145904</v>
      </c>
      <c r="O126" s="7">
        <f t="shared" si="18"/>
        <v>10.958227848101266</v>
      </c>
      <c r="P126" s="7">
        <f t="shared" si="19"/>
        <v>2.2883463843764797</v>
      </c>
      <c r="Q126" s="7">
        <f t="shared" si="20"/>
        <v>-0.69642814260441643</v>
      </c>
      <c r="R126" s="7">
        <f t="shared" si="21"/>
        <v>-0.23207433954957621</v>
      </c>
      <c r="S126" s="7">
        <f t="shared" si="22"/>
        <v>-0.5071843689943738</v>
      </c>
      <c r="T126" s="7">
        <f t="shared" si="23"/>
        <v>-2.1667296008826331</v>
      </c>
      <c r="U126" s="7">
        <f t="shared" si="24"/>
        <v>-0.9006041130077499</v>
      </c>
    </row>
    <row r="127" spans="1:21" x14ac:dyDescent="0.25">
      <c r="A127" s="1" t="s">
        <v>1658</v>
      </c>
      <c r="B127" s="1" t="s">
        <v>36</v>
      </c>
      <c r="C127" s="1">
        <v>24</v>
      </c>
      <c r="D127" s="1">
        <v>26</v>
      </c>
      <c r="E127" s="1">
        <v>12</v>
      </c>
      <c r="F127" s="1">
        <v>12</v>
      </c>
      <c r="G127" s="1">
        <v>74</v>
      </c>
      <c r="H127" s="7">
        <v>1.887883090687176</v>
      </c>
      <c r="I127" s="7">
        <f t="shared" si="25"/>
        <v>22.694936708860759</v>
      </c>
      <c r="J127" s="7">
        <f t="shared" si="13"/>
        <v>5.3055534129377486</v>
      </c>
      <c r="K127" s="7">
        <f t="shared" si="14"/>
        <v>22.140506329113926</v>
      </c>
      <c r="L127" s="7">
        <f t="shared" si="15"/>
        <v>4.9144008395218908</v>
      </c>
      <c r="M127" s="7">
        <f t="shared" si="16"/>
        <v>10.069620253164556</v>
      </c>
      <c r="N127" s="7">
        <f t="shared" si="17"/>
        <v>2.1089377326145904</v>
      </c>
      <c r="O127" s="7">
        <f t="shared" si="18"/>
        <v>10.958227848101266</v>
      </c>
      <c r="P127" s="7">
        <f t="shared" si="19"/>
        <v>2.2883463843764797</v>
      </c>
      <c r="Q127" s="7">
        <f t="shared" si="20"/>
        <v>0.24598061494523943</v>
      </c>
      <c r="R127" s="7">
        <f t="shared" si="21"/>
        <v>0.78534368622270434</v>
      </c>
      <c r="S127" s="7">
        <f t="shared" si="22"/>
        <v>0.91533273694250961</v>
      </c>
      <c r="T127" s="7">
        <f t="shared" si="23"/>
        <v>0.45525107519183194</v>
      </c>
      <c r="U127" s="7">
        <f t="shared" si="24"/>
        <v>0.60047702832557137</v>
      </c>
    </row>
    <row r="128" spans="1:21" x14ac:dyDescent="0.25">
      <c r="A128" s="1" t="s">
        <v>1658</v>
      </c>
      <c r="B128" s="1" t="s">
        <v>36</v>
      </c>
      <c r="C128" s="1">
        <v>21</v>
      </c>
      <c r="D128" s="1">
        <v>17</v>
      </c>
      <c r="E128" s="1">
        <v>7</v>
      </c>
      <c r="F128" s="1">
        <v>9</v>
      </c>
      <c r="G128" s="1">
        <v>54</v>
      </c>
      <c r="H128" s="7">
        <v>1.5191090506255001</v>
      </c>
      <c r="I128" s="7">
        <f t="shared" si="25"/>
        <v>22.694936708860759</v>
      </c>
      <c r="J128" s="7">
        <f t="shared" si="13"/>
        <v>5.3055534129377486</v>
      </c>
      <c r="K128" s="7">
        <f t="shared" si="14"/>
        <v>22.140506329113926</v>
      </c>
      <c r="L128" s="7">
        <f t="shared" si="15"/>
        <v>4.9144008395218908</v>
      </c>
      <c r="M128" s="7">
        <f t="shared" si="16"/>
        <v>10.069620253164556</v>
      </c>
      <c r="N128" s="7">
        <f t="shared" si="17"/>
        <v>2.1089377326145904</v>
      </c>
      <c r="O128" s="7">
        <f t="shared" si="18"/>
        <v>10.958227848101266</v>
      </c>
      <c r="P128" s="7">
        <f t="shared" si="19"/>
        <v>2.2883463843764797</v>
      </c>
      <c r="Q128" s="7">
        <f t="shared" si="20"/>
        <v>-0.31946463958455407</v>
      </c>
      <c r="R128" s="7">
        <f t="shared" si="21"/>
        <v>-1.0460087601674006</v>
      </c>
      <c r="S128" s="7">
        <f t="shared" si="22"/>
        <v>-1.4555291062856295</v>
      </c>
      <c r="T128" s="7">
        <f t="shared" si="23"/>
        <v>-0.85573926284540058</v>
      </c>
      <c r="U128" s="7">
        <f t="shared" si="24"/>
        <v>-0.91918544222074616</v>
      </c>
    </row>
    <row r="129" spans="1:21" x14ac:dyDescent="0.25">
      <c r="A129" s="1" t="s">
        <v>1658</v>
      </c>
      <c r="B129" s="1" t="s">
        <v>36</v>
      </c>
      <c r="C129" s="1">
        <v>28</v>
      </c>
      <c r="D129" s="1">
        <v>27</v>
      </c>
      <c r="E129" s="1">
        <v>11</v>
      </c>
      <c r="F129" s="1">
        <v>14</v>
      </c>
      <c r="G129" s="1">
        <v>80</v>
      </c>
      <c r="H129" s="7">
        <v>2.1152680620571416</v>
      </c>
      <c r="I129" s="7">
        <f t="shared" si="25"/>
        <v>22.694936708860759</v>
      </c>
      <c r="J129" s="7">
        <f t="shared" si="13"/>
        <v>5.3055534129377486</v>
      </c>
      <c r="K129" s="7">
        <f t="shared" si="14"/>
        <v>22.140506329113926</v>
      </c>
      <c r="L129" s="7">
        <f t="shared" si="15"/>
        <v>4.9144008395218908</v>
      </c>
      <c r="M129" s="7">
        <f t="shared" si="16"/>
        <v>10.069620253164556</v>
      </c>
      <c r="N129" s="7">
        <f t="shared" si="17"/>
        <v>2.1089377326145904</v>
      </c>
      <c r="O129" s="7">
        <f t="shared" si="18"/>
        <v>10.958227848101266</v>
      </c>
      <c r="P129" s="7">
        <f t="shared" si="19"/>
        <v>2.2883463843764797</v>
      </c>
      <c r="Q129" s="7">
        <f t="shared" si="20"/>
        <v>0.99990762098496411</v>
      </c>
      <c r="R129" s="7">
        <f t="shared" si="21"/>
        <v>0.98882729137716041</v>
      </c>
      <c r="S129" s="7">
        <f t="shared" si="22"/>
        <v>0.44116036829688182</v>
      </c>
      <c r="T129" s="7">
        <f t="shared" si="23"/>
        <v>1.3292446338833204</v>
      </c>
      <c r="U129" s="7">
        <f t="shared" si="24"/>
        <v>0.93978497863558164</v>
      </c>
    </row>
    <row r="130" spans="1:21" x14ac:dyDescent="0.25">
      <c r="A130" s="1" t="s">
        <v>1658</v>
      </c>
      <c r="B130" s="1" t="s">
        <v>36</v>
      </c>
      <c r="C130" s="1">
        <v>29</v>
      </c>
      <c r="D130" s="1">
        <v>20</v>
      </c>
      <c r="E130" s="1">
        <v>12</v>
      </c>
      <c r="F130" s="1">
        <v>14</v>
      </c>
      <c r="G130" s="1">
        <v>75</v>
      </c>
      <c r="H130" s="7">
        <v>1.9215378456610455</v>
      </c>
      <c r="I130" s="7">
        <f t="shared" si="25"/>
        <v>22.694936708860759</v>
      </c>
      <c r="J130" s="7">
        <f t="shared" si="13"/>
        <v>5.3055534129377486</v>
      </c>
      <c r="K130" s="7">
        <f t="shared" si="14"/>
        <v>22.140506329113926</v>
      </c>
      <c r="L130" s="7">
        <f t="shared" si="15"/>
        <v>4.9144008395218908</v>
      </c>
      <c r="M130" s="7">
        <f t="shared" si="16"/>
        <v>10.069620253164556</v>
      </c>
      <c r="N130" s="7">
        <f t="shared" si="17"/>
        <v>2.1089377326145904</v>
      </c>
      <c r="O130" s="7">
        <f t="shared" si="18"/>
        <v>10.958227848101266</v>
      </c>
      <c r="P130" s="7">
        <f t="shared" si="19"/>
        <v>2.2883463843764797</v>
      </c>
      <c r="Q130" s="7">
        <f t="shared" si="20"/>
        <v>1.1883893724948953</v>
      </c>
      <c r="R130" s="7">
        <f t="shared" si="21"/>
        <v>-0.43555794470403231</v>
      </c>
      <c r="S130" s="7">
        <f t="shared" si="22"/>
        <v>0.91533273694250961</v>
      </c>
      <c r="T130" s="7">
        <f t="shared" si="23"/>
        <v>1.3292446338833204</v>
      </c>
      <c r="U130" s="7">
        <f t="shared" si="24"/>
        <v>0.74935219965417321</v>
      </c>
    </row>
    <row r="131" spans="1:21" x14ac:dyDescent="0.25">
      <c r="A131" s="1" t="s">
        <v>1658</v>
      </c>
      <c r="B131" s="1" t="s">
        <v>36</v>
      </c>
      <c r="C131" s="1">
        <v>24</v>
      </c>
      <c r="D131" s="1">
        <v>23</v>
      </c>
      <c r="E131" s="1">
        <v>11</v>
      </c>
      <c r="F131" s="1">
        <v>13</v>
      </c>
      <c r="G131" s="1">
        <v>71</v>
      </c>
      <c r="H131" s="7">
        <v>1.6641005886756877</v>
      </c>
      <c r="I131" s="7">
        <f t="shared" si="25"/>
        <v>22.694936708860759</v>
      </c>
      <c r="J131" s="7">
        <f t="shared" ref="J131:J194" si="26">_xlfn.STDEV.S(C:C)</f>
        <v>5.3055534129377486</v>
      </c>
      <c r="K131" s="7">
        <f t="shared" ref="K131:K194" si="27">AVERAGE(D:D)</f>
        <v>22.140506329113926</v>
      </c>
      <c r="L131" s="7">
        <f t="shared" ref="L131:L194" si="28">_xlfn.STDEV.S(D:D)</f>
        <v>4.9144008395218908</v>
      </c>
      <c r="M131" s="7">
        <f t="shared" ref="M131:M194" si="29">AVERAGE(E:E)</f>
        <v>10.069620253164556</v>
      </c>
      <c r="N131" s="7">
        <f t="shared" ref="N131:N194" si="30">_xlfn.STDEV.S(E:E)</f>
        <v>2.1089377326145904</v>
      </c>
      <c r="O131" s="7">
        <f t="shared" ref="O131:O194" si="31">AVERAGE(F:F)</f>
        <v>10.958227848101266</v>
      </c>
      <c r="P131" s="7">
        <f t="shared" ref="P131:P194" si="32">_xlfn.STDEV.S(F:F)</f>
        <v>2.2883463843764797</v>
      </c>
      <c r="Q131" s="7">
        <f t="shared" ref="Q131:Q194" si="33">STANDARDIZE(C131,I131,J131)</f>
        <v>0.24598061494523943</v>
      </c>
      <c r="R131" s="7">
        <f t="shared" ref="R131:R194" si="34">STANDARDIZE(D131,K131,L131)</f>
        <v>0.17489287075933599</v>
      </c>
      <c r="S131" s="7">
        <f t="shared" ref="S131:S194" si="35">STANDARDIZE(E131,M131,N131)</f>
        <v>0.44116036829688182</v>
      </c>
      <c r="T131" s="7">
        <f t="shared" ref="T131:T194" si="36">STANDARDIZE(F131,O131,P131)</f>
        <v>0.89224785453757616</v>
      </c>
      <c r="U131" s="7">
        <f t="shared" ref="U131:U194" si="37">AVERAGE(Q131:T131)</f>
        <v>0.43857042713475836</v>
      </c>
    </row>
    <row r="132" spans="1:21" x14ac:dyDescent="0.25">
      <c r="A132" s="1" t="s">
        <v>1658</v>
      </c>
      <c r="B132" s="1" t="s">
        <v>36</v>
      </c>
      <c r="C132" s="1">
        <v>22</v>
      </c>
      <c r="D132" s="1">
        <v>21</v>
      </c>
      <c r="E132" s="1">
        <v>10</v>
      </c>
      <c r="F132" s="1">
        <v>9</v>
      </c>
      <c r="G132" s="1">
        <v>62</v>
      </c>
      <c r="H132" s="7">
        <v>1.5892265495016826</v>
      </c>
      <c r="I132" s="7">
        <f t="shared" ref="I132:I195" si="38">AVERAGE(C:C)</f>
        <v>22.694936708860759</v>
      </c>
      <c r="J132" s="7">
        <f t="shared" si="26"/>
        <v>5.3055534129377486</v>
      </c>
      <c r="K132" s="7">
        <f t="shared" si="27"/>
        <v>22.140506329113926</v>
      </c>
      <c r="L132" s="7">
        <f t="shared" si="28"/>
        <v>4.9144008395218908</v>
      </c>
      <c r="M132" s="7">
        <f t="shared" si="29"/>
        <v>10.069620253164556</v>
      </c>
      <c r="N132" s="7">
        <f t="shared" si="30"/>
        <v>2.1089377326145904</v>
      </c>
      <c r="O132" s="7">
        <f t="shared" si="31"/>
        <v>10.958227848101266</v>
      </c>
      <c r="P132" s="7">
        <f t="shared" si="32"/>
        <v>2.2883463843764797</v>
      </c>
      <c r="Q132" s="7">
        <f t="shared" si="33"/>
        <v>-0.13098288807462291</v>
      </c>
      <c r="R132" s="7">
        <f t="shared" si="34"/>
        <v>-0.23207433954957621</v>
      </c>
      <c r="S132" s="7">
        <f t="shared" si="35"/>
        <v>-3.3012000348745997E-2</v>
      </c>
      <c r="T132" s="7">
        <f t="shared" si="36"/>
        <v>-0.85573926284540058</v>
      </c>
      <c r="U132" s="7">
        <f t="shared" si="37"/>
        <v>-0.31295212270458644</v>
      </c>
    </row>
    <row r="133" spans="1:21" x14ac:dyDescent="0.25">
      <c r="A133" s="1" t="s">
        <v>1658</v>
      </c>
      <c r="B133" s="1" t="s">
        <v>36</v>
      </c>
      <c r="C133" s="1">
        <v>23</v>
      </c>
      <c r="D133" s="1">
        <v>20</v>
      </c>
      <c r="E133" s="1">
        <v>9</v>
      </c>
      <c r="F133" s="1">
        <v>10</v>
      </c>
      <c r="G133" s="1">
        <v>62</v>
      </c>
      <c r="H133" s="7">
        <v>1.6408253082847339</v>
      </c>
      <c r="I133" s="7">
        <f t="shared" si="38"/>
        <v>22.694936708860759</v>
      </c>
      <c r="J133" s="7">
        <f t="shared" si="26"/>
        <v>5.3055534129377486</v>
      </c>
      <c r="K133" s="7">
        <f t="shared" si="27"/>
        <v>22.140506329113926</v>
      </c>
      <c r="L133" s="7">
        <f t="shared" si="28"/>
        <v>4.9144008395218908</v>
      </c>
      <c r="M133" s="7">
        <f t="shared" si="29"/>
        <v>10.069620253164556</v>
      </c>
      <c r="N133" s="7">
        <f t="shared" si="30"/>
        <v>2.1089377326145904</v>
      </c>
      <c r="O133" s="7">
        <f t="shared" si="31"/>
        <v>10.958227848101266</v>
      </c>
      <c r="P133" s="7">
        <f t="shared" si="32"/>
        <v>2.2883463843764797</v>
      </c>
      <c r="Q133" s="7">
        <f t="shared" si="33"/>
        <v>5.7498863435308259E-2</v>
      </c>
      <c r="R133" s="7">
        <f t="shared" si="34"/>
        <v>-0.43555794470403231</v>
      </c>
      <c r="S133" s="7">
        <f t="shared" si="35"/>
        <v>-0.5071843689943738</v>
      </c>
      <c r="T133" s="7">
        <f t="shared" si="36"/>
        <v>-0.41874248349965643</v>
      </c>
      <c r="U133" s="7">
        <f t="shared" si="37"/>
        <v>-0.3259964834406886</v>
      </c>
    </row>
    <row r="134" spans="1:21" x14ac:dyDescent="0.25">
      <c r="A134" s="1" t="s">
        <v>1658</v>
      </c>
      <c r="B134" s="1" t="s">
        <v>36</v>
      </c>
      <c r="C134" s="1">
        <v>23</v>
      </c>
      <c r="D134" s="1">
        <v>23</v>
      </c>
      <c r="E134" s="1">
        <v>7</v>
      </c>
      <c r="F134" s="1">
        <v>9</v>
      </c>
      <c r="G134" s="1">
        <v>62</v>
      </c>
      <c r="H134" s="7">
        <v>1.9644272343292228</v>
      </c>
      <c r="I134" s="7">
        <f t="shared" si="38"/>
        <v>22.694936708860759</v>
      </c>
      <c r="J134" s="7">
        <f t="shared" si="26"/>
        <v>5.3055534129377486</v>
      </c>
      <c r="K134" s="7">
        <f t="shared" si="27"/>
        <v>22.140506329113926</v>
      </c>
      <c r="L134" s="7">
        <f t="shared" si="28"/>
        <v>4.9144008395218908</v>
      </c>
      <c r="M134" s="7">
        <f t="shared" si="29"/>
        <v>10.069620253164556</v>
      </c>
      <c r="N134" s="7">
        <f t="shared" si="30"/>
        <v>2.1089377326145904</v>
      </c>
      <c r="O134" s="7">
        <f t="shared" si="31"/>
        <v>10.958227848101266</v>
      </c>
      <c r="P134" s="7">
        <f t="shared" si="32"/>
        <v>2.2883463843764797</v>
      </c>
      <c r="Q134" s="7">
        <f t="shared" si="33"/>
        <v>5.7498863435308259E-2</v>
      </c>
      <c r="R134" s="7">
        <f t="shared" si="34"/>
        <v>0.17489287075933599</v>
      </c>
      <c r="S134" s="7">
        <f t="shared" si="35"/>
        <v>-1.4555291062856295</v>
      </c>
      <c r="T134" s="7">
        <f t="shared" si="36"/>
        <v>-0.85573926284540058</v>
      </c>
      <c r="U134" s="7">
        <f t="shared" si="37"/>
        <v>-0.51971915873409646</v>
      </c>
    </row>
    <row r="135" spans="1:21" x14ac:dyDescent="0.25">
      <c r="A135" s="1" t="s">
        <v>1658</v>
      </c>
      <c r="B135" s="1" t="s">
        <v>36</v>
      </c>
      <c r="C135" s="1">
        <v>24</v>
      </c>
      <c r="D135" s="1">
        <v>24</v>
      </c>
      <c r="E135" s="1">
        <v>10</v>
      </c>
      <c r="F135" s="1">
        <v>11</v>
      </c>
      <c r="G135" s="1">
        <v>69</v>
      </c>
      <c r="H135" s="7">
        <v>1.7974340685458345</v>
      </c>
      <c r="I135" s="7">
        <f t="shared" si="38"/>
        <v>22.694936708860759</v>
      </c>
      <c r="J135" s="7">
        <f t="shared" si="26"/>
        <v>5.3055534129377486</v>
      </c>
      <c r="K135" s="7">
        <f t="shared" si="27"/>
        <v>22.140506329113926</v>
      </c>
      <c r="L135" s="7">
        <f t="shared" si="28"/>
        <v>4.9144008395218908</v>
      </c>
      <c r="M135" s="7">
        <f t="shared" si="29"/>
        <v>10.069620253164556</v>
      </c>
      <c r="N135" s="7">
        <f t="shared" si="30"/>
        <v>2.1089377326145904</v>
      </c>
      <c r="O135" s="7">
        <f t="shared" si="31"/>
        <v>10.958227848101266</v>
      </c>
      <c r="P135" s="7">
        <f t="shared" si="32"/>
        <v>2.2883463843764797</v>
      </c>
      <c r="Q135" s="7">
        <f t="shared" si="33"/>
        <v>0.24598061494523943</v>
      </c>
      <c r="R135" s="7">
        <f t="shared" si="34"/>
        <v>0.37837647591379209</v>
      </c>
      <c r="S135" s="7">
        <f t="shared" si="35"/>
        <v>-3.3012000348745997E-2</v>
      </c>
      <c r="T135" s="7">
        <f t="shared" si="36"/>
        <v>1.8254295846087756E-2</v>
      </c>
      <c r="U135" s="7">
        <f t="shared" si="37"/>
        <v>0.15239984658909331</v>
      </c>
    </row>
    <row r="136" spans="1:21" x14ac:dyDescent="0.25">
      <c r="A136" s="1" t="s">
        <v>1658</v>
      </c>
      <c r="B136" s="1" t="s">
        <v>36</v>
      </c>
      <c r="C136" s="1">
        <v>26</v>
      </c>
      <c r="D136" s="1">
        <v>24</v>
      </c>
      <c r="E136" s="1">
        <v>10</v>
      </c>
      <c r="F136" s="1">
        <v>11</v>
      </c>
      <c r="G136" s="1">
        <v>71</v>
      </c>
      <c r="H136" s="7">
        <v>1.8081014266989468</v>
      </c>
      <c r="I136" s="7">
        <f t="shared" si="38"/>
        <v>22.694936708860759</v>
      </c>
      <c r="J136" s="7">
        <f t="shared" si="26"/>
        <v>5.3055534129377486</v>
      </c>
      <c r="K136" s="7">
        <f t="shared" si="27"/>
        <v>22.140506329113926</v>
      </c>
      <c r="L136" s="7">
        <f t="shared" si="28"/>
        <v>4.9144008395218908</v>
      </c>
      <c r="M136" s="7">
        <f t="shared" si="29"/>
        <v>10.069620253164556</v>
      </c>
      <c r="N136" s="7">
        <f t="shared" si="30"/>
        <v>2.1089377326145904</v>
      </c>
      <c r="O136" s="7">
        <f t="shared" si="31"/>
        <v>10.958227848101266</v>
      </c>
      <c r="P136" s="7">
        <f t="shared" si="32"/>
        <v>2.2883463843764797</v>
      </c>
      <c r="Q136" s="7">
        <f t="shared" si="33"/>
        <v>0.62294411796510174</v>
      </c>
      <c r="R136" s="7">
        <f t="shared" si="34"/>
        <v>0.37837647591379209</v>
      </c>
      <c r="S136" s="7">
        <f t="shared" si="35"/>
        <v>-3.3012000348745997E-2</v>
      </c>
      <c r="T136" s="7">
        <f t="shared" si="36"/>
        <v>1.8254295846087756E-2</v>
      </c>
      <c r="U136" s="7">
        <f t="shared" si="37"/>
        <v>0.2466407223440589</v>
      </c>
    </row>
    <row r="137" spans="1:21" x14ac:dyDescent="0.25">
      <c r="A137" s="1" t="s">
        <v>1658</v>
      </c>
      <c r="B137" s="1" t="s">
        <v>36</v>
      </c>
      <c r="C137" s="1">
        <v>21</v>
      </c>
      <c r="D137" s="1">
        <v>18</v>
      </c>
      <c r="E137" s="1">
        <v>8</v>
      </c>
      <c r="F137" s="1">
        <v>10</v>
      </c>
      <c r="G137" s="1">
        <v>57</v>
      </c>
      <c r="H137" s="7">
        <v>1.8045526471705551</v>
      </c>
      <c r="I137" s="7">
        <f t="shared" si="38"/>
        <v>22.694936708860759</v>
      </c>
      <c r="J137" s="7">
        <f t="shared" si="26"/>
        <v>5.3055534129377486</v>
      </c>
      <c r="K137" s="7">
        <f t="shared" si="27"/>
        <v>22.140506329113926</v>
      </c>
      <c r="L137" s="7">
        <f t="shared" si="28"/>
        <v>4.9144008395218908</v>
      </c>
      <c r="M137" s="7">
        <f t="shared" si="29"/>
        <v>10.069620253164556</v>
      </c>
      <c r="N137" s="7">
        <f t="shared" si="30"/>
        <v>2.1089377326145904</v>
      </c>
      <c r="O137" s="7">
        <f t="shared" si="31"/>
        <v>10.958227848101266</v>
      </c>
      <c r="P137" s="7">
        <f t="shared" si="32"/>
        <v>2.2883463843764797</v>
      </c>
      <c r="Q137" s="7">
        <f t="shared" si="33"/>
        <v>-0.31946463958455407</v>
      </c>
      <c r="R137" s="7">
        <f t="shared" si="34"/>
        <v>-0.84252515501294456</v>
      </c>
      <c r="S137" s="7">
        <f t="shared" si="35"/>
        <v>-0.98135673764000164</v>
      </c>
      <c r="T137" s="7">
        <f t="shared" si="36"/>
        <v>-0.41874248349965643</v>
      </c>
      <c r="U137" s="7">
        <f t="shared" si="37"/>
        <v>-0.64052225393428919</v>
      </c>
    </row>
    <row r="138" spans="1:21" x14ac:dyDescent="0.25">
      <c r="A138" s="1" t="s">
        <v>1658</v>
      </c>
      <c r="B138" s="1" t="s">
        <v>36</v>
      </c>
      <c r="C138" s="1">
        <v>26</v>
      </c>
      <c r="D138" s="1">
        <v>26</v>
      </c>
      <c r="E138" s="1">
        <v>11</v>
      </c>
      <c r="F138" s="1">
        <v>12</v>
      </c>
      <c r="G138" s="1">
        <v>75</v>
      </c>
      <c r="H138" s="7">
        <v>1.9215378456610457</v>
      </c>
      <c r="I138" s="7">
        <f t="shared" si="38"/>
        <v>22.694936708860759</v>
      </c>
      <c r="J138" s="7">
        <f t="shared" si="26"/>
        <v>5.3055534129377486</v>
      </c>
      <c r="K138" s="7">
        <f t="shared" si="27"/>
        <v>22.140506329113926</v>
      </c>
      <c r="L138" s="7">
        <f t="shared" si="28"/>
        <v>4.9144008395218908</v>
      </c>
      <c r="M138" s="7">
        <f t="shared" si="29"/>
        <v>10.069620253164556</v>
      </c>
      <c r="N138" s="7">
        <f t="shared" si="30"/>
        <v>2.1089377326145904</v>
      </c>
      <c r="O138" s="7">
        <f t="shared" si="31"/>
        <v>10.958227848101266</v>
      </c>
      <c r="P138" s="7">
        <f t="shared" si="32"/>
        <v>2.2883463843764797</v>
      </c>
      <c r="Q138" s="7">
        <f t="shared" si="33"/>
        <v>0.62294411796510174</v>
      </c>
      <c r="R138" s="7">
        <f t="shared" si="34"/>
        <v>0.78534368622270434</v>
      </c>
      <c r="S138" s="7">
        <f t="shared" si="35"/>
        <v>0.44116036829688182</v>
      </c>
      <c r="T138" s="7">
        <f t="shared" si="36"/>
        <v>0.45525107519183194</v>
      </c>
      <c r="U138" s="7">
        <f t="shared" si="37"/>
        <v>0.57617481191913</v>
      </c>
    </row>
    <row r="139" spans="1:21" x14ac:dyDescent="0.25">
      <c r="A139" s="1" t="s">
        <v>1659</v>
      </c>
      <c r="B139" s="1" t="s">
        <v>36</v>
      </c>
      <c r="C139" s="1">
        <v>7</v>
      </c>
      <c r="D139" s="1">
        <v>13</v>
      </c>
      <c r="E139" s="1">
        <v>9</v>
      </c>
      <c r="F139" s="1">
        <v>9</v>
      </c>
      <c r="G139" s="1">
        <v>38</v>
      </c>
      <c r="H139" s="7">
        <v>1.3204505835470495</v>
      </c>
      <c r="I139" s="7">
        <f t="shared" si="38"/>
        <v>22.694936708860759</v>
      </c>
      <c r="J139" s="7">
        <f t="shared" si="26"/>
        <v>5.3055534129377486</v>
      </c>
      <c r="K139" s="7">
        <f t="shared" si="27"/>
        <v>22.140506329113926</v>
      </c>
      <c r="L139" s="7">
        <f t="shared" si="28"/>
        <v>4.9144008395218908</v>
      </c>
      <c r="M139" s="7">
        <f t="shared" si="29"/>
        <v>10.069620253164556</v>
      </c>
      <c r="N139" s="7">
        <f t="shared" si="30"/>
        <v>2.1089377326145904</v>
      </c>
      <c r="O139" s="7">
        <f t="shared" si="31"/>
        <v>10.958227848101266</v>
      </c>
      <c r="P139" s="7">
        <f t="shared" si="32"/>
        <v>2.2883463843764797</v>
      </c>
      <c r="Q139" s="7">
        <f t="shared" si="33"/>
        <v>-2.9582091607235905</v>
      </c>
      <c r="R139" s="7">
        <f t="shared" si="34"/>
        <v>-1.8599431807852249</v>
      </c>
      <c r="S139" s="7">
        <f t="shared" si="35"/>
        <v>-0.5071843689943738</v>
      </c>
      <c r="T139" s="7">
        <f t="shared" si="36"/>
        <v>-0.85573926284540058</v>
      </c>
      <c r="U139" s="7">
        <f t="shared" si="37"/>
        <v>-1.5452689933371473</v>
      </c>
    </row>
    <row r="140" spans="1:21" x14ac:dyDescent="0.25">
      <c r="A140" s="1" t="s">
        <v>1659</v>
      </c>
      <c r="B140" s="1" t="s">
        <v>36</v>
      </c>
      <c r="C140" s="1">
        <v>27</v>
      </c>
      <c r="D140" s="1">
        <v>28</v>
      </c>
      <c r="E140" s="1">
        <v>14</v>
      </c>
      <c r="F140" s="1">
        <v>15</v>
      </c>
      <c r="G140" s="1">
        <v>84</v>
      </c>
      <c r="H140" s="7">
        <v>1.8081014266989472</v>
      </c>
      <c r="I140" s="7">
        <f t="shared" si="38"/>
        <v>22.694936708860759</v>
      </c>
      <c r="J140" s="7">
        <f t="shared" si="26"/>
        <v>5.3055534129377486</v>
      </c>
      <c r="K140" s="7">
        <f t="shared" si="27"/>
        <v>22.140506329113926</v>
      </c>
      <c r="L140" s="7">
        <f t="shared" si="28"/>
        <v>4.9144008395218908</v>
      </c>
      <c r="M140" s="7">
        <f t="shared" si="29"/>
        <v>10.069620253164556</v>
      </c>
      <c r="N140" s="7">
        <f t="shared" si="30"/>
        <v>2.1089377326145904</v>
      </c>
      <c r="O140" s="7">
        <f t="shared" si="31"/>
        <v>10.958227848101266</v>
      </c>
      <c r="P140" s="7">
        <f t="shared" si="32"/>
        <v>2.2883463843764797</v>
      </c>
      <c r="Q140" s="7">
        <f t="shared" si="33"/>
        <v>0.81142586947503292</v>
      </c>
      <c r="R140" s="7">
        <f t="shared" si="34"/>
        <v>1.1923108965316165</v>
      </c>
      <c r="S140" s="7">
        <f t="shared" si="35"/>
        <v>1.8636774742337652</v>
      </c>
      <c r="T140" s="7">
        <f t="shared" si="36"/>
        <v>1.7662414132290645</v>
      </c>
      <c r="U140" s="7">
        <f t="shared" si="37"/>
        <v>1.4084139133673697</v>
      </c>
    </row>
    <row r="141" spans="1:21" x14ac:dyDescent="0.25">
      <c r="A141" s="1" t="s">
        <v>1659</v>
      </c>
      <c r="B141" s="1" t="s">
        <v>36</v>
      </c>
      <c r="C141" s="1">
        <v>7</v>
      </c>
      <c r="D141" s="1">
        <v>8</v>
      </c>
      <c r="E141" s="1">
        <v>3</v>
      </c>
      <c r="F141" s="1">
        <v>9</v>
      </c>
      <c r="G141" s="1">
        <v>27</v>
      </c>
      <c r="H141" s="7">
        <v>1.0377490433255416</v>
      </c>
      <c r="I141" s="7">
        <f t="shared" si="38"/>
        <v>22.694936708860759</v>
      </c>
      <c r="J141" s="7">
        <f t="shared" si="26"/>
        <v>5.3055534129377486</v>
      </c>
      <c r="K141" s="7">
        <f t="shared" si="27"/>
        <v>22.140506329113926</v>
      </c>
      <c r="L141" s="7">
        <f t="shared" si="28"/>
        <v>4.9144008395218908</v>
      </c>
      <c r="M141" s="7">
        <f t="shared" si="29"/>
        <v>10.069620253164556</v>
      </c>
      <c r="N141" s="7">
        <f t="shared" si="30"/>
        <v>2.1089377326145904</v>
      </c>
      <c r="O141" s="7">
        <f t="shared" si="31"/>
        <v>10.958227848101266</v>
      </c>
      <c r="P141" s="7">
        <f t="shared" si="32"/>
        <v>2.2883463843764797</v>
      </c>
      <c r="Q141" s="7">
        <f t="shared" si="33"/>
        <v>-2.9582091607235905</v>
      </c>
      <c r="R141" s="7">
        <f t="shared" si="34"/>
        <v>-2.8773612065575054</v>
      </c>
      <c r="S141" s="7">
        <f t="shared" si="35"/>
        <v>-3.3522185808681408</v>
      </c>
      <c r="T141" s="7">
        <f t="shared" si="36"/>
        <v>-0.85573926284540058</v>
      </c>
      <c r="U141" s="7">
        <f t="shared" si="37"/>
        <v>-2.5108820527486593</v>
      </c>
    </row>
    <row r="142" spans="1:21" x14ac:dyDescent="0.25">
      <c r="A142" s="1" t="s">
        <v>1659</v>
      </c>
      <c r="B142" s="1" t="s">
        <v>36</v>
      </c>
      <c r="C142" s="1">
        <v>28</v>
      </c>
      <c r="D142" s="1">
        <v>26</v>
      </c>
      <c r="E142" s="1">
        <v>11</v>
      </c>
      <c r="F142" s="1">
        <v>15</v>
      </c>
      <c r="G142" s="1">
        <v>80</v>
      </c>
      <c r="H142" s="7">
        <v>1.7246329970051526</v>
      </c>
      <c r="I142" s="7">
        <f t="shared" si="38"/>
        <v>22.694936708860759</v>
      </c>
      <c r="J142" s="7">
        <f t="shared" si="26"/>
        <v>5.3055534129377486</v>
      </c>
      <c r="K142" s="7">
        <f t="shared" si="27"/>
        <v>22.140506329113926</v>
      </c>
      <c r="L142" s="7">
        <f t="shared" si="28"/>
        <v>4.9144008395218908</v>
      </c>
      <c r="M142" s="7">
        <f t="shared" si="29"/>
        <v>10.069620253164556</v>
      </c>
      <c r="N142" s="7">
        <f t="shared" si="30"/>
        <v>2.1089377326145904</v>
      </c>
      <c r="O142" s="7">
        <f t="shared" si="31"/>
        <v>10.958227848101266</v>
      </c>
      <c r="P142" s="7">
        <f t="shared" si="32"/>
        <v>2.2883463843764797</v>
      </c>
      <c r="Q142" s="7">
        <f t="shared" si="33"/>
        <v>0.99990762098496411</v>
      </c>
      <c r="R142" s="7">
        <f t="shared" si="34"/>
        <v>0.78534368622270434</v>
      </c>
      <c r="S142" s="7">
        <f t="shared" si="35"/>
        <v>0.44116036829688182</v>
      </c>
      <c r="T142" s="7">
        <f t="shared" si="36"/>
        <v>1.7662414132290645</v>
      </c>
      <c r="U142" s="7">
        <f t="shared" si="37"/>
        <v>0.99816327218340373</v>
      </c>
    </row>
    <row r="143" spans="1:21" x14ac:dyDescent="0.25">
      <c r="A143" s="1" t="s">
        <v>1659</v>
      </c>
      <c r="B143" s="1" t="s">
        <v>36</v>
      </c>
      <c r="C143" s="1">
        <v>28</v>
      </c>
      <c r="D143" s="1">
        <v>26</v>
      </c>
      <c r="E143" s="1">
        <v>13</v>
      </c>
      <c r="F143" s="1">
        <v>12</v>
      </c>
      <c r="G143" s="1">
        <v>79</v>
      </c>
      <c r="H143" s="7">
        <v>1.8009968749527976</v>
      </c>
      <c r="I143" s="7">
        <f t="shared" si="38"/>
        <v>22.694936708860759</v>
      </c>
      <c r="J143" s="7">
        <f t="shared" si="26"/>
        <v>5.3055534129377486</v>
      </c>
      <c r="K143" s="7">
        <f t="shared" si="27"/>
        <v>22.140506329113926</v>
      </c>
      <c r="L143" s="7">
        <f t="shared" si="28"/>
        <v>4.9144008395218908</v>
      </c>
      <c r="M143" s="7">
        <f t="shared" si="29"/>
        <v>10.069620253164556</v>
      </c>
      <c r="N143" s="7">
        <f t="shared" si="30"/>
        <v>2.1089377326145904</v>
      </c>
      <c r="O143" s="7">
        <f t="shared" si="31"/>
        <v>10.958227848101266</v>
      </c>
      <c r="P143" s="7">
        <f t="shared" si="32"/>
        <v>2.2883463843764797</v>
      </c>
      <c r="Q143" s="7">
        <f t="shared" si="33"/>
        <v>0.99990762098496411</v>
      </c>
      <c r="R143" s="7">
        <f t="shared" si="34"/>
        <v>0.78534368622270434</v>
      </c>
      <c r="S143" s="7">
        <f t="shared" si="35"/>
        <v>1.3895051055881373</v>
      </c>
      <c r="T143" s="7">
        <f t="shared" si="36"/>
        <v>0.45525107519183194</v>
      </c>
      <c r="U143" s="7">
        <f t="shared" si="37"/>
        <v>0.90750187199690946</v>
      </c>
    </row>
    <row r="144" spans="1:21" x14ac:dyDescent="0.25">
      <c r="A144" s="1" t="s">
        <v>1659</v>
      </c>
      <c r="B144" s="1" t="s">
        <v>36</v>
      </c>
      <c r="C144" s="1">
        <v>18</v>
      </c>
      <c r="D144" s="1">
        <v>27</v>
      </c>
      <c r="E144" s="1">
        <v>13</v>
      </c>
      <c r="F144" s="1">
        <v>13</v>
      </c>
      <c r="G144" s="1">
        <v>71</v>
      </c>
      <c r="H144" s="7">
        <v>2.0662116951635836</v>
      </c>
      <c r="I144" s="7">
        <f t="shared" si="38"/>
        <v>22.694936708860759</v>
      </c>
      <c r="J144" s="7">
        <f t="shared" si="26"/>
        <v>5.3055534129377486</v>
      </c>
      <c r="K144" s="7">
        <f t="shared" si="27"/>
        <v>22.140506329113926</v>
      </c>
      <c r="L144" s="7">
        <f t="shared" si="28"/>
        <v>4.9144008395218908</v>
      </c>
      <c r="M144" s="7">
        <f t="shared" si="29"/>
        <v>10.069620253164556</v>
      </c>
      <c r="N144" s="7">
        <f t="shared" si="30"/>
        <v>2.1089377326145904</v>
      </c>
      <c r="O144" s="7">
        <f t="shared" si="31"/>
        <v>10.958227848101266</v>
      </c>
      <c r="P144" s="7">
        <f t="shared" si="32"/>
        <v>2.2883463843764797</v>
      </c>
      <c r="Q144" s="7">
        <f t="shared" si="33"/>
        <v>-0.88490989411434762</v>
      </c>
      <c r="R144" s="7">
        <f t="shared" si="34"/>
        <v>0.98882729137716041</v>
      </c>
      <c r="S144" s="7">
        <f t="shared" si="35"/>
        <v>1.3895051055881373</v>
      </c>
      <c r="T144" s="7">
        <f t="shared" si="36"/>
        <v>0.89224785453757616</v>
      </c>
      <c r="U144" s="7">
        <f t="shared" si="37"/>
        <v>0.59641758934713152</v>
      </c>
    </row>
    <row r="145" spans="1:21" x14ac:dyDescent="0.25">
      <c r="A145" s="1" t="s">
        <v>1659</v>
      </c>
      <c r="B145" s="1" t="s">
        <v>36</v>
      </c>
      <c r="C145" s="1">
        <v>18</v>
      </c>
      <c r="D145" s="1">
        <v>22</v>
      </c>
      <c r="E145" s="1">
        <v>11</v>
      </c>
      <c r="F145" s="1">
        <v>7</v>
      </c>
      <c r="G145" s="1">
        <v>58</v>
      </c>
      <c r="H145" s="7">
        <v>2.0254787341673333</v>
      </c>
      <c r="I145" s="7">
        <f t="shared" si="38"/>
        <v>22.694936708860759</v>
      </c>
      <c r="J145" s="7">
        <f t="shared" si="26"/>
        <v>5.3055534129377486</v>
      </c>
      <c r="K145" s="7">
        <f t="shared" si="27"/>
        <v>22.140506329113926</v>
      </c>
      <c r="L145" s="7">
        <f t="shared" si="28"/>
        <v>4.9144008395218908</v>
      </c>
      <c r="M145" s="7">
        <f t="shared" si="29"/>
        <v>10.069620253164556</v>
      </c>
      <c r="N145" s="7">
        <f t="shared" si="30"/>
        <v>2.1089377326145904</v>
      </c>
      <c r="O145" s="7">
        <f t="shared" si="31"/>
        <v>10.958227848101266</v>
      </c>
      <c r="P145" s="7">
        <f t="shared" si="32"/>
        <v>2.2883463843764797</v>
      </c>
      <c r="Q145" s="7">
        <f t="shared" si="33"/>
        <v>-0.88490989411434762</v>
      </c>
      <c r="R145" s="7">
        <f t="shared" si="34"/>
        <v>-2.8590734395120113E-2</v>
      </c>
      <c r="S145" s="7">
        <f t="shared" si="35"/>
        <v>0.44116036829688182</v>
      </c>
      <c r="T145" s="7">
        <f t="shared" si="36"/>
        <v>-1.729732821536889</v>
      </c>
      <c r="U145" s="7">
        <f t="shared" si="37"/>
        <v>-0.55051827043736878</v>
      </c>
    </row>
    <row r="146" spans="1:21" x14ac:dyDescent="0.25">
      <c r="A146" s="1" t="s">
        <v>1659</v>
      </c>
      <c r="B146" s="1" t="s">
        <v>36</v>
      </c>
      <c r="C146" s="1">
        <v>31</v>
      </c>
      <c r="D146" s="1">
        <v>29</v>
      </c>
      <c r="E146" s="1">
        <v>14</v>
      </c>
      <c r="F146" s="1">
        <v>14</v>
      </c>
      <c r="G146" s="1">
        <v>88</v>
      </c>
      <c r="H146" s="7">
        <v>1.9215378456610459</v>
      </c>
      <c r="I146" s="7">
        <f t="shared" si="38"/>
        <v>22.694936708860759</v>
      </c>
      <c r="J146" s="7">
        <f t="shared" si="26"/>
        <v>5.3055534129377486</v>
      </c>
      <c r="K146" s="7">
        <f t="shared" si="27"/>
        <v>22.140506329113926</v>
      </c>
      <c r="L146" s="7">
        <f t="shared" si="28"/>
        <v>4.9144008395218908</v>
      </c>
      <c r="M146" s="7">
        <f t="shared" si="29"/>
        <v>10.069620253164556</v>
      </c>
      <c r="N146" s="7">
        <f t="shared" si="30"/>
        <v>2.1089377326145904</v>
      </c>
      <c r="O146" s="7">
        <f t="shared" si="31"/>
        <v>10.958227848101266</v>
      </c>
      <c r="P146" s="7">
        <f t="shared" si="32"/>
        <v>2.2883463843764797</v>
      </c>
      <c r="Q146" s="7">
        <f t="shared" si="33"/>
        <v>1.5653528755147577</v>
      </c>
      <c r="R146" s="7">
        <f t="shared" si="34"/>
        <v>1.3957945016860727</v>
      </c>
      <c r="S146" s="7">
        <f t="shared" si="35"/>
        <v>1.8636774742337652</v>
      </c>
      <c r="T146" s="7">
        <f t="shared" si="36"/>
        <v>1.3292446338833204</v>
      </c>
      <c r="U146" s="7">
        <f t="shared" si="37"/>
        <v>1.5385173713294789</v>
      </c>
    </row>
    <row r="147" spans="1:21" x14ac:dyDescent="0.25">
      <c r="A147" s="1" t="s">
        <v>1659</v>
      </c>
      <c r="B147" s="1" t="s">
        <v>36</v>
      </c>
      <c r="C147" s="1">
        <v>25</v>
      </c>
      <c r="D147" s="1">
        <v>17</v>
      </c>
      <c r="E147" s="1">
        <v>6</v>
      </c>
      <c r="F147" s="1">
        <v>9</v>
      </c>
      <c r="G147" s="1">
        <v>57</v>
      </c>
      <c r="H147" s="7">
        <v>1.7097008285302211</v>
      </c>
      <c r="I147" s="7">
        <f t="shared" si="38"/>
        <v>22.694936708860759</v>
      </c>
      <c r="J147" s="7">
        <f t="shared" si="26"/>
        <v>5.3055534129377486</v>
      </c>
      <c r="K147" s="7">
        <f t="shared" si="27"/>
        <v>22.140506329113926</v>
      </c>
      <c r="L147" s="7">
        <f t="shared" si="28"/>
        <v>4.9144008395218908</v>
      </c>
      <c r="M147" s="7">
        <f t="shared" si="29"/>
        <v>10.069620253164556</v>
      </c>
      <c r="N147" s="7">
        <f t="shared" si="30"/>
        <v>2.1089377326145904</v>
      </c>
      <c r="O147" s="7">
        <f t="shared" si="31"/>
        <v>10.958227848101266</v>
      </c>
      <c r="P147" s="7">
        <f t="shared" si="32"/>
        <v>2.2883463843764797</v>
      </c>
      <c r="Q147" s="7">
        <f t="shared" si="33"/>
        <v>0.43446236645517061</v>
      </c>
      <c r="R147" s="7">
        <f t="shared" si="34"/>
        <v>-1.0460087601674006</v>
      </c>
      <c r="S147" s="7">
        <f t="shared" si="35"/>
        <v>-1.9297014749312573</v>
      </c>
      <c r="T147" s="7">
        <f t="shared" si="36"/>
        <v>-0.85573926284540058</v>
      </c>
      <c r="U147" s="7">
        <f t="shared" si="37"/>
        <v>-0.84924678287222188</v>
      </c>
    </row>
    <row r="148" spans="1:21" x14ac:dyDescent="0.25">
      <c r="A148" s="1" t="s">
        <v>1659</v>
      </c>
      <c r="B148" s="1" t="s">
        <v>36</v>
      </c>
      <c r="C148" s="1">
        <v>13</v>
      </c>
      <c r="D148" s="1">
        <v>13</v>
      </c>
      <c r="E148" s="1">
        <v>6</v>
      </c>
      <c r="F148" s="1">
        <v>10</v>
      </c>
      <c r="G148" s="1">
        <v>42</v>
      </c>
      <c r="H148" s="7">
        <v>1.3008872711759818</v>
      </c>
      <c r="I148" s="7">
        <f t="shared" si="38"/>
        <v>22.694936708860759</v>
      </c>
      <c r="J148" s="7">
        <f t="shared" si="26"/>
        <v>5.3055534129377486</v>
      </c>
      <c r="K148" s="7">
        <f t="shared" si="27"/>
        <v>22.140506329113926</v>
      </c>
      <c r="L148" s="7">
        <f t="shared" si="28"/>
        <v>4.9144008395218908</v>
      </c>
      <c r="M148" s="7">
        <f t="shared" si="29"/>
        <v>10.069620253164556</v>
      </c>
      <c r="N148" s="7">
        <f t="shared" si="30"/>
        <v>2.1089377326145904</v>
      </c>
      <c r="O148" s="7">
        <f t="shared" si="31"/>
        <v>10.958227848101266</v>
      </c>
      <c r="P148" s="7">
        <f t="shared" si="32"/>
        <v>2.2883463843764797</v>
      </c>
      <c r="Q148" s="7">
        <f t="shared" si="33"/>
        <v>-1.8273186516640034</v>
      </c>
      <c r="R148" s="7">
        <f t="shared" si="34"/>
        <v>-1.8599431807852249</v>
      </c>
      <c r="S148" s="7">
        <f t="shared" si="35"/>
        <v>-1.9297014749312573</v>
      </c>
      <c r="T148" s="7">
        <f t="shared" si="36"/>
        <v>-0.41874248349965643</v>
      </c>
      <c r="U148" s="7">
        <f t="shared" si="37"/>
        <v>-1.5089264477200355</v>
      </c>
    </row>
    <row r="149" spans="1:21" x14ac:dyDescent="0.25">
      <c r="A149" s="1" t="s">
        <v>1659</v>
      </c>
      <c r="B149" s="1" t="s">
        <v>36</v>
      </c>
      <c r="C149" s="1">
        <v>24</v>
      </c>
      <c r="D149" s="1">
        <v>15</v>
      </c>
      <c r="E149" s="1">
        <v>8</v>
      </c>
      <c r="F149" s="1">
        <v>9</v>
      </c>
      <c r="G149" s="1">
        <v>56</v>
      </c>
      <c r="H149" s="7">
        <v>1.7021856236720769</v>
      </c>
      <c r="I149" s="7">
        <f t="shared" si="38"/>
        <v>22.694936708860759</v>
      </c>
      <c r="J149" s="7">
        <f t="shared" si="26"/>
        <v>5.3055534129377486</v>
      </c>
      <c r="K149" s="7">
        <f t="shared" si="27"/>
        <v>22.140506329113926</v>
      </c>
      <c r="L149" s="7">
        <f t="shared" si="28"/>
        <v>4.9144008395218908</v>
      </c>
      <c r="M149" s="7">
        <f t="shared" si="29"/>
        <v>10.069620253164556</v>
      </c>
      <c r="N149" s="7">
        <f t="shared" si="30"/>
        <v>2.1089377326145904</v>
      </c>
      <c r="O149" s="7">
        <f t="shared" si="31"/>
        <v>10.958227848101266</v>
      </c>
      <c r="P149" s="7">
        <f t="shared" si="32"/>
        <v>2.2883463843764797</v>
      </c>
      <c r="Q149" s="7">
        <f t="shared" si="33"/>
        <v>0.24598061494523943</v>
      </c>
      <c r="R149" s="7">
        <f t="shared" si="34"/>
        <v>-1.4529759704763128</v>
      </c>
      <c r="S149" s="7">
        <f t="shared" si="35"/>
        <v>-0.98135673764000164</v>
      </c>
      <c r="T149" s="7">
        <f t="shared" si="36"/>
        <v>-0.85573926284540058</v>
      </c>
      <c r="U149" s="7">
        <f t="shared" si="37"/>
        <v>-0.76102283900411893</v>
      </c>
    </row>
    <row r="150" spans="1:21" x14ac:dyDescent="0.25">
      <c r="A150" s="1" t="s">
        <v>1659</v>
      </c>
      <c r="B150" s="1" t="s">
        <v>36</v>
      </c>
      <c r="C150" s="1">
        <v>27</v>
      </c>
      <c r="D150" s="1">
        <v>26</v>
      </c>
      <c r="E150" s="1">
        <v>12</v>
      </c>
      <c r="F150" s="1">
        <v>12</v>
      </c>
      <c r="G150" s="1">
        <v>77</v>
      </c>
      <c r="H150" s="7">
        <v>1.8912755158683456</v>
      </c>
      <c r="I150" s="7">
        <f t="shared" si="38"/>
        <v>22.694936708860759</v>
      </c>
      <c r="J150" s="7">
        <f t="shared" si="26"/>
        <v>5.3055534129377486</v>
      </c>
      <c r="K150" s="7">
        <f t="shared" si="27"/>
        <v>22.140506329113926</v>
      </c>
      <c r="L150" s="7">
        <f t="shared" si="28"/>
        <v>4.9144008395218908</v>
      </c>
      <c r="M150" s="7">
        <f t="shared" si="29"/>
        <v>10.069620253164556</v>
      </c>
      <c r="N150" s="7">
        <f t="shared" si="30"/>
        <v>2.1089377326145904</v>
      </c>
      <c r="O150" s="7">
        <f t="shared" si="31"/>
        <v>10.958227848101266</v>
      </c>
      <c r="P150" s="7">
        <f t="shared" si="32"/>
        <v>2.2883463843764797</v>
      </c>
      <c r="Q150" s="7">
        <f t="shared" si="33"/>
        <v>0.81142586947503292</v>
      </c>
      <c r="R150" s="7">
        <f t="shared" si="34"/>
        <v>0.78534368622270434</v>
      </c>
      <c r="S150" s="7">
        <f t="shared" si="35"/>
        <v>0.91533273694250961</v>
      </c>
      <c r="T150" s="7">
        <f t="shared" si="36"/>
        <v>0.45525107519183194</v>
      </c>
      <c r="U150" s="7">
        <f t="shared" si="37"/>
        <v>0.74183834195801968</v>
      </c>
    </row>
    <row r="151" spans="1:21" x14ac:dyDescent="0.25">
      <c r="A151" s="1" t="s">
        <v>1659</v>
      </c>
      <c r="B151" s="1" t="s">
        <v>36</v>
      </c>
      <c r="C151" s="1">
        <v>22</v>
      </c>
      <c r="D151" s="1">
        <v>21</v>
      </c>
      <c r="E151" s="1">
        <v>12</v>
      </c>
      <c r="F151" s="1">
        <v>11</v>
      </c>
      <c r="G151" s="1">
        <v>66</v>
      </c>
      <c r="H151" s="7">
        <v>1.8912755158683456</v>
      </c>
      <c r="I151" s="7">
        <f t="shared" si="38"/>
        <v>22.694936708860759</v>
      </c>
      <c r="J151" s="7">
        <f t="shared" si="26"/>
        <v>5.3055534129377486</v>
      </c>
      <c r="K151" s="7">
        <f t="shared" si="27"/>
        <v>22.140506329113926</v>
      </c>
      <c r="L151" s="7">
        <f t="shared" si="28"/>
        <v>4.9144008395218908</v>
      </c>
      <c r="M151" s="7">
        <f t="shared" si="29"/>
        <v>10.069620253164556</v>
      </c>
      <c r="N151" s="7">
        <f t="shared" si="30"/>
        <v>2.1089377326145904</v>
      </c>
      <c r="O151" s="7">
        <f t="shared" si="31"/>
        <v>10.958227848101266</v>
      </c>
      <c r="P151" s="7">
        <f t="shared" si="32"/>
        <v>2.2883463843764797</v>
      </c>
      <c r="Q151" s="7">
        <f t="shared" si="33"/>
        <v>-0.13098288807462291</v>
      </c>
      <c r="R151" s="7">
        <f t="shared" si="34"/>
        <v>-0.23207433954957621</v>
      </c>
      <c r="S151" s="7">
        <f t="shared" si="35"/>
        <v>0.91533273694250961</v>
      </c>
      <c r="T151" s="7">
        <f t="shared" si="36"/>
        <v>1.8254295846087756E-2</v>
      </c>
      <c r="U151" s="7">
        <f t="shared" si="37"/>
        <v>0.14263245129109955</v>
      </c>
    </row>
    <row r="152" spans="1:21" x14ac:dyDescent="0.25">
      <c r="A152" s="1" t="s">
        <v>1659</v>
      </c>
      <c r="B152" s="1" t="s">
        <v>36</v>
      </c>
      <c r="C152" s="1">
        <v>28</v>
      </c>
      <c r="D152" s="1">
        <v>28</v>
      </c>
      <c r="E152" s="1">
        <v>12</v>
      </c>
      <c r="F152" s="1">
        <v>9</v>
      </c>
      <c r="G152" s="1">
        <v>77</v>
      </c>
      <c r="H152" s="7">
        <v>2.361550989693654</v>
      </c>
      <c r="I152" s="7">
        <f t="shared" si="38"/>
        <v>22.694936708860759</v>
      </c>
      <c r="J152" s="7">
        <f t="shared" si="26"/>
        <v>5.3055534129377486</v>
      </c>
      <c r="K152" s="7">
        <f t="shared" si="27"/>
        <v>22.140506329113926</v>
      </c>
      <c r="L152" s="7">
        <f t="shared" si="28"/>
        <v>4.9144008395218908</v>
      </c>
      <c r="M152" s="7">
        <f t="shared" si="29"/>
        <v>10.069620253164556</v>
      </c>
      <c r="N152" s="7">
        <f t="shared" si="30"/>
        <v>2.1089377326145904</v>
      </c>
      <c r="O152" s="7">
        <f t="shared" si="31"/>
        <v>10.958227848101266</v>
      </c>
      <c r="P152" s="7">
        <f t="shared" si="32"/>
        <v>2.2883463843764797</v>
      </c>
      <c r="Q152" s="7">
        <f t="shared" si="33"/>
        <v>0.99990762098496411</v>
      </c>
      <c r="R152" s="7">
        <f t="shared" si="34"/>
        <v>1.1923108965316165</v>
      </c>
      <c r="S152" s="7">
        <f t="shared" si="35"/>
        <v>0.91533273694250961</v>
      </c>
      <c r="T152" s="7">
        <f t="shared" si="36"/>
        <v>-0.85573926284540058</v>
      </c>
      <c r="U152" s="7">
        <f t="shared" si="37"/>
        <v>0.56295299790342246</v>
      </c>
    </row>
    <row r="153" spans="1:21" x14ac:dyDescent="0.25">
      <c r="A153" s="1" t="s">
        <v>1659</v>
      </c>
      <c r="B153" s="1" t="s">
        <v>36</v>
      </c>
      <c r="C153" s="1">
        <v>29</v>
      </c>
      <c r="D153" s="1">
        <v>27</v>
      </c>
      <c r="E153" s="1">
        <v>12</v>
      </c>
      <c r="F153" s="1">
        <v>12</v>
      </c>
      <c r="G153" s="1">
        <v>80</v>
      </c>
      <c r="H153" s="7">
        <v>1.9935794376846321</v>
      </c>
      <c r="I153" s="7">
        <f t="shared" si="38"/>
        <v>22.694936708860759</v>
      </c>
      <c r="J153" s="7">
        <f t="shared" si="26"/>
        <v>5.3055534129377486</v>
      </c>
      <c r="K153" s="7">
        <f t="shared" si="27"/>
        <v>22.140506329113926</v>
      </c>
      <c r="L153" s="7">
        <f t="shared" si="28"/>
        <v>4.9144008395218908</v>
      </c>
      <c r="M153" s="7">
        <f t="shared" si="29"/>
        <v>10.069620253164556</v>
      </c>
      <c r="N153" s="7">
        <f t="shared" si="30"/>
        <v>2.1089377326145904</v>
      </c>
      <c r="O153" s="7">
        <f t="shared" si="31"/>
        <v>10.958227848101266</v>
      </c>
      <c r="P153" s="7">
        <f t="shared" si="32"/>
        <v>2.2883463843764797</v>
      </c>
      <c r="Q153" s="7">
        <f t="shared" si="33"/>
        <v>1.1883893724948953</v>
      </c>
      <c r="R153" s="7">
        <f t="shared" si="34"/>
        <v>0.98882729137716041</v>
      </c>
      <c r="S153" s="7">
        <f t="shared" si="35"/>
        <v>0.91533273694250961</v>
      </c>
      <c r="T153" s="7">
        <f t="shared" si="36"/>
        <v>0.45525107519183194</v>
      </c>
      <c r="U153" s="7">
        <f t="shared" si="37"/>
        <v>0.88695011900159926</v>
      </c>
    </row>
    <row r="154" spans="1:21" x14ac:dyDescent="0.25">
      <c r="A154" s="1" t="s">
        <v>1659</v>
      </c>
      <c r="B154" s="1" t="s">
        <v>36</v>
      </c>
      <c r="C154" s="1">
        <v>15</v>
      </c>
      <c r="D154" s="1">
        <v>9</v>
      </c>
      <c r="E154" s="1">
        <v>7</v>
      </c>
      <c r="F154" s="1">
        <v>8</v>
      </c>
      <c r="G154" s="1">
        <v>39</v>
      </c>
      <c r="H154" s="7">
        <v>0.81649658092772603</v>
      </c>
      <c r="I154" s="7">
        <f t="shared" si="38"/>
        <v>22.694936708860759</v>
      </c>
      <c r="J154" s="7">
        <f t="shared" si="26"/>
        <v>5.3055534129377486</v>
      </c>
      <c r="K154" s="7">
        <f t="shared" si="27"/>
        <v>22.140506329113926</v>
      </c>
      <c r="L154" s="7">
        <f t="shared" si="28"/>
        <v>4.9144008395218908</v>
      </c>
      <c r="M154" s="7">
        <f t="shared" si="29"/>
        <v>10.069620253164556</v>
      </c>
      <c r="N154" s="7">
        <f t="shared" si="30"/>
        <v>2.1089377326145904</v>
      </c>
      <c r="O154" s="7">
        <f t="shared" si="31"/>
        <v>10.958227848101266</v>
      </c>
      <c r="P154" s="7">
        <f t="shared" si="32"/>
        <v>2.2883463843764797</v>
      </c>
      <c r="Q154" s="7">
        <f t="shared" si="33"/>
        <v>-1.4503551486441411</v>
      </c>
      <c r="R154" s="7">
        <f t="shared" si="34"/>
        <v>-2.6738776014030492</v>
      </c>
      <c r="S154" s="7">
        <f t="shared" si="35"/>
        <v>-1.4555291062856295</v>
      </c>
      <c r="T154" s="7">
        <f t="shared" si="36"/>
        <v>-1.2927360421911447</v>
      </c>
      <c r="U154" s="7">
        <f t="shared" si="37"/>
        <v>-1.7181244746309909</v>
      </c>
    </row>
    <row r="155" spans="1:21" x14ac:dyDescent="0.25">
      <c r="A155" s="1" t="s">
        <v>1659</v>
      </c>
      <c r="B155" s="1" t="s">
        <v>36</v>
      </c>
      <c r="C155" s="1">
        <v>13</v>
      </c>
      <c r="D155" s="1">
        <v>12</v>
      </c>
      <c r="E155" s="1">
        <v>10</v>
      </c>
      <c r="F155" s="1">
        <v>10</v>
      </c>
      <c r="G155" s="1">
        <v>45</v>
      </c>
      <c r="H155" s="7">
        <v>1.3301243435223524</v>
      </c>
      <c r="I155" s="7">
        <f t="shared" si="38"/>
        <v>22.694936708860759</v>
      </c>
      <c r="J155" s="7">
        <f t="shared" si="26"/>
        <v>5.3055534129377486</v>
      </c>
      <c r="K155" s="7">
        <f t="shared" si="27"/>
        <v>22.140506329113926</v>
      </c>
      <c r="L155" s="7">
        <f t="shared" si="28"/>
        <v>4.9144008395218908</v>
      </c>
      <c r="M155" s="7">
        <f t="shared" si="29"/>
        <v>10.069620253164556</v>
      </c>
      <c r="N155" s="7">
        <f t="shared" si="30"/>
        <v>2.1089377326145904</v>
      </c>
      <c r="O155" s="7">
        <f t="shared" si="31"/>
        <v>10.958227848101266</v>
      </c>
      <c r="P155" s="7">
        <f t="shared" si="32"/>
        <v>2.2883463843764797</v>
      </c>
      <c r="Q155" s="7">
        <f t="shared" si="33"/>
        <v>-1.8273186516640034</v>
      </c>
      <c r="R155" s="7">
        <f t="shared" si="34"/>
        <v>-2.0634267859396811</v>
      </c>
      <c r="S155" s="7">
        <f t="shared" si="35"/>
        <v>-3.3012000348745997E-2</v>
      </c>
      <c r="T155" s="7">
        <f t="shared" si="36"/>
        <v>-0.41874248349965643</v>
      </c>
      <c r="U155" s="7">
        <f t="shared" si="37"/>
        <v>-1.0856249803630218</v>
      </c>
    </row>
    <row r="156" spans="1:21" x14ac:dyDescent="0.25">
      <c r="A156" s="1" t="s">
        <v>1659</v>
      </c>
      <c r="B156" s="1" t="s">
        <v>36</v>
      </c>
      <c r="C156" s="1">
        <v>27</v>
      </c>
      <c r="D156" s="1">
        <v>11</v>
      </c>
      <c r="E156" s="1">
        <v>11</v>
      </c>
      <c r="F156" s="1">
        <v>11</v>
      </c>
      <c r="G156" s="1">
        <v>60</v>
      </c>
      <c r="H156" s="7">
        <v>2.1031112483834331</v>
      </c>
      <c r="I156" s="7">
        <f t="shared" si="38"/>
        <v>22.694936708860759</v>
      </c>
      <c r="J156" s="7">
        <f t="shared" si="26"/>
        <v>5.3055534129377486</v>
      </c>
      <c r="K156" s="7">
        <f t="shared" si="27"/>
        <v>22.140506329113926</v>
      </c>
      <c r="L156" s="7">
        <f t="shared" si="28"/>
        <v>4.9144008395218908</v>
      </c>
      <c r="M156" s="7">
        <f t="shared" si="29"/>
        <v>10.069620253164556</v>
      </c>
      <c r="N156" s="7">
        <f t="shared" si="30"/>
        <v>2.1089377326145904</v>
      </c>
      <c r="O156" s="7">
        <f t="shared" si="31"/>
        <v>10.958227848101266</v>
      </c>
      <c r="P156" s="7">
        <f t="shared" si="32"/>
        <v>2.2883463843764797</v>
      </c>
      <c r="Q156" s="7">
        <f t="shared" si="33"/>
        <v>0.81142586947503292</v>
      </c>
      <c r="R156" s="7">
        <f t="shared" si="34"/>
        <v>-2.2669103910941373</v>
      </c>
      <c r="S156" s="7">
        <f t="shared" si="35"/>
        <v>0.44116036829688182</v>
      </c>
      <c r="T156" s="7">
        <f t="shared" si="36"/>
        <v>1.8254295846087756E-2</v>
      </c>
      <c r="U156" s="7">
        <f t="shared" si="37"/>
        <v>-0.24901746436903369</v>
      </c>
    </row>
    <row r="157" spans="1:21" x14ac:dyDescent="0.25">
      <c r="A157" s="1" t="s">
        <v>1659</v>
      </c>
      <c r="B157" s="1" t="s">
        <v>36</v>
      </c>
      <c r="C157" s="1">
        <v>17</v>
      </c>
      <c r="D157" s="1">
        <v>13</v>
      </c>
      <c r="E157" s="1">
        <v>8</v>
      </c>
      <c r="F157" s="1">
        <v>7</v>
      </c>
      <c r="G157" s="1">
        <v>45</v>
      </c>
      <c r="H157" s="7">
        <v>1.3913653136029502</v>
      </c>
      <c r="I157" s="7">
        <f t="shared" si="38"/>
        <v>22.694936708860759</v>
      </c>
      <c r="J157" s="7">
        <f t="shared" si="26"/>
        <v>5.3055534129377486</v>
      </c>
      <c r="K157" s="7">
        <f t="shared" si="27"/>
        <v>22.140506329113926</v>
      </c>
      <c r="L157" s="7">
        <f t="shared" si="28"/>
        <v>4.9144008395218908</v>
      </c>
      <c r="M157" s="7">
        <f t="shared" si="29"/>
        <v>10.069620253164556</v>
      </c>
      <c r="N157" s="7">
        <f t="shared" si="30"/>
        <v>2.1089377326145904</v>
      </c>
      <c r="O157" s="7">
        <f t="shared" si="31"/>
        <v>10.958227848101266</v>
      </c>
      <c r="P157" s="7">
        <f t="shared" si="32"/>
        <v>2.2883463843764797</v>
      </c>
      <c r="Q157" s="7">
        <f t="shared" si="33"/>
        <v>-1.0733916456242787</v>
      </c>
      <c r="R157" s="7">
        <f t="shared" si="34"/>
        <v>-1.8599431807852249</v>
      </c>
      <c r="S157" s="7">
        <f t="shared" si="35"/>
        <v>-0.98135673764000164</v>
      </c>
      <c r="T157" s="7">
        <f t="shared" si="36"/>
        <v>-1.729732821536889</v>
      </c>
      <c r="U157" s="7">
        <f t="shared" si="37"/>
        <v>-1.4111060963965985</v>
      </c>
    </row>
    <row r="158" spans="1:21" x14ac:dyDescent="0.25">
      <c r="A158" s="1" t="s">
        <v>1659</v>
      </c>
      <c r="B158" s="1" t="s">
        <v>36</v>
      </c>
      <c r="C158" s="1">
        <v>25</v>
      </c>
      <c r="D158" s="1">
        <v>14</v>
      </c>
      <c r="E158" s="1">
        <v>8</v>
      </c>
      <c r="F158" s="1">
        <v>7</v>
      </c>
      <c r="G158" s="1">
        <v>54</v>
      </c>
      <c r="H158" s="7">
        <v>1.863963243832607</v>
      </c>
      <c r="I158" s="7">
        <f t="shared" si="38"/>
        <v>22.694936708860759</v>
      </c>
      <c r="J158" s="7">
        <f t="shared" si="26"/>
        <v>5.3055534129377486</v>
      </c>
      <c r="K158" s="7">
        <f t="shared" si="27"/>
        <v>22.140506329113926</v>
      </c>
      <c r="L158" s="7">
        <f t="shared" si="28"/>
        <v>4.9144008395218908</v>
      </c>
      <c r="M158" s="7">
        <f t="shared" si="29"/>
        <v>10.069620253164556</v>
      </c>
      <c r="N158" s="7">
        <f t="shared" si="30"/>
        <v>2.1089377326145904</v>
      </c>
      <c r="O158" s="7">
        <f t="shared" si="31"/>
        <v>10.958227848101266</v>
      </c>
      <c r="P158" s="7">
        <f t="shared" si="32"/>
        <v>2.2883463843764797</v>
      </c>
      <c r="Q158" s="7">
        <f t="shared" si="33"/>
        <v>0.43446236645517061</v>
      </c>
      <c r="R158" s="7">
        <f t="shared" si="34"/>
        <v>-1.656459575630769</v>
      </c>
      <c r="S158" s="7">
        <f t="shared" si="35"/>
        <v>-0.98135673764000164</v>
      </c>
      <c r="T158" s="7">
        <f t="shared" si="36"/>
        <v>-1.729732821536889</v>
      </c>
      <c r="U158" s="7">
        <f t="shared" si="37"/>
        <v>-0.98327169208812226</v>
      </c>
    </row>
    <row r="159" spans="1:21" x14ac:dyDescent="0.25">
      <c r="A159" s="1" t="s">
        <v>1660</v>
      </c>
      <c r="B159" s="1" t="s">
        <v>36</v>
      </c>
      <c r="C159" s="1">
        <v>19</v>
      </c>
      <c r="D159" s="1">
        <v>23</v>
      </c>
      <c r="E159" s="1">
        <v>10</v>
      </c>
      <c r="F159" s="1">
        <v>8</v>
      </c>
      <c r="G159" s="1">
        <v>60</v>
      </c>
      <c r="H159" s="7">
        <v>1.556623564988312</v>
      </c>
      <c r="I159" s="7">
        <f t="shared" si="38"/>
        <v>22.694936708860759</v>
      </c>
      <c r="J159" s="7">
        <f t="shared" si="26"/>
        <v>5.3055534129377486</v>
      </c>
      <c r="K159" s="7">
        <f t="shared" si="27"/>
        <v>22.140506329113926</v>
      </c>
      <c r="L159" s="7">
        <f t="shared" si="28"/>
        <v>4.9144008395218908</v>
      </c>
      <c r="M159" s="7">
        <f t="shared" si="29"/>
        <v>10.069620253164556</v>
      </c>
      <c r="N159" s="7">
        <f t="shared" si="30"/>
        <v>2.1089377326145904</v>
      </c>
      <c r="O159" s="7">
        <f t="shared" si="31"/>
        <v>10.958227848101266</v>
      </c>
      <c r="P159" s="7">
        <f t="shared" si="32"/>
        <v>2.2883463843764797</v>
      </c>
      <c r="Q159" s="7">
        <f t="shared" si="33"/>
        <v>-0.69642814260441643</v>
      </c>
      <c r="R159" s="7">
        <f t="shared" si="34"/>
        <v>0.17489287075933599</v>
      </c>
      <c r="S159" s="7">
        <f t="shared" si="35"/>
        <v>-3.3012000348745997E-2</v>
      </c>
      <c r="T159" s="7">
        <f t="shared" si="36"/>
        <v>-1.2927360421911447</v>
      </c>
      <c r="U159" s="7">
        <f t="shared" si="37"/>
        <v>-0.46182082859624274</v>
      </c>
    </row>
    <row r="160" spans="1:21" x14ac:dyDescent="0.25">
      <c r="A160" s="1" t="s">
        <v>1660</v>
      </c>
      <c r="B160" s="1" t="s">
        <v>36</v>
      </c>
      <c r="C160" s="1">
        <v>27</v>
      </c>
      <c r="D160" s="1">
        <v>24</v>
      </c>
      <c r="E160" s="1">
        <v>12</v>
      </c>
      <c r="F160" s="1">
        <v>10</v>
      </c>
      <c r="G160" s="1">
        <v>73</v>
      </c>
      <c r="H160" s="7">
        <v>1.9381460874790259</v>
      </c>
      <c r="I160" s="7">
        <f t="shared" si="38"/>
        <v>22.694936708860759</v>
      </c>
      <c r="J160" s="7">
        <f t="shared" si="26"/>
        <v>5.3055534129377486</v>
      </c>
      <c r="K160" s="7">
        <f t="shared" si="27"/>
        <v>22.140506329113926</v>
      </c>
      <c r="L160" s="7">
        <f t="shared" si="28"/>
        <v>4.9144008395218908</v>
      </c>
      <c r="M160" s="7">
        <f t="shared" si="29"/>
        <v>10.069620253164556</v>
      </c>
      <c r="N160" s="7">
        <f t="shared" si="30"/>
        <v>2.1089377326145904</v>
      </c>
      <c r="O160" s="7">
        <f t="shared" si="31"/>
        <v>10.958227848101266</v>
      </c>
      <c r="P160" s="7">
        <f t="shared" si="32"/>
        <v>2.2883463843764797</v>
      </c>
      <c r="Q160" s="7">
        <f t="shared" si="33"/>
        <v>0.81142586947503292</v>
      </c>
      <c r="R160" s="7">
        <f t="shared" si="34"/>
        <v>0.37837647591379209</v>
      </c>
      <c r="S160" s="7">
        <f t="shared" si="35"/>
        <v>0.91533273694250961</v>
      </c>
      <c r="T160" s="7">
        <f t="shared" si="36"/>
        <v>-0.41874248349965643</v>
      </c>
      <c r="U160" s="7">
        <f t="shared" si="37"/>
        <v>0.42159814970791948</v>
      </c>
    </row>
    <row r="161" spans="1:21" x14ac:dyDescent="0.25">
      <c r="A161" s="1" t="s">
        <v>1660</v>
      </c>
      <c r="B161" s="1" t="s">
        <v>36</v>
      </c>
      <c r="C161" s="1">
        <v>23</v>
      </c>
      <c r="D161" s="1">
        <v>23</v>
      </c>
      <c r="E161" s="1">
        <v>8</v>
      </c>
      <c r="F161" s="1">
        <v>9</v>
      </c>
      <c r="G161" s="1">
        <v>63</v>
      </c>
      <c r="H161" s="7">
        <v>1.6251232694862388</v>
      </c>
      <c r="I161" s="7">
        <f t="shared" si="38"/>
        <v>22.694936708860759</v>
      </c>
      <c r="J161" s="7">
        <f t="shared" si="26"/>
        <v>5.3055534129377486</v>
      </c>
      <c r="K161" s="7">
        <f t="shared" si="27"/>
        <v>22.140506329113926</v>
      </c>
      <c r="L161" s="7">
        <f t="shared" si="28"/>
        <v>4.9144008395218908</v>
      </c>
      <c r="M161" s="7">
        <f t="shared" si="29"/>
        <v>10.069620253164556</v>
      </c>
      <c r="N161" s="7">
        <f t="shared" si="30"/>
        <v>2.1089377326145904</v>
      </c>
      <c r="O161" s="7">
        <f t="shared" si="31"/>
        <v>10.958227848101266</v>
      </c>
      <c r="P161" s="7">
        <f t="shared" si="32"/>
        <v>2.2883463843764797</v>
      </c>
      <c r="Q161" s="7">
        <f t="shared" si="33"/>
        <v>5.7498863435308259E-2</v>
      </c>
      <c r="R161" s="7">
        <f t="shared" si="34"/>
        <v>0.17489287075933599</v>
      </c>
      <c r="S161" s="7">
        <f t="shared" si="35"/>
        <v>-0.98135673764000164</v>
      </c>
      <c r="T161" s="7">
        <f t="shared" si="36"/>
        <v>-0.85573926284540058</v>
      </c>
      <c r="U161" s="7">
        <f t="shared" si="37"/>
        <v>-0.4011760665726895</v>
      </c>
    </row>
    <row r="162" spans="1:21" x14ac:dyDescent="0.25">
      <c r="A162" s="1" t="s">
        <v>1660</v>
      </c>
      <c r="B162" s="1" t="s">
        <v>36</v>
      </c>
      <c r="C162" s="1">
        <v>19</v>
      </c>
      <c r="D162" s="1">
        <v>19</v>
      </c>
      <c r="E162" s="1">
        <v>9</v>
      </c>
      <c r="F162" s="1">
        <v>9</v>
      </c>
      <c r="G162" s="1">
        <v>56</v>
      </c>
      <c r="H162" s="7">
        <v>1.315587028960544</v>
      </c>
      <c r="I162" s="7">
        <f t="shared" si="38"/>
        <v>22.694936708860759</v>
      </c>
      <c r="J162" s="7">
        <f t="shared" si="26"/>
        <v>5.3055534129377486</v>
      </c>
      <c r="K162" s="7">
        <f t="shared" si="27"/>
        <v>22.140506329113926</v>
      </c>
      <c r="L162" s="7">
        <f t="shared" si="28"/>
        <v>4.9144008395218908</v>
      </c>
      <c r="M162" s="7">
        <f t="shared" si="29"/>
        <v>10.069620253164556</v>
      </c>
      <c r="N162" s="7">
        <f t="shared" si="30"/>
        <v>2.1089377326145904</v>
      </c>
      <c r="O162" s="7">
        <f t="shared" si="31"/>
        <v>10.958227848101266</v>
      </c>
      <c r="P162" s="7">
        <f t="shared" si="32"/>
        <v>2.2883463843764797</v>
      </c>
      <c r="Q162" s="7">
        <f t="shared" si="33"/>
        <v>-0.69642814260441643</v>
      </c>
      <c r="R162" s="7">
        <f t="shared" si="34"/>
        <v>-0.63904154985848838</v>
      </c>
      <c r="S162" s="7">
        <f t="shared" si="35"/>
        <v>-0.5071843689943738</v>
      </c>
      <c r="T162" s="7">
        <f t="shared" si="36"/>
        <v>-0.85573926284540058</v>
      </c>
      <c r="U162" s="7">
        <f t="shared" si="37"/>
        <v>-0.6745983310756698</v>
      </c>
    </row>
    <row r="163" spans="1:21" x14ac:dyDescent="0.25">
      <c r="A163" s="1" t="s">
        <v>1660</v>
      </c>
      <c r="B163" s="1" t="s">
        <v>36</v>
      </c>
      <c r="C163" s="1">
        <v>24</v>
      </c>
      <c r="D163" s="1">
        <v>22</v>
      </c>
      <c r="E163" s="1">
        <v>10</v>
      </c>
      <c r="F163" s="1">
        <v>7</v>
      </c>
      <c r="G163" s="1">
        <v>63</v>
      </c>
      <c r="H163" s="7">
        <v>2.1543039806456381</v>
      </c>
      <c r="I163" s="7">
        <f t="shared" si="38"/>
        <v>22.694936708860759</v>
      </c>
      <c r="J163" s="7">
        <f t="shared" si="26"/>
        <v>5.3055534129377486</v>
      </c>
      <c r="K163" s="7">
        <f t="shared" si="27"/>
        <v>22.140506329113926</v>
      </c>
      <c r="L163" s="7">
        <f t="shared" si="28"/>
        <v>4.9144008395218908</v>
      </c>
      <c r="M163" s="7">
        <f t="shared" si="29"/>
        <v>10.069620253164556</v>
      </c>
      <c r="N163" s="7">
        <f t="shared" si="30"/>
        <v>2.1089377326145904</v>
      </c>
      <c r="O163" s="7">
        <f t="shared" si="31"/>
        <v>10.958227848101266</v>
      </c>
      <c r="P163" s="7">
        <f t="shared" si="32"/>
        <v>2.2883463843764797</v>
      </c>
      <c r="Q163" s="7">
        <f t="shared" si="33"/>
        <v>0.24598061494523943</v>
      </c>
      <c r="R163" s="7">
        <f t="shared" si="34"/>
        <v>-2.8590734395120113E-2</v>
      </c>
      <c r="S163" s="7">
        <f t="shared" si="35"/>
        <v>-3.3012000348745997E-2</v>
      </c>
      <c r="T163" s="7">
        <f t="shared" si="36"/>
        <v>-1.729732821536889</v>
      </c>
      <c r="U163" s="7">
        <f t="shared" si="37"/>
        <v>-0.38633873533387891</v>
      </c>
    </row>
    <row r="164" spans="1:21" x14ac:dyDescent="0.25">
      <c r="A164" s="1" t="s">
        <v>1660</v>
      </c>
      <c r="B164" s="1" t="s">
        <v>36</v>
      </c>
      <c r="C164" s="1">
        <v>16</v>
      </c>
      <c r="D164" s="1">
        <v>18</v>
      </c>
      <c r="E164" s="1">
        <v>10</v>
      </c>
      <c r="F164" s="1">
        <v>4</v>
      </c>
      <c r="G164" s="1">
        <v>48</v>
      </c>
      <c r="H164" s="7">
        <v>1.7504578155735613</v>
      </c>
      <c r="I164" s="7">
        <f t="shared" si="38"/>
        <v>22.694936708860759</v>
      </c>
      <c r="J164" s="7">
        <f t="shared" si="26"/>
        <v>5.3055534129377486</v>
      </c>
      <c r="K164" s="7">
        <f t="shared" si="27"/>
        <v>22.140506329113926</v>
      </c>
      <c r="L164" s="7">
        <f t="shared" si="28"/>
        <v>4.9144008395218908</v>
      </c>
      <c r="M164" s="7">
        <f t="shared" si="29"/>
        <v>10.069620253164556</v>
      </c>
      <c r="N164" s="7">
        <f t="shared" si="30"/>
        <v>2.1089377326145904</v>
      </c>
      <c r="O164" s="7">
        <f t="shared" si="31"/>
        <v>10.958227848101266</v>
      </c>
      <c r="P164" s="7">
        <f t="shared" si="32"/>
        <v>2.2883463843764797</v>
      </c>
      <c r="Q164" s="7">
        <f t="shared" si="33"/>
        <v>-1.26187339713421</v>
      </c>
      <c r="R164" s="7">
        <f t="shared" si="34"/>
        <v>-0.84252515501294456</v>
      </c>
      <c r="S164" s="7">
        <f t="shared" si="35"/>
        <v>-3.3012000348745997E-2</v>
      </c>
      <c r="T164" s="7">
        <f t="shared" si="36"/>
        <v>-3.0407231595741213</v>
      </c>
      <c r="U164" s="7">
        <f t="shared" si="37"/>
        <v>-1.2945334280175054</v>
      </c>
    </row>
    <row r="165" spans="1:21" x14ac:dyDescent="0.25">
      <c r="A165" s="1" t="s">
        <v>1660</v>
      </c>
      <c r="B165" s="1" t="s">
        <v>36</v>
      </c>
      <c r="C165" s="1">
        <v>21</v>
      </c>
      <c r="D165" s="1">
        <v>18</v>
      </c>
      <c r="E165" s="1">
        <v>9</v>
      </c>
      <c r="F165" s="1">
        <v>7</v>
      </c>
      <c r="G165" s="1">
        <v>55</v>
      </c>
      <c r="H165" s="7">
        <v>1.6408253082847344</v>
      </c>
      <c r="I165" s="7">
        <f t="shared" si="38"/>
        <v>22.694936708860759</v>
      </c>
      <c r="J165" s="7">
        <f t="shared" si="26"/>
        <v>5.3055534129377486</v>
      </c>
      <c r="K165" s="7">
        <f t="shared" si="27"/>
        <v>22.140506329113926</v>
      </c>
      <c r="L165" s="7">
        <f t="shared" si="28"/>
        <v>4.9144008395218908</v>
      </c>
      <c r="M165" s="7">
        <f t="shared" si="29"/>
        <v>10.069620253164556</v>
      </c>
      <c r="N165" s="7">
        <f t="shared" si="30"/>
        <v>2.1089377326145904</v>
      </c>
      <c r="O165" s="7">
        <f t="shared" si="31"/>
        <v>10.958227848101266</v>
      </c>
      <c r="P165" s="7">
        <f t="shared" si="32"/>
        <v>2.2883463843764797</v>
      </c>
      <c r="Q165" s="7">
        <f t="shared" si="33"/>
        <v>-0.31946463958455407</v>
      </c>
      <c r="R165" s="7">
        <f t="shared" si="34"/>
        <v>-0.84252515501294456</v>
      </c>
      <c r="S165" s="7">
        <f t="shared" si="35"/>
        <v>-0.5071843689943738</v>
      </c>
      <c r="T165" s="7">
        <f t="shared" si="36"/>
        <v>-1.729732821536889</v>
      </c>
      <c r="U165" s="7">
        <f t="shared" si="37"/>
        <v>-0.84972674628219036</v>
      </c>
    </row>
    <row r="166" spans="1:21" x14ac:dyDescent="0.25">
      <c r="A166" s="1" t="s">
        <v>1660</v>
      </c>
      <c r="B166" s="1" t="s">
        <v>36</v>
      </c>
      <c r="C166" s="1">
        <v>20</v>
      </c>
      <c r="D166" s="1">
        <v>22</v>
      </c>
      <c r="E166" s="1">
        <v>11</v>
      </c>
      <c r="F166" s="1">
        <v>6</v>
      </c>
      <c r="G166" s="1">
        <v>59</v>
      </c>
      <c r="H166" s="7">
        <v>1.9414506867883019</v>
      </c>
      <c r="I166" s="7">
        <f t="shared" si="38"/>
        <v>22.694936708860759</v>
      </c>
      <c r="J166" s="7">
        <f t="shared" si="26"/>
        <v>5.3055534129377486</v>
      </c>
      <c r="K166" s="7">
        <f t="shared" si="27"/>
        <v>22.140506329113926</v>
      </c>
      <c r="L166" s="7">
        <f t="shared" si="28"/>
        <v>4.9144008395218908</v>
      </c>
      <c r="M166" s="7">
        <f t="shared" si="29"/>
        <v>10.069620253164556</v>
      </c>
      <c r="N166" s="7">
        <f t="shared" si="30"/>
        <v>2.1089377326145904</v>
      </c>
      <c r="O166" s="7">
        <f t="shared" si="31"/>
        <v>10.958227848101266</v>
      </c>
      <c r="P166" s="7">
        <f t="shared" si="32"/>
        <v>2.2883463843764797</v>
      </c>
      <c r="Q166" s="7">
        <f t="shared" si="33"/>
        <v>-0.50794639109448525</v>
      </c>
      <c r="R166" s="7">
        <f t="shared" si="34"/>
        <v>-2.8590734395120113E-2</v>
      </c>
      <c r="S166" s="7">
        <f t="shared" si="35"/>
        <v>0.44116036829688182</v>
      </c>
      <c r="T166" s="7">
        <f t="shared" si="36"/>
        <v>-2.1667296008826331</v>
      </c>
      <c r="U166" s="7">
        <f t="shared" si="37"/>
        <v>-0.56552658951883916</v>
      </c>
    </row>
    <row r="167" spans="1:21" x14ac:dyDescent="0.25">
      <c r="A167" s="1" t="s">
        <v>1661</v>
      </c>
      <c r="B167" s="1" t="s">
        <v>36</v>
      </c>
      <c r="C167" s="1">
        <v>29</v>
      </c>
      <c r="D167" s="1">
        <v>30</v>
      </c>
      <c r="E167" s="1">
        <v>12</v>
      </c>
      <c r="F167" s="1">
        <v>12</v>
      </c>
      <c r="G167" s="1">
        <v>83</v>
      </c>
      <c r="H167" s="7">
        <v>2.3287500774185546</v>
      </c>
      <c r="I167" s="7">
        <f t="shared" si="38"/>
        <v>22.694936708860759</v>
      </c>
      <c r="J167" s="7">
        <f t="shared" si="26"/>
        <v>5.3055534129377486</v>
      </c>
      <c r="K167" s="7">
        <f t="shared" si="27"/>
        <v>22.140506329113926</v>
      </c>
      <c r="L167" s="7">
        <f t="shared" si="28"/>
        <v>4.9144008395218908</v>
      </c>
      <c r="M167" s="7">
        <f t="shared" si="29"/>
        <v>10.069620253164556</v>
      </c>
      <c r="N167" s="7">
        <f t="shared" si="30"/>
        <v>2.1089377326145904</v>
      </c>
      <c r="O167" s="7">
        <f t="shared" si="31"/>
        <v>10.958227848101266</v>
      </c>
      <c r="P167" s="7">
        <f t="shared" si="32"/>
        <v>2.2883463843764797</v>
      </c>
      <c r="Q167" s="7">
        <f t="shared" si="33"/>
        <v>1.1883893724948953</v>
      </c>
      <c r="R167" s="7">
        <f t="shared" si="34"/>
        <v>1.5992781068405286</v>
      </c>
      <c r="S167" s="7">
        <f t="shared" si="35"/>
        <v>0.91533273694250961</v>
      </c>
      <c r="T167" s="7">
        <f t="shared" si="36"/>
        <v>0.45525107519183194</v>
      </c>
      <c r="U167" s="7">
        <f t="shared" si="37"/>
        <v>1.0395628228674414</v>
      </c>
    </row>
    <row r="168" spans="1:21" x14ac:dyDescent="0.25">
      <c r="A168" s="1" t="s">
        <v>1661</v>
      </c>
      <c r="B168" s="1" t="s">
        <v>36</v>
      </c>
      <c r="C168" s="1">
        <v>26</v>
      </c>
      <c r="D168" s="1">
        <v>29</v>
      </c>
      <c r="E168" s="1">
        <v>13</v>
      </c>
      <c r="F168" s="1">
        <v>15</v>
      </c>
      <c r="G168" s="1">
        <v>83</v>
      </c>
      <c r="H168" s="7">
        <v>2.0223114472661199</v>
      </c>
      <c r="I168" s="7">
        <f t="shared" si="38"/>
        <v>22.694936708860759</v>
      </c>
      <c r="J168" s="7">
        <f t="shared" si="26"/>
        <v>5.3055534129377486</v>
      </c>
      <c r="K168" s="7">
        <f t="shared" si="27"/>
        <v>22.140506329113926</v>
      </c>
      <c r="L168" s="7">
        <f t="shared" si="28"/>
        <v>4.9144008395218908</v>
      </c>
      <c r="M168" s="7">
        <f t="shared" si="29"/>
        <v>10.069620253164556</v>
      </c>
      <c r="N168" s="7">
        <f t="shared" si="30"/>
        <v>2.1089377326145904</v>
      </c>
      <c r="O168" s="7">
        <f t="shared" si="31"/>
        <v>10.958227848101266</v>
      </c>
      <c r="P168" s="7">
        <f t="shared" si="32"/>
        <v>2.2883463843764797</v>
      </c>
      <c r="Q168" s="7">
        <f t="shared" si="33"/>
        <v>0.62294411796510174</v>
      </c>
      <c r="R168" s="7">
        <f t="shared" si="34"/>
        <v>1.3957945016860727</v>
      </c>
      <c r="S168" s="7">
        <f t="shared" si="35"/>
        <v>1.3895051055881373</v>
      </c>
      <c r="T168" s="7">
        <f t="shared" si="36"/>
        <v>1.7662414132290645</v>
      </c>
      <c r="U168" s="7">
        <f t="shared" si="37"/>
        <v>1.293621284617094</v>
      </c>
    </row>
    <row r="169" spans="1:21" x14ac:dyDescent="0.25">
      <c r="A169" s="1" t="s">
        <v>1661</v>
      </c>
      <c r="B169" s="1" t="s">
        <v>36</v>
      </c>
      <c r="C169" s="1">
        <v>29</v>
      </c>
      <c r="D169" s="1">
        <v>33</v>
      </c>
      <c r="E169" s="1">
        <v>13</v>
      </c>
      <c r="F169" s="1">
        <v>14</v>
      </c>
      <c r="G169" s="1">
        <v>89</v>
      </c>
      <c r="H169" s="7">
        <v>2.3397348085539469</v>
      </c>
      <c r="I169" s="7">
        <f t="shared" si="38"/>
        <v>22.694936708860759</v>
      </c>
      <c r="J169" s="7">
        <f t="shared" si="26"/>
        <v>5.3055534129377486</v>
      </c>
      <c r="K169" s="7">
        <f t="shared" si="27"/>
        <v>22.140506329113926</v>
      </c>
      <c r="L169" s="7">
        <f t="shared" si="28"/>
        <v>4.9144008395218908</v>
      </c>
      <c r="M169" s="7">
        <f t="shared" si="29"/>
        <v>10.069620253164556</v>
      </c>
      <c r="N169" s="7">
        <f t="shared" si="30"/>
        <v>2.1089377326145904</v>
      </c>
      <c r="O169" s="7">
        <f t="shared" si="31"/>
        <v>10.958227848101266</v>
      </c>
      <c r="P169" s="7">
        <f t="shared" si="32"/>
        <v>2.2883463843764797</v>
      </c>
      <c r="Q169" s="7">
        <f t="shared" si="33"/>
        <v>1.1883893724948953</v>
      </c>
      <c r="R169" s="7">
        <f t="shared" si="34"/>
        <v>2.2097289223038969</v>
      </c>
      <c r="S169" s="7">
        <f t="shared" si="35"/>
        <v>1.3895051055881373</v>
      </c>
      <c r="T169" s="7">
        <f t="shared" si="36"/>
        <v>1.3292446338833204</v>
      </c>
      <c r="U169" s="7">
        <f t="shared" si="37"/>
        <v>1.5292170085675625</v>
      </c>
    </row>
    <row r="170" spans="1:21" x14ac:dyDescent="0.25">
      <c r="A170" s="1" t="s">
        <v>1661</v>
      </c>
      <c r="B170" s="1" t="s">
        <v>36</v>
      </c>
      <c r="C170" s="1">
        <v>34</v>
      </c>
      <c r="D170" s="1">
        <v>30</v>
      </c>
      <c r="E170" s="1">
        <v>14</v>
      </c>
      <c r="F170" s="1">
        <v>15</v>
      </c>
      <c r="G170" s="1">
        <v>93</v>
      </c>
      <c r="H170" s="7">
        <v>2.3038429433649132</v>
      </c>
      <c r="I170" s="7">
        <f t="shared" si="38"/>
        <v>22.694936708860759</v>
      </c>
      <c r="J170" s="7">
        <f t="shared" si="26"/>
        <v>5.3055534129377486</v>
      </c>
      <c r="K170" s="7">
        <f t="shared" si="27"/>
        <v>22.140506329113926</v>
      </c>
      <c r="L170" s="7">
        <f t="shared" si="28"/>
        <v>4.9144008395218908</v>
      </c>
      <c r="M170" s="7">
        <f t="shared" si="29"/>
        <v>10.069620253164556</v>
      </c>
      <c r="N170" s="7">
        <f t="shared" si="30"/>
        <v>2.1089377326145904</v>
      </c>
      <c r="O170" s="7">
        <f t="shared" si="31"/>
        <v>10.958227848101266</v>
      </c>
      <c r="P170" s="7">
        <f t="shared" si="32"/>
        <v>2.2883463843764797</v>
      </c>
      <c r="Q170" s="7">
        <f t="shared" si="33"/>
        <v>2.1307981300445511</v>
      </c>
      <c r="R170" s="7">
        <f t="shared" si="34"/>
        <v>1.5992781068405286</v>
      </c>
      <c r="S170" s="7">
        <f t="shared" si="35"/>
        <v>1.8636774742337652</v>
      </c>
      <c r="T170" s="7">
        <f t="shared" si="36"/>
        <v>1.7662414132290645</v>
      </c>
      <c r="U170" s="7">
        <f t="shared" si="37"/>
        <v>1.8399987810869773</v>
      </c>
    </row>
    <row r="171" spans="1:21" x14ac:dyDescent="0.25">
      <c r="A171" s="1" t="s">
        <v>1661</v>
      </c>
      <c r="B171" s="1" t="s">
        <v>36</v>
      </c>
      <c r="C171" s="1">
        <v>30</v>
      </c>
      <c r="D171" s="1">
        <v>30</v>
      </c>
      <c r="E171" s="1">
        <v>13</v>
      </c>
      <c r="F171" s="1">
        <v>14</v>
      </c>
      <c r="G171" s="1">
        <v>87</v>
      </c>
      <c r="H171" s="7">
        <v>2.1750331562459531</v>
      </c>
      <c r="I171" s="7">
        <f t="shared" si="38"/>
        <v>22.694936708860759</v>
      </c>
      <c r="J171" s="7">
        <f t="shared" si="26"/>
        <v>5.3055534129377486</v>
      </c>
      <c r="K171" s="7">
        <f t="shared" si="27"/>
        <v>22.140506329113926</v>
      </c>
      <c r="L171" s="7">
        <f t="shared" si="28"/>
        <v>4.9144008395218908</v>
      </c>
      <c r="M171" s="7">
        <f t="shared" si="29"/>
        <v>10.069620253164556</v>
      </c>
      <c r="N171" s="7">
        <f t="shared" si="30"/>
        <v>2.1089377326145904</v>
      </c>
      <c r="O171" s="7">
        <f t="shared" si="31"/>
        <v>10.958227848101266</v>
      </c>
      <c r="P171" s="7">
        <f t="shared" si="32"/>
        <v>2.2883463843764797</v>
      </c>
      <c r="Q171" s="7">
        <f t="shared" si="33"/>
        <v>1.3768711240048266</v>
      </c>
      <c r="R171" s="7">
        <f t="shared" si="34"/>
        <v>1.5992781068405286</v>
      </c>
      <c r="S171" s="7">
        <f t="shared" si="35"/>
        <v>1.3895051055881373</v>
      </c>
      <c r="T171" s="7">
        <f t="shared" si="36"/>
        <v>1.3292446338833204</v>
      </c>
      <c r="U171" s="7">
        <f t="shared" si="37"/>
        <v>1.4237247425792032</v>
      </c>
    </row>
    <row r="172" spans="1:21" x14ac:dyDescent="0.25">
      <c r="A172" s="1" t="s">
        <v>1661</v>
      </c>
      <c r="B172" s="1" t="s">
        <v>36</v>
      </c>
      <c r="C172" s="1">
        <v>35</v>
      </c>
      <c r="D172" s="1">
        <v>31</v>
      </c>
      <c r="E172" s="1">
        <v>14</v>
      </c>
      <c r="F172" s="1">
        <v>13</v>
      </c>
      <c r="G172" s="1">
        <v>93</v>
      </c>
      <c r="H172" s="7">
        <v>2.609155477868712</v>
      </c>
      <c r="I172" s="7">
        <f t="shared" si="38"/>
        <v>22.694936708860759</v>
      </c>
      <c r="J172" s="7">
        <f t="shared" si="26"/>
        <v>5.3055534129377486</v>
      </c>
      <c r="K172" s="7">
        <f t="shared" si="27"/>
        <v>22.140506329113926</v>
      </c>
      <c r="L172" s="7">
        <f t="shared" si="28"/>
        <v>4.9144008395218908</v>
      </c>
      <c r="M172" s="7">
        <f t="shared" si="29"/>
        <v>10.069620253164556</v>
      </c>
      <c r="N172" s="7">
        <f t="shared" si="30"/>
        <v>2.1089377326145904</v>
      </c>
      <c r="O172" s="7">
        <f t="shared" si="31"/>
        <v>10.958227848101266</v>
      </c>
      <c r="P172" s="7">
        <f t="shared" si="32"/>
        <v>2.2883463843764797</v>
      </c>
      <c r="Q172" s="7">
        <f t="shared" si="33"/>
        <v>2.3192798815544822</v>
      </c>
      <c r="R172" s="7">
        <f t="shared" si="34"/>
        <v>1.8027617119949848</v>
      </c>
      <c r="S172" s="7">
        <f t="shared" si="35"/>
        <v>1.8636774742337652</v>
      </c>
      <c r="T172" s="7">
        <f t="shared" si="36"/>
        <v>0.89224785453757616</v>
      </c>
      <c r="U172" s="7">
        <f t="shared" si="37"/>
        <v>1.719491730580202</v>
      </c>
    </row>
    <row r="173" spans="1:21" x14ac:dyDescent="0.25">
      <c r="A173" s="1" t="s">
        <v>1661</v>
      </c>
      <c r="B173" s="1" t="s">
        <v>36</v>
      </c>
      <c r="C173" s="1">
        <v>35</v>
      </c>
      <c r="D173" s="1">
        <v>33</v>
      </c>
      <c r="E173" s="1">
        <v>14</v>
      </c>
      <c r="F173" s="1">
        <v>12</v>
      </c>
      <c r="G173" s="1">
        <v>94</v>
      </c>
      <c r="H173" s="7">
        <v>2.8622207623290854</v>
      </c>
      <c r="I173" s="7">
        <f t="shared" si="38"/>
        <v>22.694936708860759</v>
      </c>
      <c r="J173" s="7">
        <f t="shared" si="26"/>
        <v>5.3055534129377486</v>
      </c>
      <c r="K173" s="7">
        <f t="shared" si="27"/>
        <v>22.140506329113926</v>
      </c>
      <c r="L173" s="7">
        <f t="shared" si="28"/>
        <v>4.9144008395218908</v>
      </c>
      <c r="M173" s="7">
        <f t="shared" si="29"/>
        <v>10.069620253164556</v>
      </c>
      <c r="N173" s="7">
        <f t="shared" si="30"/>
        <v>2.1089377326145904</v>
      </c>
      <c r="O173" s="7">
        <f t="shared" si="31"/>
        <v>10.958227848101266</v>
      </c>
      <c r="P173" s="7">
        <f t="shared" si="32"/>
        <v>2.2883463843764797</v>
      </c>
      <c r="Q173" s="7">
        <f t="shared" si="33"/>
        <v>2.3192798815544822</v>
      </c>
      <c r="R173" s="7">
        <f t="shared" si="34"/>
        <v>2.2097289223038969</v>
      </c>
      <c r="S173" s="7">
        <f t="shared" si="35"/>
        <v>1.8636774742337652</v>
      </c>
      <c r="T173" s="7">
        <f t="shared" si="36"/>
        <v>0.45525107519183194</v>
      </c>
      <c r="U173" s="7">
        <f t="shared" si="37"/>
        <v>1.7119843383209941</v>
      </c>
    </row>
    <row r="174" spans="1:21" x14ac:dyDescent="0.25">
      <c r="A174" s="1" t="s">
        <v>1661</v>
      </c>
      <c r="B174" s="1" t="s">
        <v>36</v>
      </c>
      <c r="C174" s="1">
        <v>35</v>
      </c>
      <c r="D174" s="1">
        <v>31</v>
      </c>
      <c r="E174" s="1">
        <v>13</v>
      </c>
      <c r="F174" s="1">
        <v>12</v>
      </c>
      <c r="G174" s="1">
        <v>91</v>
      </c>
      <c r="H174" s="7">
        <v>2.70801280154532</v>
      </c>
      <c r="I174" s="7">
        <f t="shared" si="38"/>
        <v>22.694936708860759</v>
      </c>
      <c r="J174" s="7">
        <f t="shared" si="26"/>
        <v>5.3055534129377486</v>
      </c>
      <c r="K174" s="7">
        <f t="shared" si="27"/>
        <v>22.140506329113926</v>
      </c>
      <c r="L174" s="7">
        <f t="shared" si="28"/>
        <v>4.9144008395218908</v>
      </c>
      <c r="M174" s="7">
        <f t="shared" si="29"/>
        <v>10.069620253164556</v>
      </c>
      <c r="N174" s="7">
        <f t="shared" si="30"/>
        <v>2.1089377326145904</v>
      </c>
      <c r="O174" s="7">
        <f t="shared" si="31"/>
        <v>10.958227848101266</v>
      </c>
      <c r="P174" s="7">
        <f t="shared" si="32"/>
        <v>2.2883463843764797</v>
      </c>
      <c r="Q174" s="7">
        <f t="shared" si="33"/>
        <v>2.3192798815544822</v>
      </c>
      <c r="R174" s="7">
        <f t="shared" si="34"/>
        <v>1.8027617119949848</v>
      </c>
      <c r="S174" s="7">
        <f t="shared" si="35"/>
        <v>1.3895051055881373</v>
      </c>
      <c r="T174" s="7">
        <f t="shared" si="36"/>
        <v>0.45525107519183194</v>
      </c>
      <c r="U174" s="7">
        <f t="shared" si="37"/>
        <v>1.491699443582359</v>
      </c>
    </row>
    <row r="175" spans="1:21" x14ac:dyDescent="0.25">
      <c r="A175" s="1" t="s">
        <v>1661</v>
      </c>
      <c r="B175" s="1" t="s">
        <v>36</v>
      </c>
      <c r="C175" s="1">
        <v>28</v>
      </c>
      <c r="D175" s="1">
        <v>25</v>
      </c>
      <c r="E175" s="1">
        <v>12</v>
      </c>
      <c r="F175" s="1">
        <v>10</v>
      </c>
      <c r="G175" s="1">
        <v>75</v>
      </c>
      <c r="H175" s="7">
        <v>2.1273554065179203</v>
      </c>
      <c r="I175" s="7">
        <f t="shared" si="38"/>
        <v>22.694936708860759</v>
      </c>
      <c r="J175" s="7">
        <f t="shared" si="26"/>
        <v>5.3055534129377486</v>
      </c>
      <c r="K175" s="7">
        <f t="shared" si="27"/>
        <v>22.140506329113926</v>
      </c>
      <c r="L175" s="7">
        <f t="shared" si="28"/>
        <v>4.9144008395218908</v>
      </c>
      <c r="M175" s="7">
        <f t="shared" si="29"/>
        <v>10.069620253164556</v>
      </c>
      <c r="N175" s="7">
        <f t="shared" si="30"/>
        <v>2.1089377326145904</v>
      </c>
      <c r="O175" s="7">
        <f t="shared" si="31"/>
        <v>10.958227848101266</v>
      </c>
      <c r="P175" s="7">
        <f t="shared" si="32"/>
        <v>2.2883463843764797</v>
      </c>
      <c r="Q175" s="7">
        <f t="shared" si="33"/>
        <v>0.99990762098496411</v>
      </c>
      <c r="R175" s="7">
        <f t="shared" si="34"/>
        <v>0.58186008106824816</v>
      </c>
      <c r="S175" s="7">
        <f t="shared" si="35"/>
        <v>0.91533273694250961</v>
      </c>
      <c r="T175" s="7">
        <f t="shared" si="36"/>
        <v>-0.41874248349965643</v>
      </c>
      <c r="U175" s="7">
        <f t="shared" si="37"/>
        <v>0.51958948887401635</v>
      </c>
    </row>
    <row r="176" spans="1:21" x14ac:dyDescent="0.25">
      <c r="A176" s="1" t="s">
        <v>1661</v>
      </c>
      <c r="B176" s="1" t="s">
        <v>36</v>
      </c>
      <c r="C176" s="1">
        <v>31</v>
      </c>
      <c r="D176" s="1">
        <v>23</v>
      </c>
      <c r="E176" s="1">
        <v>7</v>
      </c>
      <c r="F176" s="1">
        <v>13</v>
      </c>
      <c r="G176" s="1">
        <v>74</v>
      </c>
      <c r="H176" s="7">
        <v>2.015961945102775</v>
      </c>
      <c r="I176" s="7">
        <f t="shared" si="38"/>
        <v>22.694936708860759</v>
      </c>
      <c r="J176" s="7">
        <f t="shared" si="26"/>
        <v>5.3055534129377486</v>
      </c>
      <c r="K176" s="7">
        <f t="shared" si="27"/>
        <v>22.140506329113926</v>
      </c>
      <c r="L176" s="7">
        <f t="shared" si="28"/>
        <v>4.9144008395218908</v>
      </c>
      <c r="M176" s="7">
        <f t="shared" si="29"/>
        <v>10.069620253164556</v>
      </c>
      <c r="N176" s="7">
        <f t="shared" si="30"/>
        <v>2.1089377326145904</v>
      </c>
      <c r="O176" s="7">
        <f t="shared" si="31"/>
        <v>10.958227848101266</v>
      </c>
      <c r="P176" s="7">
        <f t="shared" si="32"/>
        <v>2.2883463843764797</v>
      </c>
      <c r="Q176" s="7">
        <f t="shared" si="33"/>
        <v>1.5653528755147577</v>
      </c>
      <c r="R176" s="7">
        <f t="shared" si="34"/>
        <v>0.17489287075933599</v>
      </c>
      <c r="S176" s="7">
        <f t="shared" si="35"/>
        <v>-1.4555291062856295</v>
      </c>
      <c r="T176" s="7">
        <f t="shared" si="36"/>
        <v>0.89224785453757616</v>
      </c>
      <c r="U176" s="7">
        <f t="shared" si="37"/>
        <v>0.29424112363151012</v>
      </c>
    </row>
    <row r="177" spans="1:21" x14ac:dyDescent="0.25">
      <c r="A177" s="1" t="s">
        <v>1661</v>
      </c>
      <c r="B177" s="1" t="s">
        <v>36</v>
      </c>
      <c r="C177" s="1">
        <v>24</v>
      </c>
      <c r="D177" s="1">
        <v>24</v>
      </c>
      <c r="E177" s="1">
        <v>12</v>
      </c>
      <c r="F177" s="1">
        <v>14</v>
      </c>
      <c r="G177" s="1">
        <v>74</v>
      </c>
      <c r="H177" s="7">
        <v>1.6012815380508714</v>
      </c>
      <c r="I177" s="7">
        <f t="shared" si="38"/>
        <v>22.694936708860759</v>
      </c>
      <c r="J177" s="7">
        <f t="shared" si="26"/>
        <v>5.3055534129377486</v>
      </c>
      <c r="K177" s="7">
        <f t="shared" si="27"/>
        <v>22.140506329113926</v>
      </c>
      <c r="L177" s="7">
        <f t="shared" si="28"/>
        <v>4.9144008395218908</v>
      </c>
      <c r="M177" s="7">
        <f t="shared" si="29"/>
        <v>10.069620253164556</v>
      </c>
      <c r="N177" s="7">
        <f t="shared" si="30"/>
        <v>2.1089377326145904</v>
      </c>
      <c r="O177" s="7">
        <f t="shared" si="31"/>
        <v>10.958227848101266</v>
      </c>
      <c r="P177" s="7">
        <f t="shared" si="32"/>
        <v>2.2883463843764797</v>
      </c>
      <c r="Q177" s="7">
        <f t="shared" si="33"/>
        <v>0.24598061494523943</v>
      </c>
      <c r="R177" s="7">
        <f t="shared" si="34"/>
        <v>0.37837647591379209</v>
      </c>
      <c r="S177" s="7">
        <f t="shared" si="35"/>
        <v>0.91533273694250961</v>
      </c>
      <c r="T177" s="7">
        <f t="shared" si="36"/>
        <v>1.3292446338833204</v>
      </c>
      <c r="U177" s="7">
        <f t="shared" si="37"/>
        <v>0.71723361542121533</v>
      </c>
    </row>
    <row r="178" spans="1:21" x14ac:dyDescent="0.25">
      <c r="A178" s="1" t="s">
        <v>1661</v>
      </c>
      <c r="B178" s="1" t="s">
        <v>36</v>
      </c>
      <c r="C178" s="1">
        <v>30</v>
      </c>
      <c r="D178" s="1">
        <v>28</v>
      </c>
      <c r="E178" s="1">
        <v>11</v>
      </c>
      <c r="F178" s="1">
        <v>10</v>
      </c>
      <c r="G178" s="1">
        <v>79</v>
      </c>
      <c r="H178" s="7">
        <v>2.396578758061112</v>
      </c>
      <c r="I178" s="7">
        <f t="shared" si="38"/>
        <v>22.694936708860759</v>
      </c>
      <c r="J178" s="7">
        <f t="shared" si="26"/>
        <v>5.3055534129377486</v>
      </c>
      <c r="K178" s="7">
        <f t="shared" si="27"/>
        <v>22.140506329113926</v>
      </c>
      <c r="L178" s="7">
        <f t="shared" si="28"/>
        <v>4.9144008395218908</v>
      </c>
      <c r="M178" s="7">
        <f t="shared" si="29"/>
        <v>10.069620253164556</v>
      </c>
      <c r="N178" s="7">
        <f t="shared" si="30"/>
        <v>2.1089377326145904</v>
      </c>
      <c r="O178" s="7">
        <f t="shared" si="31"/>
        <v>10.958227848101266</v>
      </c>
      <c r="P178" s="7">
        <f t="shared" si="32"/>
        <v>2.2883463843764797</v>
      </c>
      <c r="Q178" s="7">
        <f t="shared" si="33"/>
        <v>1.3768711240048266</v>
      </c>
      <c r="R178" s="7">
        <f t="shared" si="34"/>
        <v>1.1923108965316165</v>
      </c>
      <c r="S178" s="7">
        <f t="shared" si="35"/>
        <v>0.44116036829688182</v>
      </c>
      <c r="T178" s="7">
        <f t="shared" si="36"/>
        <v>-0.41874248349965643</v>
      </c>
      <c r="U178" s="7">
        <f t="shared" si="37"/>
        <v>0.64789997633341723</v>
      </c>
    </row>
    <row r="179" spans="1:21" x14ac:dyDescent="0.25">
      <c r="A179" s="1" t="s">
        <v>1661</v>
      </c>
      <c r="B179" s="1" t="s">
        <v>36</v>
      </c>
      <c r="C179" s="1">
        <v>26</v>
      </c>
      <c r="D179" s="1">
        <v>28</v>
      </c>
      <c r="E179" s="1">
        <v>12</v>
      </c>
      <c r="F179" s="1">
        <v>12</v>
      </c>
      <c r="G179" s="1">
        <v>78</v>
      </c>
      <c r="H179" s="7">
        <v>1.957890020745122</v>
      </c>
      <c r="I179" s="7">
        <f t="shared" si="38"/>
        <v>22.694936708860759</v>
      </c>
      <c r="J179" s="7">
        <f t="shared" si="26"/>
        <v>5.3055534129377486</v>
      </c>
      <c r="K179" s="7">
        <f t="shared" si="27"/>
        <v>22.140506329113926</v>
      </c>
      <c r="L179" s="7">
        <f t="shared" si="28"/>
        <v>4.9144008395218908</v>
      </c>
      <c r="M179" s="7">
        <f t="shared" si="29"/>
        <v>10.069620253164556</v>
      </c>
      <c r="N179" s="7">
        <f t="shared" si="30"/>
        <v>2.1089377326145904</v>
      </c>
      <c r="O179" s="7">
        <f t="shared" si="31"/>
        <v>10.958227848101266</v>
      </c>
      <c r="P179" s="7">
        <f t="shared" si="32"/>
        <v>2.2883463843764797</v>
      </c>
      <c r="Q179" s="7">
        <f t="shared" si="33"/>
        <v>0.62294411796510174</v>
      </c>
      <c r="R179" s="7">
        <f t="shared" si="34"/>
        <v>1.1923108965316165</v>
      </c>
      <c r="S179" s="7">
        <f t="shared" si="35"/>
        <v>0.91533273694250961</v>
      </c>
      <c r="T179" s="7">
        <f t="shared" si="36"/>
        <v>0.45525107519183194</v>
      </c>
      <c r="U179" s="7">
        <f t="shared" si="37"/>
        <v>0.79645970665776489</v>
      </c>
    </row>
    <row r="180" spans="1:21" x14ac:dyDescent="0.25">
      <c r="A180" s="1" t="s">
        <v>1661</v>
      </c>
      <c r="B180" s="1" t="s">
        <v>36</v>
      </c>
      <c r="C180" s="1">
        <v>27</v>
      </c>
      <c r="D180" s="1">
        <v>28</v>
      </c>
      <c r="E180" s="1">
        <v>12</v>
      </c>
      <c r="F180" s="1">
        <v>12</v>
      </c>
      <c r="G180" s="1">
        <v>79</v>
      </c>
      <c r="H180" s="7">
        <v>2.0191391920625676</v>
      </c>
      <c r="I180" s="7">
        <f t="shared" si="38"/>
        <v>22.694936708860759</v>
      </c>
      <c r="J180" s="7">
        <f t="shared" si="26"/>
        <v>5.3055534129377486</v>
      </c>
      <c r="K180" s="7">
        <f t="shared" si="27"/>
        <v>22.140506329113926</v>
      </c>
      <c r="L180" s="7">
        <f t="shared" si="28"/>
        <v>4.9144008395218908</v>
      </c>
      <c r="M180" s="7">
        <f t="shared" si="29"/>
        <v>10.069620253164556</v>
      </c>
      <c r="N180" s="7">
        <f t="shared" si="30"/>
        <v>2.1089377326145904</v>
      </c>
      <c r="O180" s="7">
        <f t="shared" si="31"/>
        <v>10.958227848101266</v>
      </c>
      <c r="P180" s="7">
        <f t="shared" si="32"/>
        <v>2.2883463843764797</v>
      </c>
      <c r="Q180" s="7">
        <f t="shared" si="33"/>
        <v>0.81142586947503292</v>
      </c>
      <c r="R180" s="7">
        <f t="shared" si="34"/>
        <v>1.1923108965316165</v>
      </c>
      <c r="S180" s="7">
        <f t="shared" si="35"/>
        <v>0.91533273694250961</v>
      </c>
      <c r="T180" s="7">
        <f t="shared" si="36"/>
        <v>0.45525107519183194</v>
      </c>
      <c r="U180" s="7">
        <f t="shared" si="37"/>
        <v>0.84358014453524766</v>
      </c>
    </row>
    <row r="181" spans="1:21" x14ac:dyDescent="0.25">
      <c r="A181" s="1" t="s">
        <v>1661</v>
      </c>
      <c r="B181" s="1" t="s">
        <v>36</v>
      </c>
      <c r="C181" s="1">
        <v>28</v>
      </c>
      <c r="D181" s="1">
        <v>25</v>
      </c>
      <c r="E181" s="1">
        <v>11</v>
      </c>
      <c r="F181" s="1">
        <v>12</v>
      </c>
      <c r="G181" s="1">
        <v>76</v>
      </c>
      <c r="H181" s="7">
        <v>2.3038429433649137</v>
      </c>
      <c r="I181" s="7">
        <f t="shared" si="38"/>
        <v>22.694936708860759</v>
      </c>
      <c r="J181" s="7">
        <f t="shared" si="26"/>
        <v>5.3055534129377486</v>
      </c>
      <c r="K181" s="7">
        <f t="shared" si="27"/>
        <v>22.140506329113926</v>
      </c>
      <c r="L181" s="7">
        <f t="shared" si="28"/>
        <v>4.9144008395218908</v>
      </c>
      <c r="M181" s="7">
        <f t="shared" si="29"/>
        <v>10.069620253164556</v>
      </c>
      <c r="N181" s="7">
        <f t="shared" si="30"/>
        <v>2.1089377326145904</v>
      </c>
      <c r="O181" s="7">
        <f t="shared" si="31"/>
        <v>10.958227848101266</v>
      </c>
      <c r="P181" s="7">
        <f t="shared" si="32"/>
        <v>2.2883463843764797</v>
      </c>
      <c r="Q181" s="7">
        <f t="shared" si="33"/>
        <v>0.99990762098496411</v>
      </c>
      <c r="R181" s="7">
        <f t="shared" si="34"/>
        <v>0.58186008106824816</v>
      </c>
      <c r="S181" s="7">
        <f t="shared" si="35"/>
        <v>0.44116036829688182</v>
      </c>
      <c r="T181" s="7">
        <f t="shared" si="36"/>
        <v>0.45525107519183194</v>
      </c>
      <c r="U181" s="7">
        <f t="shared" si="37"/>
        <v>0.61954478638548149</v>
      </c>
    </row>
    <row r="182" spans="1:21" x14ac:dyDescent="0.25">
      <c r="A182" s="1" t="s">
        <v>1664</v>
      </c>
      <c r="B182" s="1" t="s">
        <v>36</v>
      </c>
      <c r="C182" s="1">
        <v>22</v>
      </c>
      <c r="D182" s="1">
        <v>21</v>
      </c>
      <c r="E182" s="1">
        <v>5</v>
      </c>
      <c r="F182" s="1">
        <v>10</v>
      </c>
      <c r="G182" s="1">
        <v>58</v>
      </c>
      <c r="H182" s="7">
        <v>1.8536173919925962</v>
      </c>
      <c r="I182" s="7">
        <f t="shared" si="38"/>
        <v>22.694936708860759</v>
      </c>
      <c r="J182" s="7">
        <f t="shared" si="26"/>
        <v>5.3055534129377486</v>
      </c>
      <c r="K182" s="7">
        <f t="shared" si="27"/>
        <v>22.140506329113926</v>
      </c>
      <c r="L182" s="7">
        <f t="shared" si="28"/>
        <v>4.9144008395218908</v>
      </c>
      <c r="M182" s="7">
        <f t="shared" si="29"/>
        <v>10.069620253164556</v>
      </c>
      <c r="N182" s="7">
        <f t="shared" si="30"/>
        <v>2.1089377326145904</v>
      </c>
      <c r="O182" s="7">
        <f t="shared" si="31"/>
        <v>10.958227848101266</v>
      </c>
      <c r="P182" s="7">
        <f t="shared" si="32"/>
        <v>2.2883463843764797</v>
      </c>
      <c r="Q182" s="7">
        <f t="shared" si="33"/>
        <v>-0.13098288807462291</v>
      </c>
      <c r="R182" s="7">
        <f t="shared" si="34"/>
        <v>-0.23207433954957621</v>
      </c>
      <c r="S182" s="7">
        <f t="shared" si="35"/>
        <v>-2.4038738435768852</v>
      </c>
      <c r="T182" s="7">
        <f t="shared" si="36"/>
        <v>-0.41874248349965643</v>
      </c>
      <c r="U182" s="7">
        <f t="shared" si="37"/>
        <v>-0.79641838867518511</v>
      </c>
    </row>
    <row r="183" spans="1:21" x14ac:dyDescent="0.25">
      <c r="A183" s="1" t="s">
        <v>1664</v>
      </c>
      <c r="B183" s="1" t="s">
        <v>36</v>
      </c>
      <c r="C183" s="1">
        <v>23</v>
      </c>
      <c r="D183" s="1">
        <v>24</v>
      </c>
      <c r="E183" s="1">
        <v>7</v>
      </c>
      <c r="F183" s="1">
        <v>9</v>
      </c>
      <c r="G183" s="1">
        <v>63</v>
      </c>
      <c r="H183" s="7">
        <v>1.9935794376846327</v>
      </c>
      <c r="I183" s="7">
        <f t="shared" si="38"/>
        <v>22.694936708860759</v>
      </c>
      <c r="J183" s="7">
        <f t="shared" si="26"/>
        <v>5.3055534129377486</v>
      </c>
      <c r="K183" s="7">
        <f t="shared" si="27"/>
        <v>22.140506329113926</v>
      </c>
      <c r="L183" s="7">
        <f t="shared" si="28"/>
        <v>4.9144008395218908</v>
      </c>
      <c r="M183" s="7">
        <f t="shared" si="29"/>
        <v>10.069620253164556</v>
      </c>
      <c r="N183" s="7">
        <f t="shared" si="30"/>
        <v>2.1089377326145904</v>
      </c>
      <c r="O183" s="7">
        <f t="shared" si="31"/>
        <v>10.958227848101266</v>
      </c>
      <c r="P183" s="7">
        <f t="shared" si="32"/>
        <v>2.2883463843764797</v>
      </c>
      <c r="Q183" s="7">
        <f t="shared" si="33"/>
        <v>5.7498863435308259E-2</v>
      </c>
      <c r="R183" s="7">
        <f t="shared" si="34"/>
        <v>0.37837647591379209</v>
      </c>
      <c r="S183" s="7">
        <f t="shared" si="35"/>
        <v>-1.4555291062856295</v>
      </c>
      <c r="T183" s="7">
        <f t="shared" si="36"/>
        <v>-0.85573926284540058</v>
      </c>
      <c r="U183" s="7">
        <f t="shared" si="37"/>
        <v>-0.46884825744548242</v>
      </c>
    </row>
    <row r="184" spans="1:21" x14ac:dyDescent="0.25">
      <c r="A184" s="1" t="s">
        <v>1664</v>
      </c>
      <c r="B184" s="1" t="s">
        <v>36</v>
      </c>
      <c r="C184" s="1">
        <v>23</v>
      </c>
      <c r="D184" s="1">
        <v>24</v>
      </c>
      <c r="E184" s="1">
        <v>8</v>
      </c>
      <c r="F184" s="1">
        <v>12</v>
      </c>
      <c r="G184" s="1">
        <v>67</v>
      </c>
      <c r="H184" s="7">
        <v>1.7722938923964169</v>
      </c>
      <c r="I184" s="7">
        <f t="shared" si="38"/>
        <v>22.694936708860759</v>
      </c>
      <c r="J184" s="7">
        <f t="shared" si="26"/>
        <v>5.3055534129377486</v>
      </c>
      <c r="K184" s="7">
        <f t="shared" si="27"/>
        <v>22.140506329113926</v>
      </c>
      <c r="L184" s="7">
        <f t="shared" si="28"/>
        <v>4.9144008395218908</v>
      </c>
      <c r="M184" s="7">
        <f t="shared" si="29"/>
        <v>10.069620253164556</v>
      </c>
      <c r="N184" s="7">
        <f t="shared" si="30"/>
        <v>2.1089377326145904</v>
      </c>
      <c r="O184" s="7">
        <f t="shared" si="31"/>
        <v>10.958227848101266</v>
      </c>
      <c r="P184" s="7">
        <f t="shared" si="32"/>
        <v>2.2883463843764797</v>
      </c>
      <c r="Q184" s="7">
        <f t="shared" si="33"/>
        <v>5.7498863435308259E-2</v>
      </c>
      <c r="R184" s="7">
        <f t="shared" si="34"/>
        <v>0.37837647591379209</v>
      </c>
      <c r="S184" s="7">
        <f t="shared" si="35"/>
        <v>-0.98135673764000164</v>
      </c>
      <c r="T184" s="7">
        <f t="shared" si="36"/>
        <v>0.45525107519183194</v>
      </c>
      <c r="U184" s="7">
        <f t="shared" si="37"/>
        <v>-2.2557580774767327E-2</v>
      </c>
    </row>
    <row r="185" spans="1:21" x14ac:dyDescent="0.25">
      <c r="A185" s="1" t="s">
        <v>1664</v>
      </c>
      <c r="B185" s="1" t="s">
        <v>36</v>
      </c>
      <c r="C185" s="1">
        <v>30</v>
      </c>
      <c r="D185" s="1">
        <v>30</v>
      </c>
      <c r="E185" s="1">
        <v>12</v>
      </c>
      <c r="F185" s="1">
        <v>14</v>
      </c>
      <c r="G185" s="1">
        <v>86</v>
      </c>
      <c r="H185" s="7">
        <v>2.2926862533740322</v>
      </c>
      <c r="I185" s="7">
        <f t="shared" si="38"/>
        <v>22.694936708860759</v>
      </c>
      <c r="J185" s="7">
        <f t="shared" si="26"/>
        <v>5.3055534129377486</v>
      </c>
      <c r="K185" s="7">
        <f t="shared" si="27"/>
        <v>22.140506329113926</v>
      </c>
      <c r="L185" s="7">
        <f t="shared" si="28"/>
        <v>4.9144008395218908</v>
      </c>
      <c r="M185" s="7">
        <f t="shared" si="29"/>
        <v>10.069620253164556</v>
      </c>
      <c r="N185" s="7">
        <f t="shared" si="30"/>
        <v>2.1089377326145904</v>
      </c>
      <c r="O185" s="7">
        <f t="shared" si="31"/>
        <v>10.958227848101266</v>
      </c>
      <c r="P185" s="7">
        <f t="shared" si="32"/>
        <v>2.2883463843764797</v>
      </c>
      <c r="Q185" s="7">
        <f t="shared" si="33"/>
        <v>1.3768711240048266</v>
      </c>
      <c r="R185" s="7">
        <f t="shared" si="34"/>
        <v>1.5992781068405286</v>
      </c>
      <c r="S185" s="7">
        <f t="shared" si="35"/>
        <v>0.91533273694250961</v>
      </c>
      <c r="T185" s="7">
        <f t="shared" si="36"/>
        <v>1.3292446338833204</v>
      </c>
      <c r="U185" s="7">
        <f t="shared" si="37"/>
        <v>1.3051816504177962</v>
      </c>
    </row>
    <row r="186" spans="1:21" x14ac:dyDescent="0.25">
      <c r="A186" s="1" t="s">
        <v>1664</v>
      </c>
      <c r="B186" s="1" t="s">
        <v>36</v>
      </c>
      <c r="C186" s="1">
        <v>26</v>
      </c>
      <c r="D186" s="1">
        <v>23</v>
      </c>
      <c r="E186" s="1">
        <v>7</v>
      </c>
      <c r="F186" s="1">
        <v>8</v>
      </c>
      <c r="G186" s="1">
        <v>64</v>
      </c>
      <c r="H186" s="7">
        <v>2.1779783615981456</v>
      </c>
      <c r="I186" s="7">
        <f t="shared" si="38"/>
        <v>22.694936708860759</v>
      </c>
      <c r="J186" s="7">
        <f t="shared" si="26"/>
        <v>5.3055534129377486</v>
      </c>
      <c r="K186" s="7">
        <f t="shared" si="27"/>
        <v>22.140506329113926</v>
      </c>
      <c r="L186" s="7">
        <f t="shared" si="28"/>
        <v>4.9144008395218908</v>
      </c>
      <c r="M186" s="7">
        <f t="shared" si="29"/>
        <v>10.069620253164556</v>
      </c>
      <c r="N186" s="7">
        <f t="shared" si="30"/>
        <v>2.1089377326145904</v>
      </c>
      <c r="O186" s="7">
        <f t="shared" si="31"/>
        <v>10.958227848101266</v>
      </c>
      <c r="P186" s="7">
        <f t="shared" si="32"/>
        <v>2.2883463843764797</v>
      </c>
      <c r="Q186" s="7">
        <f t="shared" si="33"/>
        <v>0.62294411796510174</v>
      </c>
      <c r="R186" s="7">
        <f t="shared" si="34"/>
        <v>0.17489287075933599</v>
      </c>
      <c r="S186" s="7">
        <f t="shared" si="35"/>
        <v>-1.4555291062856295</v>
      </c>
      <c r="T186" s="7">
        <f t="shared" si="36"/>
        <v>-1.2927360421911447</v>
      </c>
      <c r="U186" s="7">
        <f t="shared" si="37"/>
        <v>-0.48760703993808407</v>
      </c>
    </row>
    <row r="187" spans="1:21" x14ac:dyDescent="0.25">
      <c r="A187" s="1" t="s">
        <v>1664</v>
      </c>
      <c r="B187" s="1" t="s">
        <v>36</v>
      </c>
      <c r="C187" s="1">
        <v>34</v>
      </c>
      <c r="D187" s="1">
        <v>31</v>
      </c>
      <c r="E187" s="1">
        <v>9</v>
      </c>
      <c r="F187" s="1">
        <v>13</v>
      </c>
      <c r="G187" s="1">
        <v>87</v>
      </c>
      <c r="H187" s="7">
        <v>2.6262969933798228</v>
      </c>
      <c r="I187" s="7">
        <f t="shared" si="38"/>
        <v>22.694936708860759</v>
      </c>
      <c r="J187" s="7">
        <f t="shared" si="26"/>
        <v>5.3055534129377486</v>
      </c>
      <c r="K187" s="7">
        <f t="shared" si="27"/>
        <v>22.140506329113926</v>
      </c>
      <c r="L187" s="7">
        <f t="shared" si="28"/>
        <v>4.9144008395218908</v>
      </c>
      <c r="M187" s="7">
        <f t="shared" si="29"/>
        <v>10.069620253164556</v>
      </c>
      <c r="N187" s="7">
        <f t="shared" si="30"/>
        <v>2.1089377326145904</v>
      </c>
      <c r="O187" s="7">
        <f t="shared" si="31"/>
        <v>10.958227848101266</v>
      </c>
      <c r="P187" s="7">
        <f t="shared" si="32"/>
        <v>2.2883463843764797</v>
      </c>
      <c r="Q187" s="7">
        <f t="shared" si="33"/>
        <v>2.1307981300445511</v>
      </c>
      <c r="R187" s="7">
        <f t="shared" si="34"/>
        <v>1.8027617119949848</v>
      </c>
      <c r="S187" s="7">
        <f t="shared" si="35"/>
        <v>-0.5071843689943738</v>
      </c>
      <c r="T187" s="7">
        <f t="shared" si="36"/>
        <v>0.89224785453757616</v>
      </c>
      <c r="U187" s="7">
        <f t="shared" si="37"/>
        <v>1.0796558318956846</v>
      </c>
    </row>
    <row r="188" spans="1:21" x14ac:dyDescent="0.25">
      <c r="A188" s="1" t="s">
        <v>1664</v>
      </c>
      <c r="B188" s="1" t="s">
        <v>36</v>
      </c>
      <c r="C188" s="1">
        <v>33</v>
      </c>
      <c r="D188" s="1">
        <v>30</v>
      </c>
      <c r="E188" s="1">
        <v>9</v>
      </c>
      <c r="F188" s="1">
        <v>10</v>
      </c>
      <c r="G188" s="1">
        <v>82</v>
      </c>
      <c r="H188" s="7">
        <v>2.8978329657583606</v>
      </c>
      <c r="I188" s="7">
        <f t="shared" si="38"/>
        <v>22.694936708860759</v>
      </c>
      <c r="J188" s="7">
        <f t="shared" si="26"/>
        <v>5.3055534129377486</v>
      </c>
      <c r="K188" s="7">
        <f t="shared" si="27"/>
        <v>22.140506329113926</v>
      </c>
      <c r="L188" s="7">
        <f t="shared" si="28"/>
        <v>4.9144008395218908</v>
      </c>
      <c r="M188" s="7">
        <f t="shared" si="29"/>
        <v>10.069620253164556</v>
      </c>
      <c r="N188" s="7">
        <f t="shared" si="30"/>
        <v>2.1089377326145904</v>
      </c>
      <c r="O188" s="7">
        <f t="shared" si="31"/>
        <v>10.958227848101266</v>
      </c>
      <c r="P188" s="7">
        <f t="shared" si="32"/>
        <v>2.2883463843764797</v>
      </c>
      <c r="Q188" s="7">
        <f t="shared" si="33"/>
        <v>1.94231637853462</v>
      </c>
      <c r="R188" s="7">
        <f t="shared" si="34"/>
        <v>1.5992781068405286</v>
      </c>
      <c r="S188" s="7">
        <f t="shared" si="35"/>
        <v>-0.5071843689943738</v>
      </c>
      <c r="T188" s="7">
        <f t="shared" si="36"/>
        <v>-0.41874248349965643</v>
      </c>
      <c r="U188" s="7">
        <f t="shared" si="37"/>
        <v>0.6539169082202797</v>
      </c>
    </row>
    <row r="189" spans="1:21" x14ac:dyDescent="0.25">
      <c r="A189" s="1" t="s">
        <v>1664</v>
      </c>
      <c r="B189" s="1" t="s">
        <v>36</v>
      </c>
      <c r="C189" s="1">
        <v>27</v>
      </c>
      <c r="D189" s="1">
        <v>28</v>
      </c>
      <c r="E189" s="1">
        <v>9</v>
      </c>
      <c r="F189" s="1">
        <v>12</v>
      </c>
      <c r="G189" s="1">
        <v>76</v>
      </c>
      <c r="H189" s="7">
        <v>2.3750843439814178</v>
      </c>
      <c r="I189" s="7">
        <f t="shared" si="38"/>
        <v>22.694936708860759</v>
      </c>
      <c r="J189" s="7">
        <f t="shared" si="26"/>
        <v>5.3055534129377486</v>
      </c>
      <c r="K189" s="7">
        <f t="shared" si="27"/>
        <v>22.140506329113926</v>
      </c>
      <c r="L189" s="7">
        <f t="shared" si="28"/>
        <v>4.9144008395218908</v>
      </c>
      <c r="M189" s="7">
        <f t="shared" si="29"/>
        <v>10.069620253164556</v>
      </c>
      <c r="N189" s="7">
        <f t="shared" si="30"/>
        <v>2.1089377326145904</v>
      </c>
      <c r="O189" s="7">
        <f t="shared" si="31"/>
        <v>10.958227848101266</v>
      </c>
      <c r="P189" s="7">
        <f t="shared" si="32"/>
        <v>2.2883463843764797</v>
      </c>
      <c r="Q189" s="7">
        <f t="shared" si="33"/>
        <v>0.81142586947503292</v>
      </c>
      <c r="R189" s="7">
        <f t="shared" si="34"/>
        <v>1.1923108965316165</v>
      </c>
      <c r="S189" s="7">
        <f t="shared" si="35"/>
        <v>-0.5071843689943738</v>
      </c>
      <c r="T189" s="7">
        <f t="shared" si="36"/>
        <v>0.45525107519183194</v>
      </c>
      <c r="U189" s="7">
        <f t="shared" si="37"/>
        <v>0.48795086805102683</v>
      </c>
    </row>
    <row r="190" spans="1:21" x14ac:dyDescent="0.25">
      <c r="A190" s="1" t="s">
        <v>1664</v>
      </c>
      <c r="B190" s="1" t="s">
        <v>36</v>
      </c>
      <c r="C190" s="1">
        <v>27</v>
      </c>
      <c r="D190" s="1">
        <v>26</v>
      </c>
      <c r="E190" s="1">
        <v>10</v>
      </c>
      <c r="F190" s="1">
        <v>10</v>
      </c>
      <c r="G190" s="1">
        <v>73</v>
      </c>
      <c r="H190" s="7">
        <v>2.2926862533740326</v>
      </c>
      <c r="I190" s="7">
        <f t="shared" si="38"/>
        <v>22.694936708860759</v>
      </c>
      <c r="J190" s="7">
        <f t="shared" si="26"/>
        <v>5.3055534129377486</v>
      </c>
      <c r="K190" s="7">
        <f t="shared" si="27"/>
        <v>22.140506329113926</v>
      </c>
      <c r="L190" s="7">
        <f t="shared" si="28"/>
        <v>4.9144008395218908</v>
      </c>
      <c r="M190" s="7">
        <f t="shared" si="29"/>
        <v>10.069620253164556</v>
      </c>
      <c r="N190" s="7">
        <f t="shared" si="30"/>
        <v>2.1089377326145904</v>
      </c>
      <c r="O190" s="7">
        <f t="shared" si="31"/>
        <v>10.958227848101266</v>
      </c>
      <c r="P190" s="7">
        <f t="shared" si="32"/>
        <v>2.2883463843764797</v>
      </c>
      <c r="Q190" s="7">
        <f t="shared" si="33"/>
        <v>0.81142586947503292</v>
      </c>
      <c r="R190" s="7">
        <f t="shared" si="34"/>
        <v>0.78534368622270434</v>
      </c>
      <c r="S190" s="7">
        <f t="shared" si="35"/>
        <v>-3.3012000348745997E-2</v>
      </c>
      <c r="T190" s="7">
        <f t="shared" si="36"/>
        <v>-0.41874248349965643</v>
      </c>
      <c r="U190" s="7">
        <f t="shared" si="37"/>
        <v>0.28625376796233371</v>
      </c>
    </row>
    <row r="191" spans="1:21" x14ac:dyDescent="0.25">
      <c r="A191" s="1" t="s">
        <v>1664</v>
      </c>
      <c r="B191" s="1" t="s">
        <v>36</v>
      </c>
      <c r="C191" s="1">
        <v>28</v>
      </c>
      <c r="D191" s="1">
        <v>25</v>
      </c>
      <c r="E191" s="1">
        <v>11</v>
      </c>
      <c r="F191" s="1">
        <v>11</v>
      </c>
      <c r="G191" s="1">
        <v>75</v>
      </c>
      <c r="H191" s="7">
        <v>1.9644272343292228</v>
      </c>
      <c r="I191" s="7">
        <f t="shared" si="38"/>
        <v>22.694936708860759</v>
      </c>
      <c r="J191" s="7">
        <f t="shared" si="26"/>
        <v>5.3055534129377486</v>
      </c>
      <c r="K191" s="7">
        <f t="shared" si="27"/>
        <v>22.140506329113926</v>
      </c>
      <c r="L191" s="7">
        <f t="shared" si="28"/>
        <v>4.9144008395218908</v>
      </c>
      <c r="M191" s="7">
        <f t="shared" si="29"/>
        <v>10.069620253164556</v>
      </c>
      <c r="N191" s="7">
        <f t="shared" si="30"/>
        <v>2.1089377326145904</v>
      </c>
      <c r="O191" s="7">
        <f t="shared" si="31"/>
        <v>10.958227848101266</v>
      </c>
      <c r="P191" s="7">
        <f t="shared" si="32"/>
        <v>2.2883463843764797</v>
      </c>
      <c r="Q191" s="7">
        <f t="shared" si="33"/>
        <v>0.99990762098496411</v>
      </c>
      <c r="R191" s="7">
        <f t="shared" si="34"/>
        <v>0.58186008106824816</v>
      </c>
      <c r="S191" s="7">
        <f t="shared" si="35"/>
        <v>0.44116036829688182</v>
      </c>
      <c r="T191" s="7">
        <f t="shared" si="36"/>
        <v>1.8254295846087756E-2</v>
      </c>
      <c r="U191" s="7">
        <f t="shared" si="37"/>
        <v>0.51029559154904547</v>
      </c>
    </row>
    <row r="192" spans="1:21" x14ac:dyDescent="0.25">
      <c r="A192" s="1" t="s">
        <v>1664</v>
      </c>
      <c r="B192" s="1" t="s">
        <v>36</v>
      </c>
      <c r="C192" s="1">
        <v>18</v>
      </c>
      <c r="D192" s="1">
        <v>21</v>
      </c>
      <c r="E192" s="1">
        <v>10</v>
      </c>
      <c r="F192" s="1">
        <v>10</v>
      </c>
      <c r="G192" s="1">
        <v>59</v>
      </c>
      <c r="H192" s="7">
        <v>1.4500221041639685</v>
      </c>
      <c r="I192" s="7">
        <f t="shared" si="38"/>
        <v>22.694936708860759</v>
      </c>
      <c r="J192" s="7">
        <f t="shared" si="26"/>
        <v>5.3055534129377486</v>
      </c>
      <c r="K192" s="7">
        <f t="shared" si="27"/>
        <v>22.140506329113926</v>
      </c>
      <c r="L192" s="7">
        <f t="shared" si="28"/>
        <v>4.9144008395218908</v>
      </c>
      <c r="M192" s="7">
        <f t="shared" si="29"/>
        <v>10.069620253164556</v>
      </c>
      <c r="N192" s="7">
        <f t="shared" si="30"/>
        <v>2.1089377326145904</v>
      </c>
      <c r="O192" s="7">
        <f t="shared" si="31"/>
        <v>10.958227848101266</v>
      </c>
      <c r="P192" s="7">
        <f t="shared" si="32"/>
        <v>2.2883463843764797</v>
      </c>
      <c r="Q192" s="7">
        <f t="shared" si="33"/>
        <v>-0.88490989411434762</v>
      </c>
      <c r="R192" s="7">
        <f t="shared" si="34"/>
        <v>-0.23207433954957621</v>
      </c>
      <c r="S192" s="7">
        <f t="shared" si="35"/>
        <v>-3.3012000348745997E-2</v>
      </c>
      <c r="T192" s="7">
        <f t="shared" si="36"/>
        <v>-0.41874248349965643</v>
      </c>
      <c r="U192" s="7">
        <f t="shared" si="37"/>
        <v>-0.39218467937808155</v>
      </c>
    </row>
    <row r="193" spans="1:21" x14ac:dyDescent="0.25">
      <c r="A193" s="1" t="s">
        <v>1664</v>
      </c>
      <c r="B193" s="1" t="s">
        <v>36</v>
      </c>
      <c r="C193" s="1">
        <v>23</v>
      </c>
      <c r="D193" s="1">
        <v>23</v>
      </c>
      <c r="E193" s="1">
        <v>12</v>
      </c>
      <c r="F193" s="1">
        <v>12</v>
      </c>
      <c r="G193" s="1">
        <v>70</v>
      </c>
      <c r="H193" s="7">
        <v>1.6092680291808414</v>
      </c>
      <c r="I193" s="7">
        <f t="shared" si="38"/>
        <v>22.694936708860759</v>
      </c>
      <c r="J193" s="7">
        <f t="shared" si="26"/>
        <v>5.3055534129377486</v>
      </c>
      <c r="K193" s="7">
        <f t="shared" si="27"/>
        <v>22.140506329113926</v>
      </c>
      <c r="L193" s="7">
        <f t="shared" si="28"/>
        <v>4.9144008395218908</v>
      </c>
      <c r="M193" s="7">
        <f t="shared" si="29"/>
        <v>10.069620253164556</v>
      </c>
      <c r="N193" s="7">
        <f t="shared" si="30"/>
        <v>2.1089377326145904</v>
      </c>
      <c r="O193" s="7">
        <f t="shared" si="31"/>
        <v>10.958227848101266</v>
      </c>
      <c r="P193" s="7">
        <f t="shared" si="32"/>
        <v>2.2883463843764797</v>
      </c>
      <c r="Q193" s="7">
        <f t="shared" si="33"/>
        <v>5.7498863435308259E-2</v>
      </c>
      <c r="R193" s="7">
        <f t="shared" si="34"/>
        <v>0.17489287075933599</v>
      </c>
      <c r="S193" s="7">
        <f t="shared" si="35"/>
        <v>0.91533273694250961</v>
      </c>
      <c r="T193" s="7">
        <f t="shared" si="36"/>
        <v>0.45525107519183194</v>
      </c>
      <c r="U193" s="7">
        <f t="shared" si="37"/>
        <v>0.40074388658224647</v>
      </c>
    </row>
    <row r="194" spans="1:21" x14ac:dyDescent="0.25">
      <c r="A194" s="1" t="s">
        <v>1664</v>
      </c>
      <c r="B194" s="1" t="s">
        <v>36</v>
      </c>
      <c r="C194" s="1">
        <v>26</v>
      </c>
      <c r="D194" s="1">
        <v>25</v>
      </c>
      <c r="E194" s="1">
        <v>11</v>
      </c>
      <c r="F194" s="1">
        <v>11</v>
      </c>
      <c r="G194" s="1">
        <v>73</v>
      </c>
      <c r="H194" s="7">
        <v>1.9381460874790259</v>
      </c>
      <c r="I194" s="7">
        <f t="shared" si="38"/>
        <v>22.694936708860759</v>
      </c>
      <c r="J194" s="7">
        <f t="shared" si="26"/>
        <v>5.3055534129377486</v>
      </c>
      <c r="K194" s="7">
        <f t="shared" si="27"/>
        <v>22.140506329113926</v>
      </c>
      <c r="L194" s="7">
        <f t="shared" si="28"/>
        <v>4.9144008395218908</v>
      </c>
      <c r="M194" s="7">
        <f t="shared" si="29"/>
        <v>10.069620253164556</v>
      </c>
      <c r="N194" s="7">
        <f t="shared" si="30"/>
        <v>2.1089377326145904</v>
      </c>
      <c r="O194" s="7">
        <f t="shared" si="31"/>
        <v>10.958227848101266</v>
      </c>
      <c r="P194" s="7">
        <f t="shared" si="32"/>
        <v>2.2883463843764797</v>
      </c>
      <c r="Q194" s="7">
        <f t="shared" si="33"/>
        <v>0.62294411796510174</v>
      </c>
      <c r="R194" s="7">
        <f t="shared" si="34"/>
        <v>0.58186008106824816</v>
      </c>
      <c r="S194" s="7">
        <f t="shared" si="35"/>
        <v>0.44116036829688182</v>
      </c>
      <c r="T194" s="7">
        <f t="shared" si="36"/>
        <v>1.8254295846087756E-2</v>
      </c>
      <c r="U194" s="7">
        <f t="shared" si="37"/>
        <v>0.41605471579407993</v>
      </c>
    </row>
    <row r="195" spans="1:21" x14ac:dyDescent="0.25">
      <c r="A195" s="1" t="s">
        <v>1664</v>
      </c>
      <c r="B195" s="1" t="s">
        <v>36</v>
      </c>
      <c r="C195" s="1">
        <v>28</v>
      </c>
      <c r="D195" s="1">
        <v>29</v>
      </c>
      <c r="E195" s="1">
        <v>9</v>
      </c>
      <c r="F195" s="1">
        <v>8</v>
      </c>
      <c r="G195" s="1">
        <v>74</v>
      </c>
      <c r="H195" s="7">
        <v>2.7198227694899346</v>
      </c>
      <c r="I195" s="7">
        <f t="shared" si="38"/>
        <v>22.694936708860759</v>
      </c>
      <c r="J195" s="7">
        <f t="shared" ref="J195:J258" si="39">_xlfn.STDEV.S(C:C)</f>
        <v>5.3055534129377486</v>
      </c>
      <c r="K195" s="7">
        <f t="shared" ref="K195:K258" si="40">AVERAGE(D:D)</f>
        <v>22.140506329113926</v>
      </c>
      <c r="L195" s="7">
        <f t="shared" ref="L195:L258" si="41">_xlfn.STDEV.S(D:D)</f>
        <v>4.9144008395218908</v>
      </c>
      <c r="M195" s="7">
        <f t="shared" ref="M195:M258" si="42">AVERAGE(E:E)</f>
        <v>10.069620253164556</v>
      </c>
      <c r="N195" s="7">
        <f t="shared" ref="N195:N258" si="43">_xlfn.STDEV.S(E:E)</f>
        <v>2.1089377326145904</v>
      </c>
      <c r="O195" s="7">
        <f t="shared" ref="O195:O258" si="44">AVERAGE(F:F)</f>
        <v>10.958227848101266</v>
      </c>
      <c r="P195" s="7">
        <f t="shared" ref="P195:P258" si="45">_xlfn.STDEV.S(F:F)</f>
        <v>2.2883463843764797</v>
      </c>
      <c r="Q195" s="7">
        <f t="shared" ref="Q195:Q258" si="46">STANDARDIZE(C195,I195,J195)</f>
        <v>0.99990762098496411</v>
      </c>
      <c r="R195" s="7">
        <f t="shared" ref="R195:R258" si="47">STANDARDIZE(D195,K195,L195)</f>
        <v>1.3957945016860727</v>
      </c>
      <c r="S195" s="7">
        <f t="shared" ref="S195:S258" si="48">STANDARDIZE(E195,M195,N195)</f>
        <v>-0.5071843689943738</v>
      </c>
      <c r="T195" s="7">
        <f t="shared" ref="T195:T258" si="49">STANDARDIZE(F195,O195,P195)</f>
        <v>-1.2927360421911447</v>
      </c>
      <c r="U195" s="7">
        <f t="shared" ref="U195:U258" si="50">AVERAGE(Q195:T195)</f>
        <v>0.1489454278713796</v>
      </c>
    </row>
    <row r="196" spans="1:21" x14ac:dyDescent="0.25">
      <c r="A196" s="1" t="s">
        <v>1664</v>
      </c>
      <c r="B196" s="1" t="s">
        <v>36</v>
      </c>
      <c r="C196" s="1">
        <v>26</v>
      </c>
      <c r="D196" s="1">
        <v>26</v>
      </c>
      <c r="E196" s="1">
        <v>12</v>
      </c>
      <c r="F196" s="1">
        <v>10</v>
      </c>
      <c r="G196" s="1">
        <v>74</v>
      </c>
      <c r="H196" s="7">
        <v>2.1750331562459526</v>
      </c>
      <c r="I196" s="7">
        <f t="shared" ref="I196:I259" si="51">AVERAGE(C:C)</f>
        <v>22.694936708860759</v>
      </c>
      <c r="J196" s="7">
        <f t="shared" si="39"/>
        <v>5.3055534129377486</v>
      </c>
      <c r="K196" s="7">
        <f t="shared" si="40"/>
        <v>22.140506329113926</v>
      </c>
      <c r="L196" s="7">
        <f t="shared" si="41"/>
        <v>4.9144008395218908</v>
      </c>
      <c r="M196" s="7">
        <f t="shared" si="42"/>
        <v>10.069620253164556</v>
      </c>
      <c r="N196" s="7">
        <f t="shared" si="43"/>
        <v>2.1089377326145904</v>
      </c>
      <c r="O196" s="7">
        <f t="shared" si="44"/>
        <v>10.958227848101266</v>
      </c>
      <c r="P196" s="7">
        <f t="shared" si="45"/>
        <v>2.2883463843764797</v>
      </c>
      <c r="Q196" s="7">
        <f t="shared" si="46"/>
        <v>0.62294411796510174</v>
      </c>
      <c r="R196" s="7">
        <f t="shared" si="47"/>
        <v>0.78534368622270434</v>
      </c>
      <c r="S196" s="7">
        <f t="shared" si="48"/>
        <v>0.91533273694250961</v>
      </c>
      <c r="T196" s="7">
        <f t="shared" si="49"/>
        <v>-0.41874248349965643</v>
      </c>
      <c r="U196" s="7">
        <f t="shared" si="50"/>
        <v>0.4762195144076648</v>
      </c>
    </row>
    <row r="197" spans="1:21" x14ac:dyDescent="0.25">
      <c r="A197" s="1" t="s">
        <v>1664</v>
      </c>
      <c r="B197" s="1" t="s">
        <v>36</v>
      </c>
      <c r="C197" s="1">
        <v>28</v>
      </c>
      <c r="D197" s="1">
        <v>27</v>
      </c>
      <c r="E197" s="1">
        <v>12</v>
      </c>
      <c r="F197" s="1">
        <v>9</v>
      </c>
      <c r="G197" s="1">
        <v>76</v>
      </c>
      <c r="H197" s="7">
        <v>2.3397348085539469</v>
      </c>
      <c r="I197" s="7">
        <f t="shared" si="51"/>
        <v>22.694936708860759</v>
      </c>
      <c r="J197" s="7">
        <f t="shared" si="39"/>
        <v>5.3055534129377486</v>
      </c>
      <c r="K197" s="7">
        <f t="shared" si="40"/>
        <v>22.140506329113926</v>
      </c>
      <c r="L197" s="7">
        <f t="shared" si="41"/>
        <v>4.9144008395218908</v>
      </c>
      <c r="M197" s="7">
        <f t="shared" si="42"/>
        <v>10.069620253164556</v>
      </c>
      <c r="N197" s="7">
        <f t="shared" si="43"/>
        <v>2.1089377326145904</v>
      </c>
      <c r="O197" s="7">
        <f t="shared" si="44"/>
        <v>10.958227848101266</v>
      </c>
      <c r="P197" s="7">
        <f t="shared" si="45"/>
        <v>2.2883463843764797</v>
      </c>
      <c r="Q197" s="7">
        <f t="shared" si="46"/>
        <v>0.99990762098496411</v>
      </c>
      <c r="R197" s="7">
        <f t="shared" si="47"/>
        <v>0.98882729137716041</v>
      </c>
      <c r="S197" s="7">
        <f t="shared" si="48"/>
        <v>0.91533273694250961</v>
      </c>
      <c r="T197" s="7">
        <f t="shared" si="49"/>
        <v>-0.85573926284540058</v>
      </c>
      <c r="U197" s="7">
        <f t="shared" si="50"/>
        <v>0.5120820966148083</v>
      </c>
    </row>
    <row r="198" spans="1:21" x14ac:dyDescent="0.25">
      <c r="A198" s="1" t="s">
        <v>1665</v>
      </c>
      <c r="B198" s="1" t="s">
        <v>36</v>
      </c>
      <c r="C198" s="1">
        <v>31</v>
      </c>
      <c r="D198" s="1">
        <v>30</v>
      </c>
      <c r="E198" s="1">
        <v>11</v>
      </c>
      <c r="F198" s="1">
        <v>14</v>
      </c>
      <c r="G198" s="1">
        <v>86</v>
      </c>
      <c r="H198" s="7">
        <v>2.9591232242693541</v>
      </c>
      <c r="I198" s="7">
        <f t="shared" si="51"/>
        <v>22.694936708860759</v>
      </c>
      <c r="J198" s="7">
        <f t="shared" si="39"/>
        <v>5.3055534129377486</v>
      </c>
      <c r="K198" s="7">
        <f t="shared" si="40"/>
        <v>22.140506329113926</v>
      </c>
      <c r="L198" s="7">
        <f t="shared" si="41"/>
        <v>4.9144008395218908</v>
      </c>
      <c r="M198" s="7">
        <f t="shared" si="42"/>
        <v>10.069620253164556</v>
      </c>
      <c r="N198" s="7">
        <f t="shared" si="43"/>
        <v>2.1089377326145904</v>
      </c>
      <c r="O198" s="7">
        <f t="shared" si="44"/>
        <v>10.958227848101266</v>
      </c>
      <c r="P198" s="7">
        <f t="shared" si="45"/>
        <v>2.2883463843764797</v>
      </c>
      <c r="Q198" s="7">
        <f t="shared" si="46"/>
        <v>1.5653528755147577</v>
      </c>
      <c r="R198" s="7">
        <f t="shared" si="47"/>
        <v>1.5992781068405286</v>
      </c>
      <c r="S198" s="7">
        <f t="shared" si="48"/>
        <v>0.44116036829688182</v>
      </c>
      <c r="T198" s="7">
        <f t="shared" si="49"/>
        <v>1.3292446338833204</v>
      </c>
      <c r="U198" s="7">
        <f t="shared" si="50"/>
        <v>1.2337589961338722</v>
      </c>
    </row>
    <row r="199" spans="1:21" x14ac:dyDescent="0.25">
      <c r="A199" s="1" t="s">
        <v>1665</v>
      </c>
      <c r="B199" s="1" t="s">
        <v>36</v>
      </c>
      <c r="C199" s="1">
        <v>27</v>
      </c>
      <c r="D199" s="1">
        <v>27</v>
      </c>
      <c r="E199" s="1">
        <v>15</v>
      </c>
      <c r="F199" s="1">
        <v>13</v>
      </c>
      <c r="G199" s="1">
        <v>82</v>
      </c>
      <c r="H199" s="7">
        <v>2.6262969933798228</v>
      </c>
      <c r="I199" s="7">
        <f t="shared" si="51"/>
        <v>22.694936708860759</v>
      </c>
      <c r="J199" s="7">
        <f t="shared" si="39"/>
        <v>5.3055534129377486</v>
      </c>
      <c r="K199" s="7">
        <f t="shared" si="40"/>
        <v>22.140506329113926</v>
      </c>
      <c r="L199" s="7">
        <f t="shared" si="41"/>
        <v>4.9144008395218908</v>
      </c>
      <c r="M199" s="7">
        <f t="shared" si="42"/>
        <v>10.069620253164556</v>
      </c>
      <c r="N199" s="7">
        <f t="shared" si="43"/>
        <v>2.1089377326145904</v>
      </c>
      <c r="O199" s="7">
        <f t="shared" si="44"/>
        <v>10.958227848101266</v>
      </c>
      <c r="P199" s="7">
        <f t="shared" si="45"/>
        <v>2.2883463843764797</v>
      </c>
      <c r="Q199" s="7">
        <f t="shared" si="46"/>
        <v>0.81142586947503292</v>
      </c>
      <c r="R199" s="7">
        <f t="shared" si="47"/>
        <v>0.98882729137716041</v>
      </c>
      <c r="S199" s="7">
        <f t="shared" si="48"/>
        <v>2.3378498428793932</v>
      </c>
      <c r="T199" s="7">
        <f t="shared" si="49"/>
        <v>0.89224785453757616</v>
      </c>
      <c r="U199" s="7">
        <f t="shared" si="50"/>
        <v>1.2575877145672907</v>
      </c>
    </row>
    <row r="200" spans="1:21" x14ac:dyDescent="0.25">
      <c r="A200" s="1" t="s">
        <v>1665</v>
      </c>
      <c r="B200" s="1" t="s">
        <v>36</v>
      </c>
      <c r="C200" s="1">
        <v>34</v>
      </c>
      <c r="D200" s="1">
        <v>29</v>
      </c>
      <c r="E200" s="1">
        <v>15</v>
      </c>
      <c r="F200" s="1">
        <v>15</v>
      </c>
      <c r="G200" s="1">
        <v>93</v>
      </c>
      <c r="H200" s="7">
        <v>2.4099154150493138</v>
      </c>
      <c r="I200" s="7">
        <f t="shared" si="51"/>
        <v>22.694936708860759</v>
      </c>
      <c r="J200" s="7">
        <f t="shared" si="39"/>
        <v>5.3055534129377486</v>
      </c>
      <c r="K200" s="7">
        <f t="shared" si="40"/>
        <v>22.140506329113926</v>
      </c>
      <c r="L200" s="7">
        <f t="shared" si="41"/>
        <v>4.9144008395218908</v>
      </c>
      <c r="M200" s="7">
        <f t="shared" si="42"/>
        <v>10.069620253164556</v>
      </c>
      <c r="N200" s="7">
        <f t="shared" si="43"/>
        <v>2.1089377326145904</v>
      </c>
      <c r="O200" s="7">
        <f t="shared" si="44"/>
        <v>10.958227848101266</v>
      </c>
      <c r="P200" s="7">
        <f t="shared" si="45"/>
        <v>2.2883463843764797</v>
      </c>
      <c r="Q200" s="7">
        <f t="shared" si="46"/>
        <v>2.1307981300445511</v>
      </c>
      <c r="R200" s="7">
        <f t="shared" si="47"/>
        <v>1.3957945016860727</v>
      </c>
      <c r="S200" s="7">
        <f t="shared" si="48"/>
        <v>2.3378498428793932</v>
      </c>
      <c r="T200" s="7">
        <f t="shared" si="49"/>
        <v>1.7662414132290645</v>
      </c>
      <c r="U200" s="7">
        <f t="shared" si="50"/>
        <v>1.9076709719597704</v>
      </c>
    </row>
    <row r="201" spans="1:21" x14ac:dyDescent="0.25">
      <c r="A201" s="1" t="s">
        <v>1665</v>
      </c>
      <c r="B201" s="1" t="s">
        <v>36</v>
      </c>
      <c r="C201" s="1">
        <v>23</v>
      </c>
      <c r="D201" s="1">
        <v>34</v>
      </c>
      <c r="E201" s="1">
        <v>14</v>
      </c>
      <c r="F201" s="1">
        <v>13</v>
      </c>
      <c r="G201" s="1">
        <v>84</v>
      </c>
      <c r="H201" s="7">
        <v>2.6017745423519636</v>
      </c>
      <c r="I201" s="7">
        <f t="shared" si="51"/>
        <v>22.694936708860759</v>
      </c>
      <c r="J201" s="7">
        <f t="shared" si="39"/>
        <v>5.3055534129377486</v>
      </c>
      <c r="K201" s="7">
        <f t="shared" si="40"/>
        <v>22.140506329113926</v>
      </c>
      <c r="L201" s="7">
        <f t="shared" si="41"/>
        <v>4.9144008395218908</v>
      </c>
      <c r="M201" s="7">
        <f t="shared" si="42"/>
        <v>10.069620253164556</v>
      </c>
      <c r="N201" s="7">
        <f t="shared" si="43"/>
        <v>2.1089377326145904</v>
      </c>
      <c r="O201" s="7">
        <f t="shared" si="44"/>
        <v>10.958227848101266</v>
      </c>
      <c r="P201" s="7">
        <f t="shared" si="45"/>
        <v>2.2883463843764797</v>
      </c>
      <c r="Q201" s="7">
        <f t="shared" si="46"/>
        <v>5.7498863435308259E-2</v>
      </c>
      <c r="R201" s="7">
        <f t="shared" si="47"/>
        <v>2.4132125274583531</v>
      </c>
      <c r="S201" s="7">
        <f t="shared" si="48"/>
        <v>1.8636774742337652</v>
      </c>
      <c r="T201" s="7">
        <f t="shared" si="49"/>
        <v>0.89224785453757616</v>
      </c>
      <c r="U201" s="7">
        <f t="shared" si="50"/>
        <v>1.3066591799162506</v>
      </c>
    </row>
    <row r="202" spans="1:21" x14ac:dyDescent="0.25">
      <c r="A202" s="1" t="s">
        <v>1665</v>
      </c>
      <c r="B202" s="1" t="s">
        <v>36</v>
      </c>
      <c r="C202" s="1">
        <v>32</v>
      </c>
      <c r="D202" s="1">
        <v>30</v>
      </c>
      <c r="E202" s="1">
        <v>15</v>
      </c>
      <c r="F202" s="1">
        <v>9</v>
      </c>
      <c r="G202" s="1">
        <v>86</v>
      </c>
      <c r="H202" s="7">
        <v>2.9022537661405354</v>
      </c>
      <c r="I202" s="7">
        <f t="shared" si="51"/>
        <v>22.694936708860759</v>
      </c>
      <c r="J202" s="7">
        <f t="shared" si="39"/>
        <v>5.3055534129377486</v>
      </c>
      <c r="K202" s="7">
        <f t="shared" si="40"/>
        <v>22.140506329113926</v>
      </c>
      <c r="L202" s="7">
        <f t="shared" si="41"/>
        <v>4.9144008395218908</v>
      </c>
      <c r="M202" s="7">
        <f t="shared" si="42"/>
        <v>10.069620253164556</v>
      </c>
      <c r="N202" s="7">
        <f t="shared" si="43"/>
        <v>2.1089377326145904</v>
      </c>
      <c r="O202" s="7">
        <f t="shared" si="44"/>
        <v>10.958227848101266</v>
      </c>
      <c r="P202" s="7">
        <f t="shared" si="45"/>
        <v>2.2883463843764797</v>
      </c>
      <c r="Q202" s="7">
        <f t="shared" si="46"/>
        <v>1.7538346270246887</v>
      </c>
      <c r="R202" s="7">
        <f t="shared" si="47"/>
        <v>1.5992781068405286</v>
      </c>
      <c r="S202" s="7">
        <f t="shared" si="48"/>
        <v>2.3378498428793932</v>
      </c>
      <c r="T202" s="7">
        <f t="shared" si="49"/>
        <v>-0.85573926284540058</v>
      </c>
      <c r="U202" s="7">
        <f t="shared" si="50"/>
        <v>1.2088058284748024</v>
      </c>
    </row>
    <row r="203" spans="1:21" x14ac:dyDescent="0.25">
      <c r="A203" s="1" t="s">
        <v>1665</v>
      </c>
      <c r="B203" s="1" t="s">
        <v>36</v>
      </c>
      <c r="C203" s="1">
        <v>34</v>
      </c>
      <c r="D203" s="1">
        <v>27</v>
      </c>
      <c r="E203" s="1">
        <v>13</v>
      </c>
      <c r="F203" s="1">
        <v>13</v>
      </c>
      <c r="G203" s="1">
        <v>87</v>
      </c>
      <c r="H203" s="7">
        <v>2.5943726083138543</v>
      </c>
      <c r="I203" s="7">
        <f t="shared" si="51"/>
        <v>22.694936708860759</v>
      </c>
      <c r="J203" s="7">
        <f t="shared" si="39"/>
        <v>5.3055534129377486</v>
      </c>
      <c r="K203" s="7">
        <f t="shared" si="40"/>
        <v>22.140506329113926</v>
      </c>
      <c r="L203" s="7">
        <f t="shared" si="41"/>
        <v>4.9144008395218908</v>
      </c>
      <c r="M203" s="7">
        <f t="shared" si="42"/>
        <v>10.069620253164556</v>
      </c>
      <c r="N203" s="7">
        <f t="shared" si="43"/>
        <v>2.1089377326145904</v>
      </c>
      <c r="O203" s="7">
        <f t="shared" si="44"/>
        <v>10.958227848101266</v>
      </c>
      <c r="P203" s="7">
        <f t="shared" si="45"/>
        <v>2.2883463843764797</v>
      </c>
      <c r="Q203" s="7">
        <f t="shared" si="46"/>
        <v>2.1307981300445511</v>
      </c>
      <c r="R203" s="7">
        <f t="shared" si="47"/>
        <v>0.98882729137716041</v>
      </c>
      <c r="S203" s="7">
        <f t="shared" si="48"/>
        <v>1.3895051055881373</v>
      </c>
      <c r="T203" s="7">
        <f t="shared" si="49"/>
        <v>0.89224785453757616</v>
      </c>
      <c r="U203" s="7">
        <f t="shared" si="50"/>
        <v>1.3503445953868563</v>
      </c>
    </row>
    <row r="204" spans="1:21" x14ac:dyDescent="0.25">
      <c r="A204" s="1" t="s">
        <v>1666</v>
      </c>
      <c r="B204" s="1" t="s">
        <v>36</v>
      </c>
      <c r="C204" s="1">
        <v>21</v>
      </c>
      <c r="D204" s="1">
        <v>24</v>
      </c>
      <c r="E204" s="1">
        <v>10</v>
      </c>
      <c r="F204" s="1">
        <v>7</v>
      </c>
      <c r="G204" s="1">
        <v>62</v>
      </c>
      <c r="H204" s="7">
        <v>2.3149458652362389</v>
      </c>
      <c r="I204" s="7">
        <f t="shared" si="51"/>
        <v>22.694936708860759</v>
      </c>
      <c r="J204" s="7">
        <f t="shared" si="39"/>
        <v>5.3055534129377486</v>
      </c>
      <c r="K204" s="7">
        <f t="shared" si="40"/>
        <v>22.140506329113926</v>
      </c>
      <c r="L204" s="7">
        <f t="shared" si="41"/>
        <v>4.9144008395218908</v>
      </c>
      <c r="M204" s="7">
        <f t="shared" si="42"/>
        <v>10.069620253164556</v>
      </c>
      <c r="N204" s="7">
        <f t="shared" si="43"/>
        <v>2.1089377326145904</v>
      </c>
      <c r="O204" s="7">
        <f t="shared" si="44"/>
        <v>10.958227848101266</v>
      </c>
      <c r="P204" s="7">
        <f t="shared" si="45"/>
        <v>2.2883463843764797</v>
      </c>
      <c r="Q204" s="7">
        <f t="shared" si="46"/>
        <v>-0.31946463958455407</v>
      </c>
      <c r="R204" s="7">
        <f t="shared" si="47"/>
        <v>0.37837647591379209</v>
      </c>
      <c r="S204" s="7">
        <f t="shared" si="48"/>
        <v>-3.3012000348745997E-2</v>
      </c>
      <c r="T204" s="7">
        <f t="shared" si="49"/>
        <v>-1.729732821536889</v>
      </c>
      <c r="U204" s="7">
        <f t="shared" si="50"/>
        <v>-0.42595824638909924</v>
      </c>
    </row>
    <row r="205" spans="1:21" x14ac:dyDescent="0.25">
      <c r="A205" s="1" t="s">
        <v>1666</v>
      </c>
      <c r="B205" s="1" t="s">
        <v>36</v>
      </c>
      <c r="C205" s="1">
        <v>23</v>
      </c>
      <c r="D205" s="1">
        <v>21</v>
      </c>
      <c r="E205" s="1">
        <v>10</v>
      </c>
      <c r="F205" s="1">
        <v>10</v>
      </c>
      <c r="G205" s="1">
        <v>64</v>
      </c>
      <c r="H205" s="7">
        <v>1.7059473644448737</v>
      </c>
      <c r="I205" s="7">
        <f t="shared" si="51"/>
        <v>22.694936708860759</v>
      </c>
      <c r="J205" s="7">
        <f t="shared" si="39"/>
        <v>5.3055534129377486</v>
      </c>
      <c r="K205" s="7">
        <f t="shared" si="40"/>
        <v>22.140506329113926</v>
      </c>
      <c r="L205" s="7">
        <f t="shared" si="41"/>
        <v>4.9144008395218908</v>
      </c>
      <c r="M205" s="7">
        <f t="shared" si="42"/>
        <v>10.069620253164556</v>
      </c>
      <c r="N205" s="7">
        <f t="shared" si="43"/>
        <v>2.1089377326145904</v>
      </c>
      <c r="O205" s="7">
        <f t="shared" si="44"/>
        <v>10.958227848101266</v>
      </c>
      <c r="P205" s="7">
        <f t="shared" si="45"/>
        <v>2.2883463843764797</v>
      </c>
      <c r="Q205" s="7">
        <f t="shared" si="46"/>
        <v>5.7498863435308259E-2</v>
      </c>
      <c r="R205" s="7">
        <f t="shared" si="47"/>
        <v>-0.23207433954957621</v>
      </c>
      <c r="S205" s="7">
        <f t="shared" si="48"/>
        <v>-3.3012000348745997E-2</v>
      </c>
      <c r="T205" s="7">
        <f t="shared" si="49"/>
        <v>-0.41874248349965643</v>
      </c>
      <c r="U205" s="7">
        <f t="shared" si="50"/>
        <v>-0.15658248999066759</v>
      </c>
    </row>
    <row r="206" spans="1:21" x14ac:dyDescent="0.25">
      <c r="A206" s="1" t="s">
        <v>1666</v>
      </c>
      <c r="B206" s="1" t="s">
        <v>36</v>
      </c>
      <c r="C206" s="1">
        <v>17</v>
      </c>
      <c r="D206" s="1">
        <v>22</v>
      </c>
      <c r="E206" s="1">
        <v>11</v>
      </c>
      <c r="F206" s="1">
        <v>10</v>
      </c>
      <c r="G206" s="1">
        <v>60</v>
      </c>
      <c r="H206" s="7">
        <v>1.5566235649883124</v>
      </c>
      <c r="I206" s="7">
        <f t="shared" si="51"/>
        <v>22.694936708860759</v>
      </c>
      <c r="J206" s="7">
        <f t="shared" si="39"/>
        <v>5.3055534129377486</v>
      </c>
      <c r="K206" s="7">
        <f t="shared" si="40"/>
        <v>22.140506329113926</v>
      </c>
      <c r="L206" s="7">
        <f t="shared" si="41"/>
        <v>4.9144008395218908</v>
      </c>
      <c r="M206" s="7">
        <f t="shared" si="42"/>
        <v>10.069620253164556</v>
      </c>
      <c r="N206" s="7">
        <f t="shared" si="43"/>
        <v>2.1089377326145904</v>
      </c>
      <c r="O206" s="7">
        <f t="shared" si="44"/>
        <v>10.958227848101266</v>
      </c>
      <c r="P206" s="7">
        <f t="shared" si="45"/>
        <v>2.2883463843764797</v>
      </c>
      <c r="Q206" s="7">
        <f t="shared" si="46"/>
        <v>-1.0733916456242787</v>
      </c>
      <c r="R206" s="7">
        <f t="shared" si="47"/>
        <v>-2.8590734395120113E-2</v>
      </c>
      <c r="S206" s="7">
        <f t="shared" si="48"/>
        <v>0.44116036829688182</v>
      </c>
      <c r="T206" s="7">
        <f t="shared" si="49"/>
        <v>-0.41874248349965643</v>
      </c>
      <c r="U206" s="7">
        <f t="shared" si="50"/>
        <v>-0.26989112380554336</v>
      </c>
    </row>
    <row r="207" spans="1:21" x14ac:dyDescent="0.25">
      <c r="A207" s="1" t="s">
        <v>1666</v>
      </c>
      <c r="B207" s="1" t="s">
        <v>36</v>
      </c>
      <c r="C207" s="1">
        <v>22</v>
      </c>
      <c r="D207" s="1">
        <v>28</v>
      </c>
      <c r="E207" s="1">
        <v>12</v>
      </c>
      <c r="F207" s="1">
        <v>10</v>
      </c>
      <c r="G207" s="1">
        <v>72</v>
      </c>
      <c r="H207" s="7">
        <v>2.1061570302086774</v>
      </c>
      <c r="I207" s="7">
        <f t="shared" si="51"/>
        <v>22.694936708860759</v>
      </c>
      <c r="J207" s="7">
        <f t="shared" si="39"/>
        <v>5.3055534129377486</v>
      </c>
      <c r="K207" s="7">
        <f t="shared" si="40"/>
        <v>22.140506329113926</v>
      </c>
      <c r="L207" s="7">
        <f t="shared" si="41"/>
        <v>4.9144008395218908</v>
      </c>
      <c r="M207" s="7">
        <f t="shared" si="42"/>
        <v>10.069620253164556</v>
      </c>
      <c r="N207" s="7">
        <f t="shared" si="43"/>
        <v>2.1089377326145904</v>
      </c>
      <c r="O207" s="7">
        <f t="shared" si="44"/>
        <v>10.958227848101266</v>
      </c>
      <c r="P207" s="7">
        <f t="shared" si="45"/>
        <v>2.2883463843764797</v>
      </c>
      <c r="Q207" s="7">
        <f t="shared" si="46"/>
        <v>-0.13098288807462291</v>
      </c>
      <c r="R207" s="7">
        <f t="shared" si="47"/>
        <v>1.1923108965316165</v>
      </c>
      <c r="S207" s="7">
        <f t="shared" si="48"/>
        <v>0.91533273694250961</v>
      </c>
      <c r="T207" s="7">
        <f t="shared" si="49"/>
        <v>-0.41874248349965643</v>
      </c>
      <c r="U207" s="7">
        <f t="shared" si="50"/>
        <v>0.38947956547496171</v>
      </c>
    </row>
    <row r="208" spans="1:21" x14ac:dyDescent="0.25">
      <c r="A208" s="1" t="s">
        <v>1666</v>
      </c>
      <c r="B208" s="1" t="s">
        <v>36</v>
      </c>
      <c r="C208" s="1">
        <v>23</v>
      </c>
      <c r="D208" s="1">
        <v>22</v>
      </c>
      <c r="E208" s="1">
        <v>10</v>
      </c>
      <c r="F208" s="1">
        <v>12</v>
      </c>
      <c r="G208" s="1">
        <v>67</v>
      </c>
      <c r="H208" s="7">
        <v>1.3445044840729643</v>
      </c>
      <c r="I208" s="7">
        <f t="shared" si="51"/>
        <v>22.694936708860759</v>
      </c>
      <c r="J208" s="7">
        <f t="shared" si="39"/>
        <v>5.3055534129377486</v>
      </c>
      <c r="K208" s="7">
        <f t="shared" si="40"/>
        <v>22.140506329113926</v>
      </c>
      <c r="L208" s="7">
        <f t="shared" si="41"/>
        <v>4.9144008395218908</v>
      </c>
      <c r="M208" s="7">
        <f t="shared" si="42"/>
        <v>10.069620253164556</v>
      </c>
      <c r="N208" s="7">
        <f t="shared" si="43"/>
        <v>2.1089377326145904</v>
      </c>
      <c r="O208" s="7">
        <f t="shared" si="44"/>
        <v>10.958227848101266</v>
      </c>
      <c r="P208" s="7">
        <f t="shared" si="45"/>
        <v>2.2883463843764797</v>
      </c>
      <c r="Q208" s="7">
        <f t="shared" si="46"/>
        <v>5.7498863435308259E-2</v>
      </c>
      <c r="R208" s="7">
        <f t="shared" si="47"/>
        <v>-2.8590734395120113E-2</v>
      </c>
      <c r="S208" s="7">
        <f t="shared" si="48"/>
        <v>-3.3012000348745997E-2</v>
      </c>
      <c r="T208" s="7">
        <f t="shared" si="49"/>
        <v>0.45525107519183194</v>
      </c>
      <c r="U208" s="7">
        <f t="shared" si="50"/>
        <v>0.11278680097081853</v>
      </c>
    </row>
    <row r="209" spans="1:21" x14ac:dyDescent="0.25">
      <c r="A209" s="1" t="s">
        <v>1666</v>
      </c>
      <c r="B209" s="1" t="s">
        <v>36</v>
      </c>
      <c r="C209" s="1">
        <v>25</v>
      </c>
      <c r="D209" s="1">
        <v>23</v>
      </c>
      <c r="E209" s="1">
        <v>9</v>
      </c>
      <c r="F209" s="1">
        <v>8</v>
      </c>
      <c r="G209" s="1">
        <v>65</v>
      </c>
      <c r="H209" s="7">
        <v>2.1984843263788196</v>
      </c>
      <c r="I209" s="7">
        <f t="shared" si="51"/>
        <v>22.694936708860759</v>
      </c>
      <c r="J209" s="7">
        <f t="shared" si="39"/>
        <v>5.3055534129377486</v>
      </c>
      <c r="K209" s="7">
        <f t="shared" si="40"/>
        <v>22.140506329113926</v>
      </c>
      <c r="L209" s="7">
        <f t="shared" si="41"/>
        <v>4.9144008395218908</v>
      </c>
      <c r="M209" s="7">
        <f t="shared" si="42"/>
        <v>10.069620253164556</v>
      </c>
      <c r="N209" s="7">
        <f t="shared" si="43"/>
        <v>2.1089377326145904</v>
      </c>
      <c r="O209" s="7">
        <f t="shared" si="44"/>
        <v>10.958227848101266</v>
      </c>
      <c r="P209" s="7">
        <f t="shared" si="45"/>
        <v>2.2883463843764797</v>
      </c>
      <c r="Q209" s="7">
        <f t="shared" si="46"/>
        <v>0.43446236645517061</v>
      </c>
      <c r="R209" s="7">
        <f t="shared" si="47"/>
        <v>0.17489287075933599</v>
      </c>
      <c r="S209" s="7">
        <f t="shared" si="48"/>
        <v>-0.5071843689943738</v>
      </c>
      <c r="T209" s="7">
        <f t="shared" si="49"/>
        <v>-1.2927360421911447</v>
      </c>
      <c r="U209" s="7">
        <f t="shared" si="50"/>
        <v>-0.29764129349275298</v>
      </c>
    </row>
    <row r="210" spans="1:21" x14ac:dyDescent="0.25">
      <c r="A210" s="1" t="s">
        <v>1666</v>
      </c>
      <c r="B210" s="1" t="s">
        <v>36</v>
      </c>
      <c r="C210" s="1">
        <v>22</v>
      </c>
      <c r="D210" s="1">
        <v>18</v>
      </c>
      <c r="E210" s="1">
        <v>4</v>
      </c>
      <c r="F210" s="1">
        <v>7</v>
      </c>
      <c r="G210" s="1">
        <v>51</v>
      </c>
      <c r="H210" s="7">
        <v>1.9348358440936906</v>
      </c>
      <c r="I210" s="7">
        <f t="shared" si="51"/>
        <v>22.694936708860759</v>
      </c>
      <c r="J210" s="7">
        <f t="shared" si="39"/>
        <v>5.3055534129377486</v>
      </c>
      <c r="K210" s="7">
        <f t="shared" si="40"/>
        <v>22.140506329113926</v>
      </c>
      <c r="L210" s="7">
        <f t="shared" si="41"/>
        <v>4.9144008395218908</v>
      </c>
      <c r="M210" s="7">
        <f t="shared" si="42"/>
        <v>10.069620253164556</v>
      </c>
      <c r="N210" s="7">
        <f t="shared" si="43"/>
        <v>2.1089377326145904</v>
      </c>
      <c r="O210" s="7">
        <f t="shared" si="44"/>
        <v>10.958227848101266</v>
      </c>
      <c r="P210" s="7">
        <f t="shared" si="45"/>
        <v>2.2883463843764797</v>
      </c>
      <c r="Q210" s="7">
        <f t="shared" si="46"/>
        <v>-0.13098288807462291</v>
      </c>
      <c r="R210" s="7">
        <f t="shared" si="47"/>
        <v>-0.84252515501294456</v>
      </c>
      <c r="S210" s="7">
        <f t="shared" si="48"/>
        <v>-2.8780462122225128</v>
      </c>
      <c r="T210" s="7">
        <f t="shared" si="49"/>
        <v>-1.729732821536889</v>
      </c>
      <c r="U210" s="7">
        <f t="shared" si="50"/>
        <v>-1.3953217692117423</v>
      </c>
    </row>
    <row r="211" spans="1:21" x14ac:dyDescent="0.25">
      <c r="A211" s="1" t="s">
        <v>1666</v>
      </c>
      <c r="B211" s="1" t="s">
        <v>36</v>
      </c>
      <c r="C211" s="1">
        <v>29</v>
      </c>
      <c r="D211" s="1">
        <v>28</v>
      </c>
      <c r="E211" s="1">
        <v>12</v>
      </c>
      <c r="F211" s="1">
        <v>6</v>
      </c>
      <c r="G211" s="1">
        <v>75</v>
      </c>
      <c r="H211" s="7">
        <v>2.9198700357449177</v>
      </c>
      <c r="I211" s="7">
        <f t="shared" si="51"/>
        <v>22.694936708860759</v>
      </c>
      <c r="J211" s="7">
        <f t="shared" si="39"/>
        <v>5.3055534129377486</v>
      </c>
      <c r="K211" s="7">
        <f t="shared" si="40"/>
        <v>22.140506329113926</v>
      </c>
      <c r="L211" s="7">
        <f t="shared" si="41"/>
        <v>4.9144008395218908</v>
      </c>
      <c r="M211" s="7">
        <f t="shared" si="42"/>
        <v>10.069620253164556</v>
      </c>
      <c r="N211" s="7">
        <f t="shared" si="43"/>
        <v>2.1089377326145904</v>
      </c>
      <c r="O211" s="7">
        <f t="shared" si="44"/>
        <v>10.958227848101266</v>
      </c>
      <c r="P211" s="7">
        <f t="shared" si="45"/>
        <v>2.2883463843764797</v>
      </c>
      <c r="Q211" s="7">
        <f t="shared" si="46"/>
        <v>1.1883893724948953</v>
      </c>
      <c r="R211" s="7">
        <f t="shared" si="47"/>
        <v>1.1923108965316165</v>
      </c>
      <c r="S211" s="7">
        <f t="shared" si="48"/>
        <v>0.91533273694250961</v>
      </c>
      <c r="T211" s="7">
        <f t="shared" si="49"/>
        <v>-2.1667296008826331</v>
      </c>
      <c r="U211" s="7">
        <f t="shared" si="50"/>
        <v>0.28232585127159704</v>
      </c>
    </row>
    <row r="212" spans="1:21" x14ac:dyDescent="0.25">
      <c r="A212" s="1" t="s">
        <v>1666</v>
      </c>
      <c r="B212" s="1" t="s">
        <v>36</v>
      </c>
      <c r="C212" s="1">
        <v>26</v>
      </c>
      <c r="D212" s="1">
        <v>28</v>
      </c>
      <c r="E212" s="1">
        <v>12</v>
      </c>
      <c r="F212" s="1">
        <v>7</v>
      </c>
      <c r="G212" s="1">
        <v>73</v>
      </c>
      <c r="H212" s="7">
        <v>2.754948926884778</v>
      </c>
      <c r="I212" s="7">
        <f t="shared" si="51"/>
        <v>22.694936708860759</v>
      </c>
      <c r="J212" s="7">
        <f t="shared" si="39"/>
        <v>5.3055534129377486</v>
      </c>
      <c r="K212" s="7">
        <f t="shared" si="40"/>
        <v>22.140506329113926</v>
      </c>
      <c r="L212" s="7">
        <f t="shared" si="41"/>
        <v>4.9144008395218908</v>
      </c>
      <c r="M212" s="7">
        <f t="shared" si="42"/>
        <v>10.069620253164556</v>
      </c>
      <c r="N212" s="7">
        <f t="shared" si="43"/>
        <v>2.1089377326145904</v>
      </c>
      <c r="O212" s="7">
        <f t="shared" si="44"/>
        <v>10.958227848101266</v>
      </c>
      <c r="P212" s="7">
        <f t="shared" si="45"/>
        <v>2.2883463843764797</v>
      </c>
      <c r="Q212" s="7">
        <f t="shared" si="46"/>
        <v>0.62294411796510174</v>
      </c>
      <c r="R212" s="7">
        <f t="shared" si="47"/>
        <v>1.1923108965316165</v>
      </c>
      <c r="S212" s="7">
        <f t="shared" si="48"/>
        <v>0.91533273694250961</v>
      </c>
      <c r="T212" s="7">
        <f t="shared" si="49"/>
        <v>-1.729732821536889</v>
      </c>
      <c r="U212" s="7">
        <f t="shared" si="50"/>
        <v>0.25021373247558465</v>
      </c>
    </row>
    <row r="213" spans="1:21" x14ac:dyDescent="0.25">
      <c r="A213" s="1" t="s">
        <v>1666</v>
      </c>
      <c r="B213" s="1" t="s">
        <v>36</v>
      </c>
      <c r="C213" s="1">
        <v>28</v>
      </c>
      <c r="D213" s="1">
        <v>30</v>
      </c>
      <c r="E213" s="1">
        <v>12</v>
      </c>
      <c r="F213" s="1">
        <v>14</v>
      </c>
      <c r="G213" s="1">
        <v>84</v>
      </c>
      <c r="H213" s="7">
        <v>2.3315011121372935</v>
      </c>
      <c r="I213" s="7">
        <f t="shared" si="51"/>
        <v>22.694936708860759</v>
      </c>
      <c r="J213" s="7">
        <f t="shared" si="39"/>
        <v>5.3055534129377486</v>
      </c>
      <c r="K213" s="7">
        <f t="shared" si="40"/>
        <v>22.140506329113926</v>
      </c>
      <c r="L213" s="7">
        <f t="shared" si="41"/>
        <v>4.9144008395218908</v>
      </c>
      <c r="M213" s="7">
        <f t="shared" si="42"/>
        <v>10.069620253164556</v>
      </c>
      <c r="N213" s="7">
        <f t="shared" si="43"/>
        <v>2.1089377326145904</v>
      </c>
      <c r="O213" s="7">
        <f t="shared" si="44"/>
        <v>10.958227848101266</v>
      </c>
      <c r="P213" s="7">
        <f t="shared" si="45"/>
        <v>2.2883463843764797</v>
      </c>
      <c r="Q213" s="7">
        <f t="shared" si="46"/>
        <v>0.99990762098496411</v>
      </c>
      <c r="R213" s="7">
        <f t="shared" si="47"/>
        <v>1.5992781068405286</v>
      </c>
      <c r="S213" s="7">
        <f t="shared" si="48"/>
        <v>0.91533273694250961</v>
      </c>
      <c r="T213" s="7">
        <f t="shared" si="49"/>
        <v>1.3292446338833204</v>
      </c>
      <c r="U213" s="7">
        <f t="shared" si="50"/>
        <v>1.2109407746628307</v>
      </c>
    </row>
    <row r="214" spans="1:21" x14ac:dyDescent="0.25">
      <c r="A214" s="1" t="s">
        <v>1666</v>
      </c>
      <c r="B214" s="1" t="s">
        <v>36</v>
      </c>
      <c r="C214" s="1">
        <v>25</v>
      </c>
      <c r="D214" s="1">
        <v>30</v>
      </c>
      <c r="E214" s="1">
        <v>11</v>
      </c>
      <c r="F214" s="1">
        <v>8</v>
      </c>
      <c r="G214" s="1">
        <v>74</v>
      </c>
      <c r="H214" s="7">
        <v>2.5620504608813945</v>
      </c>
      <c r="I214" s="7">
        <f t="shared" si="51"/>
        <v>22.694936708860759</v>
      </c>
      <c r="J214" s="7">
        <f t="shared" si="39"/>
        <v>5.3055534129377486</v>
      </c>
      <c r="K214" s="7">
        <f t="shared" si="40"/>
        <v>22.140506329113926</v>
      </c>
      <c r="L214" s="7">
        <f t="shared" si="41"/>
        <v>4.9144008395218908</v>
      </c>
      <c r="M214" s="7">
        <f t="shared" si="42"/>
        <v>10.069620253164556</v>
      </c>
      <c r="N214" s="7">
        <f t="shared" si="43"/>
        <v>2.1089377326145904</v>
      </c>
      <c r="O214" s="7">
        <f t="shared" si="44"/>
        <v>10.958227848101266</v>
      </c>
      <c r="P214" s="7">
        <f t="shared" si="45"/>
        <v>2.2883463843764797</v>
      </c>
      <c r="Q214" s="7">
        <f t="shared" si="46"/>
        <v>0.43446236645517061</v>
      </c>
      <c r="R214" s="7">
        <f t="shared" si="47"/>
        <v>1.5992781068405286</v>
      </c>
      <c r="S214" s="7">
        <f t="shared" si="48"/>
        <v>0.44116036829688182</v>
      </c>
      <c r="T214" s="7">
        <f t="shared" si="49"/>
        <v>-1.2927360421911447</v>
      </c>
      <c r="U214" s="7">
        <f t="shared" si="50"/>
        <v>0.29554119985035915</v>
      </c>
    </row>
    <row r="215" spans="1:21" x14ac:dyDescent="0.25">
      <c r="A215" s="1" t="s">
        <v>1666</v>
      </c>
      <c r="B215" s="1" t="s">
        <v>36</v>
      </c>
      <c r="C215" s="1">
        <v>29</v>
      </c>
      <c r="D215" s="1">
        <v>32</v>
      </c>
      <c r="E215" s="1">
        <v>13</v>
      </c>
      <c r="F215" s="1">
        <v>15</v>
      </c>
      <c r="G215" s="1">
        <v>89</v>
      </c>
      <c r="H215" s="7">
        <v>2.3397348085539469</v>
      </c>
      <c r="I215" s="7">
        <f t="shared" si="51"/>
        <v>22.694936708860759</v>
      </c>
      <c r="J215" s="7">
        <f t="shared" si="39"/>
        <v>5.3055534129377486</v>
      </c>
      <c r="K215" s="7">
        <f t="shared" si="40"/>
        <v>22.140506329113926</v>
      </c>
      <c r="L215" s="7">
        <f t="shared" si="41"/>
        <v>4.9144008395218908</v>
      </c>
      <c r="M215" s="7">
        <f t="shared" si="42"/>
        <v>10.069620253164556</v>
      </c>
      <c r="N215" s="7">
        <f t="shared" si="43"/>
        <v>2.1089377326145904</v>
      </c>
      <c r="O215" s="7">
        <f t="shared" si="44"/>
        <v>10.958227848101266</v>
      </c>
      <c r="P215" s="7">
        <f t="shared" si="45"/>
        <v>2.2883463843764797</v>
      </c>
      <c r="Q215" s="7">
        <f t="shared" si="46"/>
        <v>1.1883893724948953</v>
      </c>
      <c r="R215" s="7">
        <f t="shared" si="47"/>
        <v>2.0062453171494408</v>
      </c>
      <c r="S215" s="7">
        <f t="shared" si="48"/>
        <v>1.3895051055881373</v>
      </c>
      <c r="T215" s="7">
        <f t="shared" si="49"/>
        <v>1.7662414132290645</v>
      </c>
      <c r="U215" s="7">
        <f t="shared" si="50"/>
        <v>1.5875953021153844</v>
      </c>
    </row>
    <row r="216" spans="1:21" x14ac:dyDescent="0.25">
      <c r="A216" s="1" t="s">
        <v>1666</v>
      </c>
      <c r="B216" s="1" t="s">
        <v>36</v>
      </c>
      <c r="C216" s="1">
        <v>23</v>
      </c>
      <c r="D216" s="1">
        <v>23</v>
      </c>
      <c r="E216" s="1">
        <v>11</v>
      </c>
      <c r="F216" s="1">
        <v>10</v>
      </c>
      <c r="G216" s="1">
        <v>67</v>
      </c>
      <c r="H216" s="7">
        <v>1.863963243832607</v>
      </c>
      <c r="I216" s="7">
        <f t="shared" si="51"/>
        <v>22.694936708860759</v>
      </c>
      <c r="J216" s="7">
        <f t="shared" si="39"/>
        <v>5.3055534129377486</v>
      </c>
      <c r="K216" s="7">
        <f t="shared" si="40"/>
        <v>22.140506329113926</v>
      </c>
      <c r="L216" s="7">
        <f t="shared" si="41"/>
        <v>4.9144008395218908</v>
      </c>
      <c r="M216" s="7">
        <f t="shared" si="42"/>
        <v>10.069620253164556</v>
      </c>
      <c r="N216" s="7">
        <f t="shared" si="43"/>
        <v>2.1089377326145904</v>
      </c>
      <c r="O216" s="7">
        <f t="shared" si="44"/>
        <v>10.958227848101266</v>
      </c>
      <c r="P216" s="7">
        <f t="shared" si="45"/>
        <v>2.2883463843764797</v>
      </c>
      <c r="Q216" s="7">
        <f t="shared" si="46"/>
        <v>5.7498863435308259E-2</v>
      </c>
      <c r="R216" s="7">
        <f t="shared" si="47"/>
        <v>0.17489287075933599</v>
      </c>
      <c r="S216" s="7">
        <f t="shared" si="48"/>
        <v>0.44116036829688182</v>
      </c>
      <c r="T216" s="7">
        <f t="shared" si="49"/>
        <v>-0.41874248349965643</v>
      </c>
      <c r="U216" s="7">
        <f t="shared" si="50"/>
        <v>6.3702404747967414E-2</v>
      </c>
    </row>
    <row r="217" spans="1:21" x14ac:dyDescent="0.25">
      <c r="A217" s="1" t="s">
        <v>1666</v>
      </c>
      <c r="B217" s="1" t="s">
        <v>36</v>
      </c>
      <c r="C217" s="1">
        <v>17</v>
      </c>
      <c r="D217" s="1">
        <v>19</v>
      </c>
      <c r="E217" s="1">
        <v>7</v>
      </c>
      <c r="F217" s="1">
        <v>9</v>
      </c>
      <c r="G217" s="1">
        <v>52</v>
      </c>
      <c r="H217" s="7">
        <v>1.6329931618554521</v>
      </c>
      <c r="I217" s="7">
        <f t="shared" si="51"/>
        <v>22.694936708860759</v>
      </c>
      <c r="J217" s="7">
        <f t="shared" si="39"/>
        <v>5.3055534129377486</v>
      </c>
      <c r="K217" s="7">
        <f t="shared" si="40"/>
        <v>22.140506329113926</v>
      </c>
      <c r="L217" s="7">
        <f t="shared" si="41"/>
        <v>4.9144008395218908</v>
      </c>
      <c r="M217" s="7">
        <f t="shared" si="42"/>
        <v>10.069620253164556</v>
      </c>
      <c r="N217" s="7">
        <f t="shared" si="43"/>
        <v>2.1089377326145904</v>
      </c>
      <c r="O217" s="7">
        <f t="shared" si="44"/>
        <v>10.958227848101266</v>
      </c>
      <c r="P217" s="7">
        <f t="shared" si="45"/>
        <v>2.2883463843764797</v>
      </c>
      <c r="Q217" s="7">
        <f t="shared" si="46"/>
        <v>-1.0733916456242787</v>
      </c>
      <c r="R217" s="7">
        <f t="shared" si="47"/>
        <v>-0.63904154985848838</v>
      </c>
      <c r="S217" s="7">
        <f t="shared" si="48"/>
        <v>-1.4555291062856295</v>
      </c>
      <c r="T217" s="7">
        <f t="shared" si="49"/>
        <v>-0.85573926284540058</v>
      </c>
      <c r="U217" s="7">
        <f t="shared" si="50"/>
        <v>-1.0059253911534494</v>
      </c>
    </row>
    <row r="218" spans="1:21" x14ac:dyDescent="0.25">
      <c r="A218" s="1" t="s">
        <v>1667</v>
      </c>
      <c r="B218" s="1" t="s">
        <v>36</v>
      </c>
      <c r="C218" s="1">
        <v>24</v>
      </c>
      <c r="D218" s="1">
        <v>23</v>
      </c>
      <c r="E218" s="1">
        <v>11</v>
      </c>
      <c r="F218" s="1">
        <v>10</v>
      </c>
      <c r="G218" s="1">
        <v>68</v>
      </c>
      <c r="H218" s="7">
        <v>1.6408253082847342</v>
      </c>
      <c r="I218" s="7">
        <f t="shared" si="51"/>
        <v>22.694936708860759</v>
      </c>
      <c r="J218" s="7">
        <f t="shared" si="39"/>
        <v>5.3055534129377486</v>
      </c>
      <c r="K218" s="7">
        <f t="shared" si="40"/>
        <v>22.140506329113926</v>
      </c>
      <c r="L218" s="7">
        <f t="shared" si="41"/>
        <v>4.9144008395218908</v>
      </c>
      <c r="M218" s="7">
        <f t="shared" si="42"/>
        <v>10.069620253164556</v>
      </c>
      <c r="N218" s="7">
        <f t="shared" si="43"/>
        <v>2.1089377326145904</v>
      </c>
      <c r="O218" s="7">
        <f t="shared" si="44"/>
        <v>10.958227848101266</v>
      </c>
      <c r="P218" s="7">
        <f t="shared" si="45"/>
        <v>2.2883463843764797</v>
      </c>
      <c r="Q218" s="7">
        <f t="shared" si="46"/>
        <v>0.24598061494523943</v>
      </c>
      <c r="R218" s="7">
        <f t="shared" si="47"/>
        <v>0.17489287075933599</v>
      </c>
      <c r="S218" s="7">
        <f t="shared" si="48"/>
        <v>0.44116036829688182</v>
      </c>
      <c r="T218" s="7">
        <f t="shared" si="49"/>
        <v>-0.41874248349965643</v>
      </c>
      <c r="U218" s="7">
        <f t="shared" si="50"/>
        <v>0.11082284262545018</v>
      </c>
    </row>
    <row r="219" spans="1:21" x14ac:dyDescent="0.25">
      <c r="A219" s="1" t="s">
        <v>1667</v>
      </c>
      <c r="B219" s="1" t="s">
        <v>36</v>
      </c>
      <c r="C219" s="1">
        <v>13</v>
      </c>
      <c r="D219" s="1">
        <v>15</v>
      </c>
      <c r="E219" s="1">
        <v>9</v>
      </c>
      <c r="F219" s="1">
        <v>9</v>
      </c>
      <c r="G219" s="1">
        <v>46</v>
      </c>
      <c r="H219" s="7">
        <v>0.77625002580618474</v>
      </c>
      <c r="I219" s="7">
        <f t="shared" si="51"/>
        <v>22.694936708860759</v>
      </c>
      <c r="J219" s="7">
        <f t="shared" si="39"/>
        <v>5.3055534129377486</v>
      </c>
      <c r="K219" s="7">
        <f t="shared" si="40"/>
        <v>22.140506329113926</v>
      </c>
      <c r="L219" s="7">
        <f t="shared" si="41"/>
        <v>4.9144008395218908</v>
      </c>
      <c r="M219" s="7">
        <f t="shared" si="42"/>
        <v>10.069620253164556</v>
      </c>
      <c r="N219" s="7">
        <f t="shared" si="43"/>
        <v>2.1089377326145904</v>
      </c>
      <c r="O219" s="7">
        <f t="shared" si="44"/>
        <v>10.958227848101266</v>
      </c>
      <c r="P219" s="7">
        <f t="shared" si="45"/>
        <v>2.2883463843764797</v>
      </c>
      <c r="Q219" s="7">
        <f t="shared" si="46"/>
        <v>-1.8273186516640034</v>
      </c>
      <c r="R219" s="7">
        <f t="shared" si="47"/>
        <v>-1.4529759704763128</v>
      </c>
      <c r="S219" s="7">
        <f t="shared" si="48"/>
        <v>-0.5071843689943738</v>
      </c>
      <c r="T219" s="7">
        <f t="shared" si="49"/>
        <v>-0.85573926284540058</v>
      </c>
      <c r="U219" s="7">
        <f t="shared" si="50"/>
        <v>-1.1608045634950226</v>
      </c>
    </row>
    <row r="220" spans="1:21" x14ac:dyDescent="0.25">
      <c r="A220" s="1" t="s">
        <v>1667</v>
      </c>
      <c r="B220" s="1" t="s">
        <v>36</v>
      </c>
      <c r="C220" s="1">
        <v>31</v>
      </c>
      <c r="D220" s="1">
        <v>30</v>
      </c>
      <c r="E220" s="1">
        <v>13</v>
      </c>
      <c r="F220" s="1">
        <v>14</v>
      </c>
      <c r="G220" s="1">
        <v>88</v>
      </c>
      <c r="H220" s="7">
        <v>1.9215378456610457</v>
      </c>
      <c r="I220" s="7">
        <f t="shared" si="51"/>
        <v>22.694936708860759</v>
      </c>
      <c r="J220" s="7">
        <f t="shared" si="39"/>
        <v>5.3055534129377486</v>
      </c>
      <c r="K220" s="7">
        <f t="shared" si="40"/>
        <v>22.140506329113926</v>
      </c>
      <c r="L220" s="7">
        <f t="shared" si="41"/>
        <v>4.9144008395218908</v>
      </c>
      <c r="M220" s="7">
        <f t="shared" si="42"/>
        <v>10.069620253164556</v>
      </c>
      <c r="N220" s="7">
        <f t="shared" si="43"/>
        <v>2.1089377326145904</v>
      </c>
      <c r="O220" s="7">
        <f t="shared" si="44"/>
        <v>10.958227848101266</v>
      </c>
      <c r="P220" s="7">
        <f t="shared" si="45"/>
        <v>2.2883463843764797</v>
      </c>
      <c r="Q220" s="7">
        <f t="shared" si="46"/>
        <v>1.5653528755147577</v>
      </c>
      <c r="R220" s="7">
        <f t="shared" si="47"/>
        <v>1.5992781068405286</v>
      </c>
      <c r="S220" s="7">
        <f t="shared" si="48"/>
        <v>1.3895051055881373</v>
      </c>
      <c r="T220" s="7">
        <f t="shared" si="49"/>
        <v>1.3292446338833204</v>
      </c>
      <c r="U220" s="7">
        <f t="shared" si="50"/>
        <v>1.470845180456686</v>
      </c>
    </row>
    <row r="221" spans="1:21" x14ac:dyDescent="0.25">
      <c r="A221" s="1" t="s">
        <v>1667</v>
      </c>
      <c r="B221" s="1" t="s">
        <v>36</v>
      </c>
      <c r="C221" s="1">
        <v>23</v>
      </c>
      <c r="D221" s="1">
        <v>24</v>
      </c>
      <c r="E221" s="1">
        <v>10</v>
      </c>
      <c r="F221" s="1">
        <v>12</v>
      </c>
      <c r="G221" s="1">
        <v>69</v>
      </c>
      <c r="H221" s="7">
        <v>1.5483655567842813</v>
      </c>
      <c r="I221" s="7">
        <f t="shared" si="51"/>
        <v>22.694936708860759</v>
      </c>
      <c r="J221" s="7">
        <f t="shared" si="39"/>
        <v>5.3055534129377486</v>
      </c>
      <c r="K221" s="7">
        <f t="shared" si="40"/>
        <v>22.140506329113926</v>
      </c>
      <c r="L221" s="7">
        <f t="shared" si="41"/>
        <v>4.9144008395218908</v>
      </c>
      <c r="M221" s="7">
        <f t="shared" si="42"/>
        <v>10.069620253164556</v>
      </c>
      <c r="N221" s="7">
        <f t="shared" si="43"/>
        <v>2.1089377326145904</v>
      </c>
      <c r="O221" s="7">
        <f t="shared" si="44"/>
        <v>10.958227848101266</v>
      </c>
      <c r="P221" s="7">
        <f t="shared" si="45"/>
        <v>2.2883463843764797</v>
      </c>
      <c r="Q221" s="7">
        <f t="shared" si="46"/>
        <v>5.7498863435308259E-2</v>
      </c>
      <c r="R221" s="7">
        <f t="shared" si="47"/>
        <v>0.37837647591379209</v>
      </c>
      <c r="S221" s="7">
        <f t="shared" si="48"/>
        <v>-3.3012000348745997E-2</v>
      </c>
      <c r="T221" s="7">
        <f t="shared" si="49"/>
        <v>0.45525107519183194</v>
      </c>
      <c r="U221" s="7">
        <f t="shared" si="50"/>
        <v>0.21452860354804656</v>
      </c>
    </row>
    <row r="222" spans="1:21" x14ac:dyDescent="0.25">
      <c r="A222" s="1" t="s">
        <v>1667</v>
      </c>
      <c r="B222" s="1" t="s">
        <v>36</v>
      </c>
      <c r="C222" s="1">
        <v>23</v>
      </c>
      <c r="D222" s="1">
        <v>21</v>
      </c>
      <c r="E222" s="1">
        <v>9</v>
      </c>
      <c r="F222" s="1">
        <v>8</v>
      </c>
      <c r="G222" s="1">
        <v>61</v>
      </c>
      <c r="H222" s="7">
        <v>1.6525039276108333</v>
      </c>
      <c r="I222" s="7">
        <f t="shared" si="51"/>
        <v>22.694936708860759</v>
      </c>
      <c r="J222" s="7">
        <f t="shared" si="39"/>
        <v>5.3055534129377486</v>
      </c>
      <c r="K222" s="7">
        <f t="shared" si="40"/>
        <v>22.140506329113926</v>
      </c>
      <c r="L222" s="7">
        <f t="shared" si="41"/>
        <v>4.9144008395218908</v>
      </c>
      <c r="M222" s="7">
        <f t="shared" si="42"/>
        <v>10.069620253164556</v>
      </c>
      <c r="N222" s="7">
        <f t="shared" si="43"/>
        <v>2.1089377326145904</v>
      </c>
      <c r="O222" s="7">
        <f t="shared" si="44"/>
        <v>10.958227848101266</v>
      </c>
      <c r="P222" s="7">
        <f t="shared" si="45"/>
        <v>2.2883463843764797</v>
      </c>
      <c r="Q222" s="7">
        <f t="shared" si="46"/>
        <v>5.7498863435308259E-2</v>
      </c>
      <c r="R222" s="7">
        <f t="shared" si="47"/>
        <v>-0.23207433954957621</v>
      </c>
      <c r="S222" s="7">
        <f t="shared" si="48"/>
        <v>-0.5071843689943738</v>
      </c>
      <c r="T222" s="7">
        <f t="shared" si="49"/>
        <v>-1.2927360421911447</v>
      </c>
      <c r="U222" s="7">
        <f t="shared" si="50"/>
        <v>-0.49362397182494661</v>
      </c>
    </row>
    <row r="223" spans="1:21" x14ac:dyDescent="0.25">
      <c r="A223" s="1" t="s">
        <v>1667</v>
      </c>
      <c r="B223" s="1" t="s">
        <v>36</v>
      </c>
      <c r="C223" s="1">
        <v>11</v>
      </c>
      <c r="D223" s="1">
        <v>11</v>
      </c>
      <c r="E223" s="1">
        <v>6</v>
      </c>
      <c r="F223" s="1">
        <v>6</v>
      </c>
      <c r="G223" s="1">
        <v>34</v>
      </c>
      <c r="H223" s="7">
        <v>0.86971849262290402</v>
      </c>
      <c r="I223" s="7">
        <f t="shared" si="51"/>
        <v>22.694936708860759</v>
      </c>
      <c r="J223" s="7">
        <f t="shared" si="39"/>
        <v>5.3055534129377486</v>
      </c>
      <c r="K223" s="7">
        <f t="shared" si="40"/>
        <v>22.140506329113926</v>
      </c>
      <c r="L223" s="7">
        <f t="shared" si="41"/>
        <v>4.9144008395218908</v>
      </c>
      <c r="M223" s="7">
        <f t="shared" si="42"/>
        <v>10.069620253164556</v>
      </c>
      <c r="N223" s="7">
        <f t="shared" si="43"/>
        <v>2.1089377326145904</v>
      </c>
      <c r="O223" s="7">
        <f t="shared" si="44"/>
        <v>10.958227848101266</v>
      </c>
      <c r="P223" s="7">
        <f t="shared" si="45"/>
        <v>2.2883463843764797</v>
      </c>
      <c r="Q223" s="7">
        <f t="shared" si="46"/>
        <v>-2.2042821546838658</v>
      </c>
      <c r="R223" s="7">
        <f t="shared" si="47"/>
        <v>-2.2669103910941373</v>
      </c>
      <c r="S223" s="7">
        <f t="shared" si="48"/>
        <v>-1.9297014749312573</v>
      </c>
      <c r="T223" s="7">
        <f t="shared" si="49"/>
        <v>-2.1667296008826331</v>
      </c>
      <c r="U223" s="7">
        <f t="shared" si="50"/>
        <v>-2.1419059053979734</v>
      </c>
    </row>
    <row r="224" spans="1:21" x14ac:dyDescent="0.25">
      <c r="A224" s="1" t="s">
        <v>1667</v>
      </c>
      <c r="B224" s="1" t="s">
        <v>36</v>
      </c>
      <c r="C224" s="1">
        <v>10</v>
      </c>
      <c r="D224" s="1">
        <v>8</v>
      </c>
      <c r="E224" s="1">
        <v>5</v>
      </c>
      <c r="F224" s="1">
        <v>8</v>
      </c>
      <c r="G224" s="1">
        <v>31</v>
      </c>
      <c r="H224" s="7">
        <v>0.5063696835418332</v>
      </c>
      <c r="I224" s="7">
        <f t="shared" si="51"/>
        <v>22.694936708860759</v>
      </c>
      <c r="J224" s="7">
        <f t="shared" si="39"/>
        <v>5.3055534129377486</v>
      </c>
      <c r="K224" s="7">
        <f t="shared" si="40"/>
        <v>22.140506329113926</v>
      </c>
      <c r="L224" s="7">
        <f t="shared" si="41"/>
        <v>4.9144008395218908</v>
      </c>
      <c r="M224" s="7">
        <f t="shared" si="42"/>
        <v>10.069620253164556</v>
      </c>
      <c r="N224" s="7">
        <f t="shared" si="43"/>
        <v>2.1089377326145904</v>
      </c>
      <c r="O224" s="7">
        <f t="shared" si="44"/>
        <v>10.958227848101266</v>
      </c>
      <c r="P224" s="7">
        <f t="shared" si="45"/>
        <v>2.2883463843764797</v>
      </c>
      <c r="Q224" s="7">
        <f t="shared" si="46"/>
        <v>-2.3927639061937969</v>
      </c>
      <c r="R224" s="7">
        <f t="shared" si="47"/>
        <v>-2.8773612065575054</v>
      </c>
      <c r="S224" s="7">
        <f t="shared" si="48"/>
        <v>-2.4038738435768852</v>
      </c>
      <c r="T224" s="7">
        <f t="shared" si="49"/>
        <v>-1.2927360421911447</v>
      </c>
      <c r="U224" s="7">
        <f t="shared" si="50"/>
        <v>-2.241683749629833</v>
      </c>
    </row>
    <row r="225" spans="1:21" x14ac:dyDescent="0.25">
      <c r="A225" s="1" t="s">
        <v>1667</v>
      </c>
      <c r="B225" s="1" t="s">
        <v>36</v>
      </c>
      <c r="C225" s="1">
        <v>28</v>
      </c>
      <c r="D225" s="1">
        <v>27</v>
      </c>
      <c r="E225" s="1">
        <v>11</v>
      </c>
      <c r="F225" s="1">
        <v>15</v>
      </c>
      <c r="G225" s="1">
        <v>81</v>
      </c>
      <c r="H225" s="7">
        <v>1.6408253082847344</v>
      </c>
      <c r="I225" s="7">
        <f t="shared" si="51"/>
        <v>22.694936708860759</v>
      </c>
      <c r="J225" s="7">
        <f t="shared" si="39"/>
        <v>5.3055534129377486</v>
      </c>
      <c r="K225" s="7">
        <f t="shared" si="40"/>
        <v>22.140506329113926</v>
      </c>
      <c r="L225" s="7">
        <f t="shared" si="41"/>
        <v>4.9144008395218908</v>
      </c>
      <c r="M225" s="7">
        <f t="shared" si="42"/>
        <v>10.069620253164556</v>
      </c>
      <c r="N225" s="7">
        <f t="shared" si="43"/>
        <v>2.1089377326145904</v>
      </c>
      <c r="O225" s="7">
        <f t="shared" si="44"/>
        <v>10.958227848101266</v>
      </c>
      <c r="P225" s="7">
        <f t="shared" si="45"/>
        <v>2.2883463843764797</v>
      </c>
      <c r="Q225" s="7">
        <f t="shared" si="46"/>
        <v>0.99990762098496411</v>
      </c>
      <c r="R225" s="7">
        <f t="shared" si="47"/>
        <v>0.98882729137716041</v>
      </c>
      <c r="S225" s="7">
        <f t="shared" si="48"/>
        <v>0.44116036829688182</v>
      </c>
      <c r="T225" s="7">
        <f t="shared" si="49"/>
        <v>1.7662414132290645</v>
      </c>
      <c r="U225" s="7">
        <f t="shared" si="50"/>
        <v>1.0490341734720177</v>
      </c>
    </row>
    <row r="226" spans="1:21" x14ac:dyDescent="0.25">
      <c r="A226" s="1" t="s">
        <v>1667</v>
      </c>
      <c r="B226" s="1" t="s">
        <v>36</v>
      </c>
      <c r="C226" s="1">
        <v>23</v>
      </c>
      <c r="D226" s="1">
        <v>20</v>
      </c>
      <c r="E226" s="1">
        <v>10</v>
      </c>
      <c r="F226" s="1">
        <v>13</v>
      </c>
      <c r="G226" s="1">
        <v>66</v>
      </c>
      <c r="H226" s="7">
        <v>0.75955452531274981</v>
      </c>
      <c r="I226" s="7">
        <f t="shared" si="51"/>
        <v>22.694936708860759</v>
      </c>
      <c r="J226" s="7">
        <f t="shared" si="39"/>
        <v>5.3055534129377486</v>
      </c>
      <c r="K226" s="7">
        <f t="shared" si="40"/>
        <v>22.140506329113926</v>
      </c>
      <c r="L226" s="7">
        <f t="shared" si="41"/>
        <v>4.9144008395218908</v>
      </c>
      <c r="M226" s="7">
        <f t="shared" si="42"/>
        <v>10.069620253164556</v>
      </c>
      <c r="N226" s="7">
        <f t="shared" si="43"/>
        <v>2.1089377326145904</v>
      </c>
      <c r="O226" s="7">
        <f t="shared" si="44"/>
        <v>10.958227848101266</v>
      </c>
      <c r="P226" s="7">
        <f t="shared" si="45"/>
        <v>2.2883463843764797</v>
      </c>
      <c r="Q226" s="7">
        <f t="shared" si="46"/>
        <v>5.7498863435308259E-2</v>
      </c>
      <c r="R226" s="7">
        <f t="shared" si="47"/>
        <v>-0.43555794470403231</v>
      </c>
      <c r="S226" s="7">
        <f t="shared" si="48"/>
        <v>-3.3012000348745997E-2</v>
      </c>
      <c r="T226" s="7">
        <f t="shared" si="49"/>
        <v>0.89224785453757616</v>
      </c>
      <c r="U226" s="7">
        <f t="shared" si="50"/>
        <v>0.12029419323002652</v>
      </c>
    </row>
    <row r="227" spans="1:21" x14ac:dyDescent="0.25">
      <c r="A227" s="1" t="s">
        <v>1667</v>
      </c>
      <c r="B227" s="1" t="s">
        <v>36</v>
      </c>
      <c r="C227" s="1">
        <v>14</v>
      </c>
      <c r="D227" s="1">
        <v>13</v>
      </c>
      <c r="E227" s="1">
        <v>6</v>
      </c>
      <c r="F227" s="1">
        <v>8</v>
      </c>
      <c r="G227" s="1">
        <v>41</v>
      </c>
      <c r="H227" s="7">
        <v>0.55470019622522915</v>
      </c>
      <c r="I227" s="7">
        <f t="shared" si="51"/>
        <v>22.694936708860759</v>
      </c>
      <c r="J227" s="7">
        <f t="shared" si="39"/>
        <v>5.3055534129377486</v>
      </c>
      <c r="K227" s="7">
        <f t="shared" si="40"/>
        <v>22.140506329113926</v>
      </c>
      <c r="L227" s="7">
        <f t="shared" si="41"/>
        <v>4.9144008395218908</v>
      </c>
      <c r="M227" s="7">
        <f t="shared" si="42"/>
        <v>10.069620253164556</v>
      </c>
      <c r="N227" s="7">
        <f t="shared" si="43"/>
        <v>2.1089377326145904</v>
      </c>
      <c r="O227" s="7">
        <f t="shared" si="44"/>
        <v>10.958227848101266</v>
      </c>
      <c r="P227" s="7">
        <f t="shared" si="45"/>
        <v>2.2883463843764797</v>
      </c>
      <c r="Q227" s="7">
        <f t="shared" si="46"/>
        <v>-1.6388369001540724</v>
      </c>
      <c r="R227" s="7">
        <f t="shared" si="47"/>
        <v>-1.8599431807852249</v>
      </c>
      <c r="S227" s="7">
        <f t="shared" si="48"/>
        <v>-1.9297014749312573</v>
      </c>
      <c r="T227" s="7">
        <f t="shared" si="49"/>
        <v>-1.2927360421911447</v>
      </c>
      <c r="U227" s="7">
        <f t="shared" si="50"/>
        <v>-1.6803043995154248</v>
      </c>
    </row>
    <row r="228" spans="1:21" x14ac:dyDescent="0.25">
      <c r="A228" s="1" t="s">
        <v>1667</v>
      </c>
      <c r="B228" s="1" t="s">
        <v>36</v>
      </c>
      <c r="C228" s="1">
        <v>29</v>
      </c>
      <c r="D228" s="1">
        <v>25</v>
      </c>
      <c r="E228" s="1">
        <v>13</v>
      </c>
      <c r="F228" s="1">
        <v>13</v>
      </c>
      <c r="G228" s="1">
        <v>80</v>
      </c>
      <c r="H228" s="7">
        <v>1.7722938923964169</v>
      </c>
      <c r="I228" s="7">
        <f t="shared" si="51"/>
        <v>22.694936708860759</v>
      </c>
      <c r="J228" s="7">
        <f t="shared" si="39"/>
        <v>5.3055534129377486</v>
      </c>
      <c r="K228" s="7">
        <f t="shared" si="40"/>
        <v>22.140506329113926</v>
      </c>
      <c r="L228" s="7">
        <f t="shared" si="41"/>
        <v>4.9144008395218908</v>
      </c>
      <c r="M228" s="7">
        <f t="shared" si="42"/>
        <v>10.069620253164556</v>
      </c>
      <c r="N228" s="7">
        <f t="shared" si="43"/>
        <v>2.1089377326145904</v>
      </c>
      <c r="O228" s="7">
        <f t="shared" si="44"/>
        <v>10.958227848101266</v>
      </c>
      <c r="P228" s="7">
        <f t="shared" si="45"/>
        <v>2.2883463843764797</v>
      </c>
      <c r="Q228" s="7">
        <f t="shared" si="46"/>
        <v>1.1883893724948953</v>
      </c>
      <c r="R228" s="7">
        <f t="shared" si="47"/>
        <v>0.58186008106824816</v>
      </c>
      <c r="S228" s="7">
        <f t="shared" si="48"/>
        <v>1.3895051055881373</v>
      </c>
      <c r="T228" s="7">
        <f t="shared" si="49"/>
        <v>0.89224785453757616</v>
      </c>
      <c r="U228" s="7">
        <f t="shared" si="50"/>
        <v>1.0130006034222143</v>
      </c>
    </row>
    <row r="229" spans="1:21" x14ac:dyDescent="0.25">
      <c r="A229" s="1" t="s">
        <v>1667</v>
      </c>
      <c r="B229" s="1" t="s">
        <v>36</v>
      </c>
      <c r="C229" s="1">
        <v>31</v>
      </c>
      <c r="D229" s="1">
        <v>30</v>
      </c>
      <c r="E229" s="1">
        <v>14</v>
      </c>
      <c r="F229" s="1">
        <v>10</v>
      </c>
      <c r="G229" s="1">
        <v>85</v>
      </c>
      <c r="H229" s="7">
        <v>2.4703368398993897</v>
      </c>
      <c r="I229" s="7">
        <f t="shared" si="51"/>
        <v>22.694936708860759</v>
      </c>
      <c r="J229" s="7">
        <f t="shared" si="39"/>
        <v>5.3055534129377486</v>
      </c>
      <c r="K229" s="7">
        <f t="shared" si="40"/>
        <v>22.140506329113926</v>
      </c>
      <c r="L229" s="7">
        <f t="shared" si="41"/>
        <v>4.9144008395218908</v>
      </c>
      <c r="M229" s="7">
        <f t="shared" si="42"/>
        <v>10.069620253164556</v>
      </c>
      <c r="N229" s="7">
        <f t="shared" si="43"/>
        <v>2.1089377326145904</v>
      </c>
      <c r="O229" s="7">
        <f t="shared" si="44"/>
        <v>10.958227848101266</v>
      </c>
      <c r="P229" s="7">
        <f t="shared" si="45"/>
        <v>2.2883463843764797</v>
      </c>
      <c r="Q229" s="7">
        <f t="shared" si="46"/>
        <v>1.5653528755147577</v>
      </c>
      <c r="R229" s="7">
        <f t="shared" si="47"/>
        <v>1.5992781068405286</v>
      </c>
      <c r="S229" s="7">
        <f t="shared" si="48"/>
        <v>1.8636774742337652</v>
      </c>
      <c r="T229" s="7">
        <f t="shared" si="49"/>
        <v>-0.41874248349965643</v>
      </c>
      <c r="U229" s="7">
        <f t="shared" si="50"/>
        <v>1.1523914932723489</v>
      </c>
    </row>
    <row r="230" spans="1:21" x14ac:dyDescent="0.25">
      <c r="A230" s="1" t="s">
        <v>1667</v>
      </c>
      <c r="B230" s="1" t="s">
        <v>36</v>
      </c>
      <c r="C230" s="1">
        <v>21</v>
      </c>
      <c r="D230" s="1">
        <v>20</v>
      </c>
      <c r="E230" s="1">
        <v>9</v>
      </c>
      <c r="F230" s="1">
        <v>10</v>
      </c>
      <c r="G230" s="1">
        <v>60</v>
      </c>
      <c r="H230" s="7">
        <v>1.1929278784054484</v>
      </c>
      <c r="I230" s="7">
        <f t="shared" si="51"/>
        <v>22.694936708860759</v>
      </c>
      <c r="J230" s="7">
        <f t="shared" si="39"/>
        <v>5.3055534129377486</v>
      </c>
      <c r="K230" s="7">
        <f t="shared" si="40"/>
        <v>22.140506329113926</v>
      </c>
      <c r="L230" s="7">
        <f t="shared" si="41"/>
        <v>4.9144008395218908</v>
      </c>
      <c r="M230" s="7">
        <f t="shared" si="42"/>
        <v>10.069620253164556</v>
      </c>
      <c r="N230" s="7">
        <f t="shared" si="43"/>
        <v>2.1089377326145904</v>
      </c>
      <c r="O230" s="7">
        <f t="shared" si="44"/>
        <v>10.958227848101266</v>
      </c>
      <c r="P230" s="7">
        <f t="shared" si="45"/>
        <v>2.2883463843764797</v>
      </c>
      <c r="Q230" s="7">
        <f t="shared" si="46"/>
        <v>-0.31946463958455407</v>
      </c>
      <c r="R230" s="7">
        <f t="shared" si="47"/>
        <v>-0.43555794470403231</v>
      </c>
      <c r="S230" s="7">
        <f t="shared" si="48"/>
        <v>-0.5071843689943738</v>
      </c>
      <c r="T230" s="7">
        <f t="shared" si="49"/>
        <v>-0.41874248349965643</v>
      </c>
      <c r="U230" s="7">
        <f t="shared" si="50"/>
        <v>-0.42023735919565414</v>
      </c>
    </row>
    <row r="231" spans="1:21" x14ac:dyDescent="0.25">
      <c r="A231" s="1" t="s">
        <v>1667</v>
      </c>
      <c r="B231" s="1" t="s">
        <v>36</v>
      </c>
      <c r="C231" s="1">
        <v>16</v>
      </c>
      <c r="D231" s="1">
        <v>15</v>
      </c>
      <c r="E231" s="1">
        <v>7</v>
      </c>
      <c r="F231" s="1">
        <v>8</v>
      </c>
      <c r="G231" s="1">
        <v>46</v>
      </c>
      <c r="H231" s="7">
        <v>0.96741792204684518</v>
      </c>
      <c r="I231" s="7">
        <f t="shared" si="51"/>
        <v>22.694936708860759</v>
      </c>
      <c r="J231" s="7">
        <f t="shared" si="39"/>
        <v>5.3055534129377486</v>
      </c>
      <c r="K231" s="7">
        <f t="shared" si="40"/>
        <v>22.140506329113926</v>
      </c>
      <c r="L231" s="7">
        <f t="shared" si="41"/>
        <v>4.9144008395218908</v>
      </c>
      <c r="M231" s="7">
        <f t="shared" si="42"/>
        <v>10.069620253164556</v>
      </c>
      <c r="N231" s="7">
        <f t="shared" si="43"/>
        <v>2.1089377326145904</v>
      </c>
      <c r="O231" s="7">
        <f t="shared" si="44"/>
        <v>10.958227848101266</v>
      </c>
      <c r="P231" s="7">
        <f t="shared" si="45"/>
        <v>2.2883463843764797</v>
      </c>
      <c r="Q231" s="7">
        <f t="shared" si="46"/>
        <v>-1.26187339713421</v>
      </c>
      <c r="R231" s="7">
        <f t="shared" si="47"/>
        <v>-1.4529759704763128</v>
      </c>
      <c r="S231" s="7">
        <f t="shared" si="48"/>
        <v>-1.4555291062856295</v>
      </c>
      <c r="T231" s="7">
        <f t="shared" si="49"/>
        <v>-1.2927360421911447</v>
      </c>
      <c r="U231" s="7">
        <f t="shared" si="50"/>
        <v>-1.3657786290218241</v>
      </c>
    </row>
    <row r="232" spans="1:21" x14ac:dyDescent="0.25">
      <c r="A232" s="1" t="s">
        <v>1667</v>
      </c>
      <c r="B232" s="1" t="s">
        <v>36</v>
      </c>
      <c r="C232" s="1">
        <v>12</v>
      </c>
      <c r="D232" s="1">
        <v>20</v>
      </c>
      <c r="E232" s="1">
        <v>7</v>
      </c>
      <c r="F232" s="1">
        <v>7</v>
      </c>
      <c r="G232" s="1">
        <v>46</v>
      </c>
      <c r="H232" s="7">
        <v>1.3301243435223524</v>
      </c>
      <c r="I232" s="7">
        <f t="shared" si="51"/>
        <v>22.694936708860759</v>
      </c>
      <c r="J232" s="7">
        <f t="shared" si="39"/>
        <v>5.3055534129377486</v>
      </c>
      <c r="K232" s="7">
        <f t="shared" si="40"/>
        <v>22.140506329113926</v>
      </c>
      <c r="L232" s="7">
        <f t="shared" si="41"/>
        <v>4.9144008395218908</v>
      </c>
      <c r="M232" s="7">
        <f t="shared" si="42"/>
        <v>10.069620253164556</v>
      </c>
      <c r="N232" s="7">
        <f t="shared" si="43"/>
        <v>2.1089377326145904</v>
      </c>
      <c r="O232" s="7">
        <f t="shared" si="44"/>
        <v>10.958227848101266</v>
      </c>
      <c r="P232" s="7">
        <f t="shared" si="45"/>
        <v>2.2883463843764797</v>
      </c>
      <c r="Q232" s="7">
        <f t="shared" si="46"/>
        <v>-2.0158004031739347</v>
      </c>
      <c r="R232" s="7">
        <f t="shared" si="47"/>
        <v>-0.43555794470403231</v>
      </c>
      <c r="S232" s="7">
        <f t="shared" si="48"/>
        <v>-1.4555291062856295</v>
      </c>
      <c r="T232" s="7">
        <f t="shared" si="49"/>
        <v>-1.729732821536889</v>
      </c>
      <c r="U232" s="7">
        <f t="shared" si="50"/>
        <v>-1.4091550689251213</v>
      </c>
    </row>
    <row r="233" spans="1:21" x14ac:dyDescent="0.25">
      <c r="A233" s="1" t="s">
        <v>1667</v>
      </c>
      <c r="B233" s="1" t="s">
        <v>36</v>
      </c>
      <c r="C233" s="1">
        <v>20</v>
      </c>
      <c r="D233" s="1">
        <v>23</v>
      </c>
      <c r="E233" s="1">
        <v>10</v>
      </c>
      <c r="F233" s="1">
        <v>12</v>
      </c>
      <c r="G233" s="1">
        <v>65</v>
      </c>
      <c r="H233" s="7">
        <v>1.2247448713915889</v>
      </c>
      <c r="I233" s="7">
        <f t="shared" si="51"/>
        <v>22.694936708860759</v>
      </c>
      <c r="J233" s="7">
        <f t="shared" si="39"/>
        <v>5.3055534129377486</v>
      </c>
      <c r="K233" s="7">
        <f t="shared" si="40"/>
        <v>22.140506329113926</v>
      </c>
      <c r="L233" s="7">
        <f t="shared" si="41"/>
        <v>4.9144008395218908</v>
      </c>
      <c r="M233" s="7">
        <f t="shared" si="42"/>
        <v>10.069620253164556</v>
      </c>
      <c r="N233" s="7">
        <f t="shared" si="43"/>
        <v>2.1089377326145904</v>
      </c>
      <c r="O233" s="7">
        <f t="shared" si="44"/>
        <v>10.958227848101266</v>
      </c>
      <c r="P233" s="7">
        <f t="shared" si="45"/>
        <v>2.2883463843764797</v>
      </c>
      <c r="Q233" s="7">
        <f t="shared" si="46"/>
        <v>-0.50794639109448525</v>
      </c>
      <c r="R233" s="7">
        <f t="shared" si="47"/>
        <v>0.17489287075933599</v>
      </c>
      <c r="S233" s="7">
        <f t="shared" si="48"/>
        <v>-3.3012000348745997E-2</v>
      </c>
      <c r="T233" s="7">
        <f t="shared" si="49"/>
        <v>0.45525107519183194</v>
      </c>
      <c r="U233" s="7">
        <f t="shared" si="50"/>
        <v>2.2296388626984173E-2</v>
      </c>
    </row>
    <row r="234" spans="1:21" x14ac:dyDescent="0.25">
      <c r="A234" s="1" t="s">
        <v>1667</v>
      </c>
      <c r="B234" s="1" t="s">
        <v>36</v>
      </c>
      <c r="C234" s="1">
        <v>21</v>
      </c>
      <c r="D234" s="1">
        <v>22</v>
      </c>
      <c r="E234" s="1">
        <v>11</v>
      </c>
      <c r="F234" s="1">
        <v>15</v>
      </c>
      <c r="G234" s="1">
        <v>69</v>
      </c>
      <c r="H234" s="7">
        <v>1.031553471276484</v>
      </c>
      <c r="I234" s="7">
        <f t="shared" si="51"/>
        <v>22.694936708860759</v>
      </c>
      <c r="J234" s="7">
        <f t="shared" si="39"/>
        <v>5.3055534129377486</v>
      </c>
      <c r="K234" s="7">
        <f t="shared" si="40"/>
        <v>22.140506329113926</v>
      </c>
      <c r="L234" s="7">
        <f t="shared" si="41"/>
        <v>4.9144008395218908</v>
      </c>
      <c r="M234" s="7">
        <f t="shared" si="42"/>
        <v>10.069620253164556</v>
      </c>
      <c r="N234" s="7">
        <f t="shared" si="43"/>
        <v>2.1089377326145904</v>
      </c>
      <c r="O234" s="7">
        <f t="shared" si="44"/>
        <v>10.958227848101266</v>
      </c>
      <c r="P234" s="7">
        <f t="shared" si="45"/>
        <v>2.2883463843764797</v>
      </c>
      <c r="Q234" s="7">
        <f t="shared" si="46"/>
        <v>-0.31946463958455407</v>
      </c>
      <c r="R234" s="7">
        <f t="shared" si="47"/>
        <v>-2.8590734395120113E-2</v>
      </c>
      <c r="S234" s="7">
        <f t="shared" si="48"/>
        <v>0.44116036829688182</v>
      </c>
      <c r="T234" s="7">
        <f t="shared" si="49"/>
        <v>1.7662414132290645</v>
      </c>
      <c r="U234" s="7">
        <f t="shared" si="50"/>
        <v>0.46483660188656806</v>
      </c>
    </row>
    <row r="235" spans="1:21" x14ac:dyDescent="0.25">
      <c r="A235" s="1" t="s">
        <v>1667</v>
      </c>
      <c r="B235" s="1" t="s">
        <v>36</v>
      </c>
      <c r="C235" s="1">
        <v>27</v>
      </c>
      <c r="D235" s="1">
        <v>28</v>
      </c>
      <c r="E235" s="1">
        <v>13</v>
      </c>
      <c r="F235" s="1">
        <v>15</v>
      </c>
      <c r="G235" s="1">
        <v>83</v>
      </c>
      <c r="H235" s="7">
        <v>1.3867504905630728</v>
      </c>
      <c r="I235" s="7">
        <f t="shared" si="51"/>
        <v>22.694936708860759</v>
      </c>
      <c r="J235" s="7">
        <f t="shared" si="39"/>
        <v>5.3055534129377486</v>
      </c>
      <c r="K235" s="7">
        <f t="shared" si="40"/>
        <v>22.140506329113926</v>
      </c>
      <c r="L235" s="7">
        <f t="shared" si="41"/>
        <v>4.9144008395218908</v>
      </c>
      <c r="M235" s="7">
        <f t="shared" si="42"/>
        <v>10.069620253164556</v>
      </c>
      <c r="N235" s="7">
        <f t="shared" si="43"/>
        <v>2.1089377326145904</v>
      </c>
      <c r="O235" s="7">
        <f t="shared" si="44"/>
        <v>10.958227848101266</v>
      </c>
      <c r="P235" s="7">
        <f t="shared" si="45"/>
        <v>2.2883463843764797</v>
      </c>
      <c r="Q235" s="7">
        <f t="shared" si="46"/>
        <v>0.81142586947503292</v>
      </c>
      <c r="R235" s="7">
        <f t="shared" si="47"/>
        <v>1.1923108965316165</v>
      </c>
      <c r="S235" s="7">
        <f t="shared" si="48"/>
        <v>1.3895051055881373</v>
      </c>
      <c r="T235" s="7">
        <f t="shared" si="49"/>
        <v>1.7662414132290645</v>
      </c>
      <c r="U235" s="7">
        <f t="shared" si="50"/>
        <v>1.2898708212059626</v>
      </c>
    </row>
    <row r="236" spans="1:21" x14ac:dyDescent="0.25">
      <c r="A236" s="1" t="s">
        <v>1667</v>
      </c>
      <c r="B236" s="1" t="s">
        <v>36</v>
      </c>
      <c r="C236" s="1">
        <v>21</v>
      </c>
      <c r="D236" s="1">
        <v>21</v>
      </c>
      <c r="E236" s="1">
        <v>10</v>
      </c>
      <c r="F236" s="1">
        <v>13</v>
      </c>
      <c r="G236" s="1">
        <v>65</v>
      </c>
      <c r="H236" s="7">
        <v>1.080123449734643</v>
      </c>
      <c r="I236" s="7">
        <f t="shared" si="51"/>
        <v>22.694936708860759</v>
      </c>
      <c r="J236" s="7">
        <f t="shared" si="39"/>
        <v>5.3055534129377486</v>
      </c>
      <c r="K236" s="7">
        <f t="shared" si="40"/>
        <v>22.140506329113926</v>
      </c>
      <c r="L236" s="7">
        <f t="shared" si="41"/>
        <v>4.9144008395218908</v>
      </c>
      <c r="M236" s="7">
        <f t="shared" si="42"/>
        <v>10.069620253164556</v>
      </c>
      <c r="N236" s="7">
        <f t="shared" si="43"/>
        <v>2.1089377326145904</v>
      </c>
      <c r="O236" s="7">
        <f t="shared" si="44"/>
        <v>10.958227848101266</v>
      </c>
      <c r="P236" s="7">
        <f t="shared" si="45"/>
        <v>2.2883463843764797</v>
      </c>
      <c r="Q236" s="7">
        <f t="shared" si="46"/>
        <v>-0.31946463958455407</v>
      </c>
      <c r="R236" s="7">
        <f t="shared" si="47"/>
        <v>-0.23207433954957621</v>
      </c>
      <c r="S236" s="7">
        <f t="shared" si="48"/>
        <v>-3.3012000348745997E-2</v>
      </c>
      <c r="T236" s="7">
        <f t="shared" si="49"/>
        <v>0.89224785453757616</v>
      </c>
      <c r="U236" s="7">
        <f t="shared" si="50"/>
        <v>7.6924218763674973E-2</v>
      </c>
    </row>
    <row r="237" spans="1:21" x14ac:dyDescent="0.25">
      <c r="A237" s="1" t="s">
        <v>1667</v>
      </c>
      <c r="B237" s="1" t="s">
        <v>36</v>
      </c>
      <c r="C237" s="1">
        <v>21</v>
      </c>
      <c r="D237" s="1">
        <v>18</v>
      </c>
      <c r="E237" s="1">
        <v>9</v>
      </c>
      <c r="F237" s="1">
        <v>13</v>
      </c>
      <c r="G237" s="1">
        <v>61</v>
      </c>
      <c r="H237" s="7">
        <v>0.85485041426511055</v>
      </c>
      <c r="I237" s="7">
        <f t="shared" si="51"/>
        <v>22.694936708860759</v>
      </c>
      <c r="J237" s="7">
        <f t="shared" si="39"/>
        <v>5.3055534129377486</v>
      </c>
      <c r="K237" s="7">
        <f t="shared" si="40"/>
        <v>22.140506329113926</v>
      </c>
      <c r="L237" s="7">
        <f t="shared" si="41"/>
        <v>4.9144008395218908</v>
      </c>
      <c r="M237" s="7">
        <f t="shared" si="42"/>
        <v>10.069620253164556</v>
      </c>
      <c r="N237" s="7">
        <f t="shared" si="43"/>
        <v>2.1089377326145904</v>
      </c>
      <c r="O237" s="7">
        <f t="shared" si="44"/>
        <v>10.958227848101266</v>
      </c>
      <c r="P237" s="7">
        <f t="shared" si="45"/>
        <v>2.2883463843764797</v>
      </c>
      <c r="Q237" s="7">
        <f t="shared" si="46"/>
        <v>-0.31946463958455407</v>
      </c>
      <c r="R237" s="7">
        <f t="shared" si="47"/>
        <v>-0.84252515501294456</v>
      </c>
      <c r="S237" s="7">
        <f t="shared" si="48"/>
        <v>-0.5071843689943738</v>
      </c>
      <c r="T237" s="7">
        <f t="shared" si="49"/>
        <v>0.89224785453757616</v>
      </c>
      <c r="U237" s="7">
        <f t="shared" si="50"/>
        <v>-0.19423157726357407</v>
      </c>
    </row>
    <row r="238" spans="1:21" x14ac:dyDescent="0.25">
      <c r="A238" s="1" t="s">
        <v>1667</v>
      </c>
      <c r="B238" s="1" t="s">
        <v>36</v>
      </c>
      <c r="C238" s="1">
        <v>23</v>
      </c>
      <c r="D238" s="1">
        <v>21</v>
      </c>
      <c r="E238" s="1">
        <v>8</v>
      </c>
      <c r="F238" s="1">
        <v>13</v>
      </c>
      <c r="G238" s="1">
        <v>65</v>
      </c>
      <c r="H238" s="7">
        <v>1.2909944487358056</v>
      </c>
      <c r="I238" s="7">
        <f t="shared" si="51"/>
        <v>22.694936708860759</v>
      </c>
      <c r="J238" s="7">
        <f t="shared" si="39"/>
        <v>5.3055534129377486</v>
      </c>
      <c r="K238" s="7">
        <f t="shared" si="40"/>
        <v>22.140506329113926</v>
      </c>
      <c r="L238" s="7">
        <f t="shared" si="41"/>
        <v>4.9144008395218908</v>
      </c>
      <c r="M238" s="7">
        <f t="shared" si="42"/>
        <v>10.069620253164556</v>
      </c>
      <c r="N238" s="7">
        <f t="shared" si="43"/>
        <v>2.1089377326145904</v>
      </c>
      <c r="O238" s="7">
        <f t="shared" si="44"/>
        <v>10.958227848101266</v>
      </c>
      <c r="P238" s="7">
        <f t="shared" si="45"/>
        <v>2.2883463843764797</v>
      </c>
      <c r="Q238" s="7">
        <f t="shared" si="46"/>
        <v>5.7498863435308259E-2</v>
      </c>
      <c r="R238" s="7">
        <f t="shared" si="47"/>
        <v>-0.23207433954957621</v>
      </c>
      <c r="S238" s="7">
        <f t="shared" si="48"/>
        <v>-0.98135673764000164</v>
      </c>
      <c r="T238" s="7">
        <f t="shared" si="49"/>
        <v>0.89224785453757616</v>
      </c>
      <c r="U238" s="7">
        <f t="shared" si="50"/>
        <v>-6.5921089804173355E-2</v>
      </c>
    </row>
    <row r="239" spans="1:21" x14ac:dyDescent="0.25">
      <c r="A239" s="1" t="s">
        <v>1668</v>
      </c>
      <c r="B239" s="1" t="s">
        <v>36</v>
      </c>
      <c r="C239" s="1">
        <v>8</v>
      </c>
      <c r="D239" s="1">
        <v>9</v>
      </c>
      <c r="E239" s="1">
        <v>5</v>
      </c>
      <c r="F239" s="1">
        <v>7</v>
      </c>
      <c r="G239" s="1">
        <v>29</v>
      </c>
      <c r="H239" s="7">
        <v>0.43852900965351455</v>
      </c>
      <c r="I239" s="7">
        <f t="shared" si="51"/>
        <v>22.694936708860759</v>
      </c>
      <c r="J239" s="7">
        <f t="shared" si="39"/>
        <v>5.3055534129377486</v>
      </c>
      <c r="K239" s="7">
        <f t="shared" si="40"/>
        <v>22.140506329113926</v>
      </c>
      <c r="L239" s="7">
        <f t="shared" si="41"/>
        <v>4.9144008395218908</v>
      </c>
      <c r="M239" s="7">
        <f t="shared" si="42"/>
        <v>10.069620253164556</v>
      </c>
      <c r="N239" s="7">
        <f t="shared" si="43"/>
        <v>2.1089377326145904</v>
      </c>
      <c r="O239" s="7">
        <f t="shared" si="44"/>
        <v>10.958227848101266</v>
      </c>
      <c r="P239" s="7">
        <f t="shared" si="45"/>
        <v>2.2883463843764797</v>
      </c>
      <c r="Q239" s="7">
        <f t="shared" si="46"/>
        <v>-2.7697274092136595</v>
      </c>
      <c r="R239" s="7">
        <f t="shared" si="47"/>
        <v>-2.6738776014030492</v>
      </c>
      <c r="S239" s="7">
        <f t="shared" si="48"/>
        <v>-2.4038738435768852</v>
      </c>
      <c r="T239" s="7">
        <f t="shared" si="49"/>
        <v>-1.729732821536889</v>
      </c>
      <c r="U239" s="7">
        <f t="shared" si="50"/>
        <v>-2.3943029189326208</v>
      </c>
    </row>
    <row r="240" spans="1:21" x14ac:dyDescent="0.25">
      <c r="A240" s="1" t="s">
        <v>1668</v>
      </c>
      <c r="B240" s="1" t="s">
        <v>36</v>
      </c>
      <c r="C240" s="1">
        <v>12</v>
      </c>
      <c r="D240" s="1">
        <v>12</v>
      </c>
      <c r="E240" s="1">
        <v>5</v>
      </c>
      <c r="F240" s="1">
        <v>9</v>
      </c>
      <c r="G240" s="1">
        <v>38</v>
      </c>
      <c r="H240" s="7">
        <v>0.64051261522034852</v>
      </c>
      <c r="I240" s="7">
        <f t="shared" si="51"/>
        <v>22.694936708860759</v>
      </c>
      <c r="J240" s="7">
        <f t="shared" si="39"/>
        <v>5.3055534129377486</v>
      </c>
      <c r="K240" s="7">
        <f t="shared" si="40"/>
        <v>22.140506329113926</v>
      </c>
      <c r="L240" s="7">
        <f t="shared" si="41"/>
        <v>4.9144008395218908</v>
      </c>
      <c r="M240" s="7">
        <f t="shared" si="42"/>
        <v>10.069620253164556</v>
      </c>
      <c r="N240" s="7">
        <f t="shared" si="43"/>
        <v>2.1089377326145904</v>
      </c>
      <c r="O240" s="7">
        <f t="shared" si="44"/>
        <v>10.958227848101266</v>
      </c>
      <c r="P240" s="7">
        <f t="shared" si="45"/>
        <v>2.2883463843764797</v>
      </c>
      <c r="Q240" s="7">
        <f t="shared" si="46"/>
        <v>-2.0158004031739347</v>
      </c>
      <c r="R240" s="7">
        <f t="shared" si="47"/>
        <v>-2.0634267859396811</v>
      </c>
      <c r="S240" s="7">
        <f t="shared" si="48"/>
        <v>-2.4038738435768852</v>
      </c>
      <c r="T240" s="7">
        <f t="shared" si="49"/>
        <v>-0.85573926284540058</v>
      </c>
      <c r="U240" s="7">
        <f t="shared" si="50"/>
        <v>-1.8347100738839752</v>
      </c>
    </row>
    <row r="241" spans="1:21" x14ac:dyDescent="0.25">
      <c r="A241" s="1" t="s">
        <v>1668</v>
      </c>
      <c r="B241" s="1" t="s">
        <v>36</v>
      </c>
      <c r="C241" s="1">
        <v>13</v>
      </c>
      <c r="D241" s="1">
        <v>13</v>
      </c>
      <c r="E241" s="1">
        <v>5</v>
      </c>
      <c r="F241" s="1">
        <v>9</v>
      </c>
      <c r="G241" s="1">
        <v>40</v>
      </c>
      <c r="H241" s="7">
        <v>0.49354811679282456</v>
      </c>
      <c r="I241" s="7">
        <f t="shared" si="51"/>
        <v>22.694936708860759</v>
      </c>
      <c r="J241" s="7">
        <f t="shared" si="39"/>
        <v>5.3055534129377486</v>
      </c>
      <c r="K241" s="7">
        <f t="shared" si="40"/>
        <v>22.140506329113926</v>
      </c>
      <c r="L241" s="7">
        <f t="shared" si="41"/>
        <v>4.9144008395218908</v>
      </c>
      <c r="M241" s="7">
        <f t="shared" si="42"/>
        <v>10.069620253164556</v>
      </c>
      <c r="N241" s="7">
        <f t="shared" si="43"/>
        <v>2.1089377326145904</v>
      </c>
      <c r="O241" s="7">
        <f t="shared" si="44"/>
        <v>10.958227848101266</v>
      </c>
      <c r="P241" s="7">
        <f t="shared" si="45"/>
        <v>2.2883463843764797</v>
      </c>
      <c r="Q241" s="7">
        <f t="shared" si="46"/>
        <v>-1.8273186516640034</v>
      </c>
      <c r="R241" s="7">
        <f t="shared" si="47"/>
        <v>-1.8599431807852249</v>
      </c>
      <c r="S241" s="7">
        <f t="shared" si="48"/>
        <v>-2.4038738435768852</v>
      </c>
      <c r="T241" s="7">
        <f t="shared" si="49"/>
        <v>-0.85573926284540058</v>
      </c>
      <c r="U241" s="7">
        <f t="shared" si="50"/>
        <v>-1.7367187347178783</v>
      </c>
    </row>
    <row r="242" spans="1:21" x14ac:dyDescent="0.25">
      <c r="A242" s="1" t="s">
        <v>1668</v>
      </c>
      <c r="B242" s="1" t="s">
        <v>36</v>
      </c>
      <c r="C242" s="1">
        <v>15</v>
      </c>
      <c r="D242" s="1">
        <v>13</v>
      </c>
      <c r="E242" s="1">
        <v>6</v>
      </c>
      <c r="F242" s="1">
        <v>12</v>
      </c>
      <c r="G242" s="1">
        <v>46</v>
      </c>
      <c r="H242" s="7">
        <v>0.5188745216627707</v>
      </c>
      <c r="I242" s="7">
        <f t="shared" si="51"/>
        <v>22.694936708860759</v>
      </c>
      <c r="J242" s="7">
        <f t="shared" si="39"/>
        <v>5.3055534129377486</v>
      </c>
      <c r="K242" s="7">
        <f t="shared" si="40"/>
        <v>22.140506329113926</v>
      </c>
      <c r="L242" s="7">
        <f t="shared" si="41"/>
        <v>4.9144008395218908</v>
      </c>
      <c r="M242" s="7">
        <f t="shared" si="42"/>
        <v>10.069620253164556</v>
      </c>
      <c r="N242" s="7">
        <f t="shared" si="43"/>
        <v>2.1089377326145904</v>
      </c>
      <c r="O242" s="7">
        <f t="shared" si="44"/>
        <v>10.958227848101266</v>
      </c>
      <c r="P242" s="7">
        <f t="shared" si="45"/>
        <v>2.2883463843764797</v>
      </c>
      <c r="Q242" s="7">
        <f t="shared" si="46"/>
        <v>-1.4503551486441411</v>
      </c>
      <c r="R242" s="7">
        <f t="shared" si="47"/>
        <v>-1.8599431807852249</v>
      </c>
      <c r="S242" s="7">
        <f t="shared" si="48"/>
        <v>-1.9297014749312573</v>
      </c>
      <c r="T242" s="7">
        <f t="shared" si="49"/>
        <v>0.45525107519183194</v>
      </c>
      <c r="U242" s="7">
        <f t="shared" si="50"/>
        <v>-1.1961871822921979</v>
      </c>
    </row>
    <row r="243" spans="1:21" x14ac:dyDescent="0.25">
      <c r="A243" s="1" t="s">
        <v>1668</v>
      </c>
      <c r="B243" s="1" t="s">
        <v>36</v>
      </c>
      <c r="C243" s="1">
        <v>14</v>
      </c>
      <c r="D243" s="1">
        <v>14</v>
      </c>
      <c r="E243" s="1">
        <v>7</v>
      </c>
      <c r="F243" s="1">
        <v>11</v>
      </c>
      <c r="G243" s="1">
        <v>46</v>
      </c>
      <c r="H243" s="7">
        <v>0.51887452166277082</v>
      </c>
      <c r="I243" s="7">
        <f t="shared" si="51"/>
        <v>22.694936708860759</v>
      </c>
      <c r="J243" s="7">
        <f t="shared" si="39"/>
        <v>5.3055534129377486</v>
      </c>
      <c r="K243" s="7">
        <f t="shared" si="40"/>
        <v>22.140506329113926</v>
      </c>
      <c r="L243" s="7">
        <f t="shared" si="41"/>
        <v>4.9144008395218908</v>
      </c>
      <c r="M243" s="7">
        <f t="shared" si="42"/>
        <v>10.069620253164556</v>
      </c>
      <c r="N243" s="7">
        <f t="shared" si="43"/>
        <v>2.1089377326145904</v>
      </c>
      <c r="O243" s="7">
        <f t="shared" si="44"/>
        <v>10.958227848101266</v>
      </c>
      <c r="P243" s="7">
        <f t="shared" si="45"/>
        <v>2.2883463843764797</v>
      </c>
      <c r="Q243" s="7">
        <f t="shared" si="46"/>
        <v>-1.6388369001540724</v>
      </c>
      <c r="R243" s="7">
        <f t="shared" si="47"/>
        <v>-1.656459575630769</v>
      </c>
      <c r="S243" s="7">
        <f t="shared" si="48"/>
        <v>-1.4555291062856295</v>
      </c>
      <c r="T243" s="7">
        <f t="shared" si="49"/>
        <v>1.8254295846087756E-2</v>
      </c>
      <c r="U243" s="7">
        <f t="shared" si="50"/>
        <v>-1.1831428215560957</v>
      </c>
    </row>
    <row r="244" spans="1:21" x14ac:dyDescent="0.25">
      <c r="A244" s="1" t="s">
        <v>1668</v>
      </c>
      <c r="B244" s="1" t="s">
        <v>36</v>
      </c>
      <c r="C244" s="1">
        <v>15</v>
      </c>
      <c r="D244" s="1">
        <v>16</v>
      </c>
      <c r="E244" s="1">
        <v>8</v>
      </c>
      <c r="F244" s="1">
        <v>12</v>
      </c>
      <c r="G244" s="1">
        <v>51</v>
      </c>
      <c r="H244" s="7">
        <v>0.27735009811261468</v>
      </c>
      <c r="I244" s="7">
        <f t="shared" si="51"/>
        <v>22.694936708860759</v>
      </c>
      <c r="J244" s="7">
        <f t="shared" si="39"/>
        <v>5.3055534129377486</v>
      </c>
      <c r="K244" s="7">
        <f t="shared" si="40"/>
        <v>22.140506329113926</v>
      </c>
      <c r="L244" s="7">
        <f t="shared" si="41"/>
        <v>4.9144008395218908</v>
      </c>
      <c r="M244" s="7">
        <f t="shared" si="42"/>
        <v>10.069620253164556</v>
      </c>
      <c r="N244" s="7">
        <f t="shared" si="43"/>
        <v>2.1089377326145904</v>
      </c>
      <c r="O244" s="7">
        <f t="shared" si="44"/>
        <v>10.958227848101266</v>
      </c>
      <c r="P244" s="7">
        <f t="shared" si="45"/>
        <v>2.2883463843764797</v>
      </c>
      <c r="Q244" s="7">
        <f t="shared" si="46"/>
        <v>-1.4503551486441411</v>
      </c>
      <c r="R244" s="7">
        <f t="shared" si="47"/>
        <v>-1.2494923653218568</v>
      </c>
      <c r="S244" s="7">
        <f t="shared" si="48"/>
        <v>-0.98135673764000164</v>
      </c>
      <c r="T244" s="7">
        <f t="shared" si="49"/>
        <v>0.45525107519183194</v>
      </c>
      <c r="U244" s="7">
        <f t="shared" si="50"/>
        <v>-0.80648829410354184</v>
      </c>
    </row>
    <row r="245" spans="1:21" x14ac:dyDescent="0.25">
      <c r="A245" s="1" t="s">
        <v>1668</v>
      </c>
      <c r="B245" s="1" t="s">
        <v>36</v>
      </c>
      <c r="C245" s="1">
        <v>15</v>
      </c>
      <c r="D245" s="1">
        <v>15</v>
      </c>
      <c r="E245" s="1">
        <v>8</v>
      </c>
      <c r="F245" s="1">
        <v>9</v>
      </c>
      <c r="G245" s="1">
        <v>47</v>
      </c>
      <c r="H245" s="7">
        <v>0.50636968354183309</v>
      </c>
      <c r="I245" s="7">
        <f t="shared" si="51"/>
        <v>22.694936708860759</v>
      </c>
      <c r="J245" s="7">
        <f t="shared" si="39"/>
        <v>5.3055534129377486</v>
      </c>
      <c r="K245" s="7">
        <f t="shared" si="40"/>
        <v>22.140506329113926</v>
      </c>
      <c r="L245" s="7">
        <f t="shared" si="41"/>
        <v>4.9144008395218908</v>
      </c>
      <c r="M245" s="7">
        <f t="shared" si="42"/>
        <v>10.069620253164556</v>
      </c>
      <c r="N245" s="7">
        <f t="shared" si="43"/>
        <v>2.1089377326145904</v>
      </c>
      <c r="O245" s="7">
        <f t="shared" si="44"/>
        <v>10.958227848101266</v>
      </c>
      <c r="P245" s="7">
        <f t="shared" si="45"/>
        <v>2.2883463843764797</v>
      </c>
      <c r="Q245" s="7">
        <f t="shared" si="46"/>
        <v>-1.4503551486441411</v>
      </c>
      <c r="R245" s="7">
        <f t="shared" si="47"/>
        <v>-1.4529759704763128</v>
      </c>
      <c r="S245" s="7">
        <f t="shared" si="48"/>
        <v>-0.98135673764000164</v>
      </c>
      <c r="T245" s="7">
        <f t="shared" si="49"/>
        <v>-0.85573926284540058</v>
      </c>
      <c r="U245" s="7">
        <f t="shared" si="50"/>
        <v>-1.1851067799014638</v>
      </c>
    </row>
    <row r="246" spans="1:21" x14ac:dyDescent="0.25">
      <c r="A246" s="1" t="s">
        <v>1668</v>
      </c>
      <c r="B246" s="1" t="s">
        <v>36</v>
      </c>
      <c r="C246" s="1">
        <v>13</v>
      </c>
      <c r="D246" s="1">
        <v>15</v>
      </c>
      <c r="E246" s="1">
        <v>8</v>
      </c>
      <c r="F246" s="1">
        <v>10</v>
      </c>
      <c r="G246" s="1">
        <v>46</v>
      </c>
      <c r="H246" s="7">
        <v>0.51887452166277082</v>
      </c>
      <c r="I246" s="7">
        <f t="shared" si="51"/>
        <v>22.694936708860759</v>
      </c>
      <c r="J246" s="7">
        <f t="shared" si="39"/>
        <v>5.3055534129377486</v>
      </c>
      <c r="K246" s="7">
        <f t="shared" si="40"/>
        <v>22.140506329113926</v>
      </c>
      <c r="L246" s="7">
        <f t="shared" si="41"/>
        <v>4.9144008395218908</v>
      </c>
      <c r="M246" s="7">
        <f t="shared" si="42"/>
        <v>10.069620253164556</v>
      </c>
      <c r="N246" s="7">
        <f t="shared" si="43"/>
        <v>2.1089377326145904</v>
      </c>
      <c r="O246" s="7">
        <f t="shared" si="44"/>
        <v>10.958227848101266</v>
      </c>
      <c r="P246" s="7">
        <f t="shared" si="45"/>
        <v>2.2883463843764797</v>
      </c>
      <c r="Q246" s="7">
        <f t="shared" si="46"/>
        <v>-1.8273186516640034</v>
      </c>
      <c r="R246" s="7">
        <f t="shared" si="47"/>
        <v>-1.4529759704763128</v>
      </c>
      <c r="S246" s="7">
        <f t="shared" si="48"/>
        <v>-0.98135673764000164</v>
      </c>
      <c r="T246" s="7">
        <f t="shared" si="49"/>
        <v>-0.41874248349965643</v>
      </c>
      <c r="U246" s="7">
        <f t="shared" si="50"/>
        <v>-1.1700984608199936</v>
      </c>
    </row>
    <row r="247" spans="1:21" x14ac:dyDescent="0.25">
      <c r="A247" s="1" t="s">
        <v>1668</v>
      </c>
      <c r="B247" s="1" t="s">
        <v>36</v>
      </c>
      <c r="C247" s="1">
        <v>10</v>
      </c>
      <c r="D247" s="1">
        <v>8</v>
      </c>
      <c r="E247" s="1">
        <v>5</v>
      </c>
      <c r="F247" s="1">
        <v>6</v>
      </c>
      <c r="G247" s="1">
        <v>29</v>
      </c>
      <c r="H247" s="7">
        <v>0.4385290096535146</v>
      </c>
      <c r="I247" s="7">
        <f t="shared" si="51"/>
        <v>22.694936708860759</v>
      </c>
      <c r="J247" s="7">
        <f t="shared" si="39"/>
        <v>5.3055534129377486</v>
      </c>
      <c r="K247" s="7">
        <f t="shared" si="40"/>
        <v>22.140506329113926</v>
      </c>
      <c r="L247" s="7">
        <f t="shared" si="41"/>
        <v>4.9144008395218908</v>
      </c>
      <c r="M247" s="7">
        <f t="shared" si="42"/>
        <v>10.069620253164556</v>
      </c>
      <c r="N247" s="7">
        <f t="shared" si="43"/>
        <v>2.1089377326145904</v>
      </c>
      <c r="O247" s="7">
        <f t="shared" si="44"/>
        <v>10.958227848101266</v>
      </c>
      <c r="P247" s="7">
        <f t="shared" si="45"/>
        <v>2.2883463843764797</v>
      </c>
      <c r="Q247" s="7">
        <f t="shared" si="46"/>
        <v>-2.3927639061937969</v>
      </c>
      <c r="R247" s="7">
        <f t="shared" si="47"/>
        <v>-2.8773612065575054</v>
      </c>
      <c r="S247" s="7">
        <f t="shared" si="48"/>
        <v>-2.4038738435768852</v>
      </c>
      <c r="T247" s="7">
        <f t="shared" si="49"/>
        <v>-2.1667296008826331</v>
      </c>
      <c r="U247" s="7">
        <f t="shared" si="50"/>
        <v>-2.460182139302705</v>
      </c>
    </row>
    <row r="248" spans="1:21" x14ac:dyDescent="0.25">
      <c r="A248" s="1" t="s">
        <v>1668</v>
      </c>
      <c r="B248" s="1" t="s">
        <v>36</v>
      </c>
      <c r="C248" s="1">
        <v>21</v>
      </c>
      <c r="D248" s="1">
        <v>20</v>
      </c>
      <c r="E248" s="1">
        <v>10</v>
      </c>
      <c r="F248" s="1">
        <v>15</v>
      </c>
      <c r="G248" s="1">
        <v>66</v>
      </c>
      <c r="H248" s="7">
        <v>0.27735009811261452</v>
      </c>
      <c r="I248" s="7">
        <f t="shared" si="51"/>
        <v>22.694936708860759</v>
      </c>
      <c r="J248" s="7">
        <f t="shared" si="39"/>
        <v>5.3055534129377486</v>
      </c>
      <c r="K248" s="7">
        <f t="shared" si="40"/>
        <v>22.140506329113926</v>
      </c>
      <c r="L248" s="7">
        <f t="shared" si="41"/>
        <v>4.9144008395218908</v>
      </c>
      <c r="M248" s="7">
        <f t="shared" si="42"/>
        <v>10.069620253164556</v>
      </c>
      <c r="N248" s="7">
        <f t="shared" si="43"/>
        <v>2.1089377326145904</v>
      </c>
      <c r="O248" s="7">
        <f t="shared" si="44"/>
        <v>10.958227848101266</v>
      </c>
      <c r="P248" s="7">
        <f t="shared" si="45"/>
        <v>2.2883463843764797</v>
      </c>
      <c r="Q248" s="7">
        <f t="shared" si="46"/>
        <v>-0.31946463958455407</v>
      </c>
      <c r="R248" s="7">
        <f t="shared" si="47"/>
        <v>-0.43555794470403231</v>
      </c>
      <c r="S248" s="7">
        <f t="shared" si="48"/>
        <v>-3.3012000348745997E-2</v>
      </c>
      <c r="T248" s="7">
        <f t="shared" si="49"/>
        <v>1.7662414132290645</v>
      </c>
      <c r="U248" s="7">
        <f t="shared" si="50"/>
        <v>0.24455170714793303</v>
      </c>
    </row>
    <row r="249" spans="1:21" x14ac:dyDescent="0.25">
      <c r="A249" s="1" t="s">
        <v>1668</v>
      </c>
      <c r="B249" s="1" t="s">
        <v>36</v>
      </c>
      <c r="C249" s="1">
        <v>19</v>
      </c>
      <c r="D249" s="1">
        <v>20</v>
      </c>
      <c r="E249" s="1">
        <v>10</v>
      </c>
      <c r="F249" s="1">
        <v>15</v>
      </c>
      <c r="G249" s="1">
        <v>64</v>
      </c>
      <c r="H249" s="7">
        <v>0.27735009811261452</v>
      </c>
      <c r="I249" s="7">
        <f t="shared" si="51"/>
        <v>22.694936708860759</v>
      </c>
      <c r="J249" s="7">
        <f t="shared" si="39"/>
        <v>5.3055534129377486</v>
      </c>
      <c r="K249" s="7">
        <f t="shared" si="40"/>
        <v>22.140506329113926</v>
      </c>
      <c r="L249" s="7">
        <f t="shared" si="41"/>
        <v>4.9144008395218908</v>
      </c>
      <c r="M249" s="7">
        <f t="shared" si="42"/>
        <v>10.069620253164556</v>
      </c>
      <c r="N249" s="7">
        <f t="shared" si="43"/>
        <v>2.1089377326145904</v>
      </c>
      <c r="O249" s="7">
        <f t="shared" si="44"/>
        <v>10.958227848101266</v>
      </c>
      <c r="P249" s="7">
        <f t="shared" si="45"/>
        <v>2.2883463843764797</v>
      </c>
      <c r="Q249" s="7">
        <f t="shared" si="46"/>
        <v>-0.69642814260441643</v>
      </c>
      <c r="R249" s="7">
        <f t="shared" si="47"/>
        <v>-0.43555794470403231</v>
      </c>
      <c r="S249" s="7">
        <f t="shared" si="48"/>
        <v>-3.3012000348745997E-2</v>
      </c>
      <c r="T249" s="7">
        <f t="shared" si="49"/>
        <v>1.7662414132290645</v>
      </c>
      <c r="U249" s="7">
        <f t="shared" si="50"/>
        <v>0.15031083139296741</v>
      </c>
    </row>
    <row r="250" spans="1:21" x14ac:dyDescent="0.25">
      <c r="A250" s="1" t="s">
        <v>1668</v>
      </c>
      <c r="B250" s="1" t="s">
        <v>36</v>
      </c>
      <c r="C250" s="1">
        <v>20</v>
      </c>
      <c r="D250" s="1">
        <v>19</v>
      </c>
      <c r="E250" s="1">
        <v>9</v>
      </c>
      <c r="F250" s="1">
        <v>15</v>
      </c>
      <c r="G250" s="1">
        <v>63</v>
      </c>
      <c r="H250" s="7">
        <v>0.55470019622522904</v>
      </c>
      <c r="I250" s="7">
        <f t="shared" si="51"/>
        <v>22.694936708860759</v>
      </c>
      <c r="J250" s="7">
        <f t="shared" si="39"/>
        <v>5.3055534129377486</v>
      </c>
      <c r="K250" s="7">
        <f t="shared" si="40"/>
        <v>22.140506329113926</v>
      </c>
      <c r="L250" s="7">
        <f t="shared" si="41"/>
        <v>4.9144008395218908</v>
      </c>
      <c r="M250" s="7">
        <f t="shared" si="42"/>
        <v>10.069620253164556</v>
      </c>
      <c r="N250" s="7">
        <f t="shared" si="43"/>
        <v>2.1089377326145904</v>
      </c>
      <c r="O250" s="7">
        <f t="shared" si="44"/>
        <v>10.958227848101266</v>
      </c>
      <c r="P250" s="7">
        <f t="shared" si="45"/>
        <v>2.2883463843764797</v>
      </c>
      <c r="Q250" s="7">
        <f t="shared" si="46"/>
        <v>-0.50794639109448525</v>
      </c>
      <c r="R250" s="7">
        <f t="shared" si="47"/>
        <v>-0.63904154985848838</v>
      </c>
      <c r="S250" s="7">
        <f t="shared" si="48"/>
        <v>-0.5071843689943738</v>
      </c>
      <c r="T250" s="7">
        <f t="shared" si="49"/>
        <v>1.7662414132290645</v>
      </c>
      <c r="U250" s="7">
        <f t="shared" si="50"/>
        <v>2.8017275820429288E-2</v>
      </c>
    </row>
    <row r="251" spans="1:21" x14ac:dyDescent="0.25">
      <c r="A251" s="1" t="s">
        <v>1668</v>
      </c>
      <c r="B251" s="1" t="s">
        <v>36</v>
      </c>
      <c r="C251" s="1">
        <v>22</v>
      </c>
      <c r="D251" s="1">
        <v>20</v>
      </c>
      <c r="E251" s="1">
        <v>9</v>
      </c>
      <c r="F251" s="1">
        <v>13</v>
      </c>
      <c r="G251" s="1">
        <v>64</v>
      </c>
      <c r="H251" s="7">
        <v>0.64051261522034897</v>
      </c>
      <c r="I251" s="7">
        <f t="shared" si="51"/>
        <v>22.694936708860759</v>
      </c>
      <c r="J251" s="7">
        <f t="shared" si="39"/>
        <v>5.3055534129377486</v>
      </c>
      <c r="K251" s="7">
        <f t="shared" si="40"/>
        <v>22.140506329113926</v>
      </c>
      <c r="L251" s="7">
        <f t="shared" si="41"/>
        <v>4.9144008395218908</v>
      </c>
      <c r="M251" s="7">
        <f t="shared" si="42"/>
        <v>10.069620253164556</v>
      </c>
      <c r="N251" s="7">
        <f t="shared" si="43"/>
        <v>2.1089377326145904</v>
      </c>
      <c r="O251" s="7">
        <f t="shared" si="44"/>
        <v>10.958227848101266</v>
      </c>
      <c r="P251" s="7">
        <f t="shared" si="45"/>
        <v>2.2883463843764797</v>
      </c>
      <c r="Q251" s="7">
        <f t="shared" si="46"/>
        <v>-0.13098288807462291</v>
      </c>
      <c r="R251" s="7">
        <f t="shared" si="47"/>
        <v>-0.43555794470403231</v>
      </c>
      <c r="S251" s="7">
        <f t="shared" si="48"/>
        <v>-0.5071843689943738</v>
      </c>
      <c r="T251" s="7">
        <f t="shared" si="49"/>
        <v>0.89224785453757616</v>
      </c>
      <c r="U251" s="7">
        <f t="shared" si="50"/>
        <v>-4.5369336808863209E-2</v>
      </c>
    </row>
    <row r="252" spans="1:21" x14ac:dyDescent="0.25">
      <c r="A252" s="1" t="s">
        <v>1668</v>
      </c>
      <c r="B252" s="1" t="s">
        <v>36</v>
      </c>
      <c r="C252" s="1">
        <v>21</v>
      </c>
      <c r="D252" s="1">
        <v>21</v>
      </c>
      <c r="E252" s="1">
        <v>11</v>
      </c>
      <c r="F252" s="1">
        <v>13</v>
      </c>
      <c r="G252" s="1">
        <v>66</v>
      </c>
      <c r="H252" s="7">
        <v>0.64051261522034864</v>
      </c>
      <c r="I252" s="7">
        <f t="shared" si="51"/>
        <v>22.694936708860759</v>
      </c>
      <c r="J252" s="7">
        <f t="shared" si="39"/>
        <v>5.3055534129377486</v>
      </c>
      <c r="K252" s="7">
        <f t="shared" si="40"/>
        <v>22.140506329113926</v>
      </c>
      <c r="L252" s="7">
        <f t="shared" si="41"/>
        <v>4.9144008395218908</v>
      </c>
      <c r="M252" s="7">
        <f t="shared" si="42"/>
        <v>10.069620253164556</v>
      </c>
      <c r="N252" s="7">
        <f t="shared" si="43"/>
        <v>2.1089377326145904</v>
      </c>
      <c r="O252" s="7">
        <f t="shared" si="44"/>
        <v>10.958227848101266</v>
      </c>
      <c r="P252" s="7">
        <f t="shared" si="45"/>
        <v>2.2883463843764797</v>
      </c>
      <c r="Q252" s="7">
        <f t="shared" si="46"/>
        <v>-0.31946463958455407</v>
      </c>
      <c r="R252" s="7">
        <f t="shared" si="47"/>
        <v>-0.23207433954957621</v>
      </c>
      <c r="S252" s="7">
        <f t="shared" si="48"/>
        <v>0.44116036829688182</v>
      </c>
      <c r="T252" s="7">
        <f t="shared" si="49"/>
        <v>0.89224785453757616</v>
      </c>
      <c r="U252" s="7">
        <f t="shared" si="50"/>
        <v>0.19546731092508191</v>
      </c>
    </row>
    <row r="253" spans="1:21" x14ac:dyDescent="0.25">
      <c r="A253" s="1" t="s">
        <v>1668</v>
      </c>
      <c r="B253" s="1" t="s">
        <v>36</v>
      </c>
      <c r="C253" s="1">
        <v>19</v>
      </c>
      <c r="D253" s="1">
        <v>16</v>
      </c>
      <c r="E253" s="1">
        <v>9</v>
      </c>
      <c r="F253" s="1">
        <v>13</v>
      </c>
      <c r="G253" s="1">
        <v>57</v>
      </c>
      <c r="H253" s="7">
        <v>0.5063696835418332</v>
      </c>
      <c r="I253" s="7">
        <f t="shared" si="51"/>
        <v>22.694936708860759</v>
      </c>
      <c r="J253" s="7">
        <f t="shared" si="39"/>
        <v>5.3055534129377486</v>
      </c>
      <c r="K253" s="7">
        <f t="shared" si="40"/>
        <v>22.140506329113926</v>
      </c>
      <c r="L253" s="7">
        <f t="shared" si="41"/>
        <v>4.9144008395218908</v>
      </c>
      <c r="M253" s="7">
        <f t="shared" si="42"/>
        <v>10.069620253164556</v>
      </c>
      <c r="N253" s="7">
        <f t="shared" si="43"/>
        <v>2.1089377326145904</v>
      </c>
      <c r="O253" s="7">
        <f t="shared" si="44"/>
        <v>10.958227848101266</v>
      </c>
      <c r="P253" s="7">
        <f t="shared" si="45"/>
        <v>2.2883463843764797</v>
      </c>
      <c r="Q253" s="7">
        <f t="shared" si="46"/>
        <v>-0.69642814260441643</v>
      </c>
      <c r="R253" s="7">
        <f t="shared" si="47"/>
        <v>-1.2494923653218568</v>
      </c>
      <c r="S253" s="7">
        <f t="shared" si="48"/>
        <v>-0.5071843689943738</v>
      </c>
      <c r="T253" s="7">
        <f t="shared" si="49"/>
        <v>0.89224785453757616</v>
      </c>
      <c r="U253" s="7">
        <f t="shared" si="50"/>
        <v>-0.39021425559576772</v>
      </c>
    </row>
    <row r="254" spans="1:21" x14ac:dyDescent="0.25">
      <c r="A254" s="1" t="s">
        <v>1668</v>
      </c>
      <c r="B254" s="1" t="s">
        <v>36</v>
      </c>
      <c r="C254" s="1">
        <v>23</v>
      </c>
      <c r="D254" s="1">
        <v>22</v>
      </c>
      <c r="E254" s="1">
        <v>11</v>
      </c>
      <c r="F254" s="1">
        <v>13</v>
      </c>
      <c r="G254" s="1">
        <v>69</v>
      </c>
      <c r="H254" s="7">
        <v>0.75106761619881046</v>
      </c>
      <c r="I254" s="7">
        <f t="shared" si="51"/>
        <v>22.694936708860759</v>
      </c>
      <c r="J254" s="7">
        <f t="shared" si="39"/>
        <v>5.3055534129377486</v>
      </c>
      <c r="K254" s="7">
        <f t="shared" si="40"/>
        <v>22.140506329113926</v>
      </c>
      <c r="L254" s="7">
        <f t="shared" si="41"/>
        <v>4.9144008395218908</v>
      </c>
      <c r="M254" s="7">
        <f t="shared" si="42"/>
        <v>10.069620253164556</v>
      </c>
      <c r="N254" s="7">
        <f t="shared" si="43"/>
        <v>2.1089377326145904</v>
      </c>
      <c r="O254" s="7">
        <f t="shared" si="44"/>
        <v>10.958227848101266</v>
      </c>
      <c r="P254" s="7">
        <f t="shared" si="45"/>
        <v>2.2883463843764797</v>
      </c>
      <c r="Q254" s="7">
        <f t="shared" si="46"/>
        <v>5.7498863435308259E-2</v>
      </c>
      <c r="R254" s="7">
        <f t="shared" si="47"/>
        <v>-2.8590734395120113E-2</v>
      </c>
      <c r="S254" s="7">
        <f t="shared" si="48"/>
        <v>0.44116036829688182</v>
      </c>
      <c r="T254" s="7">
        <f t="shared" si="49"/>
        <v>0.89224785453757616</v>
      </c>
      <c r="U254" s="7">
        <f t="shared" si="50"/>
        <v>0.34057908796866154</v>
      </c>
    </row>
    <row r="255" spans="1:21" x14ac:dyDescent="0.25">
      <c r="A255" s="1" t="s">
        <v>1668</v>
      </c>
      <c r="B255" s="1" t="s">
        <v>36</v>
      </c>
      <c r="C255" s="1">
        <v>21</v>
      </c>
      <c r="D255" s="1">
        <v>22</v>
      </c>
      <c r="E255" s="1">
        <v>10</v>
      </c>
      <c r="F255" s="1">
        <v>15</v>
      </c>
      <c r="G255" s="1">
        <v>68</v>
      </c>
      <c r="H255" s="7">
        <v>0.43852900965351449</v>
      </c>
      <c r="I255" s="7">
        <f t="shared" si="51"/>
        <v>22.694936708860759</v>
      </c>
      <c r="J255" s="7">
        <f t="shared" si="39"/>
        <v>5.3055534129377486</v>
      </c>
      <c r="K255" s="7">
        <f t="shared" si="40"/>
        <v>22.140506329113926</v>
      </c>
      <c r="L255" s="7">
        <f t="shared" si="41"/>
        <v>4.9144008395218908</v>
      </c>
      <c r="M255" s="7">
        <f t="shared" si="42"/>
        <v>10.069620253164556</v>
      </c>
      <c r="N255" s="7">
        <f t="shared" si="43"/>
        <v>2.1089377326145904</v>
      </c>
      <c r="O255" s="7">
        <f t="shared" si="44"/>
        <v>10.958227848101266</v>
      </c>
      <c r="P255" s="7">
        <f t="shared" si="45"/>
        <v>2.2883463843764797</v>
      </c>
      <c r="Q255" s="7">
        <f t="shared" si="46"/>
        <v>-0.31946463958455407</v>
      </c>
      <c r="R255" s="7">
        <f t="shared" si="47"/>
        <v>-2.8590734395120113E-2</v>
      </c>
      <c r="S255" s="7">
        <f t="shared" si="48"/>
        <v>-3.3012000348745997E-2</v>
      </c>
      <c r="T255" s="7">
        <f t="shared" si="49"/>
        <v>1.7662414132290645</v>
      </c>
      <c r="U255" s="7">
        <f t="shared" si="50"/>
        <v>0.34629350972516104</v>
      </c>
    </row>
    <row r="256" spans="1:21" x14ac:dyDescent="0.25">
      <c r="A256" s="1" t="s">
        <v>1668</v>
      </c>
      <c r="B256" s="1" t="s">
        <v>36</v>
      </c>
      <c r="C256" s="1">
        <v>14</v>
      </c>
      <c r="D256" s="1">
        <v>16</v>
      </c>
      <c r="E256" s="1">
        <v>9</v>
      </c>
      <c r="F256" s="1">
        <v>15</v>
      </c>
      <c r="G256" s="1">
        <v>54</v>
      </c>
      <c r="H256" s="7">
        <v>0.80064076902543579</v>
      </c>
      <c r="I256" s="7">
        <f t="shared" si="51"/>
        <v>22.694936708860759</v>
      </c>
      <c r="J256" s="7">
        <f t="shared" si="39"/>
        <v>5.3055534129377486</v>
      </c>
      <c r="K256" s="7">
        <f t="shared" si="40"/>
        <v>22.140506329113926</v>
      </c>
      <c r="L256" s="7">
        <f t="shared" si="41"/>
        <v>4.9144008395218908</v>
      </c>
      <c r="M256" s="7">
        <f t="shared" si="42"/>
        <v>10.069620253164556</v>
      </c>
      <c r="N256" s="7">
        <f t="shared" si="43"/>
        <v>2.1089377326145904</v>
      </c>
      <c r="O256" s="7">
        <f t="shared" si="44"/>
        <v>10.958227848101266</v>
      </c>
      <c r="P256" s="7">
        <f t="shared" si="45"/>
        <v>2.2883463843764797</v>
      </c>
      <c r="Q256" s="7">
        <f t="shared" si="46"/>
        <v>-1.6388369001540724</v>
      </c>
      <c r="R256" s="7">
        <f t="shared" si="47"/>
        <v>-1.2494923653218568</v>
      </c>
      <c r="S256" s="7">
        <f t="shared" si="48"/>
        <v>-0.5071843689943738</v>
      </c>
      <c r="T256" s="7">
        <f t="shared" si="49"/>
        <v>1.7662414132290645</v>
      </c>
      <c r="U256" s="7">
        <f t="shared" si="50"/>
        <v>-0.40731805531030957</v>
      </c>
    </row>
    <row r="257" spans="1:21" x14ac:dyDescent="0.25">
      <c r="A257" s="1" t="s">
        <v>1668</v>
      </c>
      <c r="B257" s="1" t="s">
        <v>36</v>
      </c>
      <c r="C257" s="1">
        <v>18</v>
      </c>
      <c r="D257" s="1">
        <v>17</v>
      </c>
      <c r="E257" s="1">
        <v>9</v>
      </c>
      <c r="F257" s="1">
        <v>15</v>
      </c>
      <c r="G257" s="1">
        <v>59</v>
      </c>
      <c r="H257" s="7">
        <v>0.51887452166277093</v>
      </c>
      <c r="I257" s="7">
        <f t="shared" si="51"/>
        <v>22.694936708860759</v>
      </c>
      <c r="J257" s="7">
        <f t="shared" si="39"/>
        <v>5.3055534129377486</v>
      </c>
      <c r="K257" s="7">
        <f t="shared" si="40"/>
        <v>22.140506329113926</v>
      </c>
      <c r="L257" s="7">
        <f t="shared" si="41"/>
        <v>4.9144008395218908</v>
      </c>
      <c r="M257" s="7">
        <f t="shared" si="42"/>
        <v>10.069620253164556</v>
      </c>
      <c r="N257" s="7">
        <f t="shared" si="43"/>
        <v>2.1089377326145904</v>
      </c>
      <c r="O257" s="7">
        <f t="shared" si="44"/>
        <v>10.958227848101266</v>
      </c>
      <c r="P257" s="7">
        <f t="shared" si="45"/>
        <v>2.2883463843764797</v>
      </c>
      <c r="Q257" s="7">
        <f t="shared" si="46"/>
        <v>-0.88490989411434762</v>
      </c>
      <c r="R257" s="7">
        <f t="shared" si="47"/>
        <v>-1.0460087601674006</v>
      </c>
      <c r="S257" s="7">
        <f t="shared" si="48"/>
        <v>-0.5071843689943738</v>
      </c>
      <c r="T257" s="7">
        <f t="shared" si="49"/>
        <v>1.7662414132290645</v>
      </c>
      <c r="U257" s="7">
        <f t="shared" si="50"/>
        <v>-0.16796540251176445</v>
      </c>
    </row>
    <row r="258" spans="1:21" x14ac:dyDescent="0.25">
      <c r="A258" s="1" t="s">
        <v>1668</v>
      </c>
      <c r="B258" s="1" t="s">
        <v>36</v>
      </c>
      <c r="C258" s="1">
        <v>16</v>
      </c>
      <c r="D258" s="1">
        <v>15</v>
      </c>
      <c r="E258" s="1">
        <v>9</v>
      </c>
      <c r="F258" s="1">
        <v>15</v>
      </c>
      <c r="G258" s="1">
        <v>55</v>
      </c>
      <c r="H258" s="7">
        <v>0.59914468951527811</v>
      </c>
      <c r="I258" s="7">
        <f t="shared" si="51"/>
        <v>22.694936708860759</v>
      </c>
      <c r="J258" s="7">
        <f t="shared" si="39"/>
        <v>5.3055534129377486</v>
      </c>
      <c r="K258" s="7">
        <f t="shared" si="40"/>
        <v>22.140506329113926</v>
      </c>
      <c r="L258" s="7">
        <f t="shared" si="41"/>
        <v>4.9144008395218908</v>
      </c>
      <c r="M258" s="7">
        <f t="shared" si="42"/>
        <v>10.069620253164556</v>
      </c>
      <c r="N258" s="7">
        <f t="shared" si="43"/>
        <v>2.1089377326145904</v>
      </c>
      <c r="O258" s="7">
        <f t="shared" si="44"/>
        <v>10.958227848101266</v>
      </c>
      <c r="P258" s="7">
        <f t="shared" si="45"/>
        <v>2.2883463843764797</v>
      </c>
      <c r="Q258" s="7">
        <f t="shared" si="46"/>
        <v>-1.26187339713421</v>
      </c>
      <c r="R258" s="7">
        <f t="shared" si="47"/>
        <v>-1.4529759704763128</v>
      </c>
      <c r="S258" s="7">
        <f t="shared" si="48"/>
        <v>-0.5071843689943738</v>
      </c>
      <c r="T258" s="7">
        <f t="shared" si="49"/>
        <v>1.7662414132290645</v>
      </c>
      <c r="U258" s="7">
        <f t="shared" si="50"/>
        <v>-0.36394808084395797</v>
      </c>
    </row>
    <row r="259" spans="1:21" x14ac:dyDescent="0.25">
      <c r="A259" s="1" t="s">
        <v>1668</v>
      </c>
      <c r="B259" s="1" t="s">
        <v>36</v>
      </c>
      <c r="C259" s="1">
        <v>14</v>
      </c>
      <c r="D259" s="1">
        <v>15</v>
      </c>
      <c r="E259" s="1">
        <v>6</v>
      </c>
      <c r="F259" s="1">
        <v>13</v>
      </c>
      <c r="G259" s="1">
        <v>48</v>
      </c>
      <c r="H259" s="7">
        <v>0.75106761619881079</v>
      </c>
      <c r="I259" s="7">
        <f t="shared" si="51"/>
        <v>22.694936708860759</v>
      </c>
      <c r="J259" s="7">
        <f t="shared" ref="J259:J322" si="52">_xlfn.STDEV.S(C:C)</f>
        <v>5.3055534129377486</v>
      </c>
      <c r="K259" s="7">
        <f t="shared" ref="K259:K322" si="53">AVERAGE(D:D)</f>
        <v>22.140506329113926</v>
      </c>
      <c r="L259" s="7">
        <f t="shared" ref="L259:L322" si="54">_xlfn.STDEV.S(D:D)</f>
        <v>4.9144008395218908</v>
      </c>
      <c r="M259" s="7">
        <f t="shared" ref="M259:M322" si="55">AVERAGE(E:E)</f>
        <v>10.069620253164556</v>
      </c>
      <c r="N259" s="7">
        <f t="shared" ref="N259:N322" si="56">_xlfn.STDEV.S(E:E)</f>
        <v>2.1089377326145904</v>
      </c>
      <c r="O259" s="7">
        <f t="shared" ref="O259:O322" si="57">AVERAGE(F:F)</f>
        <v>10.958227848101266</v>
      </c>
      <c r="P259" s="7">
        <f t="shared" ref="P259:P322" si="58">_xlfn.STDEV.S(F:F)</f>
        <v>2.2883463843764797</v>
      </c>
      <c r="Q259" s="7">
        <f t="shared" ref="Q259:Q322" si="59">STANDARDIZE(C259,I259,J259)</f>
        <v>-1.6388369001540724</v>
      </c>
      <c r="R259" s="7">
        <f t="shared" ref="R259:R322" si="60">STANDARDIZE(D259,K259,L259)</f>
        <v>-1.4529759704763128</v>
      </c>
      <c r="S259" s="7">
        <f t="shared" ref="S259:S322" si="61">STANDARDIZE(E259,M259,N259)</f>
        <v>-1.9297014749312573</v>
      </c>
      <c r="T259" s="7">
        <f t="shared" ref="T259:T322" si="62">STANDARDIZE(F259,O259,P259)</f>
        <v>0.89224785453757616</v>
      </c>
      <c r="U259" s="7">
        <f t="shared" ref="U259:U322" si="63">AVERAGE(Q259:T259)</f>
        <v>-1.0323166227560165</v>
      </c>
    </row>
    <row r="260" spans="1:21" x14ac:dyDescent="0.25">
      <c r="A260" s="1" t="s">
        <v>1668</v>
      </c>
      <c r="B260" s="1" t="s">
        <v>36</v>
      </c>
      <c r="C260" s="1">
        <v>18</v>
      </c>
      <c r="D260" s="1">
        <v>17</v>
      </c>
      <c r="E260" s="1">
        <v>9</v>
      </c>
      <c r="F260" s="1">
        <v>15</v>
      </c>
      <c r="G260" s="1">
        <v>59</v>
      </c>
      <c r="H260" s="7">
        <v>0.51887452166277093</v>
      </c>
      <c r="I260" s="7">
        <f t="shared" ref="I260:I323" si="64">AVERAGE(C:C)</f>
        <v>22.694936708860759</v>
      </c>
      <c r="J260" s="7">
        <f t="shared" si="52"/>
        <v>5.3055534129377486</v>
      </c>
      <c r="K260" s="7">
        <f t="shared" si="53"/>
        <v>22.140506329113926</v>
      </c>
      <c r="L260" s="7">
        <f t="shared" si="54"/>
        <v>4.9144008395218908</v>
      </c>
      <c r="M260" s="7">
        <f t="shared" si="55"/>
        <v>10.069620253164556</v>
      </c>
      <c r="N260" s="7">
        <f t="shared" si="56"/>
        <v>2.1089377326145904</v>
      </c>
      <c r="O260" s="7">
        <f t="shared" si="57"/>
        <v>10.958227848101266</v>
      </c>
      <c r="P260" s="7">
        <f t="shared" si="58"/>
        <v>2.2883463843764797</v>
      </c>
      <c r="Q260" s="7">
        <f t="shared" si="59"/>
        <v>-0.88490989411434762</v>
      </c>
      <c r="R260" s="7">
        <f t="shared" si="60"/>
        <v>-1.0460087601674006</v>
      </c>
      <c r="S260" s="7">
        <f t="shared" si="61"/>
        <v>-0.5071843689943738</v>
      </c>
      <c r="T260" s="7">
        <f t="shared" si="62"/>
        <v>1.7662414132290645</v>
      </c>
      <c r="U260" s="7">
        <f t="shared" si="63"/>
        <v>-0.16796540251176445</v>
      </c>
    </row>
    <row r="261" spans="1:21" x14ac:dyDescent="0.25">
      <c r="A261" s="1" t="s">
        <v>1663</v>
      </c>
      <c r="B261" s="1" t="s">
        <v>36</v>
      </c>
      <c r="C261" s="1">
        <v>24</v>
      </c>
      <c r="D261" s="1">
        <v>22</v>
      </c>
      <c r="E261" s="1">
        <v>10</v>
      </c>
      <c r="F261" s="1">
        <v>9</v>
      </c>
      <c r="G261" s="1">
        <v>65</v>
      </c>
      <c r="H261" s="7">
        <v>1.5275252316519465</v>
      </c>
      <c r="I261" s="7">
        <f t="shared" si="64"/>
        <v>22.694936708860759</v>
      </c>
      <c r="J261" s="7">
        <f t="shared" si="52"/>
        <v>5.3055534129377486</v>
      </c>
      <c r="K261" s="7">
        <f t="shared" si="53"/>
        <v>22.140506329113926</v>
      </c>
      <c r="L261" s="7">
        <f t="shared" si="54"/>
        <v>4.9144008395218908</v>
      </c>
      <c r="M261" s="7">
        <f t="shared" si="55"/>
        <v>10.069620253164556</v>
      </c>
      <c r="N261" s="7">
        <f t="shared" si="56"/>
        <v>2.1089377326145904</v>
      </c>
      <c r="O261" s="7">
        <f t="shared" si="57"/>
        <v>10.958227848101266</v>
      </c>
      <c r="P261" s="7">
        <f t="shared" si="58"/>
        <v>2.2883463843764797</v>
      </c>
      <c r="Q261" s="7">
        <f t="shared" si="59"/>
        <v>0.24598061494523943</v>
      </c>
      <c r="R261" s="7">
        <f t="shared" si="60"/>
        <v>-2.8590734395120113E-2</v>
      </c>
      <c r="S261" s="7">
        <f t="shared" si="61"/>
        <v>-3.3012000348745997E-2</v>
      </c>
      <c r="T261" s="7">
        <f t="shared" si="62"/>
        <v>-0.85573926284540058</v>
      </c>
      <c r="U261" s="7">
        <f t="shared" si="63"/>
        <v>-0.16784034566100681</v>
      </c>
    </row>
    <row r="262" spans="1:21" x14ac:dyDescent="0.25">
      <c r="A262" s="1" t="s">
        <v>1663</v>
      </c>
      <c r="B262" s="1" t="s">
        <v>36</v>
      </c>
      <c r="C262" s="1">
        <v>15</v>
      </c>
      <c r="D262" s="1">
        <v>21</v>
      </c>
      <c r="E262" s="1">
        <v>9</v>
      </c>
      <c r="F262" s="1">
        <v>6</v>
      </c>
      <c r="G262" s="1">
        <v>51</v>
      </c>
      <c r="H262" s="7">
        <v>1.6563785025137652</v>
      </c>
      <c r="I262" s="7">
        <f t="shared" si="64"/>
        <v>22.694936708860759</v>
      </c>
      <c r="J262" s="7">
        <f t="shared" si="52"/>
        <v>5.3055534129377486</v>
      </c>
      <c r="K262" s="7">
        <f t="shared" si="53"/>
        <v>22.140506329113926</v>
      </c>
      <c r="L262" s="7">
        <f t="shared" si="54"/>
        <v>4.9144008395218908</v>
      </c>
      <c r="M262" s="7">
        <f t="shared" si="55"/>
        <v>10.069620253164556</v>
      </c>
      <c r="N262" s="7">
        <f t="shared" si="56"/>
        <v>2.1089377326145904</v>
      </c>
      <c r="O262" s="7">
        <f t="shared" si="57"/>
        <v>10.958227848101266</v>
      </c>
      <c r="P262" s="7">
        <f t="shared" si="58"/>
        <v>2.2883463843764797</v>
      </c>
      <c r="Q262" s="7">
        <f t="shared" si="59"/>
        <v>-1.4503551486441411</v>
      </c>
      <c r="R262" s="7">
        <f t="shared" si="60"/>
        <v>-0.23207433954957621</v>
      </c>
      <c r="S262" s="7">
        <f t="shared" si="61"/>
        <v>-0.5071843689943738</v>
      </c>
      <c r="T262" s="7">
        <f t="shared" si="62"/>
        <v>-2.1667296008826331</v>
      </c>
      <c r="U262" s="7">
        <f t="shared" si="63"/>
        <v>-1.0890858645176809</v>
      </c>
    </row>
    <row r="263" spans="1:21" x14ac:dyDescent="0.25">
      <c r="A263" s="1" t="s">
        <v>1663</v>
      </c>
      <c r="B263" s="1" t="s">
        <v>36</v>
      </c>
      <c r="C263" s="1">
        <v>28</v>
      </c>
      <c r="D263" s="1">
        <v>26</v>
      </c>
      <c r="E263" s="1">
        <v>13</v>
      </c>
      <c r="F263" s="1">
        <v>11</v>
      </c>
      <c r="G263" s="1">
        <v>78</v>
      </c>
      <c r="H263" s="7">
        <v>1.9148542155126764</v>
      </c>
      <c r="I263" s="7">
        <f t="shared" si="64"/>
        <v>22.694936708860759</v>
      </c>
      <c r="J263" s="7">
        <f t="shared" si="52"/>
        <v>5.3055534129377486</v>
      </c>
      <c r="K263" s="7">
        <f t="shared" si="53"/>
        <v>22.140506329113926</v>
      </c>
      <c r="L263" s="7">
        <f t="shared" si="54"/>
        <v>4.9144008395218908</v>
      </c>
      <c r="M263" s="7">
        <f t="shared" si="55"/>
        <v>10.069620253164556</v>
      </c>
      <c r="N263" s="7">
        <f t="shared" si="56"/>
        <v>2.1089377326145904</v>
      </c>
      <c r="O263" s="7">
        <f t="shared" si="57"/>
        <v>10.958227848101266</v>
      </c>
      <c r="P263" s="7">
        <f t="shared" si="58"/>
        <v>2.2883463843764797</v>
      </c>
      <c r="Q263" s="7">
        <f t="shared" si="59"/>
        <v>0.99990762098496411</v>
      </c>
      <c r="R263" s="7">
        <f t="shared" si="60"/>
        <v>0.78534368622270434</v>
      </c>
      <c r="S263" s="7">
        <f t="shared" si="61"/>
        <v>1.3895051055881373</v>
      </c>
      <c r="T263" s="7">
        <f t="shared" si="62"/>
        <v>1.8254295846087756E-2</v>
      </c>
      <c r="U263" s="7">
        <f t="shared" si="63"/>
        <v>0.79825267716047343</v>
      </c>
    </row>
    <row r="264" spans="1:21" x14ac:dyDescent="0.25">
      <c r="A264" s="1" t="s">
        <v>1663</v>
      </c>
      <c r="B264" s="1" t="s">
        <v>36</v>
      </c>
      <c r="C264" s="1">
        <v>28</v>
      </c>
      <c r="D264" s="1">
        <v>28</v>
      </c>
      <c r="E264" s="1">
        <v>13</v>
      </c>
      <c r="F264" s="1">
        <v>11</v>
      </c>
      <c r="G264" s="1">
        <v>80</v>
      </c>
      <c r="H264" s="7">
        <v>1.908147174886057</v>
      </c>
      <c r="I264" s="7">
        <f t="shared" si="64"/>
        <v>22.694936708860759</v>
      </c>
      <c r="J264" s="7">
        <f t="shared" si="52"/>
        <v>5.3055534129377486</v>
      </c>
      <c r="K264" s="7">
        <f t="shared" si="53"/>
        <v>22.140506329113926</v>
      </c>
      <c r="L264" s="7">
        <f t="shared" si="54"/>
        <v>4.9144008395218908</v>
      </c>
      <c r="M264" s="7">
        <f t="shared" si="55"/>
        <v>10.069620253164556</v>
      </c>
      <c r="N264" s="7">
        <f t="shared" si="56"/>
        <v>2.1089377326145904</v>
      </c>
      <c r="O264" s="7">
        <f t="shared" si="57"/>
        <v>10.958227848101266</v>
      </c>
      <c r="P264" s="7">
        <f t="shared" si="58"/>
        <v>2.2883463843764797</v>
      </c>
      <c r="Q264" s="7">
        <f t="shared" si="59"/>
        <v>0.99990762098496411</v>
      </c>
      <c r="R264" s="7">
        <f t="shared" si="60"/>
        <v>1.1923108965316165</v>
      </c>
      <c r="S264" s="7">
        <f t="shared" si="61"/>
        <v>1.3895051055881373</v>
      </c>
      <c r="T264" s="7">
        <f t="shared" si="62"/>
        <v>1.8254295846087756E-2</v>
      </c>
      <c r="U264" s="7">
        <f t="shared" si="63"/>
        <v>0.89999447973770152</v>
      </c>
    </row>
    <row r="265" spans="1:21" x14ac:dyDescent="0.25">
      <c r="A265" s="1" t="s">
        <v>1663</v>
      </c>
      <c r="B265" s="1" t="s">
        <v>36</v>
      </c>
      <c r="C265" s="1">
        <v>28</v>
      </c>
      <c r="D265" s="1">
        <v>23</v>
      </c>
      <c r="E265" s="1">
        <v>12</v>
      </c>
      <c r="F265" s="1">
        <v>13</v>
      </c>
      <c r="G265" s="1">
        <v>76</v>
      </c>
      <c r="H265" s="7">
        <v>1.5191090506254998</v>
      </c>
      <c r="I265" s="7">
        <f t="shared" si="64"/>
        <v>22.694936708860759</v>
      </c>
      <c r="J265" s="7">
        <f t="shared" si="52"/>
        <v>5.3055534129377486</v>
      </c>
      <c r="K265" s="7">
        <f t="shared" si="53"/>
        <v>22.140506329113926</v>
      </c>
      <c r="L265" s="7">
        <f t="shared" si="54"/>
        <v>4.9144008395218908</v>
      </c>
      <c r="M265" s="7">
        <f t="shared" si="55"/>
        <v>10.069620253164556</v>
      </c>
      <c r="N265" s="7">
        <f t="shared" si="56"/>
        <v>2.1089377326145904</v>
      </c>
      <c r="O265" s="7">
        <f t="shared" si="57"/>
        <v>10.958227848101266</v>
      </c>
      <c r="P265" s="7">
        <f t="shared" si="58"/>
        <v>2.2883463843764797</v>
      </c>
      <c r="Q265" s="7">
        <f t="shared" si="59"/>
        <v>0.99990762098496411</v>
      </c>
      <c r="R265" s="7">
        <f t="shared" si="60"/>
        <v>0.17489287075933599</v>
      </c>
      <c r="S265" s="7">
        <f t="shared" si="61"/>
        <v>0.91533273694250961</v>
      </c>
      <c r="T265" s="7">
        <f t="shared" si="62"/>
        <v>0.89224785453757616</v>
      </c>
      <c r="U265" s="7">
        <f t="shared" si="63"/>
        <v>0.74559527080609644</v>
      </c>
    </row>
    <row r="266" spans="1:21" x14ac:dyDescent="0.25">
      <c r="A266" s="1" t="s">
        <v>1663</v>
      </c>
      <c r="B266" s="1" t="s">
        <v>36</v>
      </c>
      <c r="C266" s="1">
        <v>25</v>
      </c>
      <c r="D266" s="1">
        <v>25</v>
      </c>
      <c r="E266" s="1">
        <v>12</v>
      </c>
      <c r="F266" s="1">
        <v>10</v>
      </c>
      <c r="G266" s="1">
        <v>72</v>
      </c>
      <c r="H266" s="7">
        <v>1.6132464481796021</v>
      </c>
      <c r="I266" s="7">
        <f t="shared" si="64"/>
        <v>22.694936708860759</v>
      </c>
      <c r="J266" s="7">
        <f t="shared" si="52"/>
        <v>5.3055534129377486</v>
      </c>
      <c r="K266" s="7">
        <f t="shared" si="53"/>
        <v>22.140506329113926</v>
      </c>
      <c r="L266" s="7">
        <f t="shared" si="54"/>
        <v>4.9144008395218908</v>
      </c>
      <c r="M266" s="7">
        <f t="shared" si="55"/>
        <v>10.069620253164556</v>
      </c>
      <c r="N266" s="7">
        <f t="shared" si="56"/>
        <v>2.1089377326145904</v>
      </c>
      <c r="O266" s="7">
        <f t="shared" si="57"/>
        <v>10.958227848101266</v>
      </c>
      <c r="P266" s="7">
        <f t="shared" si="58"/>
        <v>2.2883463843764797</v>
      </c>
      <c r="Q266" s="7">
        <f t="shared" si="59"/>
        <v>0.43446236645517061</v>
      </c>
      <c r="R266" s="7">
        <f t="shared" si="60"/>
        <v>0.58186008106824816</v>
      </c>
      <c r="S266" s="7">
        <f t="shared" si="61"/>
        <v>0.91533273694250961</v>
      </c>
      <c r="T266" s="7">
        <f t="shared" si="62"/>
        <v>-0.41874248349965643</v>
      </c>
      <c r="U266" s="7">
        <f t="shared" si="63"/>
        <v>0.37822817524156799</v>
      </c>
    </row>
    <row r="267" spans="1:21" x14ac:dyDescent="0.25">
      <c r="A267" s="1" t="s">
        <v>1663</v>
      </c>
      <c r="B267" s="1" t="s">
        <v>36</v>
      </c>
      <c r="C267" s="1">
        <v>17</v>
      </c>
      <c r="D267" s="1">
        <v>25</v>
      </c>
      <c r="E267" s="1">
        <v>11</v>
      </c>
      <c r="F267" s="1">
        <v>10</v>
      </c>
      <c r="G267" s="1">
        <v>63</v>
      </c>
      <c r="H267" s="7">
        <v>1.6251232694862383</v>
      </c>
      <c r="I267" s="7">
        <f t="shared" si="64"/>
        <v>22.694936708860759</v>
      </c>
      <c r="J267" s="7">
        <f t="shared" si="52"/>
        <v>5.3055534129377486</v>
      </c>
      <c r="K267" s="7">
        <f t="shared" si="53"/>
        <v>22.140506329113926</v>
      </c>
      <c r="L267" s="7">
        <f t="shared" si="54"/>
        <v>4.9144008395218908</v>
      </c>
      <c r="M267" s="7">
        <f t="shared" si="55"/>
        <v>10.069620253164556</v>
      </c>
      <c r="N267" s="7">
        <f t="shared" si="56"/>
        <v>2.1089377326145904</v>
      </c>
      <c r="O267" s="7">
        <f t="shared" si="57"/>
        <v>10.958227848101266</v>
      </c>
      <c r="P267" s="7">
        <f t="shared" si="58"/>
        <v>2.2883463843764797</v>
      </c>
      <c r="Q267" s="7">
        <f t="shared" si="59"/>
        <v>-1.0733916456242787</v>
      </c>
      <c r="R267" s="7">
        <f t="shared" si="60"/>
        <v>0.58186008106824816</v>
      </c>
      <c r="S267" s="7">
        <f t="shared" si="61"/>
        <v>0.44116036829688182</v>
      </c>
      <c r="T267" s="7">
        <f t="shared" si="62"/>
        <v>-0.41874248349965643</v>
      </c>
      <c r="U267" s="7">
        <f t="shared" si="63"/>
        <v>-0.11727841993970128</v>
      </c>
    </row>
    <row r="268" spans="1:21" x14ac:dyDescent="0.25">
      <c r="A268" s="1" t="s">
        <v>1663</v>
      </c>
      <c r="B268" s="1" t="s">
        <v>36</v>
      </c>
      <c r="C268" s="1">
        <v>26</v>
      </c>
      <c r="D268" s="1">
        <v>22</v>
      </c>
      <c r="E268" s="1">
        <v>9</v>
      </c>
      <c r="F268" s="1">
        <v>11</v>
      </c>
      <c r="G268" s="1">
        <v>68</v>
      </c>
      <c r="H268" s="7">
        <v>1.5358952955766092</v>
      </c>
      <c r="I268" s="7">
        <f t="shared" si="64"/>
        <v>22.694936708860759</v>
      </c>
      <c r="J268" s="7">
        <f t="shared" si="52"/>
        <v>5.3055534129377486</v>
      </c>
      <c r="K268" s="7">
        <f t="shared" si="53"/>
        <v>22.140506329113926</v>
      </c>
      <c r="L268" s="7">
        <f t="shared" si="54"/>
        <v>4.9144008395218908</v>
      </c>
      <c r="M268" s="7">
        <f t="shared" si="55"/>
        <v>10.069620253164556</v>
      </c>
      <c r="N268" s="7">
        <f t="shared" si="56"/>
        <v>2.1089377326145904</v>
      </c>
      <c r="O268" s="7">
        <f t="shared" si="57"/>
        <v>10.958227848101266</v>
      </c>
      <c r="P268" s="7">
        <f t="shared" si="58"/>
        <v>2.2883463843764797</v>
      </c>
      <c r="Q268" s="7">
        <f t="shared" si="59"/>
        <v>0.62294411796510174</v>
      </c>
      <c r="R268" s="7">
        <f t="shared" si="60"/>
        <v>-2.8590734395120113E-2</v>
      </c>
      <c r="S268" s="7">
        <f t="shared" si="61"/>
        <v>-0.5071843689943738</v>
      </c>
      <c r="T268" s="7">
        <f t="shared" si="62"/>
        <v>1.8254295846087756E-2</v>
      </c>
      <c r="U268" s="7">
        <f t="shared" si="63"/>
        <v>2.6355827605423883E-2</v>
      </c>
    </row>
    <row r="269" spans="1:21" x14ac:dyDescent="0.25">
      <c r="A269" s="1" t="s">
        <v>1663</v>
      </c>
      <c r="B269" s="1" t="s">
        <v>36</v>
      </c>
      <c r="C269" s="1">
        <v>22</v>
      </c>
      <c r="D269" s="1">
        <v>26</v>
      </c>
      <c r="E269" s="1">
        <v>11</v>
      </c>
      <c r="F269" s="1">
        <v>8</v>
      </c>
      <c r="G269" s="1">
        <v>67</v>
      </c>
      <c r="H269" s="7">
        <v>2.0349510168614966</v>
      </c>
      <c r="I269" s="7">
        <f t="shared" si="64"/>
        <v>22.694936708860759</v>
      </c>
      <c r="J269" s="7">
        <f t="shared" si="52"/>
        <v>5.3055534129377486</v>
      </c>
      <c r="K269" s="7">
        <f t="shared" si="53"/>
        <v>22.140506329113926</v>
      </c>
      <c r="L269" s="7">
        <f t="shared" si="54"/>
        <v>4.9144008395218908</v>
      </c>
      <c r="M269" s="7">
        <f t="shared" si="55"/>
        <v>10.069620253164556</v>
      </c>
      <c r="N269" s="7">
        <f t="shared" si="56"/>
        <v>2.1089377326145904</v>
      </c>
      <c r="O269" s="7">
        <f t="shared" si="57"/>
        <v>10.958227848101266</v>
      </c>
      <c r="P269" s="7">
        <f t="shared" si="58"/>
        <v>2.2883463843764797</v>
      </c>
      <c r="Q269" s="7">
        <f t="shared" si="59"/>
        <v>-0.13098288807462291</v>
      </c>
      <c r="R269" s="7">
        <f t="shared" si="60"/>
        <v>0.78534368622270434</v>
      </c>
      <c r="S269" s="7">
        <f t="shared" si="61"/>
        <v>0.44116036829688182</v>
      </c>
      <c r="T269" s="7">
        <f t="shared" si="62"/>
        <v>-1.2927360421911447</v>
      </c>
      <c r="U269" s="7">
        <f t="shared" si="63"/>
        <v>-4.9303718936545338E-2</v>
      </c>
    </row>
    <row r="270" spans="1:21" x14ac:dyDescent="0.25">
      <c r="A270" s="1" t="s">
        <v>1663</v>
      </c>
      <c r="B270" s="1" t="s">
        <v>36</v>
      </c>
      <c r="C270" s="1">
        <v>29</v>
      </c>
      <c r="D270" s="1">
        <v>28</v>
      </c>
      <c r="E270" s="1">
        <v>12</v>
      </c>
      <c r="F270" s="1">
        <v>11</v>
      </c>
      <c r="G270" s="1">
        <v>80</v>
      </c>
      <c r="H270" s="7">
        <v>2.034951016861497</v>
      </c>
      <c r="I270" s="7">
        <f t="shared" si="64"/>
        <v>22.694936708860759</v>
      </c>
      <c r="J270" s="7">
        <f t="shared" si="52"/>
        <v>5.3055534129377486</v>
      </c>
      <c r="K270" s="7">
        <f t="shared" si="53"/>
        <v>22.140506329113926</v>
      </c>
      <c r="L270" s="7">
        <f t="shared" si="54"/>
        <v>4.9144008395218908</v>
      </c>
      <c r="M270" s="7">
        <f t="shared" si="55"/>
        <v>10.069620253164556</v>
      </c>
      <c r="N270" s="7">
        <f t="shared" si="56"/>
        <v>2.1089377326145904</v>
      </c>
      <c r="O270" s="7">
        <f t="shared" si="57"/>
        <v>10.958227848101266</v>
      </c>
      <c r="P270" s="7">
        <f t="shared" si="58"/>
        <v>2.2883463843764797</v>
      </c>
      <c r="Q270" s="7">
        <f t="shared" si="59"/>
        <v>1.1883893724948953</v>
      </c>
      <c r="R270" s="7">
        <f t="shared" si="60"/>
        <v>1.1923108965316165</v>
      </c>
      <c r="S270" s="7">
        <f t="shared" si="61"/>
        <v>0.91533273694250961</v>
      </c>
      <c r="T270" s="7">
        <f t="shared" si="62"/>
        <v>1.8254295846087756E-2</v>
      </c>
      <c r="U270" s="7">
        <f t="shared" si="63"/>
        <v>0.82857182545377728</v>
      </c>
    </row>
    <row r="271" spans="1:21" x14ac:dyDescent="0.25">
      <c r="A271" s="1" t="s">
        <v>1663</v>
      </c>
      <c r="B271" s="1" t="s">
        <v>36</v>
      </c>
      <c r="C271" s="1">
        <v>15</v>
      </c>
      <c r="D271" s="1">
        <v>15</v>
      </c>
      <c r="E271" s="1">
        <v>8</v>
      </c>
      <c r="F271" s="1">
        <v>9</v>
      </c>
      <c r="G271" s="1">
        <v>47</v>
      </c>
      <c r="H271" s="7">
        <v>0.96076892283052273</v>
      </c>
      <c r="I271" s="7">
        <f t="shared" si="64"/>
        <v>22.694936708860759</v>
      </c>
      <c r="J271" s="7">
        <f t="shared" si="52"/>
        <v>5.3055534129377486</v>
      </c>
      <c r="K271" s="7">
        <f t="shared" si="53"/>
        <v>22.140506329113926</v>
      </c>
      <c r="L271" s="7">
        <f t="shared" si="54"/>
        <v>4.9144008395218908</v>
      </c>
      <c r="M271" s="7">
        <f t="shared" si="55"/>
        <v>10.069620253164556</v>
      </c>
      <c r="N271" s="7">
        <f t="shared" si="56"/>
        <v>2.1089377326145904</v>
      </c>
      <c r="O271" s="7">
        <f t="shared" si="57"/>
        <v>10.958227848101266</v>
      </c>
      <c r="P271" s="7">
        <f t="shared" si="58"/>
        <v>2.2883463843764797</v>
      </c>
      <c r="Q271" s="7">
        <f t="shared" si="59"/>
        <v>-1.4503551486441411</v>
      </c>
      <c r="R271" s="7">
        <f t="shared" si="60"/>
        <v>-1.4529759704763128</v>
      </c>
      <c r="S271" s="7">
        <f t="shared" si="61"/>
        <v>-0.98135673764000164</v>
      </c>
      <c r="T271" s="7">
        <f t="shared" si="62"/>
        <v>-0.85573926284540058</v>
      </c>
      <c r="U271" s="7">
        <f t="shared" si="63"/>
        <v>-1.1851067799014638</v>
      </c>
    </row>
    <row r="272" spans="1:21" x14ac:dyDescent="0.25">
      <c r="A272" s="1" t="s">
        <v>1663</v>
      </c>
      <c r="B272" s="1" t="s">
        <v>36</v>
      </c>
      <c r="C272" s="1">
        <v>29</v>
      </c>
      <c r="D272" s="1">
        <v>27</v>
      </c>
      <c r="E272" s="1">
        <v>12</v>
      </c>
      <c r="F272" s="1">
        <v>13</v>
      </c>
      <c r="G272" s="1">
        <v>81</v>
      </c>
      <c r="H272" s="7">
        <v>1.739436985245808</v>
      </c>
      <c r="I272" s="7">
        <f t="shared" si="64"/>
        <v>22.694936708860759</v>
      </c>
      <c r="J272" s="7">
        <f t="shared" si="52"/>
        <v>5.3055534129377486</v>
      </c>
      <c r="K272" s="7">
        <f t="shared" si="53"/>
        <v>22.140506329113926</v>
      </c>
      <c r="L272" s="7">
        <f t="shared" si="54"/>
        <v>4.9144008395218908</v>
      </c>
      <c r="M272" s="7">
        <f t="shared" si="55"/>
        <v>10.069620253164556</v>
      </c>
      <c r="N272" s="7">
        <f t="shared" si="56"/>
        <v>2.1089377326145904</v>
      </c>
      <c r="O272" s="7">
        <f t="shared" si="57"/>
        <v>10.958227848101266</v>
      </c>
      <c r="P272" s="7">
        <f t="shared" si="58"/>
        <v>2.2883463843764797</v>
      </c>
      <c r="Q272" s="7">
        <f t="shared" si="59"/>
        <v>1.1883893724948953</v>
      </c>
      <c r="R272" s="7">
        <f t="shared" si="60"/>
        <v>0.98882729137716041</v>
      </c>
      <c r="S272" s="7">
        <f t="shared" si="61"/>
        <v>0.91533273694250961</v>
      </c>
      <c r="T272" s="7">
        <f t="shared" si="62"/>
        <v>0.89224785453757616</v>
      </c>
      <c r="U272" s="7">
        <f t="shared" si="63"/>
        <v>0.99619931383803528</v>
      </c>
    </row>
    <row r="273" spans="1:21" x14ac:dyDescent="0.25">
      <c r="A273" s="1" t="s">
        <v>1663</v>
      </c>
      <c r="B273" s="1" t="s">
        <v>36</v>
      </c>
      <c r="C273" s="1">
        <v>25</v>
      </c>
      <c r="D273" s="1">
        <v>22</v>
      </c>
      <c r="E273" s="1">
        <v>9</v>
      </c>
      <c r="F273" s="1">
        <v>11</v>
      </c>
      <c r="G273" s="1">
        <v>67</v>
      </c>
      <c r="H273" s="7">
        <v>1.6251232694862388</v>
      </c>
      <c r="I273" s="7">
        <f t="shared" si="64"/>
        <v>22.694936708860759</v>
      </c>
      <c r="J273" s="7">
        <f t="shared" si="52"/>
        <v>5.3055534129377486</v>
      </c>
      <c r="K273" s="7">
        <f t="shared" si="53"/>
        <v>22.140506329113926</v>
      </c>
      <c r="L273" s="7">
        <f t="shared" si="54"/>
        <v>4.9144008395218908</v>
      </c>
      <c r="M273" s="7">
        <f t="shared" si="55"/>
        <v>10.069620253164556</v>
      </c>
      <c r="N273" s="7">
        <f t="shared" si="56"/>
        <v>2.1089377326145904</v>
      </c>
      <c r="O273" s="7">
        <f t="shared" si="57"/>
        <v>10.958227848101266</v>
      </c>
      <c r="P273" s="7">
        <f t="shared" si="58"/>
        <v>2.2883463843764797</v>
      </c>
      <c r="Q273" s="7">
        <f t="shared" si="59"/>
        <v>0.43446236645517061</v>
      </c>
      <c r="R273" s="7">
        <f t="shared" si="60"/>
        <v>-2.8590734395120113E-2</v>
      </c>
      <c r="S273" s="7">
        <f t="shared" si="61"/>
        <v>-0.5071843689943738</v>
      </c>
      <c r="T273" s="7">
        <f t="shared" si="62"/>
        <v>1.8254295846087756E-2</v>
      </c>
      <c r="U273" s="7">
        <f t="shared" si="63"/>
        <v>-2.0764610272058885E-2</v>
      </c>
    </row>
    <row r="274" spans="1:21" x14ac:dyDescent="0.25">
      <c r="A274" s="1" t="s">
        <v>1663</v>
      </c>
      <c r="B274" s="1" t="s">
        <v>36</v>
      </c>
      <c r="C274" s="1">
        <v>29</v>
      </c>
      <c r="D274" s="1">
        <v>27</v>
      </c>
      <c r="E274" s="1">
        <v>13</v>
      </c>
      <c r="F274" s="1">
        <v>12</v>
      </c>
      <c r="G274" s="1">
        <v>81</v>
      </c>
      <c r="H274" s="7">
        <v>1.7867030229749126</v>
      </c>
      <c r="I274" s="7">
        <f t="shared" si="64"/>
        <v>22.694936708860759</v>
      </c>
      <c r="J274" s="7">
        <f t="shared" si="52"/>
        <v>5.3055534129377486</v>
      </c>
      <c r="K274" s="7">
        <f t="shared" si="53"/>
        <v>22.140506329113926</v>
      </c>
      <c r="L274" s="7">
        <f t="shared" si="54"/>
        <v>4.9144008395218908</v>
      </c>
      <c r="M274" s="7">
        <f t="shared" si="55"/>
        <v>10.069620253164556</v>
      </c>
      <c r="N274" s="7">
        <f t="shared" si="56"/>
        <v>2.1089377326145904</v>
      </c>
      <c r="O274" s="7">
        <f t="shared" si="57"/>
        <v>10.958227848101266</v>
      </c>
      <c r="P274" s="7">
        <f t="shared" si="58"/>
        <v>2.2883463843764797</v>
      </c>
      <c r="Q274" s="7">
        <f t="shared" si="59"/>
        <v>1.1883893724948953</v>
      </c>
      <c r="R274" s="7">
        <f t="shared" si="60"/>
        <v>0.98882729137716041</v>
      </c>
      <c r="S274" s="7">
        <f t="shared" si="61"/>
        <v>1.3895051055881373</v>
      </c>
      <c r="T274" s="7">
        <f t="shared" si="62"/>
        <v>0.45525107519183194</v>
      </c>
      <c r="U274" s="7">
        <f t="shared" si="63"/>
        <v>1.0054932111630062</v>
      </c>
    </row>
    <row r="275" spans="1:21" x14ac:dyDescent="0.25">
      <c r="A275" s="1" t="s">
        <v>1663</v>
      </c>
      <c r="B275" s="1" t="s">
        <v>36</v>
      </c>
      <c r="C275" s="1">
        <v>19</v>
      </c>
      <c r="D275" s="1">
        <v>22</v>
      </c>
      <c r="E275" s="1">
        <v>9</v>
      </c>
      <c r="F275" s="1">
        <v>7</v>
      </c>
      <c r="G275" s="1">
        <v>57</v>
      </c>
      <c r="H275" s="7">
        <v>1.7577666482623882</v>
      </c>
      <c r="I275" s="7">
        <f t="shared" si="64"/>
        <v>22.694936708860759</v>
      </c>
      <c r="J275" s="7">
        <f t="shared" si="52"/>
        <v>5.3055534129377486</v>
      </c>
      <c r="K275" s="7">
        <f t="shared" si="53"/>
        <v>22.140506329113926</v>
      </c>
      <c r="L275" s="7">
        <f t="shared" si="54"/>
        <v>4.9144008395218908</v>
      </c>
      <c r="M275" s="7">
        <f t="shared" si="55"/>
        <v>10.069620253164556</v>
      </c>
      <c r="N275" s="7">
        <f t="shared" si="56"/>
        <v>2.1089377326145904</v>
      </c>
      <c r="O275" s="7">
        <f t="shared" si="57"/>
        <v>10.958227848101266</v>
      </c>
      <c r="P275" s="7">
        <f t="shared" si="58"/>
        <v>2.2883463843764797</v>
      </c>
      <c r="Q275" s="7">
        <f t="shared" si="59"/>
        <v>-0.69642814260441643</v>
      </c>
      <c r="R275" s="7">
        <f t="shared" si="60"/>
        <v>-2.8590734395120113E-2</v>
      </c>
      <c r="S275" s="7">
        <f t="shared" si="61"/>
        <v>-0.5071843689943738</v>
      </c>
      <c r="T275" s="7">
        <f t="shared" si="62"/>
        <v>-1.729732821536889</v>
      </c>
      <c r="U275" s="7">
        <f t="shared" si="63"/>
        <v>-0.74048401688269982</v>
      </c>
    </row>
    <row r="276" spans="1:21" x14ac:dyDescent="0.25">
      <c r="A276" s="1" t="s">
        <v>1663</v>
      </c>
      <c r="B276" s="1" t="s">
        <v>36</v>
      </c>
      <c r="C276" s="1">
        <v>30</v>
      </c>
      <c r="D276" s="1">
        <v>28</v>
      </c>
      <c r="E276" s="1">
        <v>12</v>
      </c>
      <c r="F276" s="1">
        <v>10</v>
      </c>
      <c r="G276" s="1">
        <v>80</v>
      </c>
      <c r="H276" s="7">
        <v>2.0754980866510833</v>
      </c>
      <c r="I276" s="7">
        <f t="shared" si="64"/>
        <v>22.694936708860759</v>
      </c>
      <c r="J276" s="7">
        <f t="shared" si="52"/>
        <v>5.3055534129377486</v>
      </c>
      <c r="K276" s="7">
        <f t="shared" si="53"/>
        <v>22.140506329113926</v>
      </c>
      <c r="L276" s="7">
        <f t="shared" si="54"/>
        <v>4.9144008395218908</v>
      </c>
      <c r="M276" s="7">
        <f t="shared" si="55"/>
        <v>10.069620253164556</v>
      </c>
      <c r="N276" s="7">
        <f t="shared" si="56"/>
        <v>2.1089377326145904</v>
      </c>
      <c r="O276" s="7">
        <f t="shared" si="57"/>
        <v>10.958227848101266</v>
      </c>
      <c r="P276" s="7">
        <f t="shared" si="58"/>
        <v>2.2883463843764797</v>
      </c>
      <c r="Q276" s="7">
        <f t="shared" si="59"/>
        <v>1.3768711240048266</v>
      </c>
      <c r="R276" s="7">
        <f t="shared" si="60"/>
        <v>1.1923108965316165</v>
      </c>
      <c r="S276" s="7">
        <f t="shared" si="61"/>
        <v>0.91533273694250961</v>
      </c>
      <c r="T276" s="7">
        <f t="shared" si="62"/>
        <v>-0.41874248349965643</v>
      </c>
      <c r="U276" s="7">
        <f t="shared" si="63"/>
        <v>0.76644306849482413</v>
      </c>
    </row>
    <row r="277" spans="1:21" x14ac:dyDescent="0.25">
      <c r="A277" s="1" t="s">
        <v>1663</v>
      </c>
      <c r="B277" s="1" t="s">
        <v>36</v>
      </c>
      <c r="C277" s="1">
        <v>29</v>
      </c>
      <c r="D277" s="1">
        <v>28</v>
      </c>
      <c r="E277" s="1">
        <v>13</v>
      </c>
      <c r="F277" s="1">
        <v>11</v>
      </c>
      <c r="G277" s="1">
        <v>81</v>
      </c>
      <c r="H277" s="7">
        <v>1.9644272343292228</v>
      </c>
      <c r="I277" s="7">
        <f t="shared" si="64"/>
        <v>22.694936708860759</v>
      </c>
      <c r="J277" s="7">
        <f t="shared" si="52"/>
        <v>5.3055534129377486</v>
      </c>
      <c r="K277" s="7">
        <f t="shared" si="53"/>
        <v>22.140506329113926</v>
      </c>
      <c r="L277" s="7">
        <f t="shared" si="54"/>
        <v>4.9144008395218908</v>
      </c>
      <c r="M277" s="7">
        <f t="shared" si="55"/>
        <v>10.069620253164556</v>
      </c>
      <c r="N277" s="7">
        <f t="shared" si="56"/>
        <v>2.1089377326145904</v>
      </c>
      <c r="O277" s="7">
        <f t="shared" si="57"/>
        <v>10.958227848101266</v>
      </c>
      <c r="P277" s="7">
        <f t="shared" si="58"/>
        <v>2.2883463843764797</v>
      </c>
      <c r="Q277" s="7">
        <f t="shared" si="59"/>
        <v>1.1883893724948953</v>
      </c>
      <c r="R277" s="7">
        <f t="shared" si="60"/>
        <v>1.1923108965316165</v>
      </c>
      <c r="S277" s="7">
        <f t="shared" si="61"/>
        <v>1.3895051055881373</v>
      </c>
      <c r="T277" s="7">
        <f t="shared" si="62"/>
        <v>1.8254295846087756E-2</v>
      </c>
      <c r="U277" s="7">
        <f t="shared" si="63"/>
        <v>0.94711491761518429</v>
      </c>
    </row>
    <row r="278" spans="1:21" x14ac:dyDescent="0.25">
      <c r="A278" s="1" t="s">
        <v>1663</v>
      </c>
      <c r="B278" s="1" t="s">
        <v>36</v>
      </c>
      <c r="C278" s="1">
        <v>24</v>
      </c>
      <c r="D278" s="1">
        <v>24</v>
      </c>
      <c r="E278" s="1">
        <v>10</v>
      </c>
      <c r="F278" s="1">
        <v>10</v>
      </c>
      <c r="G278" s="1">
        <v>68</v>
      </c>
      <c r="H278" s="7">
        <v>1.5892265495016835</v>
      </c>
      <c r="I278" s="7">
        <f t="shared" si="64"/>
        <v>22.694936708860759</v>
      </c>
      <c r="J278" s="7">
        <f t="shared" si="52"/>
        <v>5.3055534129377486</v>
      </c>
      <c r="K278" s="7">
        <f t="shared" si="53"/>
        <v>22.140506329113926</v>
      </c>
      <c r="L278" s="7">
        <f t="shared" si="54"/>
        <v>4.9144008395218908</v>
      </c>
      <c r="M278" s="7">
        <f t="shared" si="55"/>
        <v>10.069620253164556</v>
      </c>
      <c r="N278" s="7">
        <f t="shared" si="56"/>
        <v>2.1089377326145904</v>
      </c>
      <c r="O278" s="7">
        <f t="shared" si="57"/>
        <v>10.958227848101266</v>
      </c>
      <c r="P278" s="7">
        <f t="shared" si="58"/>
        <v>2.2883463843764797</v>
      </c>
      <c r="Q278" s="7">
        <f t="shared" si="59"/>
        <v>0.24598061494523943</v>
      </c>
      <c r="R278" s="7">
        <f t="shared" si="60"/>
        <v>0.37837647591379209</v>
      </c>
      <c r="S278" s="7">
        <f t="shared" si="61"/>
        <v>-3.3012000348745997E-2</v>
      </c>
      <c r="T278" s="7">
        <f t="shared" si="62"/>
        <v>-0.41874248349965643</v>
      </c>
      <c r="U278" s="7">
        <f t="shared" si="63"/>
        <v>4.3150651752657268E-2</v>
      </c>
    </row>
    <row r="279" spans="1:21" x14ac:dyDescent="0.25">
      <c r="A279" s="1" t="s">
        <v>1663</v>
      </c>
      <c r="B279" s="1" t="s">
        <v>36</v>
      </c>
      <c r="C279" s="1">
        <v>29</v>
      </c>
      <c r="D279" s="1">
        <v>26</v>
      </c>
      <c r="E279" s="1">
        <v>12</v>
      </c>
      <c r="F279" s="1">
        <v>13</v>
      </c>
      <c r="G279" s="1">
        <v>80</v>
      </c>
      <c r="H279" s="7">
        <v>1.6756169931378437</v>
      </c>
      <c r="I279" s="7">
        <f t="shared" si="64"/>
        <v>22.694936708860759</v>
      </c>
      <c r="J279" s="7">
        <f t="shared" si="52"/>
        <v>5.3055534129377486</v>
      </c>
      <c r="K279" s="7">
        <f t="shared" si="53"/>
        <v>22.140506329113926</v>
      </c>
      <c r="L279" s="7">
        <f t="shared" si="54"/>
        <v>4.9144008395218908</v>
      </c>
      <c r="M279" s="7">
        <f t="shared" si="55"/>
        <v>10.069620253164556</v>
      </c>
      <c r="N279" s="7">
        <f t="shared" si="56"/>
        <v>2.1089377326145904</v>
      </c>
      <c r="O279" s="7">
        <f t="shared" si="57"/>
        <v>10.958227848101266</v>
      </c>
      <c r="P279" s="7">
        <f t="shared" si="58"/>
        <v>2.2883463843764797</v>
      </c>
      <c r="Q279" s="7">
        <f t="shared" si="59"/>
        <v>1.1883893724948953</v>
      </c>
      <c r="R279" s="7">
        <f t="shared" si="60"/>
        <v>0.78534368622270434</v>
      </c>
      <c r="S279" s="7">
        <f t="shared" si="61"/>
        <v>0.91533273694250961</v>
      </c>
      <c r="T279" s="7">
        <f t="shared" si="62"/>
        <v>0.89224785453757616</v>
      </c>
      <c r="U279" s="7">
        <f t="shared" si="63"/>
        <v>0.94532841254942135</v>
      </c>
    </row>
    <row r="280" spans="1:21" x14ac:dyDescent="0.25">
      <c r="A280" s="1" t="s">
        <v>1663</v>
      </c>
      <c r="B280" s="1" t="s">
        <v>36</v>
      </c>
      <c r="C280" s="1">
        <v>23</v>
      </c>
      <c r="D280" s="1">
        <v>24</v>
      </c>
      <c r="E280" s="1">
        <v>11</v>
      </c>
      <c r="F280" s="1">
        <v>10</v>
      </c>
      <c r="G280" s="1">
        <v>68</v>
      </c>
      <c r="H280" s="7">
        <v>1.739436985245808</v>
      </c>
      <c r="I280" s="7">
        <f t="shared" si="64"/>
        <v>22.694936708860759</v>
      </c>
      <c r="J280" s="7">
        <f t="shared" si="52"/>
        <v>5.3055534129377486</v>
      </c>
      <c r="K280" s="7">
        <f t="shared" si="53"/>
        <v>22.140506329113926</v>
      </c>
      <c r="L280" s="7">
        <f t="shared" si="54"/>
        <v>4.9144008395218908</v>
      </c>
      <c r="M280" s="7">
        <f t="shared" si="55"/>
        <v>10.069620253164556</v>
      </c>
      <c r="N280" s="7">
        <f t="shared" si="56"/>
        <v>2.1089377326145904</v>
      </c>
      <c r="O280" s="7">
        <f t="shared" si="57"/>
        <v>10.958227848101266</v>
      </c>
      <c r="P280" s="7">
        <f t="shared" si="58"/>
        <v>2.2883463843764797</v>
      </c>
      <c r="Q280" s="7">
        <f t="shared" si="59"/>
        <v>5.7498863435308259E-2</v>
      </c>
      <c r="R280" s="7">
        <f t="shared" si="60"/>
        <v>0.37837647591379209</v>
      </c>
      <c r="S280" s="7">
        <f t="shared" si="61"/>
        <v>0.44116036829688182</v>
      </c>
      <c r="T280" s="7">
        <f t="shared" si="62"/>
        <v>-0.41874248349965643</v>
      </c>
      <c r="U280" s="7">
        <f t="shared" si="63"/>
        <v>0.11457330603658143</v>
      </c>
    </row>
    <row r="281" spans="1:21" x14ac:dyDescent="0.25">
      <c r="A281" s="1" t="s">
        <v>1663</v>
      </c>
      <c r="B281" s="1" t="s">
        <v>36</v>
      </c>
      <c r="C281" s="1">
        <v>29</v>
      </c>
      <c r="D281" s="1">
        <v>29</v>
      </c>
      <c r="E281" s="1">
        <v>13</v>
      </c>
      <c r="F281" s="1">
        <v>13</v>
      </c>
      <c r="G281" s="1">
        <v>84</v>
      </c>
      <c r="H281" s="7">
        <v>1.7614096918559583</v>
      </c>
      <c r="I281" s="7">
        <f t="shared" si="64"/>
        <v>22.694936708860759</v>
      </c>
      <c r="J281" s="7">
        <f t="shared" si="52"/>
        <v>5.3055534129377486</v>
      </c>
      <c r="K281" s="7">
        <f t="shared" si="53"/>
        <v>22.140506329113926</v>
      </c>
      <c r="L281" s="7">
        <f t="shared" si="54"/>
        <v>4.9144008395218908</v>
      </c>
      <c r="M281" s="7">
        <f t="shared" si="55"/>
        <v>10.069620253164556</v>
      </c>
      <c r="N281" s="7">
        <f t="shared" si="56"/>
        <v>2.1089377326145904</v>
      </c>
      <c r="O281" s="7">
        <f t="shared" si="57"/>
        <v>10.958227848101266</v>
      </c>
      <c r="P281" s="7">
        <f t="shared" si="58"/>
        <v>2.2883463843764797</v>
      </c>
      <c r="Q281" s="7">
        <f t="shared" si="59"/>
        <v>1.1883893724948953</v>
      </c>
      <c r="R281" s="7">
        <f t="shared" si="60"/>
        <v>1.3957945016860727</v>
      </c>
      <c r="S281" s="7">
        <f t="shared" si="61"/>
        <v>1.3895051055881373</v>
      </c>
      <c r="T281" s="7">
        <f t="shared" si="62"/>
        <v>0.89224785453757616</v>
      </c>
      <c r="U281" s="7">
        <f t="shared" si="63"/>
        <v>1.2164842085766703</v>
      </c>
    </row>
    <row r="282" spans="1:21" x14ac:dyDescent="0.25">
      <c r="A282" s="1" t="s">
        <v>1663</v>
      </c>
      <c r="B282" s="1" t="s">
        <v>36</v>
      </c>
      <c r="C282" s="1">
        <v>28</v>
      </c>
      <c r="D282" s="1">
        <v>28</v>
      </c>
      <c r="E282" s="1">
        <v>12</v>
      </c>
      <c r="F282" s="1">
        <v>13</v>
      </c>
      <c r="G282" s="1">
        <v>81</v>
      </c>
      <c r="H282" s="7">
        <v>1.5892265495016829</v>
      </c>
      <c r="I282" s="7">
        <f t="shared" si="64"/>
        <v>22.694936708860759</v>
      </c>
      <c r="J282" s="7">
        <f t="shared" si="52"/>
        <v>5.3055534129377486</v>
      </c>
      <c r="K282" s="7">
        <f t="shared" si="53"/>
        <v>22.140506329113926</v>
      </c>
      <c r="L282" s="7">
        <f t="shared" si="54"/>
        <v>4.9144008395218908</v>
      </c>
      <c r="M282" s="7">
        <f t="shared" si="55"/>
        <v>10.069620253164556</v>
      </c>
      <c r="N282" s="7">
        <f t="shared" si="56"/>
        <v>2.1089377326145904</v>
      </c>
      <c r="O282" s="7">
        <f t="shared" si="57"/>
        <v>10.958227848101266</v>
      </c>
      <c r="P282" s="7">
        <f t="shared" si="58"/>
        <v>2.2883463843764797</v>
      </c>
      <c r="Q282" s="7">
        <f t="shared" si="59"/>
        <v>0.99990762098496411</v>
      </c>
      <c r="R282" s="7">
        <f t="shared" si="60"/>
        <v>1.1923108965316165</v>
      </c>
      <c r="S282" s="7">
        <f t="shared" si="61"/>
        <v>0.91533273694250961</v>
      </c>
      <c r="T282" s="7">
        <f t="shared" si="62"/>
        <v>0.89224785453757616</v>
      </c>
      <c r="U282" s="7">
        <f t="shared" si="63"/>
        <v>0.99994977724916656</v>
      </c>
    </row>
    <row r="283" spans="1:21" x14ac:dyDescent="0.25">
      <c r="A283" s="1" t="s">
        <v>1663</v>
      </c>
      <c r="B283" s="1" t="s">
        <v>36</v>
      </c>
      <c r="C283" s="1">
        <v>25</v>
      </c>
      <c r="D283" s="1">
        <v>24</v>
      </c>
      <c r="E283" s="1">
        <v>11</v>
      </c>
      <c r="F283" s="1">
        <v>10</v>
      </c>
      <c r="G283" s="1">
        <v>70</v>
      </c>
      <c r="H283" s="7">
        <v>1.7097008285302209</v>
      </c>
      <c r="I283" s="7">
        <f t="shared" si="64"/>
        <v>22.694936708860759</v>
      </c>
      <c r="J283" s="7">
        <f t="shared" si="52"/>
        <v>5.3055534129377486</v>
      </c>
      <c r="K283" s="7">
        <f t="shared" si="53"/>
        <v>22.140506329113926</v>
      </c>
      <c r="L283" s="7">
        <f t="shared" si="54"/>
        <v>4.9144008395218908</v>
      </c>
      <c r="M283" s="7">
        <f t="shared" si="55"/>
        <v>10.069620253164556</v>
      </c>
      <c r="N283" s="7">
        <f t="shared" si="56"/>
        <v>2.1089377326145904</v>
      </c>
      <c r="O283" s="7">
        <f t="shared" si="57"/>
        <v>10.958227848101266</v>
      </c>
      <c r="P283" s="7">
        <f t="shared" si="58"/>
        <v>2.2883463843764797</v>
      </c>
      <c r="Q283" s="7">
        <f t="shared" si="59"/>
        <v>0.43446236645517061</v>
      </c>
      <c r="R283" s="7">
        <f t="shared" si="60"/>
        <v>0.37837647591379209</v>
      </c>
      <c r="S283" s="7">
        <f t="shared" si="61"/>
        <v>0.44116036829688182</v>
      </c>
      <c r="T283" s="7">
        <f t="shared" si="62"/>
        <v>-0.41874248349965643</v>
      </c>
      <c r="U283" s="7">
        <f t="shared" si="63"/>
        <v>0.20881418179154704</v>
      </c>
    </row>
    <row r="284" spans="1:21" x14ac:dyDescent="0.25">
      <c r="A284" s="1" t="s">
        <v>1663</v>
      </c>
      <c r="B284" s="1" t="s">
        <v>36</v>
      </c>
      <c r="C284" s="1">
        <v>24</v>
      </c>
      <c r="D284" s="1">
        <v>26</v>
      </c>
      <c r="E284" s="1">
        <v>13</v>
      </c>
      <c r="F284" s="1">
        <v>10</v>
      </c>
      <c r="G284" s="1">
        <v>73</v>
      </c>
      <c r="H284" s="7">
        <v>1.8501559185854912</v>
      </c>
      <c r="I284" s="7">
        <f t="shared" si="64"/>
        <v>22.694936708860759</v>
      </c>
      <c r="J284" s="7">
        <f t="shared" si="52"/>
        <v>5.3055534129377486</v>
      </c>
      <c r="K284" s="7">
        <f t="shared" si="53"/>
        <v>22.140506329113926</v>
      </c>
      <c r="L284" s="7">
        <f t="shared" si="54"/>
        <v>4.9144008395218908</v>
      </c>
      <c r="M284" s="7">
        <f t="shared" si="55"/>
        <v>10.069620253164556</v>
      </c>
      <c r="N284" s="7">
        <f t="shared" si="56"/>
        <v>2.1089377326145904</v>
      </c>
      <c r="O284" s="7">
        <f t="shared" si="57"/>
        <v>10.958227848101266</v>
      </c>
      <c r="P284" s="7">
        <f t="shared" si="58"/>
        <v>2.2883463843764797</v>
      </c>
      <c r="Q284" s="7">
        <f t="shared" si="59"/>
        <v>0.24598061494523943</v>
      </c>
      <c r="R284" s="7">
        <f t="shared" si="60"/>
        <v>0.78534368622270434</v>
      </c>
      <c r="S284" s="7">
        <f t="shared" si="61"/>
        <v>1.3895051055881373</v>
      </c>
      <c r="T284" s="7">
        <f t="shared" si="62"/>
        <v>-0.41874248349965643</v>
      </c>
      <c r="U284" s="7">
        <f t="shared" si="63"/>
        <v>0.50052173081410622</v>
      </c>
    </row>
    <row r="285" spans="1:21" x14ac:dyDescent="0.25">
      <c r="A285" s="1" t="s">
        <v>1663</v>
      </c>
      <c r="B285" s="1" t="s">
        <v>36</v>
      </c>
      <c r="C285" s="1">
        <v>23</v>
      </c>
      <c r="D285" s="1">
        <v>27</v>
      </c>
      <c r="E285" s="1">
        <v>10</v>
      </c>
      <c r="F285" s="1">
        <v>11</v>
      </c>
      <c r="G285" s="1">
        <v>71</v>
      </c>
      <c r="H285" s="7">
        <v>1.983909634004895</v>
      </c>
      <c r="I285" s="7">
        <f t="shared" si="64"/>
        <v>22.694936708860759</v>
      </c>
      <c r="J285" s="7">
        <f t="shared" si="52"/>
        <v>5.3055534129377486</v>
      </c>
      <c r="K285" s="7">
        <f t="shared" si="53"/>
        <v>22.140506329113926</v>
      </c>
      <c r="L285" s="7">
        <f t="shared" si="54"/>
        <v>4.9144008395218908</v>
      </c>
      <c r="M285" s="7">
        <f t="shared" si="55"/>
        <v>10.069620253164556</v>
      </c>
      <c r="N285" s="7">
        <f t="shared" si="56"/>
        <v>2.1089377326145904</v>
      </c>
      <c r="O285" s="7">
        <f t="shared" si="57"/>
        <v>10.958227848101266</v>
      </c>
      <c r="P285" s="7">
        <f t="shared" si="58"/>
        <v>2.2883463843764797</v>
      </c>
      <c r="Q285" s="7">
        <f t="shared" si="59"/>
        <v>5.7498863435308259E-2</v>
      </c>
      <c r="R285" s="7">
        <f t="shared" si="60"/>
        <v>0.98882729137716041</v>
      </c>
      <c r="S285" s="7">
        <f t="shared" si="61"/>
        <v>-3.3012000348745997E-2</v>
      </c>
      <c r="T285" s="7">
        <f t="shared" si="62"/>
        <v>1.8254295846087756E-2</v>
      </c>
      <c r="U285" s="7">
        <f t="shared" si="63"/>
        <v>0.25789211257745265</v>
      </c>
    </row>
    <row r="286" spans="1:21" x14ac:dyDescent="0.25">
      <c r="A286" s="1" t="s">
        <v>1663</v>
      </c>
      <c r="B286" s="1" t="s">
        <v>36</v>
      </c>
      <c r="C286" s="1">
        <v>23</v>
      </c>
      <c r="D286" s="1">
        <v>23</v>
      </c>
      <c r="E286" s="1">
        <v>11</v>
      </c>
      <c r="F286" s="1">
        <v>10</v>
      </c>
      <c r="G286" s="1">
        <v>67</v>
      </c>
      <c r="H286" s="7">
        <v>1.6756169931378437</v>
      </c>
      <c r="I286" s="7">
        <f t="shared" si="64"/>
        <v>22.694936708860759</v>
      </c>
      <c r="J286" s="7">
        <f t="shared" si="52"/>
        <v>5.3055534129377486</v>
      </c>
      <c r="K286" s="7">
        <f t="shared" si="53"/>
        <v>22.140506329113926</v>
      </c>
      <c r="L286" s="7">
        <f t="shared" si="54"/>
        <v>4.9144008395218908</v>
      </c>
      <c r="M286" s="7">
        <f t="shared" si="55"/>
        <v>10.069620253164556</v>
      </c>
      <c r="N286" s="7">
        <f t="shared" si="56"/>
        <v>2.1089377326145904</v>
      </c>
      <c r="O286" s="7">
        <f t="shared" si="57"/>
        <v>10.958227848101266</v>
      </c>
      <c r="P286" s="7">
        <f t="shared" si="58"/>
        <v>2.2883463843764797</v>
      </c>
      <c r="Q286" s="7">
        <f t="shared" si="59"/>
        <v>5.7498863435308259E-2</v>
      </c>
      <c r="R286" s="7">
        <f t="shared" si="60"/>
        <v>0.17489287075933599</v>
      </c>
      <c r="S286" s="7">
        <f t="shared" si="61"/>
        <v>0.44116036829688182</v>
      </c>
      <c r="T286" s="7">
        <f t="shared" si="62"/>
        <v>-0.41874248349965643</v>
      </c>
      <c r="U286" s="7">
        <f t="shared" si="63"/>
        <v>6.3702404747967414E-2</v>
      </c>
    </row>
    <row r="287" spans="1:21" x14ac:dyDescent="0.25">
      <c r="A287" s="1" t="s">
        <v>1663</v>
      </c>
      <c r="B287" s="1" t="s">
        <v>36</v>
      </c>
      <c r="C287" s="1">
        <v>23</v>
      </c>
      <c r="D287" s="1">
        <v>26</v>
      </c>
      <c r="E287" s="1">
        <v>11</v>
      </c>
      <c r="F287" s="1">
        <v>9</v>
      </c>
      <c r="G287" s="1">
        <v>69</v>
      </c>
      <c r="H287" s="7">
        <v>2.1363760352762253</v>
      </c>
      <c r="I287" s="7">
        <f t="shared" si="64"/>
        <v>22.694936708860759</v>
      </c>
      <c r="J287" s="7">
        <f t="shared" si="52"/>
        <v>5.3055534129377486</v>
      </c>
      <c r="K287" s="7">
        <f t="shared" si="53"/>
        <v>22.140506329113926</v>
      </c>
      <c r="L287" s="7">
        <f t="shared" si="54"/>
        <v>4.9144008395218908</v>
      </c>
      <c r="M287" s="7">
        <f t="shared" si="55"/>
        <v>10.069620253164556</v>
      </c>
      <c r="N287" s="7">
        <f t="shared" si="56"/>
        <v>2.1089377326145904</v>
      </c>
      <c r="O287" s="7">
        <f t="shared" si="57"/>
        <v>10.958227848101266</v>
      </c>
      <c r="P287" s="7">
        <f t="shared" si="58"/>
        <v>2.2883463843764797</v>
      </c>
      <c r="Q287" s="7">
        <f t="shared" si="59"/>
        <v>5.7498863435308259E-2</v>
      </c>
      <c r="R287" s="7">
        <f t="shared" si="60"/>
        <v>0.78534368622270434</v>
      </c>
      <c r="S287" s="7">
        <f t="shared" si="61"/>
        <v>0.44116036829688182</v>
      </c>
      <c r="T287" s="7">
        <f t="shared" si="62"/>
        <v>-0.85573926284540058</v>
      </c>
      <c r="U287" s="7">
        <f t="shared" si="63"/>
        <v>0.10706591377737346</v>
      </c>
    </row>
    <row r="288" spans="1:21" x14ac:dyDescent="0.25">
      <c r="A288" s="1" t="s">
        <v>1663</v>
      </c>
      <c r="B288" s="1" t="s">
        <v>36</v>
      </c>
      <c r="C288" s="1">
        <v>23</v>
      </c>
      <c r="D288" s="1">
        <v>27</v>
      </c>
      <c r="E288" s="1">
        <v>12</v>
      </c>
      <c r="F288" s="1">
        <v>8</v>
      </c>
      <c r="G288" s="1">
        <v>70</v>
      </c>
      <c r="H288" s="7">
        <v>2.433737233777904</v>
      </c>
      <c r="I288" s="7">
        <f t="shared" si="64"/>
        <v>22.694936708860759</v>
      </c>
      <c r="J288" s="7">
        <f t="shared" si="52"/>
        <v>5.3055534129377486</v>
      </c>
      <c r="K288" s="7">
        <f t="shared" si="53"/>
        <v>22.140506329113926</v>
      </c>
      <c r="L288" s="7">
        <f t="shared" si="54"/>
        <v>4.9144008395218908</v>
      </c>
      <c r="M288" s="7">
        <f t="shared" si="55"/>
        <v>10.069620253164556</v>
      </c>
      <c r="N288" s="7">
        <f t="shared" si="56"/>
        <v>2.1089377326145904</v>
      </c>
      <c r="O288" s="7">
        <f t="shared" si="57"/>
        <v>10.958227848101266</v>
      </c>
      <c r="P288" s="7">
        <f t="shared" si="58"/>
        <v>2.2883463843764797</v>
      </c>
      <c r="Q288" s="7">
        <f t="shared" si="59"/>
        <v>5.7498863435308259E-2</v>
      </c>
      <c r="R288" s="7">
        <f t="shared" si="60"/>
        <v>0.98882729137716041</v>
      </c>
      <c r="S288" s="7">
        <f t="shared" si="61"/>
        <v>0.91533273694250961</v>
      </c>
      <c r="T288" s="7">
        <f t="shared" si="62"/>
        <v>-1.2927360421911447</v>
      </c>
      <c r="U288" s="7">
        <f t="shared" si="63"/>
        <v>0.16723071239095838</v>
      </c>
    </row>
    <row r="289" spans="1:21" x14ac:dyDescent="0.25">
      <c r="A289" s="1" t="s">
        <v>1663</v>
      </c>
      <c r="B289" s="1" t="s">
        <v>36</v>
      </c>
      <c r="C289" s="1">
        <v>31</v>
      </c>
      <c r="D289" s="1">
        <v>25</v>
      </c>
      <c r="E289" s="1">
        <v>12</v>
      </c>
      <c r="F289" s="1">
        <v>12</v>
      </c>
      <c r="G289" s="1">
        <v>80</v>
      </c>
      <c r="H289" s="7">
        <v>2.3397348085539469</v>
      </c>
      <c r="I289" s="7">
        <f t="shared" si="64"/>
        <v>22.694936708860759</v>
      </c>
      <c r="J289" s="7">
        <f t="shared" si="52"/>
        <v>5.3055534129377486</v>
      </c>
      <c r="K289" s="7">
        <f t="shared" si="53"/>
        <v>22.140506329113926</v>
      </c>
      <c r="L289" s="7">
        <f t="shared" si="54"/>
        <v>4.9144008395218908</v>
      </c>
      <c r="M289" s="7">
        <f t="shared" si="55"/>
        <v>10.069620253164556</v>
      </c>
      <c r="N289" s="7">
        <f t="shared" si="56"/>
        <v>2.1089377326145904</v>
      </c>
      <c r="O289" s="7">
        <f t="shared" si="57"/>
        <v>10.958227848101266</v>
      </c>
      <c r="P289" s="7">
        <f t="shared" si="58"/>
        <v>2.2883463843764797</v>
      </c>
      <c r="Q289" s="7">
        <f t="shared" si="59"/>
        <v>1.5653528755147577</v>
      </c>
      <c r="R289" s="7">
        <f t="shared" si="60"/>
        <v>0.58186008106824816</v>
      </c>
      <c r="S289" s="7">
        <f t="shared" si="61"/>
        <v>0.91533273694250961</v>
      </c>
      <c r="T289" s="7">
        <f t="shared" si="62"/>
        <v>0.45525107519183194</v>
      </c>
      <c r="U289" s="7">
        <f t="shared" si="63"/>
        <v>0.87944919217933681</v>
      </c>
    </row>
    <row r="290" spans="1:21" x14ac:dyDescent="0.25">
      <c r="A290" s="1" t="s">
        <v>1663</v>
      </c>
      <c r="B290" s="1" t="s">
        <v>36</v>
      </c>
      <c r="C290" s="1">
        <v>25</v>
      </c>
      <c r="D290" s="1">
        <v>23</v>
      </c>
      <c r="E290" s="1">
        <v>10</v>
      </c>
      <c r="F290" s="1">
        <v>9</v>
      </c>
      <c r="G290" s="1">
        <v>67</v>
      </c>
      <c r="H290" s="7">
        <v>2.034951016861497</v>
      </c>
      <c r="I290" s="7">
        <f t="shared" si="64"/>
        <v>22.694936708860759</v>
      </c>
      <c r="J290" s="7">
        <f t="shared" si="52"/>
        <v>5.3055534129377486</v>
      </c>
      <c r="K290" s="7">
        <f t="shared" si="53"/>
        <v>22.140506329113926</v>
      </c>
      <c r="L290" s="7">
        <f t="shared" si="54"/>
        <v>4.9144008395218908</v>
      </c>
      <c r="M290" s="7">
        <f t="shared" si="55"/>
        <v>10.069620253164556</v>
      </c>
      <c r="N290" s="7">
        <f t="shared" si="56"/>
        <v>2.1089377326145904</v>
      </c>
      <c r="O290" s="7">
        <f t="shared" si="57"/>
        <v>10.958227848101266</v>
      </c>
      <c r="P290" s="7">
        <f t="shared" si="58"/>
        <v>2.2883463843764797</v>
      </c>
      <c r="Q290" s="7">
        <f t="shared" si="59"/>
        <v>0.43446236645517061</v>
      </c>
      <c r="R290" s="7">
        <f t="shared" si="60"/>
        <v>0.17489287075933599</v>
      </c>
      <c r="S290" s="7">
        <f t="shared" si="61"/>
        <v>-3.3012000348745997E-2</v>
      </c>
      <c r="T290" s="7">
        <f t="shared" si="62"/>
        <v>-0.85573926284540058</v>
      </c>
      <c r="U290" s="7">
        <f t="shared" si="63"/>
        <v>-6.9849006494909993E-2</v>
      </c>
    </row>
    <row r="291" spans="1:21" x14ac:dyDescent="0.25">
      <c r="A291" s="1" t="s">
        <v>1663</v>
      </c>
      <c r="B291" s="1" t="s">
        <v>36</v>
      </c>
      <c r="C291" s="1">
        <v>26</v>
      </c>
      <c r="D291" s="1">
        <v>24</v>
      </c>
      <c r="E291" s="1">
        <v>11</v>
      </c>
      <c r="F291" s="1">
        <v>11</v>
      </c>
      <c r="G291" s="1">
        <v>72</v>
      </c>
      <c r="H291" s="7">
        <v>1.8536173919925962</v>
      </c>
      <c r="I291" s="7">
        <f t="shared" si="64"/>
        <v>22.694936708860759</v>
      </c>
      <c r="J291" s="7">
        <f t="shared" si="52"/>
        <v>5.3055534129377486</v>
      </c>
      <c r="K291" s="7">
        <f t="shared" si="53"/>
        <v>22.140506329113926</v>
      </c>
      <c r="L291" s="7">
        <f t="shared" si="54"/>
        <v>4.9144008395218908</v>
      </c>
      <c r="M291" s="7">
        <f t="shared" si="55"/>
        <v>10.069620253164556</v>
      </c>
      <c r="N291" s="7">
        <f t="shared" si="56"/>
        <v>2.1089377326145904</v>
      </c>
      <c r="O291" s="7">
        <f t="shared" si="57"/>
        <v>10.958227848101266</v>
      </c>
      <c r="P291" s="7">
        <f t="shared" si="58"/>
        <v>2.2883463843764797</v>
      </c>
      <c r="Q291" s="7">
        <f t="shared" si="59"/>
        <v>0.62294411796510174</v>
      </c>
      <c r="R291" s="7">
        <f t="shared" si="60"/>
        <v>0.37837647591379209</v>
      </c>
      <c r="S291" s="7">
        <f t="shared" si="61"/>
        <v>0.44116036829688182</v>
      </c>
      <c r="T291" s="7">
        <f t="shared" si="62"/>
        <v>1.8254295846087756E-2</v>
      </c>
      <c r="U291" s="7">
        <f t="shared" si="63"/>
        <v>0.36518381450546589</v>
      </c>
    </row>
    <row r="292" spans="1:21" x14ac:dyDescent="0.25">
      <c r="A292" s="1" t="s">
        <v>1663</v>
      </c>
      <c r="B292" s="1" t="s">
        <v>36</v>
      </c>
      <c r="C292" s="1">
        <v>27</v>
      </c>
      <c r="D292" s="1">
        <v>26</v>
      </c>
      <c r="E292" s="1">
        <v>11</v>
      </c>
      <c r="F292" s="1">
        <v>12</v>
      </c>
      <c r="G292" s="1">
        <v>76</v>
      </c>
      <c r="H292" s="7">
        <v>2.1543039806456381</v>
      </c>
      <c r="I292" s="7">
        <f t="shared" si="64"/>
        <v>22.694936708860759</v>
      </c>
      <c r="J292" s="7">
        <f t="shared" si="52"/>
        <v>5.3055534129377486</v>
      </c>
      <c r="K292" s="7">
        <f t="shared" si="53"/>
        <v>22.140506329113926</v>
      </c>
      <c r="L292" s="7">
        <f t="shared" si="54"/>
        <v>4.9144008395218908</v>
      </c>
      <c r="M292" s="7">
        <f t="shared" si="55"/>
        <v>10.069620253164556</v>
      </c>
      <c r="N292" s="7">
        <f t="shared" si="56"/>
        <v>2.1089377326145904</v>
      </c>
      <c r="O292" s="7">
        <f t="shared" si="57"/>
        <v>10.958227848101266</v>
      </c>
      <c r="P292" s="7">
        <f t="shared" si="58"/>
        <v>2.2883463843764797</v>
      </c>
      <c r="Q292" s="7">
        <f t="shared" si="59"/>
        <v>0.81142586947503292</v>
      </c>
      <c r="R292" s="7">
        <f t="shared" si="60"/>
        <v>0.78534368622270434</v>
      </c>
      <c r="S292" s="7">
        <f t="shared" si="61"/>
        <v>0.44116036829688182</v>
      </c>
      <c r="T292" s="7">
        <f t="shared" si="62"/>
        <v>0.45525107519183194</v>
      </c>
      <c r="U292" s="7">
        <f t="shared" si="63"/>
        <v>0.62329524979661277</v>
      </c>
    </row>
    <row r="293" spans="1:21" x14ac:dyDescent="0.25">
      <c r="A293" s="1" t="s">
        <v>1663</v>
      </c>
      <c r="B293" s="1" t="s">
        <v>36</v>
      </c>
      <c r="C293" s="1">
        <v>24</v>
      </c>
      <c r="D293" s="1">
        <v>22</v>
      </c>
      <c r="E293" s="1">
        <v>10</v>
      </c>
      <c r="F293" s="1">
        <v>8</v>
      </c>
      <c r="G293" s="1">
        <v>64</v>
      </c>
      <c r="H293" s="7">
        <v>1.6563785025137652</v>
      </c>
      <c r="I293" s="7">
        <f t="shared" si="64"/>
        <v>22.694936708860759</v>
      </c>
      <c r="J293" s="7">
        <f t="shared" si="52"/>
        <v>5.3055534129377486</v>
      </c>
      <c r="K293" s="7">
        <f t="shared" si="53"/>
        <v>22.140506329113926</v>
      </c>
      <c r="L293" s="7">
        <f t="shared" si="54"/>
        <v>4.9144008395218908</v>
      </c>
      <c r="M293" s="7">
        <f t="shared" si="55"/>
        <v>10.069620253164556</v>
      </c>
      <c r="N293" s="7">
        <f t="shared" si="56"/>
        <v>2.1089377326145904</v>
      </c>
      <c r="O293" s="7">
        <f t="shared" si="57"/>
        <v>10.958227848101266</v>
      </c>
      <c r="P293" s="7">
        <f t="shared" si="58"/>
        <v>2.2883463843764797</v>
      </c>
      <c r="Q293" s="7">
        <f t="shared" si="59"/>
        <v>0.24598061494523943</v>
      </c>
      <c r="R293" s="7">
        <f t="shared" si="60"/>
        <v>-2.8590734395120113E-2</v>
      </c>
      <c r="S293" s="7">
        <f t="shared" si="61"/>
        <v>-3.3012000348745997E-2</v>
      </c>
      <c r="T293" s="7">
        <f t="shared" si="62"/>
        <v>-1.2927360421911447</v>
      </c>
      <c r="U293" s="7">
        <f t="shared" si="63"/>
        <v>-0.27708954049744283</v>
      </c>
    </row>
    <row r="294" spans="1:21" x14ac:dyDescent="0.25">
      <c r="A294" s="1" t="s">
        <v>1663</v>
      </c>
      <c r="B294" s="1" t="s">
        <v>36</v>
      </c>
      <c r="C294" s="1">
        <v>22</v>
      </c>
      <c r="D294" s="1">
        <v>24</v>
      </c>
      <c r="E294" s="1">
        <v>11</v>
      </c>
      <c r="F294" s="1">
        <v>10</v>
      </c>
      <c r="G294" s="1">
        <v>67</v>
      </c>
      <c r="H294" s="7">
        <v>1.7246329970051526</v>
      </c>
      <c r="I294" s="7">
        <f t="shared" si="64"/>
        <v>22.694936708860759</v>
      </c>
      <c r="J294" s="7">
        <f t="shared" si="52"/>
        <v>5.3055534129377486</v>
      </c>
      <c r="K294" s="7">
        <f t="shared" si="53"/>
        <v>22.140506329113926</v>
      </c>
      <c r="L294" s="7">
        <f t="shared" si="54"/>
        <v>4.9144008395218908</v>
      </c>
      <c r="M294" s="7">
        <f t="shared" si="55"/>
        <v>10.069620253164556</v>
      </c>
      <c r="N294" s="7">
        <f t="shared" si="56"/>
        <v>2.1089377326145904</v>
      </c>
      <c r="O294" s="7">
        <f t="shared" si="57"/>
        <v>10.958227848101266</v>
      </c>
      <c r="P294" s="7">
        <f t="shared" si="58"/>
        <v>2.2883463843764797</v>
      </c>
      <c r="Q294" s="7">
        <f t="shared" si="59"/>
        <v>-0.13098288807462291</v>
      </c>
      <c r="R294" s="7">
        <f t="shared" si="60"/>
        <v>0.37837647591379209</v>
      </c>
      <c r="S294" s="7">
        <f t="shared" si="61"/>
        <v>0.44116036829688182</v>
      </c>
      <c r="T294" s="7">
        <f t="shared" si="62"/>
        <v>-0.41874248349965643</v>
      </c>
      <c r="U294" s="7">
        <f t="shared" si="63"/>
        <v>6.7452868159098636E-2</v>
      </c>
    </row>
    <row r="295" spans="1:21" x14ac:dyDescent="0.25">
      <c r="A295" s="1" t="s">
        <v>1663</v>
      </c>
      <c r="B295" s="1" t="s">
        <v>36</v>
      </c>
      <c r="C295" s="1">
        <v>27</v>
      </c>
      <c r="D295" s="1">
        <v>26</v>
      </c>
      <c r="E295" s="1">
        <v>13</v>
      </c>
      <c r="F295" s="1">
        <v>9</v>
      </c>
      <c r="G295" s="1">
        <v>75</v>
      </c>
      <c r="H295" s="7">
        <v>2.0475125621855637</v>
      </c>
      <c r="I295" s="7">
        <f t="shared" si="64"/>
        <v>22.694936708860759</v>
      </c>
      <c r="J295" s="7">
        <f t="shared" si="52"/>
        <v>5.3055534129377486</v>
      </c>
      <c r="K295" s="7">
        <f t="shared" si="53"/>
        <v>22.140506329113926</v>
      </c>
      <c r="L295" s="7">
        <f t="shared" si="54"/>
        <v>4.9144008395218908</v>
      </c>
      <c r="M295" s="7">
        <f t="shared" si="55"/>
        <v>10.069620253164556</v>
      </c>
      <c r="N295" s="7">
        <f t="shared" si="56"/>
        <v>2.1089377326145904</v>
      </c>
      <c r="O295" s="7">
        <f t="shared" si="57"/>
        <v>10.958227848101266</v>
      </c>
      <c r="P295" s="7">
        <f t="shared" si="58"/>
        <v>2.2883463843764797</v>
      </c>
      <c r="Q295" s="7">
        <f t="shared" si="59"/>
        <v>0.81142586947503292</v>
      </c>
      <c r="R295" s="7">
        <f t="shared" si="60"/>
        <v>0.78534368622270434</v>
      </c>
      <c r="S295" s="7">
        <f t="shared" si="61"/>
        <v>1.3895051055881373</v>
      </c>
      <c r="T295" s="7">
        <f t="shared" si="62"/>
        <v>-0.85573926284540058</v>
      </c>
      <c r="U295" s="7">
        <f t="shared" si="63"/>
        <v>0.53263384961011861</v>
      </c>
    </row>
    <row r="296" spans="1:21" x14ac:dyDescent="0.25">
      <c r="A296" s="1" t="s">
        <v>1663</v>
      </c>
      <c r="B296" s="1" t="s">
        <v>36</v>
      </c>
      <c r="C296" s="1">
        <v>27</v>
      </c>
      <c r="D296" s="1">
        <v>25</v>
      </c>
      <c r="E296" s="1">
        <v>13</v>
      </c>
      <c r="F296" s="1">
        <v>10</v>
      </c>
      <c r="G296" s="1">
        <v>75</v>
      </c>
      <c r="H296" s="7">
        <v>1.9644272343292228</v>
      </c>
      <c r="I296" s="7">
        <f t="shared" si="64"/>
        <v>22.694936708860759</v>
      </c>
      <c r="J296" s="7">
        <f t="shared" si="52"/>
        <v>5.3055534129377486</v>
      </c>
      <c r="K296" s="7">
        <f t="shared" si="53"/>
        <v>22.140506329113926</v>
      </c>
      <c r="L296" s="7">
        <f t="shared" si="54"/>
        <v>4.9144008395218908</v>
      </c>
      <c r="M296" s="7">
        <f t="shared" si="55"/>
        <v>10.069620253164556</v>
      </c>
      <c r="N296" s="7">
        <f t="shared" si="56"/>
        <v>2.1089377326145904</v>
      </c>
      <c r="O296" s="7">
        <f t="shared" si="57"/>
        <v>10.958227848101266</v>
      </c>
      <c r="P296" s="7">
        <f t="shared" si="58"/>
        <v>2.2883463843764797</v>
      </c>
      <c r="Q296" s="7">
        <f t="shared" si="59"/>
        <v>0.81142586947503292</v>
      </c>
      <c r="R296" s="7">
        <f t="shared" si="60"/>
        <v>0.58186008106824816</v>
      </c>
      <c r="S296" s="7">
        <f t="shared" si="61"/>
        <v>1.3895051055881373</v>
      </c>
      <c r="T296" s="7">
        <f t="shared" si="62"/>
        <v>-0.41874248349965643</v>
      </c>
      <c r="U296" s="7">
        <f t="shared" si="63"/>
        <v>0.59101214315794048</v>
      </c>
    </row>
    <row r="297" spans="1:21" x14ac:dyDescent="0.25">
      <c r="A297" s="1" t="s">
        <v>1663</v>
      </c>
      <c r="B297" s="1" t="s">
        <v>36</v>
      </c>
      <c r="C297" s="1">
        <v>21</v>
      </c>
      <c r="D297" s="1">
        <v>20</v>
      </c>
      <c r="E297" s="1">
        <v>10</v>
      </c>
      <c r="F297" s="1">
        <v>7</v>
      </c>
      <c r="G297" s="1">
        <v>58</v>
      </c>
      <c r="H297" s="7">
        <v>1.5607361839521232</v>
      </c>
      <c r="I297" s="7">
        <f t="shared" si="64"/>
        <v>22.694936708860759</v>
      </c>
      <c r="J297" s="7">
        <f t="shared" si="52"/>
        <v>5.3055534129377486</v>
      </c>
      <c r="K297" s="7">
        <f t="shared" si="53"/>
        <v>22.140506329113926</v>
      </c>
      <c r="L297" s="7">
        <f t="shared" si="54"/>
        <v>4.9144008395218908</v>
      </c>
      <c r="M297" s="7">
        <f t="shared" si="55"/>
        <v>10.069620253164556</v>
      </c>
      <c r="N297" s="7">
        <f t="shared" si="56"/>
        <v>2.1089377326145904</v>
      </c>
      <c r="O297" s="7">
        <f t="shared" si="57"/>
        <v>10.958227848101266</v>
      </c>
      <c r="P297" s="7">
        <f t="shared" si="58"/>
        <v>2.2883463843764797</v>
      </c>
      <c r="Q297" s="7">
        <f t="shared" si="59"/>
        <v>-0.31946463958455407</v>
      </c>
      <c r="R297" s="7">
        <f t="shared" si="60"/>
        <v>-0.43555794470403231</v>
      </c>
      <c r="S297" s="7">
        <f t="shared" si="61"/>
        <v>-3.3012000348745997E-2</v>
      </c>
      <c r="T297" s="7">
        <f t="shared" si="62"/>
        <v>-1.729732821536889</v>
      </c>
      <c r="U297" s="7">
        <f t="shared" si="63"/>
        <v>-0.62944185154355536</v>
      </c>
    </row>
    <row r="298" spans="1:21" x14ac:dyDescent="0.25">
      <c r="A298" s="1" t="s">
        <v>1663</v>
      </c>
      <c r="B298" s="1" t="s">
        <v>36</v>
      </c>
      <c r="C298" s="1">
        <v>18</v>
      </c>
      <c r="D298" s="1">
        <v>24</v>
      </c>
      <c r="E298" s="1">
        <v>10</v>
      </c>
      <c r="F298" s="1">
        <v>10</v>
      </c>
      <c r="G298" s="1">
        <v>62</v>
      </c>
      <c r="H298" s="7">
        <v>1.6408253082847337</v>
      </c>
      <c r="I298" s="7">
        <f t="shared" si="64"/>
        <v>22.694936708860759</v>
      </c>
      <c r="J298" s="7">
        <f t="shared" si="52"/>
        <v>5.3055534129377486</v>
      </c>
      <c r="K298" s="7">
        <f t="shared" si="53"/>
        <v>22.140506329113926</v>
      </c>
      <c r="L298" s="7">
        <f t="shared" si="54"/>
        <v>4.9144008395218908</v>
      </c>
      <c r="M298" s="7">
        <f t="shared" si="55"/>
        <v>10.069620253164556</v>
      </c>
      <c r="N298" s="7">
        <f t="shared" si="56"/>
        <v>2.1089377326145904</v>
      </c>
      <c r="O298" s="7">
        <f t="shared" si="57"/>
        <v>10.958227848101266</v>
      </c>
      <c r="P298" s="7">
        <f t="shared" si="58"/>
        <v>2.2883463843764797</v>
      </c>
      <c r="Q298" s="7">
        <f t="shared" si="59"/>
        <v>-0.88490989411434762</v>
      </c>
      <c r="R298" s="7">
        <f t="shared" si="60"/>
        <v>0.37837647591379209</v>
      </c>
      <c r="S298" s="7">
        <f t="shared" si="61"/>
        <v>-3.3012000348745997E-2</v>
      </c>
      <c r="T298" s="7">
        <f t="shared" si="62"/>
        <v>-0.41874248349965643</v>
      </c>
      <c r="U298" s="7">
        <f t="shared" si="63"/>
        <v>-0.23957197551223947</v>
      </c>
    </row>
    <row r="299" spans="1:21" x14ac:dyDescent="0.25">
      <c r="A299" s="1" t="s">
        <v>1663</v>
      </c>
      <c r="B299" s="1" t="s">
        <v>36</v>
      </c>
      <c r="C299" s="1">
        <v>25</v>
      </c>
      <c r="D299" s="1">
        <v>27</v>
      </c>
      <c r="E299" s="1">
        <v>13</v>
      </c>
      <c r="F299" s="1">
        <v>14</v>
      </c>
      <c r="G299" s="1">
        <v>79</v>
      </c>
      <c r="H299" s="7">
        <v>1.497861723788195</v>
      </c>
      <c r="I299" s="7">
        <f t="shared" si="64"/>
        <v>22.694936708860759</v>
      </c>
      <c r="J299" s="7">
        <f t="shared" si="52"/>
        <v>5.3055534129377486</v>
      </c>
      <c r="K299" s="7">
        <f t="shared" si="53"/>
        <v>22.140506329113926</v>
      </c>
      <c r="L299" s="7">
        <f t="shared" si="54"/>
        <v>4.9144008395218908</v>
      </c>
      <c r="M299" s="7">
        <f t="shared" si="55"/>
        <v>10.069620253164556</v>
      </c>
      <c r="N299" s="7">
        <f t="shared" si="56"/>
        <v>2.1089377326145904</v>
      </c>
      <c r="O299" s="7">
        <f t="shared" si="57"/>
        <v>10.958227848101266</v>
      </c>
      <c r="P299" s="7">
        <f t="shared" si="58"/>
        <v>2.2883463843764797</v>
      </c>
      <c r="Q299" s="7">
        <f t="shared" si="59"/>
        <v>0.43446236645517061</v>
      </c>
      <c r="R299" s="7">
        <f t="shared" si="60"/>
        <v>0.98882729137716041</v>
      </c>
      <c r="S299" s="7">
        <f t="shared" si="61"/>
        <v>1.3895051055881373</v>
      </c>
      <c r="T299" s="7">
        <f t="shared" si="62"/>
        <v>1.3292446338833204</v>
      </c>
      <c r="U299" s="7">
        <f t="shared" si="63"/>
        <v>1.0355098493259471</v>
      </c>
    </row>
    <row r="300" spans="1:21" x14ac:dyDescent="0.25">
      <c r="A300" s="1" t="s">
        <v>1663</v>
      </c>
      <c r="B300" s="1" t="s">
        <v>36</v>
      </c>
      <c r="C300" s="1">
        <v>30</v>
      </c>
      <c r="D300" s="1">
        <v>26</v>
      </c>
      <c r="E300" s="1">
        <v>13</v>
      </c>
      <c r="F300" s="1">
        <v>15</v>
      </c>
      <c r="G300" s="1">
        <v>84</v>
      </c>
      <c r="H300" s="7">
        <v>1.6641005886756872</v>
      </c>
      <c r="I300" s="7">
        <f t="shared" si="64"/>
        <v>22.694936708860759</v>
      </c>
      <c r="J300" s="7">
        <f t="shared" si="52"/>
        <v>5.3055534129377486</v>
      </c>
      <c r="K300" s="7">
        <f t="shared" si="53"/>
        <v>22.140506329113926</v>
      </c>
      <c r="L300" s="7">
        <f t="shared" si="54"/>
        <v>4.9144008395218908</v>
      </c>
      <c r="M300" s="7">
        <f t="shared" si="55"/>
        <v>10.069620253164556</v>
      </c>
      <c r="N300" s="7">
        <f t="shared" si="56"/>
        <v>2.1089377326145904</v>
      </c>
      <c r="O300" s="7">
        <f t="shared" si="57"/>
        <v>10.958227848101266</v>
      </c>
      <c r="P300" s="7">
        <f t="shared" si="58"/>
        <v>2.2883463843764797</v>
      </c>
      <c r="Q300" s="7">
        <f t="shared" si="59"/>
        <v>1.3768711240048266</v>
      </c>
      <c r="R300" s="7">
        <f t="shared" si="60"/>
        <v>0.78534368622270434</v>
      </c>
      <c r="S300" s="7">
        <f t="shared" si="61"/>
        <v>1.3895051055881373</v>
      </c>
      <c r="T300" s="7">
        <f t="shared" si="62"/>
        <v>1.7662414132290645</v>
      </c>
      <c r="U300" s="7">
        <f t="shared" si="63"/>
        <v>1.3294903322611831</v>
      </c>
    </row>
    <row r="301" spans="1:21" x14ac:dyDescent="0.25">
      <c r="A301" s="1" t="s">
        <v>1663</v>
      </c>
      <c r="B301" s="1" t="s">
        <v>36</v>
      </c>
      <c r="C301" s="1">
        <v>26</v>
      </c>
      <c r="D301" s="1">
        <v>26</v>
      </c>
      <c r="E301" s="1">
        <v>11</v>
      </c>
      <c r="F301" s="1">
        <v>15</v>
      </c>
      <c r="G301" s="1">
        <v>78</v>
      </c>
      <c r="H301" s="7">
        <v>1.35400640077266</v>
      </c>
      <c r="I301" s="7">
        <f t="shared" si="64"/>
        <v>22.694936708860759</v>
      </c>
      <c r="J301" s="7">
        <f t="shared" si="52"/>
        <v>5.3055534129377486</v>
      </c>
      <c r="K301" s="7">
        <f t="shared" si="53"/>
        <v>22.140506329113926</v>
      </c>
      <c r="L301" s="7">
        <f t="shared" si="54"/>
        <v>4.9144008395218908</v>
      </c>
      <c r="M301" s="7">
        <f t="shared" si="55"/>
        <v>10.069620253164556</v>
      </c>
      <c r="N301" s="7">
        <f t="shared" si="56"/>
        <v>2.1089377326145904</v>
      </c>
      <c r="O301" s="7">
        <f t="shared" si="57"/>
        <v>10.958227848101266</v>
      </c>
      <c r="P301" s="7">
        <f t="shared" si="58"/>
        <v>2.2883463843764797</v>
      </c>
      <c r="Q301" s="7">
        <f t="shared" si="59"/>
        <v>0.62294411796510174</v>
      </c>
      <c r="R301" s="7">
        <f t="shared" si="60"/>
        <v>0.78534368622270434</v>
      </c>
      <c r="S301" s="7">
        <f t="shared" si="61"/>
        <v>0.44116036829688182</v>
      </c>
      <c r="T301" s="7">
        <f t="shared" si="62"/>
        <v>1.7662414132290645</v>
      </c>
      <c r="U301" s="7">
        <f t="shared" si="63"/>
        <v>0.90392239642843819</v>
      </c>
    </row>
    <row r="302" spans="1:21" x14ac:dyDescent="0.25">
      <c r="A302" s="1" t="s">
        <v>1663</v>
      </c>
      <c r="B302" s="1" t="s">
        <v>36</v>
      </c>
      <c r="C302" s="1">
        <v>29</v>
      </c>
      <c r="D302" s="1">
        <v>26</v>
      </c>
      <c r="E302" s="1">
        <v>11</v>
      </c>
      <c r="F302" s="1">
        <v>14</v>
      </c>
      <c r="G302" s="1">
        <v>80</v>
      </c>
      <c r="H302" s="7">
        <v>1.8187062180825984</v>
      </c>
      <c r="I302" s="7">
        <f t="shared" si="64"/>
        <v>22.694936708860759</v>
      </c>
      <c r="J302" s="7">
        <f t="shared" si="52"/>
        <v>5.3055534129377486</v>
      </c>
      <c r="K302" s="7">
        <f t="shared" si="53"/>
        <v>22.140506329113926</v>
      </c>
      <c r="L302" s="7">
        <f t="shared" si="54"/>
        <v>4.9144008395218908</v>
      </c>
      <c r="M302" s="7">
        <f t="shared" si="55"/>
        <v>10.069620253164556</v>
      </c>
      <c r="N302" s="7">
        <f t="shared" si="56"/>
        <v>2.1089377326145904</v>
      </c>
      <c r="O302" s="7">
        <f t="shared" si="57"/>
        <v>10.958227848101266</v>
      </c>
      <c r="P302" s="7">
        <f t="shared" si="58"/>
        <v>2.2883463843764797</v>
      </c>
      <c r="Q302" s="7">
        <f t="shared" si="59"/>
        <v>1.1883893724948953</v>
      </c>
      <c r="R302" s="7">
        <f t="shared" si="60"/>
        <v>0.78534368622270434</v>
      </c>
      <c r="S302" s="7">
        <f t="shared" si="61"/>
        <v>0.44116036829688182</v>
      </c>
      <c r="T302" s="7">
        <f t="shared" si="62"/>
        <v>1.3292446338833204</v>
      </c>
      <c r="U302" s="7">
        <f t="shared" si="63"/>
        <v>0.93603451522445047</v>
      </c>
    </row>
    <row r="303" spans="1:21" x14ac:dyDescent="0.25">
      <c r="A303" s="1" t="s">
        <v>1663</v>
      </c>
      <c r="B303" s="1" t="s">
        <v>36</v>
      </c>
      <c r="C303" s="1">
        <v>22</v>
      </c>
      <c r="D303" s="1">
        <v>30</v>
      </c>
      <c r="E303" s="1">
        <v>12</v>
      </c>
      <c r="F303" s="1">
        <v>15</v>
      </c>
      <c r="G303" s="1">
        <v>79</v>
      </c>
      <c r="H303" s="7">
        <v>1.8912755158683456</v>
      </c>
      <c r="I303" s="7">
        <f t="shared" si="64"/>
        <v>22.694936708860759</v>
      </c>
      <c r="J303" s="7">
        <f t="shared" si="52"/>
        <v>5.3055534129377486</v>
      </c>
      <c r="K303" s="7">
        <f t="shared" si="53"/>
        <v>22.140506329113926</v>
      </c>
      <c r="L303" s="7">
        <f t="shared" si="54"/>
        <v>4.9144008395218908</v>
      </c>
      <c r="M303" s="7">
        <f t="shared" si="55"/>
        <v>10.069620253164556</v>
      </c>
      <c r="N303" s="7">
        <f t="shared" si="56"/>
        <v>2.1089377326145904</v>
      </c>
      <c r="O303" s="7">
        <f t="shared" si="57"/>
        <v>10.958227848101266</v>
      </c>
      <c r="P303" s="7">
        <f t="shared" si="58"/>
        <v>2.2883463843764797</v>
      </c>
      <c r="Q303" s="7">
        <f t="shared" si="59"/>
        <v>-0.13098288807462291</v>
      </c>
      <c r="R303" s="7">
        <f t="shared" si="60"/>
        <v>1.5992781068405286</v>
      </c>
      <c r="S303" s="7">
        <f t="shared" si="61"/>
        <v>0.91533273694250961</v>
      </c>
      <c r="T303" s="7">
        <f t="shared" si="62"/>
        <v>1.7662414132290645</v>
      </c>
      <c r="U303" s="7">
        <f t="shared" si="63"/>
        <v>1.0374673422343699</v>
      </c>
    </row>
    <row r="304" spans="1:21" x14ac:dyDescent="0.25">
      <c r="A304" s="1" t="s">
        <v>1663</v>
      </c>
      <c r="B304" s="1" t="s">
        <v>36</v>
      </c>
      <c r="C304" s="1">
        <v>32</v>
      </c>
      <c r="D304" s="1">
        <v>31</v>
      </c>
      <c r="E304" s="1">
        <v>13</v>
      </c>
      <c r="F304" s="1">
        <v>14</v>
      </c>
      <c r="G304" s="1">
        <v>90</v>
      </c>
      <c r="H304" s="7">
        <v>2.0599975105785306</v>
      </c>
      <c r="I304" s="7">
        <f t="shared" si="64"/>
        <v>22.694936708860759</v>
      </c>
      <c r="J304" s="7">
        <f t="shared" si="52"/>
        <v>5.3055534129377486</v>
      </c>
      <c r="K304" s="7">
        <f t="shared" si="53"/>
        <v>22.140506329113926</v>
      </c>
      <c r="L304" s="7">
        <f t="shared" si="54"/>
        <v>4.9144008395218908</v>
      </c>
      <c r="M304" s="7">
        <f t="shared" si="55"/>
        <v>10.069620253164556</v>
      </c>
      <c r="N304" s="7">
        <f t="shared" si="56"/>
        <v>2.1089377326145904</v>
      </c>
      <c r="O304" s="7">
        <f t="shared" si="57"/>
        <v>10.958227848101266</v>
      </c>
      <c r="P304" s="7">
        <f t="shared" si="58"/>
        <v>2.2883463843764797</v>
      </c>
      <c r="Q304" s="7">
        <f t="shared" si="59"/>
        <v>1.7538346270246887</v>
      </c>
      <c r="R304" s="7">
        <f t="shared" si="60"/>
        <v>1.8027617119949848</v>
      </c>
      <c r="S304" s="7">
        <f t="shared" si="61"/>
        <v>1.3895051055881373</v>
      </c>
      <c r="T304" s="7">
        <f t="shared" si="62"/>
        <v>1.3292446338833204</v>
      </c>
      <c r="U304" s="7">
        <f t="shared" si="63"/>
        <v>1.5688365196227827</v>
      </c>
    </row>
    <row r="305" spans="1:21" x14ac:dyDescent="0.25">
      <c r="A305" s="1" t="s">
        <v>1663</v>
      </c>
      <c r="B305" s="1" t="s">
        <v>36</v>
      </c>
      <c r="C305" s="1">
        <v>32</v>
      </c>
      <c r="D305" s="1">
        <v>30</v>
      </c>
      <c r="E305" s="1">
        <v>13</v>
      </c>
      <c r="F305" s="1">
        <v>14</v>
      </c>
      <c r="G305" s="1">
        <v>89</v>
      </c>
      <c r="H305" s="7">
        <v>1.9935794376846323</v>
      </c>
      <c r="I305" s="7">
        <f t="shared" si="64"/>
        <v>22.694936708860759</v>
      </c>
      <c r="J305" s="7">
        <f t="shared" si="52"/>
        <v>5.3055534129377486</v>
      </c>
      <c r="K305" s="7">
        <f t="shared" si="53"/>
        <v>22.140506329113926</v>
      </c>
      <c r="L305" s="7">
        <f t="shared" si="54"/>
        <v>4.9144008395218908</v>
      </c>
      <c r="M305" s="7">
        <f t="shared" si="55"/>
        <v>10.069620253164556</v>
      </c>
      <c r="N305" s="7">
        <f t="shared" si="56"/>
        <v>2.1089377326145904</v>
      </c>
      <c r="O305" s="7">
        <f t="shared" si="57"/>
        <v>10.958227848101266</v>
      </c>
      <c r="P305" s="7">
        <f t="shared" si="58"/>
        <v>2.2883463843764797</v>
      </c>
      <c r="Q305" s="7">
        <f t="shared" si="59"/>
        <v>1.7538346270246887</v>
      </c>
      <c r="R305" s="7">
        <f t="shared" si="60"/>
        <v>1.5992781068405286</v>
      </c>
      <c r="S305" s="7">
        <f t="shared" si="61"/>
        <v>1.3895051055881373</v>
      </c>
      <c r="T305" s="7">
        <f t="shared" si="62"/>
        <v>1.3292446338833204</v>
      </c>
      <c r="U305" s="7">
        <f t="shared" si="63"/>
        <v>1.5179656183341688</v>
      </c>
    </row>
    <row r="306" spans="1:21" x14ac:dyDescent="0.25">
      <c r="A306" s="1" t="s">
        <v>1662</v>
      </c>
      <c r="B306" s="1" t="s">
        <v>36</v>
      </c>
      <c r="C306" s="1">
        <v>23</v>
      </c>
      <c r="D306" s="1">
        <v>21</v>
      </c>
      <c r="E306" s="1">
        <v>10</v>
      </c>
      <c r="F306" s="1">
        <v>9</v>
      </c>
      <c r="G306" s="1">
        <v>63</v>
      </c>
      <c r="H306" s="7">
        <v>1.5191090506254996</v>
      </c>
      <c r="I306" s="7">
        <f t="shared" si="64"/>
        <v>22.694936708860759</v>
      </c>
      <c r="J306" s="7">
        <f t="shared" si="52"/>
        <v>5.3055534129377486</v>
      </c>
      <c r="K306" s="7">
        <f t="shared" si="53"/>
        <v>22.140506329113926</v>
      </c>
      <c r="L306" s="7">
        <f t="shared" si="54"/>
        <v>4.9144008395218908</v>
      </c>
      <c r="M306" s="7">
        <f t="shared" si="55"/>
        <v>10.069620253164556</v>
      </c>
      <c r="N306" s="7">
        <f t="shared" si="56"/>
        <v>2.1089377326145904</v>
      </c>
      <c r="O306" s="7">
        <f t="shared" si="57"/>
        <v>10.958227848101266</v>
      </c>
      <c r="P306" s="7">
        <f t="shared" si="58"/>
        <v>2.2883463843764797</v>
      </c>
      <c r="Q306" s="7">
        <f t="shared" si="59"/>
        <v>5.7498863435308259E-2</v>
      </c>
      <c r="R306" s="7">
        <f t="shared" si="60"/>
        <v>-0.23207433954957621</v>
      </c>
      <c r="S306" s="7">
        <f t="shared" si="61"/>
        <v>-3.3012000348745997E-2</v>
      </c>
      <c r="T306" s="7">
        <f t="shared" si="62"/>
        <v>-0.85573926284540058</v>
      </c>
      <c r="U306" s="7">
        <f t="shared" si="63"/>
        <v>-0.26583168482710362</v>
      </c>
    </row>
    <row r="307" spans="1:21" x14ac:dyDescent="0.25">
      <c r="A307" s="1" t="s">
        <v>1662</v>
      </c>
      <c r="B307" s="1" t="s">
        <v>36</v>
      </c>
      <c r="C307" s="1">
        <v>20</v>
      </c>
      <c r="D307" s="1">
        <v>26</v>
      </c>
      <c r="E307" s="1">
        <v>12</v>
      </c>
      <c r="F307" s="1">
        <v>10</v>
      </c>
      <c r="G307" s="1">
        <v>68</v>
      </c>
      <c r="H307" s="7">
        <v>1.8776690404970273</v>
      </c>
      <c r="I307" s="7">
        <f t="shared" si="64"/>
        <v>22.694936708860759</v>
      </c>
      <c r="J307" s="7">
        <f t="shared" si="52"/>
        <v>5.3055534129377486</v>
      </c>
      <c r="K307" s="7">
        <f t="shared" si="53"/>
        <v>22.140506329113926</v>
      </c>
      <c r="L307" s="7">
        <f t="shared" si="54"/>
        <v>4.9144008395218908</v>
      </c>
      <c r="M307" s="7">
        <f t="shared" si="55"/>
        <v>10.069620253164556</v>
      </c>
      <c r="N307" s="7">
        <f t="shared" si="56"/>
        <v>2.1089377326145904</v>
      </c>
      <c r="O307" s="7">
        <f t="shared" si="57"/>
        <v>10.958227848101266</v>
      </c>
      <c r="P307" s="7">
        <f t="shared" si="58"/>
        <v>2.2883463843764797</v>
      </c>
      <c r="Q307" s="7">
        <f t="shared" si="59"/>
        <v>-0.50794639109448525</v>
      </c>
      <c r="R307" s="7">
        <f t="shared" si="60"/>
        <v>0.78534368622270434</v>
      </c>
      <c r="S307" s="7">
        <f t="shared" si="61"/>
        <v>0.91533273694250961</v>
      </c>
      <c r="T307" s="7">
        <f t="shared" si="62"/>
        <v>-0.41874248349965643</v>
      </c>
      <c r="U307" s="7">
        <f t="shared" si="63"/>
        <v>0.19349688714276808</v>
      </c>
    </row>
    <row r="308" spans="1:21" x14ac:dyDescent="0.25">
      <c r="A308" s="1" t="s">
        <v>1662</v>
      </c>
      <c r="B308" s="1" t="s">
        <v>36</v>
      </c>
      <c r="C308" s="1">
        <v>19</v>
      </c>
      <c r="D308" s="1">
        <v>24</v>
      </c>
      <c r="E308" s="1">
        <v>9</v>
      </c>
      <c r="F308" s="1">
        <v>8</v>
      </c>
      <c r="G308" s="1">
        <v>60</v>
      </c>
      <c r="H308" s="7">
        <v>1.894661866862684</v>
      </c>
      <c r="I308" s="7">
        <f t="shared" si="64"/>
        <v>22.694936708860759</v>
      </c>
      <c r="J308" s="7">
        <f t="shared" si="52"/>
        <v>5.3055534129377486</v>
      </c>
      <c r="K308" s="7">
        <f t="shared" si="53"/>
        <v>22.140506329113926</v>
      </c>
      <c r="L308" s="7">
        <f t="shared" si="54"/>
        <v>4.9144008395218908</v>
      </c>
      <c r="M308" s="7">
        <f t="shared" si="55"/>
        <v>10.069620253164556</v>
      </c>
      <c r="N308" s="7">
        <f t="shared" si="56"/>
        <v>2.1089377326145904</v>
      </c>
      <c r="O308" s="7">
        <f t="shared" si="57"/>
        <v>10.958227848101266</v>
      </c>
      <c r="P308" s="7">
        <f t="shared" si="58"/>
        <v>2.2883463843764797</v>
      </c>
      <c r="Q308" s="7">
        <f t="shared" si="59"/>
        <v>-0.69642814260441643</v>
      </c>
      <c r="R308" s="7">
        <f t="shared" si="60"/>
        <v>0.37837647591379209</v>
      </c>
      <c r="S308" s="7">
        <f t="shared" si="61"/>
        <v>-0.5071843689943738</v>
      </c>
      <c r="T308" s="7">
        <f t="shared" si="62"/>
        <v>-1.2927360421911447</v>
      </c>
      <c r="U308" s="7">
        <f t="shared" si="63"/>
        <v>-0.52949301946903571</v>
      </c>
    </row>
    <row r="309" spans="1:21" x14ac:dyDescent="0.25">
      <c r="A309" s="1" t="s">
        <v>1662</v>
      </c>
      <c r="B309" s="1" t="s">
        <v>36</v>
      </c>
      <c r="C309" s="1">
        <v>22</v>
      </c>
      <c r="D309" s="1">
        <v>24</v>
      </c>
      <c r="E309" s="1">
        <v>11</v>
      </c>
      <c r="F309" s="1">
        <v>9</v>
      </c>
      <c r="G309" s="1">
        <v>66</v>
      </c>
      <c r="H309" s="7">
        <v>1.7541160386140584</v>
      </c>
      <c r="I309" s="7">
        <f t="shared" si="64"/>
        <v>22.694936708860759</v>
      </c>
      <c r="J309" s="7">
        <f t="shared" si="52"/>
        <v>5.3055534129377486</v>
      </c>
      <c r="K309" s="7">
        <f t="shared" si="53"/>
        <v>22.140506329113926</v>
      </c>
      <c r="L309" s="7">
        <f t="shared" si="54"/>
        <v>4.9144008395218908</v>
      </c>
      <c r="M309" s="7">
        <f t="shared" si="55"/>
        <v>10.069620253164556</v>
      </c>
      <c r="N309" s="7">
        <f t="shared" si="56"/>
        <v>2.1089377326145904</v>
      </c>
      <c r="O309" s="7">
        <f t="shared" si="57"/>
        <v>10.958227848101266</v>
      </c>
      <c r="P309" s="7">
        <f t="shared" si="58"/>
        <v>2.2883463843764797</v>
      </c>
      <c r="Q309" s="7">
        <f t="shared" si="59"/>
        <v>-0.13098288807462291</v>
      </c>
      <c r="R309" s="7">
        <f t="shared" si="60"/>
        <v>0.37837647591379209</v>
      </c>
      <c r="S309" s="7">
        <f t="shared" si="61"/>
        <v>0.44116036829688182</v>
      </c>
      <c r="T309" s="7">
        <f t="shared" si="62"/>
        <v>-0.85573926284540058</v>
      </c>
      <c r="U309" s="7">
        <f t="shared" si="63"/>
        <v>-4.1796326677337403E-2</v>
      </c>
    </row>
    <row r="310" spans="1:21" x14ac:dyDescent="0.25">
      <c r="A310" s="1" t="s">
        <v>1662</v>
      </c>
      <c r="B310" s="1" t="s">
        <v>36</v>
      </c>
      <c r="C310" s="1">
        <v>23</v>
      </c>
      <c r="D310" s="1">
        <v>26</v>
      </c>
      <c r="E310" s="1">
        <v>12</v>
      </c>
      <c r="F310" s="1">
        <v>7</v>
      </c>
      <c r="G310" s="1">
        <v>68</v>
      </c>
      <c r="H310" s="7">
        <v>2.1661735138967262</v>
      </c>
      <c r="I310" s="7">
        <f t="shared" si="64"/>
        <v>22.694936708860759</v>
      </c>
      <c r="J310" s="7">
        <f t="shared" si="52"/>
        <v>5.3055534129377486</v>
      </c>
      <c r="K310" s="7">
        <f t="shared" si="53"/>
        <v>22.140506329113926</v>
      </c>
      <c r="L310" s="7">
        <f t="shared" si="54"/>
        <v>4.9144008395218908</v>
      </c>
      <c r="M310" s="7">
        <f t="shared" si="55"/>
        <v>10.069620253164556</v>
      </c>
      <c r="N310" s="7">
        <f t="shared" si="56"/>
        <v>2.1089377326145904</v>
      </c>
      <c r="O310" s="7">
        <f t="shared" si="57"/>
        <v>10.958227848101266</v>
      </c>
      <c r="P310" s="7">
        <f t="shared" si="58"/>
        <v>2.2883463843764797</v>
      </c>
      <c r="Q310" s="7">
        <f t="shared" si="59"/>
        <v>5.7498863435308259E-2</v>
      </c>
      <c r="R310" s="7">
        <f t="shared" si="60"/>
        <v>0.78534368622270434</v>
      </c>
      <c r="S310" s="7">
        <f t="shared" si="61"/>
        <v>0.91533273694250961</v>
      </c>
      <c r="T310" s="7">
        <f t="shared" si="62"/>
        <v>-1.729732821536889</v>
      </c>
      <c r="U310" s="7">
        <f t="shared" si="63"/>
        <v>7.1106162659083094E-3</v>
      </c>
    </row>
    <row r="311" spans="1:21" x14ac:dyDescent="0.25">
      <c r="A311" s="1" t="s">
        <v>1662</v>
      </c>
      <c r="B311" s="1" t="s">
        <v>36</v>
      </c>
      <c r="C311" s="1">
        <v>28</v>
      </c>
      <c r="D311" s="1">
        <v>28</v>
      </c>
      <c r="E311" s="1">
        <v>12</v>
      </c>
      <c r="F311" s="1">
        <v>9</v>
      </c>
      <c r="G311" s="1">
        <v>77</v>
      </c>
      <c r="H311" s="7">
        <v>2.361550989693654</v>
      </c>
      <c r="I311" s="7">
        <f t="shared" si="64"/>
        <v>22.694936708860759</v>
      </c>
      <c r="J311" s="7">
        <f t="shared" si="52"/>
        <v>5.3055534129377486</v>
      </c>
      <c r="K311" s="7">
        <f t="shared" si="53"/>
        <v>22.140506329113926</v>
      </c>
      <c r="L311" s="7">
        <f t="shared" si="54"/>
        <v>4.9144008395218908</v>
      </c>
      <c r="M311" s="7">
        <f t="shared" si="55"/>
        <v>10.069620253164556</v>
      </c>
      <c r="N311" s="7">
        <f t="shared" si="56"/>
        <v>2.1089377326145904</v>
      </c>
      <c r="O311" s="7">
        <f t="shared" si="57"/>
        <v>10.958227848101266</v>
      </c>
      <c r="P311" s="7">
        <f t="shared" si="58"/>
        <v>2.2883463843764797</v>
      </c>
      <c r="Q311" s="7">
        <f t="shared" si="59"/>
        <v>0.99990762098496411</v>
      </c>
      <c r="R311" s="7">
        <f t="shared" si="60"/>
        <v>1.1923108965316165</v>
      </c>
      <c r="S311" s="7">
        <f t="shared" si="61"/>
        <v>0.91533273694250961</v>
      </c>
      <c r="T311" s="7">
        <f t="shared" si="62"/>
        <v>-0.85573926284540058</v>
      </c>
      <c r="U311" s="7">
        <f t="shared" si="63"/>
        <v>0.56295299790342246</v>
      </c>
    </row>
    <row r="312" spans="1:21" x14ac:dyDescent="0.25">
      <c r="A312" s="1" t="s">
        <v>1662</v>
      </c>
      <c r="B312" s="1" t="s">
        <v>36</v>
      </c>
      <c r="C312" s="1">
        <v>25</v>
      </c>
      <c r="D312" s="1">
        <v>27</v>
      </c>
      <c r="E312" s="1">
        <v>12</v>
      </c>
      <c r="F312" s="1">
        <v>7</v>
      </c>
      <c r="G312" s="1">
        <v>71</v>
      </c>
      <c r="H312" s="7">
        <v>2.3315011121372931</v>
      </c>
      <c r="I312" s="7">
        <f t="shared" si="64"/>
        <v>22.694936708860759</v>
      </c>
      <c r="J312" s="7">
        <f t="shared" si="52"/>
        <v>5.3055534129377486</v>
      </c>
      <c r="K312" s="7">
        <f t="shared" si="53"/>
        <v>22.140506329113926</v>
      </c>
      <c r="L312" s="7">
        <f t="shared" si="54"/>
        <v>4.9144008395218908</v>
      </c>
      <c r="M312" s="7">
        <f t="shared" si="55"/>
        <v>10.069620253164556</v>
      </c>
      <c r="N312" s="7">
        <f t="shared" si="56"/>
        <v>2.1089377326145904</v>
      </c>
      <c r="O312" s="7">
        <f t="shared" si="57"/>
        <v>10.958227848101266</v>
      </c>
      <c r="P312" s="7">
        <f t="shared" si="58"/>
        <v>2.2883463843764797</v>
      </c>
      <c r="Q312" s="7">
        <f t="shared" si="59"/>
        <v>0.43446236645517061</v>
      </c>
      <c r="R312" s="7">
        <f t="shared" si="60"/>
        <v>0.98882729137716041</v>
      </c>
      <c r="S312" s="7">
        <f t="shared" si="61"/>
        <v>0.91533273694250961</v>
      </c>
      <c r="T312" s="7">
        <f t="shared" si="62"/>
        <v>-1.729732821536889</v>
      </c>
      <c r="U312" s="7">
        <f t="shared" si="63"/>
        <v>0.15222239330948795</v>
      </c>
    </row>
    <row r="313" spans="1:21" x14ac:dyDescent="0.25">
      <c r="A313" s="1" t="s">
        <v>1662</v>
      </c>
      <c r="B313" s="1" t="s">
        <v>36</v>
      </c>
      <c r="C313" s="1">
        <v>23</v>
      </c>
      <c r="D313" s="1">
        <v>20</v>
      </c>
      <c r="E313" s="1">
        <v>8</v>
      </c>
      <c r="F313" s="1">
        <v>7</v>
      </c>
      <c r="G313" s="1">
        <v>58</v>
      </c>
      <c r="H313" s="7">
        <v>1.9839096340048947</v>
      </c>
      <c r="I313" s="7">
        <f t="shared" si="64"/>
        <v>22.694936708860759</v>
      </c>
      <c r="J313" s="7">
        <f t="shared" si="52"/>
        <v>5.3055534129377486</v>
      </c>
      <c r="K313" s="7">
        <f t="shared" si="53"/>
        <v>22.140506329113926</v>
      </c>
      <c r="L313" s="7">
        <f t="shared" si="54"/>
        <v>4.9144008395218908</v>
      </c>
      <c r="M313" s="7">
        <f t="shared" si="55"/>
        <v>10.069620253164556</v>
      </c>
      <c r="N313" s="7">
        <f t="shared" si="56"/>
        <v>2.1089377326145904</v>
      </c>
      <c r="O313" s="7">
        <f t="shared" si="57"/>
        <v>10.958227848101266</v>
      </c>
      <c r="P313" s="7">
        <f t="shared" si="58"/>
        <v>2.2883463843764797</v>
      </c>
      <c r="Q313" s="7">
        <f t="shared" si="59"/>
        <v>5.7498863435308259E-2</v>
      </c>
      <c r="R313" s="7">
        <f t="shared" si="60"/>
        <v>-0.43555794470403231</v>
      </c>
      <c r="S313" s="7">
        <f t="shared" si="61"/>
        <v>-0.98135673764000164</v>
      </c>
      <c r="T313" s="7">
        <f t="shared" si="62"/>
        <v>-1.729732821536889</v>
      </c>
      <c r="U313" s="7">
        <f t="shared" si="63"/>
        <v>-0.77228716011140364</v>
      </c>
    </row>
    <row r="314" spans="1:21" x14ac:dyDescent="0.25">
      <c r="A314" s="1" t="s">
        <v>1662</v>
      </c>
      <c r="B314" s="1" t="s">
        <v>36</v>
      </c>
      <c r="C314" s="1">
        <v>14</v>
      </c>
      <c r="D314" s="1">
        <v>12</v>
      </c>
      <c r="E314" s="1">
        <v>7</v>
      </c>
      <c r="F314" s="1">
        <v>11</v>
      </c>
      <c r="G314" s="1">
        <v>44</v>
      </c>
      <c r="H314" s="7">
        <v>0.86971849262290402</v>
      </c>
      <c r="I314" s="7">
        <f t="shared" si="64"/>
        <v>22.694936708860759</v>
      </c>
      <c r="J314" s="7">
        <f t="shared" si="52"/>
        <v>5.3055534129377486</v>
      </c>
      <c r="K314" s="7">
        <f t="shared" si="53"/>
        <v>22.140506329113926</v>
      </c>
      <c r="L314" s="7">
        <f t="shared" si="54"/>
        <v>4.9144008395218908</v>
      </c>
      <c r="M314" s="7">
        <f t="shared" si="55"/>
        <v>10.069620253164556</v>
      </c>
      <c r="N314" s="7">
        <f t="shared" si="56"/>
        <v>2.1089377326145904</v>
      </c>
      <c r="O314" s="7">
        <f t="shared" si="57"/>
        <v>10.958227848101266</v>
      </c>
      <c r="P314" s="7">
        <f t="shared" si="58"/>
        <v>2.2883463843764797</v>
      </c>
      <c r="Q314" s="7">
        <f t="shared" si="59"/>
        <v>-1.6388369001540724</v>
      </c>
      <c r="R314" s="7">
        <f t="shared" si="60"/>
        <v>-2.0634267859396811</v>
      </c>
      <c r="S314" s="7">
        <f t="shared" si="61"/>
        <v>-1.4555291062856295</v>
      </c>
      <c r="T314" s="7">
        <f t="shared" si="62"/>
        <v>1.8254295846087756E-2</v>
      </c>
      <c r="U314" s="7">
        <f t="shared" si="63"/>
        <v>-1.2848846241333238</v>
      </c>
    </row>
    <row r="315" spans="1:21" x14ac:dyDescent="0.25">
      <c r="A315" s="1" t="s">
        <v>1662</v>
      </c>
      <c r="B315" s="1" t="s">
        <v>36</v>
      </c>
      <c r="C315" s="1">
        <v>11</v>
      </c>
      <c r="D315" s="1">
        <v>15</v>
      </c>
      <c r="E315" s="1">
        <v>9</v>
      </c>
      <c r="F315" s="1">
        <v>11</v>
      </c>
      <c r="G315" s="1">
        <v>46</v>
      </c>
      <c r="H315" s="7">
        <v>0.77625002580618474</v>
      </c>
      <c r="I315" s="7">
        <f t="shared" si="64"/>
        <v>22.694936708860759</v>
      </c>
      <c r="J315" s="7">
        <f t="shared" si="52"/>
        <v>5.3055534129377486</v>
      </c>
      <c r="K315" s="7">
        <f t="shared" si="53"/>
        <v>22.140506329113926</v>
      </c>
      <c r="L315" s="7">
        <f t="shared" si="54"/>
        <v>4.9144008395218908</v>
      </c>
      <c r="M315" s="7">
        <f t="shared" si="55"/>
        <v>10.069620253164556</v>
      </c>
      <c r="N315" s="7">
        <f t="shared" si="56"/>
        <v>2.1089377326145904</v>
      </c>
      <c r="O315" s="7">
        <f t="shared" si="57"/>
        <v>10.958227848101266</v>
      </c>
      <c r="P315" s="7">
        <f t="shared" si="58"/>
        <v>2.2883463843764797</v>
      </c>
      <c r="Q315" s="7">
        <f t="shared" si="59"/>
        <v>-2.2042821546838658</v>
      </c>
      <c r="R315" s="7">
        <f t="shared" si="60"/>
        <v>-1.4529759704763128</v>
      </c>
      <c r="S315" s="7">
        <f t="shared" si="61"/>
        <v>-0.5071843689943738</v>
      </c>
      <c r="T315" s="7">
        <f t="shared" si="62"/>
        <v>1.8254295846087756E-2</v>
      </c>
      <c r="U315" s="7">
        <f t="shared" si="63"/>
        <v>-1.0365470495771163</v>
      </c>
    </row>
    <row r="316" spans="1:21" x14ac:dyDescent="0.25">
      <c r="A316" s="1" t="s">
        <v>1662</v>
      </c>
      <c r="B316" s="1" t="s">
        <v>36</v>
      </c>
      <c r="C316" s="1">
        <v>19</v>
      </c>
      <c r="D316" s="1">
        <v>21</v>
      </c>
      <c r="E316" s="1">
        <v>11</v>
      </c>
      <c r="F316" s="1">
        <v>12</v>
      </c>
      <c r="G316" s="1">
        <v>63</v>
      </c>
      <c r="H316" s="7">
        <v>0.98709623358564902</v>
      </c>
      <c r="I316" s="7">
        <f t="shared" si="64"/>
        <v>22.694936708860759</v>
      </c>
      <c r="J316" s="7">
        <f t="shared" si="52"/>
        <v>5.3055534129377486</v>
      </c>
      <c r="K316" s="7">
        <f t="shared" si="53"/>
        <v>22.140506329113926</v>
      </c>
      <c r="L316" s="7">
        <f t="shared" si="54"/>
        <v>4.9144008395218908</v>
      </c>
      <c r="M316" s="7">
        <f t="shared" si="55"/>
        <v>10.069620253164556</v>
      </c>
      <c r="N316" s="7">
        <f t="shared" si="56"/>
        <v>2.1089377326145904</v>
      </c>
      <c r="O316" s="7">
        <f t="shared" si="57"/>
        <v>10.958227848101266</v>
      </c>
      <c r="P316" s="7">
        <f t="shared" si="58"/>
        <v>2.2883463843764797</v>
      </c>
      <c r="Q316" s="7">
        <f t="shared" si="59"/>
        <v>-0.69642814260441643</v>
      </c>
      <c r="R316" s="7">
        <f t="shared" si="60"/>
        <v>-0.23207433954957621</v>
      </c>
      <c r="S316" s="7">
        <f t="shared" si="61"/>
        <v>0.44116036829688182</v>
      </c>
      <c r="T316" s="7">
        <f t="shared" si="62"/>
        <v>0.45525107519183194</v>
      </c>
      <c r="U316" s="7">
        <f t="shared" si="63"/>
        <v>-8.0227596663197259E-3</v>
      </c>
    </row>
    <row r="317" spans="1:21" x14ac:dyDescent="0.25">
      <c r="A317" s="1" t="s">
        <v>1662</v>
      </c>
      <c r="B317" s="1" t="s">
        <v>36</v>
      </c>
      <c r="C317" s="1">
        <v>15</v>
      </c>
      <c r="D317" s="1">
        <v>26</v>
      </c>
      <c r="E317" s="1">
        <v>11</v>
      </c>
      <c r="F317" s="1">
        <v>9</v>
      </c>
      <c r="G317" s="1">
        <v>61</v>
      </c>
      <c r="H317" s="7">
        <v>2.0568833780186053</v>
      </c>
      <c r="I317" s="7">
        <f t="shared" si="64"/>
        <v>22.694936708860759</v>
      </c>
      <c r="J317" s="7">
        <f t="shared" si="52"/>
        <v>5.3055534129377486</v>
      </c>
      <c r="K317" s="7">
        <f t="shared" si="53"/>
        <v>22.140506329113926</v>
      </c>
      <c r="L317" s="7">
        <f t="shared" si="54"/>
        <v>4.9144008395218908</v>
      </c>
      <c r="M317" s="7">
        <f t="shared" si="55"/>
        <v>10.069620253164556</v>
      </c>
      <c r="N317" s="7">
        <f t="shared" si="56"/>
        <v>2.1089377326145904</v>
      </c>
      <c r="O317" s="7">
        <f t="shared" si="57"/>
        <v>10.958227848101266</v>
      </c>
      <c r="P317" s="7">
        <f t="shared" si="58"/>
        <v>2.2883463843764797</v>
      </c>
      <c r="Q317" s="7">
        <f t="shared" si="59"/>
        <v>-1.4503551486441411</v>
      </c>
      <c r="R317" s="7">
        <f t="shared" si="60"/>
        <v>0.78534368622270434</v>
      </c>
      <c r="S317" s="7">
        <f t="shared" si="61"/>
        <v>0.44116036829688182</v>
      </c>
      <c r="T317" s="7">
        <f t="shared" si="62"/>
        <v>-0.85573926284540058</v>
      </c>
      <c r="U317" s="7">
        <f t="shared" si="63"/>
        <v>-0.26989758924248886</v>
      </c>
    </row>
    <row r="318" spans="1:21" x14ac:dyDescent="0.25">
      <c r="A318" s="1" t="s">
        <v>1662</v>
      </c>
      <c r="B318" s="1" t="s">
        <v>36</v>
      </c>
      <c r="C318" s="1">
        <v>18</v>
      </c>
      <c r="D318" s="1">
        <v>26</v>
      </c>
      <c r="E318" s="1">
        <v>11</v>
      </c>
      <c r="F318" s="1">
        <v>11</v>
      </c>
      <c r="G318" s="1">
        <v>66</v>
      </c>
      <c r="H318" s="7">
        <v>1.497861723788195</v>
      </c>
      <c r="I318" s="7">
        <f t="shared" si="64"/>
        <v>22.694936708860759</v>
      </c>
      <c r="J318" s="7">
        <f t="shared" si="52"/>
        <v>5.3055534129377486</v>
      </c>
      <c r="K318" s="7">
        <f t="shared" si="53"/>
        <v>22.140506329113926</v>
      </c>
      <c r="L318" s="7">
        <f t="shared" si="54"/>
        <v>4.9144008395218908</v>
      </c>
      <c r="M318" s="7">
        <f t="shared" si="55"/>
        <v>10.069620253164556</v>
      </c>
      <c r="N318" s="7">
        <f t="shared" si="56"/>
        <v>2.1089377326145904</v>
      </c>
      <c r="O318" s="7">
        <f t="shared" si="57"/>
        <v>10.958227848101266</v>
      </c>
      <c r="P318" s="7">
        <f t="shared" si="58"/>
        <v>2.2883463843764797</v>
      </c>
      <c r="Q318" s="7">
        <f t="shared" si="59"/>
        <v>-0.88490989411434762</v>
      </c>
      <c r="R318" s="7">
        <f t="shared" si="60"/>
        <v>0.78534368622270434</v>
      </c>
      <c r="S318" s="7">
        <f t="shared" si="61"/>
        <v>0.44116036829688182</v>
      </c>
      <c r="T318" s="7">
        <f t="shared" si="62"/>
        <v>1.8254295846087756E-2</v>
      </c>
      <c r="U318" s="7">
        <f t="shared" si="63"/>
        <v>8.9962114062831569E-2</v>
      </c>
    </row>
    <row r="319" spans="1:21" x14ac:dyDescent="0.25">
      <c r="A319" s="1" t="s">
        <v>1662</v>
      </c>
      <c r="B319" s="1" t="s">
        <v>36</v>
      </c>
      <c r="C319" s="1">
        <v>18</v>
      </c>
      <c r="D319" s="1">
        <v>21</v>
      </c>
      <c r="E319" s="1">
        <v>10</v>
      </c>
      <c r="F319" s="1">
        <v>10</v>
      </c>
      <c r="G319" s="1">
        <v>59</v>
      </c>
      <c r="H319" s="7">
        <v>1.3913653136029502</v>
      </c>
      <c r="I319" s="7">
        <f t="shared" si="64"/>
        <v>22.694936708860759</v>
      </c>
      <c r="J319" s="7">
        <f t="shared" si="52"/>
        <v>5.3055534129377486</v>
      </c>
      <c r="K319" s="7">
        <f t="shared" si="53"/>
        <v>22.140506329113926</v>
      </c>
      <c r="L319" s="7">
        <f t="shared" si="54"/>
        <v>4.9144008395218908</v>
      </c>
      <c r="M319" s="7">
        <f t="shared" si="55"/>
        <v>10.069620253164556</v>
      </c>
      <c r="N319" s="7">
        <f t="shared" si="56"/>
        <v>2.1089377326145904</v>
      </c>
      <c r="O319" s="7">
        <f t="shared" si="57"/>
        <v>10.958227848101266</v>
      </c>
      <c r="P319" s="7">
        <f t="shared" si="58"/>
        <v>2.2883463843764797</v>
      </c>
      <c r="Q319" s="7">
        <f t="shared" si="59"/>
        <v>-0.88490989411434762</v>
      </c>
      <c r="R319" s="7">
        <f t="shared" si="60"/>
        <v>-0.23207433954957621</v>
      </c>
      <c r="S319" s="7">
        <f t="shared" si="61"/>
        <v>-3.3012000348745997E-2</v>
      </c>
      <c r="T319" s="7">
        <f t="shared" si="62"/>
        <v>-0.41874248349965643</v>
      </c>
      <c r="U319" s="7">
        <f t="shared" si="63"/>
        <v>-0.39218467937808155</v>
      </c>
    </row>
    <row r="320" spans="1:21" x14ac:dyDescent="0.25">
      <c r="A320" s="1" t="s">
        <v>1662</v>
      </c>
      <c r="B320" s="1" t="s">
        <v>36</v>
      </c>
      <c r="C320" s="1">
        <v>22</v>
      </c>
      <c r="D320" s="1">
        <v>22</v>
      </c>
      <c r="E320" s="1">
        <v>10</v>
      </c>
      <c r="F320" s="1">
        <v>12</v>
      </c>
      <c r="G320" s="1">
        <v>66</v>
      </c>
      <c r="H320" s="7">
        <v>1.4411533842457842</v>
      </c>
      <c r="I320" s="7">
        <f t="shared" si="64"/>
        <v>22.694936708860759</v>
      </c>
      <c r="J320" s="7">
        <f t="shared" si="52"/>
        <v>5.3055534129377486</v>
      </c>
      <c r="K320" s="7">
        <f t="shared" si="53"/>
        <v>22.140506329113926</v>
      </c>
      <c r="L320" s="7">
        <f t="shared" si="54"/>
        <v>4.9144008395218908</v>
      </c>
      <c r="M320" s="7">
        <f t="shared" si="55"/>
        <v>10.069620253164556</v>
      </c>
      <c r="N320" s="7">
        <f t="shared" si="56"/>
        <v>2.1089377326145904</v>
      </c>
      <c r="O320" s="7">
        <f t="shared" si="57"/>
        <v>10.958227848101266</v>
      </c>
      <c r="P320" s="7">
        <f t="shared" si="58"/>
        <v>2.2883463843764797</v>
      </c>
      <c r="Q320" s="7">
        <f t="shared" si="59"/>
        <v>-0.13098288807462291</v>
      </c>
      <c r="R320" s="7">
        <f t="shared" si="60"/>
        <v>-2.8590734395120113E-2</v>
      </c>
      <c r="S320" s="7">
        <f t="shared" si="61"/>
        <v>-3.3012000348745997E-2</v>
      </c>
      <c r="T320" s="7">
        <f t="shared" si="62"/>
        <v>0.45525107519183194</v>
      </c>
      <c r="U320" s="7">
        <f t="shared" si="63"/>
        <v>6.5666363093335733E-2</v>
      </c>
    </row>
    <row r="321" spans="1:21" x14ac:dyDescent="0.25">
      <c r="A321" s="1" t="s">
        <v>1662</v>
      </c>
      <c r="B321" s="1" t="s">
        <v>36</v>
      </c>
      <c r="C321" s="1">
        <v>24</v>
      </c>
      <c r="D321" s="1">
        <v>20</v>
      </c>
      <c r="E321" s="1">
        <v>9</v>
      </c>
      <c r="F321" s="1">
        <v>11</v>
      </c>
      <c r="G321" s="1">
        <v>64</v>
      </c>
      <c r="H321" s="7">
        <v>1.5525000516123695</v>
      </c>
      <c r="I321" s="7">
        <f t="shared" si="64"/>
        <v>22.694936708860759</v>
      </c>
      <c r="J321" s="7">
        <f t="shared" si="52"/>
        <v>5.3055534129377486</v>
      </c>
      <c r="K321" s="7">
        <f t="shared" si="53"/>
        <v>22.140506329113926</v>
      </c>
      <c r="L321" s="7">
        <f t="shared" si="54"/>
        <v>4.9144008395218908</v>
      </c>
      <c r="M321" s="7">
        <f t="shared" si="55"/>
        <v>10.069620253164556</v>
      </c>
      <c r="N321" s="7">
        <f t="shared" si="56"/>
        <v>2.1089377326145904</v>
      </c>
      <c r="O321" s="7">
        <f t="shared" si="57"/>
        <v>10.958227848101266</v>
      </c>
      <c r="P321" s="7">
        <f t="shared" si="58"/>
        <v>2.2883463843764797</v>
      </c>
      <c r="Q321" s="7">
        <f t="shared" si="59"/>
        <v>0.24598061494523943</v>
      </c>
      <c r="R321" s="7">
        <f t="shared" si="60"/>
        <v>-0.43555794470403231</v>
      </c>
      <c r="S321" s="7">
        <f t="shared" si="61"/>
        <v>-0.5071843689943738</v>
      </c>
      <c r="T321" s="7">
        <f t="shared" si="62"/>
        <v>1.8254295846087756E-2</v>
      </c>
      <c r="U321" s="7">
        <f t="shared" si="63"/>
        <v>-0.16962685072676972</v>
      </c>
    </row>
    <row r="322" spans="1:21" x14ac:dyDescent="0.25">
      <c r="A322" s="1" t="s">
        <v>1662</v>
      </c>
      <c r="B322" s="1" t="s">
        <v>36</v>
      </c>
      <c r="C322" s="1">
        <v>25</v>
      </c>
      <c r="D322" s="1">
        <v>23</v>
      </c>
      <c r="E322" s="1">
        <v>9</v>
      </c>
      <c r="F322" s="1">
        <v>10</v>
      </c>
      <c r="G322" s="1">
        <v>67</v>
      </c>
      <c r="H322" s="7">
        <v>1.9081471748860572</v>
      </c>
      <c r="I322" s="7">
        <f t="shared" si="64"/>
        <v>22.694936708860759</v>
      </c>
      <c r="J322" s="7">
        <f t="shared" si="52"/>
        <v>5.3055534129377486</v>
      </c>
      <c r="K322" s="7">
        <f t="shared" si="53"/>
        <v>22.140506329113926</v>
      </c>
      <c r="L322" s="7">
        <f t="shared" si="54"/>
        <v>4.9144008395218908</v>
      </c>
      <c r="M322" s="7">
        <f t="shared" si="55"/>
        <v>10.069620253164556</v>
      </c>
      <c r="N322" s="7">
        <f t="shared" si="56"/>
        <v>2.1089377326145904</v>
      </c>
      <c r="O322" s="7">
        <f t="shared" si="57"/>
        <v>10.958227848101266</v>
      </c>
      <c r="P322" s="7">
        <f t="shared" si="58"/>
        <v>2.2883463843764797</v>
      </c>
      <c r="Q322" s="7">
        <f t="shared" si="59"/>
        <v>0.43446236645517061</v>
      </c>
      <c r="R322" s="7">
        <f t="shared" si="60"/>
        <v>0.17489287075933599</v>
      </c>
      <c r="S322" s="7">
        <f t="shared" si="61"/>
        <v>-0.5071843689943738</v>
      </c>
      <c r="T322" s="7">
        <f t="shared" si="62"/>
        <v>-0.41874248349965643</v>
      </c>
      <c r="U322" s="7">
        <f t="shared" si="63"/>
        <v>-7.9142903819880914E-2</v>
      </c>
    </row>
    <row r="323" spans="1:21" x14ac:dyDescent="0.25">
      <c r="A323" s="1" t="s">
        <v>1662</v>
      </c>
      <c r="B323" s="1" t="s">
        <v>36</v>
      </c>
      <c r="C323" s="1">
        <v>22</v>
      </c>
      <c r="D323" s="1">
        <v>20</v>
      </c>
      <c r="E323" s="1">
        <v>9</v>
      </c>
      <c r="F323" s="1">
        <v>10</v>
      </c>
      <c r="G323" s="1">
        <v>61</v>
      </c>
      <c r="H323" s="7">
        <v>1.4366984945013912</v>
      </c>
      <c r="I323" s="7">
        <f t="shared" si="64"/>
        <v>22.694936708860759</v>
      </c>
      <c r="J323" s="7">
        <f t="shared" ref="J323:J386" si="65">_xlfn.STDEV.S(C:C)</f>
        <v>5.3055534129377486</v>
      </c>
      <c r="K323" s="7">
        <f t="shared" ref="K323:K386" si="66">AVERAGE(D:D)</f>
        <v>22.140506329113926</v>
      </c>
      <c r="L323" s="7">
        <f t="shared" ref="L323:L386" si="67">_xlfn.STDEV.S(D:D)</f>
        <v>4.9144008395218908</v>
      </c>
      <c r="M323" s="7">
        <f t="shared" ref="M323:M386" si="68">AVERAGE(E:E)</f>
        <v>10.069620253164556</v>
      </c>
      <c r="N323" s="7">
        <f t="shared" ref="N323:N386" si="69">_xlfn.STDEV.S(E:E)</f>
        <v>2.1089377326145904</v>
      </c>
      <c r="O323" s="7">
        <f t="shared" ref="O323:O386" si="70">AVERAGE(F:F)</f>
        <v>10.958227848101266</v>
      </c>
      <c r="P323" s="7">
        <f t="shared" ref="P323:P386" si="71">_xlfn.STDEV.S(F:F)</f>
        <v>2.2883463843764797</v>
      </c>
      <c r="Q323" s="7">
        <f t="shared" ref="Q323:Q386" si="72">STANDARDIZE(C323,I323,J323)</f>
        <v>-0.13098288807462291</v>
      </c>
      <c r="R323" s="7">
        <f t="shared" ref="R323:R386" si="73">STANDARDIZE(D323,K323,L323)</f>
        <v>-0.43555794470403231</v>
      </c>
      <c r="S323" s="7">
        <f t="shared" ref="S323:S386" si="74">STANDARDIZE(E323,M323,N323)</f>
        <v>-0.5071843689943738</v>
      </c>
      <c r="T323" s="7">
        <f t="shared" ref="T323:T386" si="75">STANDARDIZE(F323,O323,P323)</f>
        <v>-0.41874248349965643</v>
      </c>
      <c r="U323" s="7">
        <f t="shared" ref="U323:U386" si="76">AVERAGE(Q323:T323)</f>
        <v>-0.37311692131817137</v>
      </c>
    </row>
    <row r="324" spans="1:21" x14ac:dyDescent="0.25">
      <c r="A324" s="1" t="s">
        <v>1662</v>
      </c>
      <c r="B324" s="1" t="s">
        <v>36</v>
      </c>
      <c r="C324" s="1">
        <v>20</v>
      </c>
      <c r="D324" s="1">
        <v>18</v>
      </c>
      <c r="E324" s="1">
        <v>8</v>
      </c>
      <c r="F324" s="1">
        <v>11</v>
      </c>
      <c r="G324" s="1">
        <v>57</v>
      </c>
      <c r="H324" s="7">
        <v>0.96076892283052262</v>
      </c>
      <c r="I324" s="7">
        <f t="shared" ref="I324:I387" si="77">AVERAGE(C:C)</f>
        <v>22.694936708860759</v>
      </c>
      <c r="J324" s="7">
        <f t="shared" si="65"/>
        <v>5.3055534129377486</v>
      </c>
      <c r="K324" s="7">
        <f t="shared" si="66"/>
        <v>22.140506329113926</v>
      </c>
      <c r="L324" s="7">
        <f t="shared" si="67"/>
        <v>4.9144008395218908</v>
      </c>
      <c r="M324" s="7">
        <f t="shared" si="68"/>
        <v>10.069620253164556</v>
      </c>
      <c r="N324" s="7">
        <f t="shared" si="69"/>
        <v>2.1089377326145904</v>
      </c>
      <c r="O324" s="7">
        <f t="shared" si="70"/>
        <v>10.958227848101266</v>
      </c>
      <c r="P324" s="7">
        <f t="shared" si="71"/>
        <v>2.2883463843764797</v>
      </c>
      <c r="Q324" s="7">
        <f t="shared" si="72"/>
        <v>-0.50794639109448525</v>
      </c>
      <c r="R324" s="7">
        <f t="shared" si="73"/>
        <v>-0.84252515501294456</v>
      </c>
      <c r="S324" s="7">
        <f t="shared" si="74"/>
        <v>-0.98135673764000164</v>
      </c>
      <c r="T324" s="7">
        <f t="shared" si="75"/>
        <v>1.8254295846087756E-2</v>
      </c>
      <c r="U324" s="7">
        <f t="shared" si="76"/>
        <v>-0.57839349697533593</v>
      </c>
    </row>
    <row r="325" spans="1:21" x14ac:dyDescent="0.25">
      <c r="A325" s="1" t="s">
        <v>1662</v>
      </c>
      <c r="B325" s="1" t="s">
        <v>36</v>
      </c>
      <c r="C325" s="1">
        <v>20</v>
      </c>
      <c r="D325" s="1">
        <v>24</v>
      </c>
      <c r="E325" s="1">
        <v>11</v>
      </c>
      <c r="F325" s="1">
        <v>12</v>
      </c>
      <c r="G325" s="1">
        <v>67</v>
      </c>
      <c r="H325" s="7">
        <v>1.5191090506255001</v>
      </c>
      <c r="I325" s="7">
        <f t="shared" si="77"/>
        <v>22.694936708860759</v>
      </c>
      <c r="J325" s="7">
        <f t="shared" si="65"/>
        <v>5.3055534129377486</v>
      </c>
      <c r="K325" s="7">
        <f t="shared" si="66"/>
        <v>22.140506329113926</v>
      </c>
      <c r="L325" s="7">
        <f t="shared" si="67"/>
        <v>4.9144008395218908</v>
      </c>
      <c r="M325" s="7">
        <f t="shared" si="68"/>
        <v>10.069620253164556</v>
      </c>
      <c r="N325" s="7">
        <f t="shared" si="69"/>
        <v>2.1089377326145904</v>
      </c>
      <c r="O325" s="7">
        <f t="shared" si="70"/>
        <v>10.958227848101266</v>
      </c>
      <c r="P325" s="7">
        <f t="shared" si="71"/>
        <v>2.2883463843764797</v>
      </c>
      <c r="Q325" s="7">
        <f t="shared" si="72"/>
        <v>-0.50794639109448525</v>
      </c>
      <c r="R325" s="7">
        <f t="shared" si="73"/>
        <v>0.37837647591379209</v>
      </c>
      <c r="S325" s="7">
        <f t="shared" si="74"/>
        <v>0.44116036829688182</v>
      </c>
      <c r="T325" s="7">
        <f t="shared" si="75"/>
        <v>0.45525107519183194</v>
      </c>
      <c r="U325" s="7">
        <f t="shared" si="76"/>
        <v>0.19171038207700514</v>
      </c>
    </row>
    <row r="326" spans="1:21" x14ac:dyDescent="0.25">
      <c r="A326" s="1" t="s">
        <v>1662</v>
      </c>
      <c r="B326" s="1" t="s">
        <v>36</v>
      </c>
      <c r="C326" s="1">
        <v>25</v>
      </c>
      <c r="D326" s="1">
        <v>25</v>
      </c>
      <c r="E326" s="1">
        <v>11</v>
      </c>
      <c r="F326" s="1">
        <v>12</v>
      </c>
      <c r="G326" s="1">
        <v>73</v>
      </c>
      <c r="H326" s="7">
        <v>1.7577666482623882</v>
      </c>
      <c r="I326" s="7">
        <f t="shared" si="77"/>
        <v>22.694936708860759</v>
      </c>
      <c r="J326" s="7">
        <f t="shared" si="65"/>
        <v>5.3055534129377486</v>
      </c>
      <c r="K326" s="7">
        <f t="shared" si="66"/>
        <v>22.140506329113926</v>
      </c>
      <c r="L326" s="7">
        <f t="shared" si="67"/>
        <v>4.9144008395218908</v>
      </c>
      <c r="M326" s="7">
        <f t="shared" si="68"/>
        <v>10.069620253164556</v>
      </c>
      <c r="N326" s="7">
        <f t="shared" si="69"/>
        <v>2.1089377326145904</v>
      </c>
      <c r="O326" s="7">
        <f t="shared" si="70"/>
        <v>10.958227848101266</v>
      </c>
      <c r="P326" s="7">
        <f t="shared" si="71"/>
        <v>2.2883463843764797</v>
      </c>
      <c r="Q326" s="7">
        <f t="shared" si="72"/>
        <v>0.43446236645517061</v>
      </c>
      <c r="R326" s="7">
        <f t="shared" si="73"/>
        <v>0.58186008106824816</v>
      </c>
      <c r="S326" s="7">
        <f t="shared" si="74"/>
        <v>0.44116036829688182</v>
      </c>
      <c r="T326" s="7">
        <f t="shared" si="75"/>
        <v>0.45525107519183194</v>
      </c>
      <c r="U326" s="7">
        <f t="shared" si="76"/>
        <v>0.47818347275303313</v>
      </c>
    </row>
    <row r="327" spans="1:21" x14ac:dyDescent="0.25">
      <c r="A327" s="1" t="s">
        <v>1654</v>
      </c>
      <c r="B327" s="1" t="s">
        <v>36</v>
      </c>
      <c r="C327" s="1">
        <v>22</v>
      </c>
      <c r="D327" s="1">
        <v>24</v>
      </c>
      <c r="E327" s="1">
        <v>11</v>
      </c>
      <c r="F327" s="1">
        <v>10</v>
      </c>
      <c r="G327" s="1">
        <v>67</v>
      </c>
      <c r="H327" s="7">
        <v>1.5730095277394143</v>
      </c>
      <c r="I327" s="7">
        <f t="shared" si="77"/>
        <v>22.694936708860759</v>
      </c>
      <c r="J327" s="7">
        <f t="shared" si="65"/>
        <v>5.3055534129377486</v>
      </c>
      <c r="K327" s="7">
        <f t="shared" si="66"/>
        <v>22.140506329113926</v>
      </c>
      <c r="L327" s="7">
        <f t="shared" si="67"/>
        <v>4.9144008395218908</v>
      </c>
      <c r="M327" s="7">
        <f t="shared" si="68"/>
        <v>10.069620253164556</v>
      </c>
      <c r="N327" s="7">
        <f t="shared" si="69"/>
        <v>2.1089377326145904</v>
      </c>
      <c r="O327" s="7">
        <f t="shared" si="70"/>
        <v>10.958227848101266</v>
      </c>
      <c r="P327" s="7">
        <f t="shared" si="71"/>
        <v>2.2883463843764797</v>
      </c>
      <c r="Q327" s="7">
        <f t="shared" si="72"/>
        <v>-0.13098288807462291</v>
      </c>
      <c r="R327" s="7">
        <f t="shared" si="73"/>
        <v>0.37837647591379209</v>
      </c>
      <c r="S327" s="7">
        <f t="shared" si="74"/>
        <v>0.44116036829688182</v>
      </c>
      <c r="T327" s="7">
        <f t="shared" si="75"/>
        <v>-0.41874248349965643</v>
      </c>
      <c r="U327" s="7">
        <f t="shared" si="76"/>
        <v>6.7452868159098636E-2</v>
      </c>
    </row>
    <row r="328" spans="1:21" x14ac:dyDescent="0.25">
      <c r="A328" s="1" t="s">
        <v>1654</v>
      </c>
      <c r="B328" s="1" t="s">
        <v>36</v>
      </c>
      <c r="C328" s="1">
        <v>25</v>
      </c>
      <c r="D328" s="1">
        <v>25</v>
      </c>
      <c r="E328" s="1">
        <v>13</v>
      </c>
      <c r="F328" s="1">
        <v>14</v>
      </c>
      <c r="G328" s="1">
        <v>77</v>
      </c>
      <c r="H328" s="7">
        <v>1.4411533842457842</v>
      </c>
      <c r="I328" s="7">
        <f t="shared" si="77"/>
        <v>22.694936708860759</v>
      </c>
      <c r="J328" s="7">
        <f t="shared" si="65"/>
        <v>5.3055534129377486</v>
      </c>
      <c r="K328" s="7">
        <f t="shared" si="66"/>
        <v>22.140506329113926</v>
      </c>
      <c r="L328" s="7">
        <f t="shared" si="67"/>
        <v>4.9144008395218908</v>
      </c>
      <c r="M328" s="7">
        <f t="shared" si="68"/>
        <v>10.069620253164556</v>
      </c>
      <c r="N328" s="7">
        <f t="shared" si="69"/>
        <v>2.1089377326145904</v>
      </c>
      <c r="O328" s="7">
        <f t="shared" si="70"/>
        <v>10.958227848101266</v>
      </c>
      <c r="P328" s="7">
        <f t="shared" si="71"/>
        <v>2.2883463843764797</v>
      </c>
      <c r="Q328" s="7">
        <f t="shared" si="72"/>
        <v>0.43446236645517061</v>
      </c>
      <c r="R328" s="7">
        <f t="shared" si="73"/>
        <v>0.58186008106824816</v>
      </c>
      <c r="S328" s="7">
        <f t="shared" si="74"/>
        <v>1.3895051055881373</v>
      </c>
      <c r="T328" s="7">
        <f t="shared" si="75"/>
        <v>1.3292446338833204</v>
      </c>
      <c r="U328" s="7">
        <f t="shared" si="76"/>
        <v>0.93376804674871905</v>
      </c>
    </row>
    <row r="329" spans="1:21" x14ac:dyDescent="0.25">
      <c r="A329" s="1" t="s">
        <v>1654</v>
      </c>
      <c r="B329" s="1" t="s">
        <v>36</v>
      </c>
      <c r="C329" s="1">
        <v>29</v>
      </c>
      <c r="D329" s="1">
        <v>30</v>
      </c>
      <c r="E329" s="1">
        <v>13</v>
      </c>
      <c r="F329" s="1">
        <v>14</v>
      </c>
      <c r="G329" s="1">
        <v>86</v>
      </c>
      <c r="H329" s="7">
        <v>1.9381460874790259</v>
      </c>
      <c r="I329" s="7">
        <f t="shared" si="77"/>
        <v>22.694936708860759</v>
      </c>
      <c r="J329" s="7">
        <f t="shared" si="65"/>
        <v>5.3055534129377486</v>
      </c>
      <c r="K329" s="7">
        <f t="shared" si="66"/>
        <v>22.140506329113926</v>
      </c>
      <c r="L329" s="7">
        <f t="shared" si="67"/>
        <v>4.9144008395218908</v>
      </c>
      <c r="M329" s="7">
        <f t="shared" si="68"/>
        <v>10.069620253164556</v>
      </c>
      <c r="N329" s="7">
        <f t="shared" si="69"/>
        <v>2.1089377326145904</v>
      </c>
      <c r="O329" s="7">
        <f t="shared" si="70"/>
        <v>10.958227848101266</v>
      </c>
      <c r="P329" s="7">
        <f t="shared" si="71"/>
        <v>2.2883463843764797</v>
      </c>
      <c r="Q329" s="7">
        <f t="shared" si="72"/>
        <v>1.1883893724948953</v>
      </c>
      <c r="R329" s="7">
        <f t="shared" si="73"/>
        <v>1.5992781068405286</v>
      </c>
      <c r="S329" s="7">
        <f t="shared" si="74"/>
        <v>1.3895051055881373</v>
      </c>
      <c r="T329" s="7">
        <f t="shared" si="75"/>
        <v>1.3292446338833204</v>
      </c>
      <c r="U329" s="7">
        <f t="shared" si="76"/>
        <v>1.3766043047017202</v>
      </c>
    </row>
    <row r="330" spans="1:21" x14ac:dyDescent="0.25">
      <c r="A330" s="1" t="s">
        <v>1654</v>
      </c>
      <c r="B330" s="1" t="s">
        <v>36</v>
      </c>
      <c r="C330" s="1">
        <v>32</v>
      </c>
      <c r="D330" s="1">
        <v>31</v>
      </c>
      <c r="E330" s="1">
        <v>12</v>
      </c>
      <c r="F330" s="1">
        <v>9</v>
      </c>
      <c r="G330" s="1">
        <v>84</v>
      </c>
      <c r="H330" s="7">
        <v>3.0445411426405071</v>
      </c>
      <c r="I330" s="7">
        <f t="shared" si="77"/>
        <v>22.694936708860759</v>
      </c>
      <c r="J330" s="7">
        <f t="shared" si="65"/>
        <v>5.3055534129377486</v>
      </c>
      <c r="K330" s="7">
        <f t="shared" si="66"/>
        <v>22.140506329113926</v>
      </c>
      <c r="L330" s="7">
        <f t="shared" si="67"/>
        <v>4.9144008395218908</v>
      </c>
      <c r="M330" s="7">
        <f t="shared" si="68"/>
        <v>10.069620253164556</v>
      </c>
      <c r="N330" s="7">
        <f t="shared" si="69"/>
        <v>2.1089377326145904</v>
      </c>
      <c r="O330" s="7">
        <f t="shared" si="70"/>
        <v>10.958227848101266</v>
      </c>
      <c r="P330" s="7">
        <f t="shared" si="71"/>
        <v>2.2883463843764797</v>
      </c>
      <c r="Q330" s="7">
        <f t="shared" si="72"/>
        <v>1.7538346270246887</v>
      </c>
      <c r="R330" s="7">
        <f t="shared" si="73"/>
        <v>1.8027617119949848</v>
      </c>
      <c r="S330" s="7">
        <f t="shared" si="74"/>
        <v>0.91533273694250961</v>
      </c>
      <c r="T330" s="7">
        <f t="shared" si="75"/>
        <v>-0.85573926284540058</v>
      </c>
      <c r="U330" s="7">
        <f t="shared" si="76"/>
        <v>0.90404745327919578</v>
      </c>
    </row>
    <row r="331" spans="1:21" x14ac:dyDescent="0.25">
      <c r="A331" s="1" t="s">
        <v>1654</v>
      </c>
      <c r="B331" s="1" t="s">
        <v>36</v>
      </c>
      <c r="C331" s="1">
        <v>30</v>
      </c>
      <c r="D331" s="1">
        <v>29</v>
      </c>
      <c r="E331" s="1">
        <v>14</v>
      </c>
      <c r="F331" s="1">
        <v>13</v>
      </c>
      <c r="G331" s="1">
        <v>86</v>
      </c>
      <c r="H331" s="7">
        <v>2.1809195896250402</v>
      </c>
      <c r="I331" s="7">
        <f t="shared" si="77"/>
        <v>22.694936708860759</v>
      </c>
      <c r="J331" s="7">
        <f t="shared" si="65"/>
        <v>5.3055534129377486</v>
      </c>
      <c r="K331" s="7">
        <f t="shared" si="66"/>
        <v>22.140506329113926</v>
      </c>
      <c r="L331" s="7">
        <f t="shared" si="67"/>
        <v>4.9144008395218908</v>
      </c>
      <c r="M331" s="7">
        <f t="shared" si="68"/>
        <v>10.069620253164556</v>
      </c>
      <c r="N331" s="7">
        <f t="shared" si="69"/>
        <v>2.1089377326145904</v>
      </c>
      <c r="O331" s="7">
        <f t="shared" si="70"/>
        <v>10.958227848101266</v>
      </c>
      <c r="P331" s="7">
        <f t="shared" si="71"/>
        <v>2.2883463843764797</v>
      </c>
      <c r="Q331" s="7">
        <f t="shared" si="72"/>
        <v>1.3768711240048266</v>
      </c>
      <c r="R331" s="7">
        <f t="shared" si="73"/>
        <v>1.3957945016860727</v>
      </c>
      <c r="S331" s="7">
        <f t="shared" si="74"/>
        <v>1.8636774742337652</v>
      </c>
      <c r="T331" s="7">
        <f t="shared" si="75"/>
        <v>0.89224785453757616</v>
      </c>
      <c r="U331" s="7">
        <f t="shared" si="76"/>
        <v>1.3821477386155601</v>
      </c>
    </row>
    <row r="332" spans="1:21" x14ac:dyDescent="0.25">
      <c r="A332" s="1" t="s">
        <v>1654</v>
      </c>
      <c r="B332" s="1" t="s">
        <v>36</v>
      </c>
      <c r="C332" s="1">
        <v>20</v>
      </c>
      <c r="D332" s="1">
        <v>21</v>
      </c>
      <c r="E332" s="1">
        <v>6</v>
      </c>
      <c r="F332" s="1">
        <v>11</v>
      </c>
      <c r="G332" s="1">
        <v>58</v>
      </c>
      <c r="H332" s="7">
        <v>1.5063966175050876</v>
      </c>
      <c r="I332" s="7">
        <f t="shared" si="77"/>
        <v>22.694936708860759</v>
      </c>
      <c r="J332" s="7">
        <f t="shared" si="65"/>
        <v>5.3055534129377486</v>
      </c>
      <c r="K332" s="7">
        <f t="shared" si="66"/>
        <v>22.140506329113926</v>
      </c>
      <c r="L332" s="7">
        <f t="shared" si="67"/>
        <v>4.9144008395218908</v>
      </c>
      <c r="M332" s="7">
        <f t="shared" si="68"/>
        <v>10.069620253164556</v>
      </c>
      <c r="N332" s="7">
        <f t="shared" si="69"/>
        <v>2.1089377326145904</v>
      </c>
      <c r="O332" s="7">
        <f t="shared" si="70"/>
        <v>10.958227848101266</v>
      </c>
      <c r="P332" s="7">
        <f t="shared" si="71"/>
        <v>2.2883463843764797</v>
      </c>
      <c r="Q332" s="7">
        <f t="shared" si="72"/>
        <v>-0.50794639109448525</v>
      </c>
      <c r="R332" s="7">
        <f t="shared" si="73"/>
        <v>-0.23207433954957621</v>
      </c>
      <c r="S332" s="7">
        <f t="shared" si="74"/>
        <v>-1.9297014749312573</v>
      </c>
      <c r="T332" s="7">
        <f t="shared" si="75"/>
        <v>1.8254295846087756E-2</v>
      </c>
      <c r="U332" s="7">
        <f t="shared" si="76"/>
        <v>-0.66286697743230771</v>
      </c>
    </row>
    <row r="333" spans="1:21" x14ac:dyDescent="0.25">
      <c r="A333" s="1" t="s">
        <v>1654</v>
      </c>
      <c r="B333" s="1" t="s">
        <v>36</v>
      </c>
      <c r="C333" s="1">
        <v>32</v>
      </c>
      <c r="D333" s="1">
        <v>31</v>
      </c>
      <c r="E333" s="1">
        <v>15</v>
      </c>
      <c r="F333" s="1">
        <v>9</v>
      </c>
      <c r="G333" s="1">
        <v>87</v>
      </c>
      <c r="H333" s="7">
        <v>2.8397363546819911</v>
      </c>
      <c r="I333" s="7">
        <f t="shared" si="77"/>
        <v>22.694936708860759</v>
      </c>
      <c r="J333" s="7">
        <f t="shared" si="65"/>
        <v>5.3055534129377486</v>
      </c>
      <c r="K333" s="7">
        <f t="shared" si="66"/>
        <v>22.140506329113926</v>
      </c>
      <c r="L333" s="7">
        <f t="shared" si="67"/>
        <v>4.9144008395218908</v>
      </c>
      <c r="M333" s="7">
        <f t="shared" si="68"/>
        <v>10.069620253164556</v>
      </c>
      <c r="N333" s="7">
        <f t="shared" si="69"/>
        <v>2.1089377326145904</v>
      </c>
      <c r="O333" s="7">
        <f t="shared" si="70"/>
        <v>10.958227848101266</v>
      </c>
      <c r="P333" s="7">
        <f t="shared" si="71"/>
        <v>2.2883463843764797</v>
      </c>
      <c r="Q333" s="7">
        <f t="shared" si="72"/>
        <v>1.7538346270246887</v>
      </c>
      <c r="R333" s="7">
        <f t="shared" si="73"/>
        <v>1.8027617119949848</v>
      </c>
      <c r="S333" s="7">
        <f t="shared" si="74"/>
        <v>2.3378498428793932</v>
      </c>
      <c r="T333" s="7">
        <f t="shared" si="75"/>
        <v>-0.85573926284540058</v>
      </c>
      <c r="U333" s="7">
        <f t="shared" si="76"/>
        <v>1.2596767297634166</v>
      </c>
    </row>
    <row r="334" spans="1:21" x14ac:dyDescent="0.25">
      <c r="A334" s="1" t="s">
        <v>1654</v>
      </c>
      <c r="B334" s="1" t="s">
        <v>36</v>
      </c>
      <c r="C334" s="1">
        <v>33</v>
      </c>
      <c r="D334" s="1">
        <v>32</v>
      </c>
      <c r="E334" s="1">
        <v>13</v>
      </c>
      <c r="F334" s="1">
        <v>10</v>
      </c>
      <c r="G334" s="1">
        <v>88</v>
      </c>
      <c r="H334" s="7">
        <v>2.7735009811261451</v>
      </c>
      <c r="I334" s="7">
        <f t="shared" si="77"/>
        <v>22.694936708860759</v>
      </c>
      <c r="J334" s="7">
        <f t="shared" si="65"/>
        <v>5.3055534129377486</v>
      </c>
      <c r="K334" s="7">
        <f t="shared" si="66"/>
        <v>22.140506329113926</v>
      </c>
      <c r="L334" s="7">
        <f t="shared" si="67"/>
        <v>4.9144008395218908</v>
      </c>
      <c r="M334" s="7">
        <f t="shared" si="68"/>
        <v>10.069620253164556</v>
      </c>
      <c r="N334" s="7">
        <f t="shared" si="69"/>
        <v>2.1089377326145904</v>
      </c>
      <c r="O334" s="7">
        <f t="shared" si="70"/>
        <v>10.958227848101266</v>
      </c>
      <c r="P334" s="7">
        <f t="shared" si="71"/>
        <v>2.2883463843764797</v>
      </c>
      <c r="Q334" s="7">
        <f t="shared" si="72"/>
        <v>1.94231637853462</v>
      </c>
      <c r="R334" s="7">
        <f t="shared" si="73"/>
        <v>2.0062453171494408</v>
      </c>
      <c r="S334" s="7">
        <f t="shared" si="74"/>
        <v>1.3895051055881373</v>
      </c>
      <c r="T334" s="7">
        <f t="shared" si="75"/>
        <v>-0.41874248349965643</v>
      </c>
      <c r="U334" s="7">
        <f t="shared" si="76"/>
        <v>1.2298310794431355</v>
      </c>
    </row>
    <row r="335" spans="1:21" x14ac:dyDescent="0.25">
      <c r="A335" s="1" t="s">
        <v>1654</v>
      </c>
      <c r="B335" s="1" t="s">
        <v>36</v>
      </c>
      <c r="C335" s="1">
        <v>27</v>
      </c>
      <c r="D335" s="1">
        <v>22</v>
      </c>
      <c r="E335" s="1">
        <v>12</v>
      </c>
      <c r="F335" s="1">
        <v>10</v>
      </c>
      <c r="G335" s="1">
        <v>71</v>
      </c>
      <c r="H335" s="7">
        <v>2.0662116951635836</v>
      </c>
      <c r="I335" s="7">
        <f t="shared" si="77"/>
        <v>22.694936708860759</v>
      </c>
      <c r="J335" s="7">
        <f t="shared" si="65"/>
        <v>5.3055534129377486</v>
      </c>
      <c r="K335" s="7">
        <f t="shared" si="66"/>
        <v>22.140506329113926</v>
      </c>
      <c r="L335" s="7">
        <f t="shared" si="67"/>
        <v>4.9144008395218908</v>
      </c>
      <c r="M335" s="7">
        <f t="shared" si="68"/>
        <v>10.069620253164556</v>
      </c>
      <c r="N335" s="7">
        <f t="shared" si="69"/>
        <v>2.1089377326145904</v>
      </c>
      <c r="O335" s="7">
        <f t="shared" si="70"/>
        <v>10.958227848101266</v>
      </c>
      <c r="P335" s="7">
        <f t="shared" si="71"/>
        <v>2.2883463843764797</v>
      </c>
      <c r="Q335" s="7">
        <f t="shared" si="72"/>
        <v>0.81142586947503292</v>
      </c>
      <c r="R335" s="7">
        <f t="shared" si="73"/>
        <v>-2.8590734395120113E-2</v>
      </c>
      <c r="S335" s="7">
        <f t="shared" si="74"/>
        <v>0.91533273694250961</v>
      </c>
      <c r="T335" s="7">
        <f t="shared" si="75"/>
        <v>-0.41874248349965643</v>
      </c>
      <c r="U335" s="7">
        <f t="shared" si="76"/>
        <v>0.3198563471306915</v>
      </c>
    </row>
    <row r="336" spans="1:21" x14ac:dyDescent="0.25">
      <c r="A336" s="1" t="s">
        <v>1654</v>
      </c>
      <c r="B336" s="1" t="s">
        <v>36</v>
      </c>
      <c r="C336" s="1">
        <v>23</v>
      </c>
      <c r="D336" s="1">
        <v>26</v>
      </c>
      <c r="E336" s="1">
        <v>12</v>
      </c>
      <c r="F336" s="1">
        <v>9</v>
      </c>
      <c r="G336" s="1">
        <v>70</v>
      </c>
      <c r="H336" s="7">
        <v>2.1031112483834331</v>
      </c>
      <c r="I336" s="7">
        <f t="shared" si="77"/>
        <v>22.694936708860759</v>
      </c>
      <c r="J336" s="7">
        <f t="shared" si="65"/>
        <v>5.3055534129377486</v>
      </c>
      <c r="K336" s="7">
        <f t="shared" si="66"/>
        <v>22.140506329113926</v>
      </c>
      <c r="L336" s="7">
        <f t="shared" si="67"/>
        <v>4.9144008395218908</v>
      </c>
      <c r="M336" s="7">
        <f t="shared" si="68"/>
        <v>10.069620253164556</v>
      </c>
      <c r="N336" s="7">
        <f t="shared" si="69"/>
        <v>2.1089377326145904</v>
      </c>
      <c r="O336" s="7">
        <f t="shared" si="70"/>
        <v>10.958227848101266</v>
      </c>
      <c r="P336" s="7">
        <f t="shared" si="71"/>
        <v>2.2883463843764797</v>
      </c>
      <c r="Q336" s="7">
        <f t="shared" si="72"/>
        <v>5.7498863435308259E-2</v>
      </c>
      <c r="R336" s="7">
        <f t="shared" si="73"/>
        <v>0.78534368622270434</v>
      </c>
      <c r="S336" s="7">
        <f t="shared" si="74"/>
        <v>0.91533273694250961</v>
      </c>
      <c r="T336" s="7">
        <f t="shared" si="75"/>
        <v>-0.85573926284540058</v>
      </c>
      <c r="U336" s="7">
        <f t="shared" si="76"/>
        <v>0.22560900593878042</v>
      </c>
    </row>
    <row r="337" spans="1:21" x14ac:dyDescent="0.25">
      <c r="A337" s="1" t="s">
        <v>1654</v>
      </c>
      <c r="B337" s="1" t="s">
        <v>36</v>
      </c>
      <c r="C337" s="1">
        <v>28</v>
      </c>
      <c r="D337" s="1">
        <v>29</v>
      </c>
      <c r="E337" s="1">
        <v>14</v>
      </c>
      <c r="F337" s="1">
        <v>11</v>
      </c>
      <c r="G337" s="1">
        <v>82</v>
      </c>
      <c r="H337" s="7">
        <v>2.3232382351872349</v>
      </c>
      <c r="I337" s="7">
        <f t="shared" si="77"/>
        <v>22.694936708860759</v>
      </c>
      <c r="J337" s="7">
        <f t="shared" si="65"/>
        <v>5.3055534129377486</v>
      </c>
      <c r="K337" s="7">
        <f t="shared" si="66"/>
        <v>22.140506329113926</v>
      </c>
      <c r="L337" s="7">
        <f t="shared" si="67"/>
        <v>4.9144008395218908</v>
      </c>
      <c r="M337" s="7">
        <f t="shared" si="68"/>
        <v>10.069620253164556</v>
      </c>
      <c r="N337" s="7">
        <f t="shared" si="69"/>
        <v>2.1089377326145904</v>
      </c>
      <c r="O337" s="7">
        <f t="shared" si="70"/>
        <v>10.958227848101266</v>
      </c>
      <c r="P337" s="7">
        <f t="shared" si="71"/>
        <v>2.2883463843764797</v>
      </c>
      <c r="Q337" s="7">
        <f t="shared" si="72"/>
        <v>0.99990762098496411</v>
      </c>
      <c r="R337" s="7">
        <f t="shared" si="73"/>
        <v>1.3957945016860727</v>
      </c>
      <c r="S337" s="7">
        <f t="shared" si="74"/>
        <v>1.8636774742337652</v>
      </c>
      <c r="T337" s="7">
        <f t="shared" si="75"/>
        <v>1.8254295846087756E-2</v>
      </c>
      <c r="U337" s="7">
        <f t="shared" si="76"/>
        <v>1.0694084731877225</v>
      </c>
    </row>
    <row r="338" spans="1:21" x14ac:dyDescent="0.25">
      <c r="A338" s="1" t="s">
        <v>1654</v>
      </c>
      <c r="B338" s="1" t="s">
        <v>36</v>
      </c>
      <c r="C338" s="1">
        <v>30</v>
      </c>
      <c r="D338" s="1">
        <v>29</v>
      </c>
      <c r="E338" s="1">
        <v>12</v>
      </c>
      <c r="F338" s="1">
        <v>12</v>
      </c>
      <c r="G338" s="1">
        <v>83</v>
      </c>
      <c r="H338" s="7">
        <v>2.3287500774185546</v>
      </c>
      <c r="I338" s="7">
        <f t="shared" si="77"/>
        <v>22.694936708860759</v>
      </c>
      <c r="J338" s="7">
        <f t="shared" si="65"/>
        <v>5.3055534129377486</v>
      </c>
      <c r="K338" s="7">
        <f t="shared" si="66"/>
        <v>22.140506329113926</v>
      </c>
      <c r="L338" s="7">
        <f t="shared" si="67"/>
        <v>4.9144008395218908</v>
      </c>
      <c r="M338" s="7">
        <f t="shared" si="68"/>
        <v>10.069620253164556</v>
      </c>
      <c r="N338" s="7">
        <f t="shared" si="69"/>
        <v>2.1089377326145904</v>
      </c>
      <c r="O338" s="7">
        <f t="shared" si="70"/>
        <v>10.958227848101266</v>
      </c>
      <c r="P338" s="7">
        <f t="shared" si="71"/>
        <v>2.2883463843764797</v>
      </c>
      <c r="Q338" s="7">
        <f t="shared" si="72"/>
        <v>1.3768711240048266</v>
      </c>
      <c r="R338" s="7">
        <f t="shared" si="73"/>
        <v>1.3957945016860727</v>
      </c>
      <c r="S338" s="7">
        <f t="shared" si="74"/>
        <v>0.91533273694250961</v>
      </c>
      <c r="T338" s="7">
        <f t="shared" si="75"/>
        <v>0.45525107519183194</v>
      </c>
      <c r="U338" s="7">
        <f t="shared" si="76"/>
        <v>1.03581235945631</v>
      </c>
    </row>
    <row r="339" spans="1:21" x14ac:dyDescent="0.25">
      <c r="A339" s="1" t="s">
        <v>1654</v>
      </c>
      <c r="B339" s="1" t="s">
        <v>36</v>
      </c>
      <c r="C339" s="1">
        <v>26</v>
      </c>
      <c r="D339" s="1">
        <v>27</v>
      </c>
      <c r="E339" s="1">
        <v>11</v>
      </c>
      <c r="F339" s="1">
        <v>9</v>
      </c>
      <c r="G339" s="1">
        <v>73</v>
      </c>
      <c r="H339" s="7">
        <v>2.1031112483834331</v>
      </c>
      <c r="I339" s="7">
        <f t="shared" si="77"/>
        <v>22.694936708860759</v>
      </c>
      <c r="J339" s="7">
        <f t="shared" si="65"/>
        <v>5.3055534129377486</v>
      </c>
      <c r="K339" s="7">
        <f t="shared" si="66"/>
        <v>22.140506329113926</v>
      </c>
      <c r="L339" s="7">
        <f t="shared" si="67"/>
        <v>4.9144008395218908</v>
      </c>
      <c r="M339" s="7">
        <f t="shared" si="68"/>
        <v>10.069620253164556</v>
      </c>
      <c r="N339" s="7">
        <f t="shared" si="69"/>
        <v>2.1089377326145904</v>
      </c>
      <c r="O339" s="7">
        <f t="shared" si="70"/>
        <v>10.958227848101266</v>
      </c>
      <c r="P339" s="7">
        <f t="shared" si="71"/>
        <v>2.2883463843764797</v>
      </c>
      <c r="Q339" s="7">
        <f t="shared" si="72"/>
        <v>0.62294411796510174</v>
      </c>
      <c r="R339" s="7">
        <f t="shared" si="73"/>
        <v>0.98882729137716041</v>
      </c>
      <c r="S339" s="7">
        <f t="shared" si="74"/>
        <v>0.44116036829688182</v>
      </c>
      <c r="T339" s="7">
        <f t="shared" si="75"/>
        <v>-0.85573926284540058</v>
      </c>
      <c r="U339" s="7">
        <f t="shared" si="76"/>
        <v>0.29929812869843581</v>
      </c>
    </row>
    <row r="340" spans="1:21" x14ac:dyDescent="0.25">
      <c r="A340" s="1" t="s">
        <v>1654</v>
      </c>
      <c r="B340" s="1" t="s">
        <v>36</v>
      </c>
      <c r="C340" s="1">
        <v>30</v>
      </c>
      <c r="D340" s="1">
        <v>30</v>
      </c>
      <c r="E340" s="1">
        <v>12</v>
      </c>
      <c r="F340" s="1">
        <v>12</v>
      </c>
      <c r="G340" s="1">
        <v>84</v>
      </c>
      <c r="H340" s="7">
        <v>2.4019223070763074</v>
      </c>
      <c r="I340" s="7">
        <f t="shared" si="77"/>
        <v>22.694936708860759</v>
      </c>
      <c r="J340" s="7">
        <f t="shared" si="65"/>
        <v>5.3055534129377486</v>
      </c>
      <c r="K340" s="7">
        <f t="shared" si="66"/>
        <v>22.140506329113926</v>
      </c>
      <c r="L340" s="7">
        <f t="shared" si="67"/>
        <v>4.9144008395218908</v>
      </c>
      <c r="M340" s="7">
        <f t="shared" si="68"/>
        <v>10.069620253164556</v>
      </c>
      <c r="N340" s="7">
        <f t="shared" si="69"/>
        <v>2.1089377326145904</v>
      </c>
      <c r="O340" s="7">
        <f t="shared" si="70"/>
        <v>10.958227848101266</v>
      </c>
      <c r="P340" s="7">
        <f t="shared" si="71"/>
        <v>2.2883463843764797</v>
      </c>
      <c r="Q340" s="7">
        <f t="shared" si="72"/>
        <v>1.3768711240048266</v>
      </c>
      <c r="R340" s="7">
        <f t="shared" si="73"/>
        <v>1.5992781068405286</v>
      </c>
      <c r="S340" s="7">
        <f t="shared" si="74"/>
        <v>0.91533273694250961</v>
      </c>
      <c r="T340" s="7">
        <f t="shared" si="75"/>
        <v>0.45525107519183194</v>
      </c>
      <c r="U340" s="7">
        <f t="shared" si="76"/>
        <v>1.0866832607449242</v>
      </c>
    </row>
    <row r="341" spans="1:21" x14ac:dyDescent="0.25">
      <c r="A341" s="1" t="s">
        <v>1654</v>
      </c>
      <c r="B341" s="1" t="s">
        <v>36</v>
      </c>
      <c r="C341" s="1">
        <v>31</v>
      </c>
      <c r="D341" s="1">
        <v>31</v>
      </c>
      <c r="E341" s="1">
        <v>13</v>
      </c>
      <c r="F341" s="1">
        <v>12</v>
      </c>
      <c r="G341" s="1">
        <v>87</v>
      </c>
      <c r="H341" s="7">
        <v>2.5943726083138539</v>
      </c>
      <c r="I341" s="7">
        <f t="shared" si="77"/>
        <v>22.694936708860759</v>
      </c>
      <c r="J341" s="7">
        <f t="shared" si="65"/>
        <v>5.3055534129377486</v>
      </c>
      <c r="K341" s="7">
        <f t="shared" si="66"/>
        <v>22.140506329113926</v>
      </c>
      <c r="L341" s="7">
        <f t="shared" si="67"/>
        <v>4.9144008395218908</v>
      </c>
      <c r="M341" s="7">
        <f t="shared" si="68"/>
        <v>10.069620253164556</v>
      </c>
      <c r="N341" s="7">
        <f t="shared" si="69"/>
        <v>2.1089377326145904</v>
      </c>
      <c r="O341" s="7">
        <f t="shared" si="70"/>
        <v>10.958227848101266</v>
      </c>
      <c r="P341" s="7">
        <f t="shared" si="71"/>
        <v>2.2883463843764797</v>
      </c>
      <c r="Q341" s="7">
        <f t="shared" si="72"/>
        <v>1.5653528755147577</v>
      </c>
      <c r="R341" s="7">
        <f t="shared" si="73"/>
        <v>1.8027617119949848</v>
      </c>
      <c r="S341" s="7">
        <f t="shared" si="74"/>
        <v>1.3895051055881373</v>
      </c>
      <c r="T341" s="7">
        <f t="shared" si="75"/>
        <v>0.45525107519183194</v>
      </c>
      <c r="U341" s="7">
        <f t="shared" si="76"/>
        <v>1.3032176920724279</v>
      </c>
    </row>
    <row r="342" spans="1:21" x14ac:dyDescent="0.25">
      <c r="A342" s="1" t="s">
        <v>1654</v>
      </c>
      <c r="B342" s="1" t="s">
        <v>36</v>
      </c>
      <c r="C342" s="1">
        <v>30</v>
      </c>
      <c r="D342" s="1">
        <v>29</v>
      </c>
      <c r="E342" s="1">
        <v>13</v>
      </c>
      <c r="F342" s="1">
        <v>10</v>
      </c>
      <c r="G342" s="1">
        <v>82</v>
      </c>
      <c r="H342" s="7">
        <v>2.5943726083138543</v>
      </c>
      <c r="I342" s="7">
        <f t="shared" si="77"/>
        <v>22.694936708860759</v>
      </c>
      <c r="J342" s="7">
        <f t="shared" si="65"/>
        <v>5.3055534129377486</v>
      </c>
      <c r="K342" s="7">
        <f t="shared" si="66"/>
        <v>22.140506329113926</v>
      </c>
      <c r="L342" s="7">
        <f t="shared" si="67"/>
        <v>4.9144008395218908</v>
      </c>
      <c r="M342" s="7">
        <f t="shared" si="68"/>
        <v>10.069620253164556</v>
      </c>
      <c r="N342" s="7">
        <f t="shared" si="69"/>
        <v>2.1089377326145904</v>
      </c>
      <c r="O342" s="7">
        <f t="shared" si="70"/>
        <v>10.958227848101266</v>
      </c>
      <c r="P342" s="7">
        <f t="shared" si="71"/>
        <v>2.2883463843764797</v>
      </c>
      <c r="Q342" s="7">
        <f t="shared" si="72"/>
        <v>1.3768711240048266</v>
      </c>
      <c r="R342" s="7">
        <f t="shared" si="73"/>
        <v>1.3957945016860727</v>
      </c>
      <c r="S342" s="7">
        <f t="shared" si="74"/>
        <v>1.3895051055881373</v>
      </c>
      <c r="T342" s="7">
        <f t="shared" si="75"/>
        <v>-0.41874248349965643</v>
      </c>
      <c r="U342" s="7">
        <f t="shared" si="76"/>
        <v>0.93585706194484497</v>
      </c>
    </row>
    <row r="343" spans="1:21" x14ac:dyDescent="0.25">
      <c r="A343" s="1" t="s">
        <v>1654</v>
      </c>
      <c r="B343" s="1" t="s">
        <v>36</v>
      </c>
      <c r="C343" s="1">
        <v>26</v>
      </c>
      <c r="D343" s="1">
        <v>28</v>
      </c>
      <c r="E343" s="1">
        <v>13</v>
      </c>
      <c r="F343" s="1">
        <v>12</v>
      </c>
      <c r="G343" s="1">
        <v>79</v>
      </c>
      <c r="H343" s="7">
        <v>1.9774368283857795</v>
      </c>
      <c r="I343" s="7">
        <f t="shared" si="77"/>
        <v>22.694936708860759</v>
      </c>
      <c r="J343" s="7">
        <f t="shared" si="65"/>
        <v>5.3055534129377486</v>
      </c>
      <c r="K343" s="7">
        <f t="shared" si="66"/>
        <v>22.140506329113926</v>
      </c>
      <c r="L343" s="7">
        <f t="shared" si="67"/>
        <v>4.9144008395218908</v>
      </c>
      <c r="M343" s="7">
        <f t="shared" si="68"/>
        <v>10.069620253164556</v>
      </c>
      <c r="N343" s="7">
        <f t="shared" si="69"/>
        <v>2.1089377326145904</v>
      </c>
      <c r="O343" s="7">
        <f t="shared" si="70"/>
        <v>10.958227848101266</v>
      </c>
      <c r="P343" s="7">
        <f t="shared" si="71"/>
        <v>2.2883463843764797</v>
      </c>
      <c r="Q343" s="7">
        <f t="shared" si="72"/>
        <v>0.62294411796510174</v>
      </c>
      <c r="R343" s="7">
        <f t="shared" si="73"/>
        <v>1.1923108965316165</v>
      </c>
      <c r="S343" s="7">
        <f t="shared" si="74"/>
        <v>1.3895051055881373</v>
      </c>
      <c r="T343" s="7">
        <f t="shared" si="75"/>
        <v>0.45525107519183194</v>
      </c>
      <c r="U343" s="7">
        <f t="shared" si="76"/>
        <v>0.91500279881917179</v>
      </c>
    </row>
    <row r="344" spans="1:21" x14ac:dyDescent="0.25">
      <c r="A344" s="1" t="s">
        <v>1654</v>
      </c>
      <c r="B344" s="1" t="s">
        <v>36</v>
      </c>
      <c r="C344" s="1">
        <v>21</v>
      </c>
      <c r="D344" s="1">
        <v>23</v>
      </c>
      <c r="E344" s="1">
        <v>11</v>
      </c>
      <c r="F344" s="1">
        <v>10</v>
      </c>
      <c r="G344" s="1">
        <v>65</v>
      </c>
      <c r="H344" s="7">
        <v>1.683250823060346</v>
      </c>
      <c r="I344" s="7">
        <f t="shared" si="77"/>
        <v>22.694936708860759</v>
      </c>
      <c r="J344" s="7">
        <f t="shared" si="65"/>
        <v>5.3055534129377486</v>
      </c>
      <c r="K344" s="7">
        <f t="shared" si="66"/>
        <v>22.140506329113926</v>
      </c>
      <c r="L344" s="7">
        <f t="shared" si="67"/>
        <v>4.9144008395218908</v>
      </c>
      <c r="M344" s="7">
        <f t="shared" si="68"/>
        <v>10.069620253164556</v>
      </c>
      <c r="N344" s="7">
        <f t="shared" si="69"/>
        <v>2.1089377326145904</v>
      </c>
      <c r="O344" s="7">
        <f t="shared" si="70"/>
        <v>10.958227848101266</v>
      </c>
      <c r="P344" s="7">
        <f t="shared" si="71"/>
        <v>2.2883463843764797</v>
      </c>
      <c r="Q344" s="7">
        <f t="shared" si="72"/>
        <v>-0.31946463958455407</v>
      </c>
      <c r="R344" s="7">
        <f t="shared" si="73"/>
        <v>0.17489287075933599</v>
      </c>
      <c r="S344" s="7">
        <f t="shared" si="74"/>
        <v>0.44116036829688182</v>
      </c>
      <c r="T344" s="7">
        <f t="shared" si="75"/>
        <v>-0.41874248349965643</v>
      </c>
      <c r="U344" s="7">
        <f t="shared" si="76"/>
        <v>-3.0538471006998177E-2</v>
      </c>
    </row>
    <row r="345" spans="1:21" x14ac:dyDescent="0.25">
      <c r="A345" s="1" t="s">
        <v>1654</v>
      </c>
      <c r="B345" s="1" t="s">
        <v>36</v>
      </c>
      <c r="C345" s="1">
        <v>29</v>
      </c>
      <c r="D345" s="1">
        <v>31</v>
      </c>
      <c r="E345" s="1">
        <v>14</v>
      </c>
      <c r="F345" s="1">
        <v>12</v>
      </c>
      <c r="G345" s="1">
        <v>86</v>
      </c>
      <c r="H345" s="7">
        <v>2.1809195896250406</v>
      </c>
      <c r="I345" s="7">
        <f t="shared" si="77"/>
        <v>22.694936708860759</v>
      </c>
      <c r="J345" s="7">
        <f t="shared" si="65"/>
        <v>5.3055534129377486</v>
      </c>
      <c r="K345" s="7">
        <f t="shared" si="66"/>
        <v>22.140506329113926</v>
      </c>
      <c r="L345" s="7">
        <f t="shared" si="67"/>
        <v>4.9144008395218908</v>
      </c>
      <c r="M345" s="7">
        <f t="shared" si="68"/>
        <v>10.069620253164556</v>
      </c>
      <c r="N345" s="7">
        <f t="shared" si="69"/>
        <v>2.1089377326145904</v>
      </c>
      <c r="O345" s="7">
        <f t="shared" si="70"/>
        <v>10.958227848101266</v>
      </c>
      <c r="P345" s="7">
        <f t="shared" si="71"/>
        <v>2.2883463843764797</v>
      </c>
      <c r="Q345" s="7">
        <f t="shared" si="72"/>
        <v>1.1883893724948953</v>
      </c>
      <c r="R345" s="7">
        <f t="shared" si="73"/>
        <v>1.8027617119949848</v>
      </c>
      <c r="S345" s="7">
        <f t="shared" si="74"/>
        <v>1.8636774742337652</v>
      </c>
      <c r="T345" s="7">
        <f t="shared" si="75"/>
        <v>0.45525107519183194</v>
      </c>
      <c r="U345" s="7">
        <f t="shared" si="76"/>
        <v>1.3275199084788694</v>
      </c>
    </row>
    <row r="346" spans="1:21" x14ac:dyDescent="0.25">
      <c r="A346" s="1" t="s">
        <v>1654</v>
      </c>
      <c r="B346" s="1" t="s">
        <v>36</v>
      </c>
      <c r="C346" s="1">
        <v>25</v>
      </c>
      <c r="D346" s="1">
        <v>24</v>
      </c>
      <c r="E346" s="1">
        <v>11</v>
      </c>
      <c r="F346" s="1">
        <v>10</v>
      </c>
      <c r="G346" s="1">
        <v>70</v>
      </c>
      <c r="H346" s="7">
        <v>1.7577666482623882</v>
      </c>
      <c r="I346" s="7">
        <f t="shared" si="77"/>
        <v>22.694936708860759</v>
      </c>
      <c r="J346" s="7">
        <f t="shared" si="65"/>
        <v>5.3055534129377486</v>
      </c>
      <c r="K346" s="7">
        <f t="shared" si="66"/>
        <v>22.140506329113926</v>
      </c>
      <c r="L346" s="7">
        <f t="shared" si="67"/>
        <v>4.9144008395218908</v>
      </c>
      <c r="M346" s="7">
        <f t="shared" si="68"/>
        <v>10.069620253164556</v>
      </c>
      <c r="N346" s="7">
        <f t="shared" si="69"/>
        <v>2.1089377326145904</v>
      </c>
      <c r="O346" s="7">
        <f t="shared" si="70"/>
        <v>10.958227848101266</v>
      </c>
      <c r="P346" s="7">
        <f t="shared" si="71"/>
        <v>2.2883463843764797</v>
      </c>
      <c r="Q346" s="7">
        <f t="shared" si="72"/>
        <v>0.43446236645517061</v>
      </c>
      <c r="R346" s="7">
        <f t="shared" si="73"/>
        <v>0.37837647591379209</v>
      </c>
      <c r="S346" s="7">
        <f t="shared" si="74"/>
        <v>0.44116036829688182</v>
      </c>
      <c r="T346" s="7">
        <f t="shared" si="75"/>
        <v>-0.41874248349965643</v>
      </c>
      <c r="U346" s="7">
        <f t="shared" si="76"/>
        <v>0.20881418179154704</v>
      </c>
    </row>
    <row r="347" spans="1:21" x14ac:dyDescent="0.25">
      <c r="A347" s="1" t="s">
        <v>1654</v>
      </c>
      <c r="B347" s="1" t="s">
        <v>36</v>
      </c>
      <c r="C347" s="1">
        <v>24</v>
      </c>
      <c r="D347" s="1">
        <v>27</v>
      </c>
      <c r="E347" s="1">
        <v>12</v>
      </c>
      <c r="F347" s="1">
        <v>13</v>
      </c>
      <c r="G347" s="1">
        <v>76</v>
      </c>
      <c r="H347" s="7">
        <v>1.7246329970051524</v>
      </c>
      <c r="I347" s="7">
        <f t="shared" si="77"/>
        <v>22.694936708860759</v>
      </c>
      <c r="J347" s="7">
        <f t="shared" si="65"/>
        <v>5.3055534129377486</v>
      </c>
      <c r="K347" s="7">
        <f t="shared" si="66"/>
        <v>22.140506329113926</v>
      </c>
      <c r="L347" s="7">
        <f t="shared" si="67"/>
        <v>4.9144008395218908</v>
      </c>
      <c r="M347" s="7">
        <f t="shared" si="68"/>
        <v>10.069620253164556</v>
      </c>
      <c r="N347" s="7">
        <f t="shared" si="69"/>
        <v>2.1089377326145904</v>
      </c>
      <c r="O347" s="7">
        <f t="shared" si="70"/>
        <v>10.958227848101266</v>
      </c>
      <c r="P347" s="7">
        <f t="shared" si="71"/>
        <v>2.2883463843764797</v>
      </c>
      <c r="Q347" s="7">
        <f t="shared" si="72"/>
        <v>0.24598061494523943</v>
      </c>
      <c r="R347" s="7">
        <f t="shared" si="73"/>
        <v>0.98882729137716041</v>
      </c>
      <c r="S347" s="7">
        <f t="shared" si="74"/>
        <v>0.91533273694250961</v>
      </c>
      <c r="T347" s="7">
        <f t="shared" si="75"/>
        <v>0.89224785453757616</v>
      </c>
      <c r="U347" s="7">
        <f t="shared" si="76"/>
        <v>0.76059712445062133</v>
      </c>
    </row>
    <row r="348" spans="1:21" x14ac:dyDescent="0.25">
      <c r="A348" s="1" t="s">
        <v>1654</v>
      </c>
      <c r="B348" s="1" t="s">
        <v>36</v>
      </c>
      <c r="C348" s="1">
        <v>32</v>
      </c>
      <c r="D348" s="1">
        <v>29</v>
      </c>
      <c r="E348" s="1">
        <v>14</v>
      </c>
      <c r="F348" s="1">
        <v>11</v>
      </c>
      <c r="G348" s="1">
        <v>86</v>
      </c>
      <c r="H348" s="7">
        <v>2.433737233777904</v>
      </c>
      <c r="I348" s="7">
        <f t="shared" si="77"/>
        <v>22.694936708860759</v>
      </c>
      <c r="J348" s="7">
        <f t="shared" si="65"/>
        <v>5.3055534129377486</v>
      </c>
      <c r="K348" s="7">
        <f t="shared" si="66"/>
        <v>22.140506329113926</v>
      </c>
      <c r="L348" s="7">
        <f t="shared" si="67"/>
        <v>4.9144008395218908</v>
      </c>
      <c r="M348" s="7">
        <f t="shared" si="68"/>
        <v>10.069620253164556</v>
      </c>
      <c r="N348" s="7">
        <f t="shared" si="69"/>
        <v>2.1089377326145904</v>
      </c>
      <c r="O348" s="7">
        <f t="shared" si="70"/>
        <v>10.958227848101266</v>
      </c>
      <c r="P348" s="7">
        <f t="shared" si="71"/>
        <v>2.2883463843764797</v>
      </c>
      <c r="Q348" s="7">
        <f t="shared" si="72"/>
        <v>1.7538346270246887</v>
      </c>
      <c r="R348" s="7">
        <f t="shared" si="73"/>
        <v>1.3957945016860727</v>
      </c>
      <c r="S348" s="7">
        <f t="shared" si="74"/>
        <v>1.8636774742337652</v>
      </c>
      <c r="T348" s="7">
        <f t="shared" si="75"/>
        <v>1.8254295846087756E-2</v>
      </c>
      <c r="U348" s="7">
        <f t="shared" si="76"/>
        <v>1.2578902246976535</v>
      </c>
    </row>
    <row r="349" spans="1:21" x14ac:dyDescent="0.25">
      <c r="A349" s="1" t="s">
        <v>1654</v>
      </c>
      <c r="B349" s="1" t="s">
        <v>36</v>
      </c>
      <c r="C349" s="1">
        <v>21</v>
      </c>
      <c r="D349" s="1">
        <v>22</v>
      </c>
      <c r="E349" s="1">
        <v>8</v>
      </c>
      <c r="F349" s="1">
        <v>10</v>
      </c>
      <c r="G349" s="1">
        <v>61</v>
      </c>
      <c r="H349" s="7">
        <v>1.5483655567842807</v>
      </c>
      <c r="I349" s="7">
        <f t="shared" si="77"/>
        <v>22.694936708860759</v>
      </c>
      <c r="J349" s="7">
        <f t="shared" si="65"/>
        <v>5.3055534129377486</v>
      </c>
      <c r="K349" s="7">
        <f t="shared" si="66"/>
        <v>22.140506329113926</v>
      </c>
      <c r="L349" s="7">
        <f t="shared" si="67"/>
        <v>4.9144008395218908</v>
      </c>
      <c r="M349" s="7">
        <f t="shared" si="68"/>
        <v>10.069620253164556</v>
      </c>
      <c r="N349" s="7">
        <f t="shared" si="69"/>
        <v>2.1089377326145904</v>
      </c>
      <c r="O349" s="7">
        <f t="shared" si="70"/>
        <v>10.958227848101266</v>
      </c>
      <c r="P349" s="7">
        <f t="shared" si="71"/>
        <v>2.2883463843764797</v>
      </c>
      <c r="Q349" s="7">
        <f t="shared" si="72"/>
        <v>-0.31946463958455407</v>
      </c>
      <c r="R349" s="7">
        <f t="shared" si="73"/>
        <v>-2.8590734395120113E-2</v>
      </c>
      <c r="S349" s="7">
        <f t="shared" si="74"/>
        <v>-0.98135673764000164</v>
      </c>
      <c r="T349" s="7">
        <f t="shared" si="75"/>
        <v>-0.41874248349965643</v>
      </c>
      <c r="U349" s="7">
        <f t="shared" si="76"/>
        <v>-0.43703864877983306</v>
      </c>
    </row>
    <row r="350" spans="1:21" x14ac:dyDescent="0.25">
      <c r="A350" s="1" t="s">
        <v>1654</v>
      </c>
      <c r="B350" s="1" t="s">
        <v>36</v>
      </c>
      <c r="C350" s="1">
        <v>22</v>
      </c>
      <c r="D350" s="1">
        <v>24</v>
      </c>
      <c r="E350" s="1">
        <v>9</v>
      </c>
      <c r="F350" s="1">
        <v>11</v>
      </c>
      <c r="G350" s="1">
        <v>66</v>
      </c>
      <c r="H350" s="7">
        <v>1.8009968749527976</v>
      </c>
      <c r="I350" s="7">
        <f t="shared" si="77"/>
        <v>22.694936708860759</v>
      </c>
      <c r="J350" s="7">
        <f t="shared" si="65"/>
        <v>5.3055534129377486</v>
      </c>
      <c r="K350" s="7">
        <f t="shared" si="66"/>
        <v>22.140506329113926</v>
      </c>
      <c r="L350" s="7">
        <f t="shared" si="67"/>
        <v>4.9144008395218908</v>
      </c>
      <c r="M350" s="7">
        <f t="shared" si="68"/>
        <v>10.069620253164556</v>
      </c>
      <c r="N350" s="7">
        <f t="shared" si="69"/>
        <v>2.1089377326145904</v>
      </c>
      <c r="O350" s="7">
        <f t="shared" si="70"/>
        <v>10.958227848101266</v>
      </c>
      <c r="P350" s="7">
        <f t="shared" si="71"/>
        <v>2.2883463843764797</v>
      </c>
      <c r="Q350" s="7">
        <f t="shared" si="72"/>
        <v>-0.13098288807462291</v>
      </c>
      <c r="R350" s="7">
        <f t="shared" si="73"/>
        <v>0.37837647591379209</v>
      </c>
      <c r="S350" s="7">
        <f t="shared" si="74"/>
        <v>-0.5071843689943738</v>
      </c>
      <c r="T350" s="7">
        <f t="shared" si="75"/>
        <v>1.8254295846087756E-2</v>
      </c>
      <c r="U350" s="7">
        <f t="shared" si="76"/>
        <v>-6.038412132727921E-2</v>
      </c>
    </row>
    <row r="351" spans="1:21" x14ac:dyDescent="0.25">
      <c r="A351" s="1" t="s">
        <v>1654</v>
      </c>
      <c r="B351" s="1" t="s">
        <v>36</v>
      </c>
      <c r="C351" s="1">
        <v>19</v>
      </c>
      <c r="D351" s="1">
        <v>21</v>
      </c>
      <c r="E351" s="1">
        <v>8</v>
      </c>
      <c r="F351" s="1">
        <v>8</v>
      </c>
      <c r="G351" s="1">
        <v>56</v>
      </c>
      <c r="H351" s="7">
        <v>1.7021856236720769</v>
      </c>
      <c r="I351" s="7">
        <f t="shared" si="77"/>
        <v>22.694936708860759</v>
      </c>
      <c r="J351" s="7">
        <f t="shared" si="65"/>
        <v>5.3055534129377486</v>
      </c>
      <c r="K351" s="7">
        <f t="shared" si="66"/>
        <v>22.140506329113926</v>
      </c>
      <c r="L351" s="7">
        <f t="shared" si="67"/>
        <v>4.9144008395218908</v>
      </c>
      <c r="M351" s="7">
        <f t="shared" si="68"/>
        <v>10.069620253164556</v>
      </c>
      <c r="N351" s="7">
        <f t="shared" si="69"/>
        <v>2.1089377326145904</v>
      </c>
      <c r="O351" s="7">
        <f t="shared" si="70"/>
        <v>10.958227848101266</v>
      </c>
      <c r="P351" s="7">
        <f t="shared" si="71"/>
        <v>2.2883463843764797</v>
      </c>
      <c r="Q351" s="7">
        <f t="shared" si="72"/>
        <v>-0.69642814260441643</v>
      </c>
      <c r="R351" s="7">
        <f t="shared" si="73"/>
        <v>-0.23207433954957621</v>
      </c>
      <c r="S351" s="7">
        <f t="shared" si="74"/>
        <v>-0.98135673764000164</v>
      </c>
      <c r="T351" s="7">
        <f t="shared" si="75"/>
        <v>-1.2927360421911447</v>
      </c>
      <c r="U351" s="7">
        <f t="shared" si="76"/>
        <v>-0.80064881549628475</v>
      </c>
    </row>
    <row r="352" spans="1:21" x14ac:dyDescent="0.25">
      <c r="A352" s="1" t="s">
        <v>1654</v>
      </c>
      <c r="B352" s="1" t="s">
        <v>36</v>
      </c>
      <c r="C352" s="1">
        <v>27</v>
      </c>
      <c r="D352" s="1">
        <v>22</v>
      </c>
      <c r="E352" s="1">
        <v>12</v>
      </c>
      <c r="F352" s="1">
        <v>10</v>
      </c>
      <c r="G352" s="1">
        <v>71</v>
      </c>
      <c r="H352" s="7">
        <v>1.9414506867883019</v>
      </c>
      <c r="I352" s="7">
        <f t="shared" si="77"/>
        <v>22.694936708860759</v>
      </c>
      <c r="J352" s="7">
        <f t="shared" si="65"/>
        <v>5.3055534129377486</v>
      </c>
      <c r="K352" s="7">
        <f t="shared" si="66"/>
        <v>22.140506329113926</v>
      </c>
      <c r="L352" s="7">
        <f t="shared" si="67"/>
        <v>4.9144008395218908</v>
      </c>
      <c r="M352" s="7">
        <f t="shared" si="68"/>
        <v>10.069620253164556</v>
      </c>
      <c r="N352" s="7">
        <f t="shared" si="69"/>
        <v>2.1089377326145904</v>
      </c>
      <c r="O352" s="7">
        <f t="shared" si="70"/>
        <v>10.958227848101266</v>
      </c>
      <c r="P352" s="7">
        <f t="shared" si="71"/>
        <v>2.2883463843764797</v>
      </c>
      <c r="Q352" s="7">
        <f t="shared" si="72"/>
        <v>0.81142586947503292</v>
      </c>
      <c r="R352" s="7">
        <f t="shared" si="73"/>
        <v>-2.8590734395120113E-2</v>
      </c>
      <c r="S352" s="7">
        <f t="shared" si="74"/>
        <v>0.91533273694250961</v>
      </c>
      <c r="T352" s="7">
        <f t="shared" si="75"/>
        <v>-0.41874248349965643</v>
      </c>
      <c r="U352" s="7">
        <f t="shared" si="76"/>
        <v>0.3198563471306915</v>
      </c>
    </row>
    <row r="353" spans="1:21" x14ac:dyDescent="0.25">
      <c r="A353" s="1" t="s">
        <v>1654</v>
      </c>
      <c r="B353" s="1" t="s">
        <v>36</v>
      </c>
      <c r="C353" s="1">
        <v>20</v>
      </c>
      <c r="D353" s="1">
        <v>18</v>
      </c>
      <c r="E353" s="1">
        <v>9</v>
      </c>
      <c r="F353" s="1">
        <v>8</v>
      </c>
      <c r="G353" s="1">
        <v>55</v>
      </c>
      <c r="H353" s="7">
        <v>1.6408253082847342</v>
      </c>
      <c r="I353" s="7">
        <f t="shared" si="77"/>
        <v>22.694936708860759</v>
      </c>
      <c r="J353" s="7">
        <f t="shared" si="65"/>
        <v>5.3055534129377486</v>
      </c>
      <c r="K353" s="7">
        <f t="shared" si="66"/>
        <v>22.140506329113926</v>
      </c>
      <c r="L353" s="7">
        <f t="shared" si="67"/>
        <v>4.9144008395218908</v>
      </c>
      <c r="M353" s="7">
        <f t="shared" si="68"/>
        <v>10.069620253164556</v>
      </c>
      <c r="N353" s="7">
        <f t="shared" si="69"/>
        <v>2.1089377326145904</v>
      </c>
      <c r="O353" s="7">
        <f t="shared" si="70"/>
        <v>10.958227848101266</v>
      </c>
      <c r="P353" s="7">
        <f t="shared" si="71"/>
        <v>2.2883463843764797</v>
      </c>
      <c r="Q353" s="7">
        <f t="shared" si="72"/>
        <v>-0.50794639109448525</v>
      </c>
      <c r="R353" s="7">
        <f t="shared" si="73"/>
        <v>-0.84252515501294456</v>
      </c>
      <c r="S353" s="7">
        <f t="shared" si="74"/>
        <v>-0.5071843689943738</v>
      </c>
      <c r="T353" s="7">
        <f t="shared" si="75"/>
        <v>-1.2927360421911447</v>
      </c>
      <c r="U353" s="7">
        <f t="shared" si="76"/>
        <v>-0.78759798932323699</v>
      </c>
    </row>
    <row r="354" spans="1:21" x14ac:dyDescent="0.25">
      <c r="A354" s="1" t="s">
        <v>1670</v>
      </c>
      <c r="B354" s="1" t="s">
        <v>36</v>
      </c>
      <c r="C354" s="1">
        <v>27</v>
      </c>
      <c r="D354" s="1">
        <v>28</v>
      </c>
      <c r="E354" s="1">
        <v>13</v>
      </c>
      <c r="F354" s="1">
        <v>11</v>
      </c>
      <c r="G354" s="1">
        <v>79</v>
      </c>
      <c r="H354" s="7">
        <v>2.0599975105785306</v>
      </c>
      <c r="I354" s="7">
        <f t="shared" si="77"/>
        <v>22.694936708860759</v>
      </c>
      <c r="J354" s="7">
        <f t="shared" si="65"/>
        <v>5.3055534129377486</v>
      </c>
      <c r="K354" s="7">
        <f t="shared" si="66"/>
        <v>22.140506329113926</v>
      </c>
      <c r="L354" s="7">
        <f t="shared" si="67"/>
        <v>4.9144008395218908</v>
      </c>
      <c r="M354" s="7">
        <f t="shared" si="68"/>
        <v>10.069620253164556</v>
      </c>
      <c r="N354" s="7">
        <f t="shared" si="69"/>
        <v>2.1089377326145904</v>
      </c>
      <c r="O354" s="7">
        <f t="shared" si="70"/>
        <v>10.958227848101266</v>
      </c>
      <c r="P354" s="7">
        <f t="shared" si="71"/>
        <v>2.2883463843764797</v>
      </c>
      <c r="Q354" s="7">
        <f t="shared" si="72"/>
        <v>0.81142586947503292</v>
      </c>
      <c r="R354" s="7">
        <f t="shared" si="73"/>
        <v>1.1923108965316165</v>
      </c>
      <c r="S354" s="7">
        <f t="shared" si="74"/>
        <v>1.3895051055881373</v>
      </c>
      <c r="T354" s="7">
        <f t="shared" si="75"/>
        <v>1.8254295846087756E-2</v>
      </c>
      <c r="U354" s="7">
        <f t="shared" si="76"/>
        <v>0.85287404186021853</v>
      </c>
    </row>
    <row r="355" spans="1:21" x14ac:dyDescent="0.25">
      <c r="A355" s="1" t="s">
        <v>1670</v>
      </c>
      <c r="B355" s="1" t="s">
        <v>36</v>
      </c>
      <c r="C355" s="1">
        <v>18</v>
      </c>
      <c r="D355" s="1">
        <v>19</v>
      </c>
      <c r="E355" s="1">
        <v>11</v>
      </c>
      <c r="F355" s="1">
        <v>10</v>
      </c>
      <c r="G355" s="1">
        <v>58</v>
      </c>
      <c r="H355" s="7">
        <v>1.3913653136029502</v>
      </c>
      <c r="I355" s="7">
        <f t="shared" si="77"/>
        <v>22.694936708860759</v>
      </c>
      <c r="J355" s="7">
        <f t="shared" si="65"/>
        <v>5.3055534129377486</v>
      </c>
      <c r="K355" s="7">
        <f t="shared" si="66"/>
        <v>22.140506329113926</v>
      </c>
      <c r="L355" s="7">
        <f t="shared" si="67"/>
        <v>4.9144008395218908</v>
      </c>
      <c r="M355" s="7">
        <f t="shared" si="68"/>
        <v>10.069620253164556</v>
      </c>
      <c r="N355" s="7">
        <f t="shared" si="69"/>
        <v>2.1089377326145904</v>
      </c>
      <c r="O355" s="7">
        <f t="shared" si="70"/>
        <v>10.958227848101266</v>
      </c>
      <c r="P355" s="7">
        <f t="shared" si="71"/>
        <v>2.2883463843764797</v>
      </c>
      <c r="Q355" s="7">
        <f t="shared" si="72"/>
        <v>-0.88490989411434762</v>
      </c>
      <c r="R355" s="7">
        <f t="shared" si="73"/>
        <v>-0.63904154985848838</v>
      </c>
      <c r="S355" s="7">
        <f t="shared" si="74"/>
        <v>0.44116036829688182</v>
      </c>
      <c r="T355" s="7">
        <f t="shared" si="75"/>
        <v>-0.41874248349965643</v>
      </c>
      <c r="U355" s="7">
        <f t="shared" si="76"/>
        <v>-0.37538338979390268</v>
      </c>
    </row>
    <row r="356" spans="1:21" x14ac:dyDescent="0.25">
      <c r="A356" s="1" t="s">
        <v>1670</v>
      </c>
      <c r="B356" s="1" t="s">
        <v>36</v>
      </c>
      <c r="C356" s="1">
        <v>32</v>
      </c>
      <c r="D356" s="1">
        <v>32</v>
      </c>
      <c r="E356" s="1">
        <v>14</v>
      </c>
      <c r="F356" s="1">
        <v>14</v>
      </c>
      <c r="G356" s="1">
        <v>92</v>
      </c>
      <c r="H356" s="7">
        <v>2.2159098380250968</v>
      </c>
      <c r="I356" s="7">
        <f t="shared" si="77"/>
        <v>22.694936708860759</v>
      </c>
      <c r="J356" s="7">
        <f t="shared" si="65"/>
        <v>5.3055534129377486</v>
      </c>
      <c r="K356" s="7">
        <f t="shared" si="66"/>
        <v>22.140506329113926</v>
      </c>
      <c r="L356" s="7">
        <f t="shared" si="67"/>
        <v>4.9144008395218908</v>
      </c>
      <c r="M356" s="7">
        <f t="shared" si="68"/>
        <v>10.069620253164556</v>
      </c>
      <c r="N356" s="7">
        <f t="shared" si="69"/>
        <v>2.1089377326145904</v>
      </c>
      <c r="O356" s="7">
        <f t="shared" si="70"/>
        <v>10.958227848101266</v>
      </c>
      <c r="P356" s="7">
        <f t="shared" si="71"/>
        <v>2.2883463843764797</v>
      </c>
      <c r="Q356" s="7">
        <f t="shared" si="72"/>
        <v>1.7538346270246887</v>
      </c>
      <c r="R356" s="7">
        <f t="shared" si="73"/>
        <v>2.0062453171494408</v>
      </c>
      <c r="S356" s="7">
        <f t="shared" si="74"/>
        <v>1.8636774742337652</v>
      </c>
      <c r="T356" s="7">
        <f t="shared" si="75"/>
        <v>1.3292446338833204</v>
      </c>
      <c r="U356" s="7">
        <f t="shared" si="76"/>
        <v>1.7382505130728036</v>
      </c>
    </row>
    <row r="357" spans="1:21" x14ac:dyDescent="0.25">
      <c r="A357" s="1" t="s">
        <v>1670</v>
      </c>
      <c r="B357" s="1" t="s">
        <v>36</v>
      </c>
      <c r="C357" s="1">
        <v>26</v>
      </c>
      <c r="D357" s="1">
        <v>28</v>
      </c>
      <c r="E357" s="1">
        <v>11</v>
      </c>
      <c r="F357" s="1">
        <v>11</v>
      </c>
      <c r="G357" s="1">
        <v>76</v>
      </c>
      <c r="H357" s="7">
        <v>2.034951016861497</v>
      </c>
      <c r="I357" s="7">
        <f t="shared" si="77"/>
        <v>22.694936708860759</v>
      </c>
      <c r="J357" s="7">
        <f t="shared" si="65"/>
        <v>5.3055534129377486</v>
      </c>
      <c r="K357" s="7">
        <f t="shared" si="66"/>
        <v>22.140506329113926</v>
      </c>
      <c r="L357" s="7">
        <f t="shared" si="67"/>
        <v>4.9144008395218908</v>
      </c>
      <c r="M357" s="7">
        <f t="shared" si="68"/>
        <v>10.069620253164556</v>
      </c>
      <c r="N357" s="7">
        <f t="shared" si="69"/>
        <v>2.1089377326145904</v>
      </c>
      <c r="O357" s="7">
        <f t="shared" si="70"/>
        <v>10.958227848101266</v>
      </c>
      <c r="P357" s="7">
        <f t="shared" si="71"/>
        <v>2.2883463843764797</v>
      </c>
      <c r="Q357" s="7">
        <f t="shared" si="72"/>
        <v>0.62294411796510174</v>
      </c>
      <c r="R357" s="7">
        <f t="shared" si="73"/>
        <v>1.1923108965316165</v>
      </c>
      <c r="S357" s="7">
        <f t="shared" si="74"/>
        <v>0.44116036829688182</v>
      </c>
      <c r="T357" s="7">
        <f t="shared" si="75"/>
        <v>1.8254295846087756E-2</v>
      </c>
      <c r="U357" s="7">
        <f t="shared" si="76"/>
        <v>0.56866741965992196</v>
      </c>
    </row>
    <row r="358" spans="1:21" x14ac:dyDescent="0.25">
      <c r="A358" s="1" t="s">
        <v>1670</v>
      </c>
      <c r="B358" s="1" t="s">
        <v>36</v>
      </c>
      <c r="C358" s="1">
        <v>24</v>
      </c>
      <c r="D358" s="1">
        <v>20</v>
      </c>
      <c r="E358" s="1">
        <v>11</v>
      </c>
      <c r="F358" s="1">
        <v>10</v>
      </c>
      <c r="G358" s="1">
        <v>65</v>
      </c>
      <c r="H358" s="7">
        <v>1.683250823060346</v>
      </c>
      <c r="I358" s="7">
        <f t="shared" si="77"/>
        <v>22.694936708860759</v>
      </c>
      <c r="J358" s="7">
        <f t="shared" si="65"/>
        <v>5.3055534129377486</v>
      </c>
      <c r="K358" s="7">
        <f t="shared" si="66"/>
        <v>22.140506329113926</v>
      </c>
      <c r="L358" s="7">
        <f t="shared" si="67"/>
        <v>4.9144008395218908</v>
      </c>
      <c r="M358" s="7">
        <f t="shared" si="68"/>
        <v>10.069620253164556</v>
      </c>
      <c r="N358" s="7">
        <f t="shared" si="69"/>
        <v>2.1089377326145904</v>
      </c>
      <c r="O358" s="7">
        <f t="shared" si="70"/>
        <v>10.958227848101266</v>
      </c>
      <c r="P358" s="7">
        <f t="shared" si="71"/>
        <v>2.2883463843764797</v>
      </c>
      <c r="Q358" s="7">
        <f t="shared" si="72"/>
        <v>0.24598061494523943</v>
      </c>
      <c r="R358" s="7">
        <f t="shared" si="73"/>
        <v>-0.43555794470403231</v>
      </c>
      <c r="S358" s="7">
        <f t="shared" si="74"/>
        <v>0.44116036829688182</v>
      </c>
      <c r="T358" s="7">
        <f t="shared" si="75"/>
        <v>-0.41874248349965643</v>
      </c>
      <c r="U358" s="7">
        <f t="shared" si="76"/>
        <v>-4.1789861240391871E-2</v>
      </c>
    </row>
    <row r="359" spans="1:21" x14ac:dyDescent="0.25">
      <c r="A359" s="1" t="s">
        <v>1670</v>
      </c>
      <c r="B359" s="1" t="s">
        <v>36</v>
      </c>
      <c r="C359" s="1">
        <v>22</v>
      </c>
      <c r="D359" s="1">
        <v>23</v>
      </c>
      <c r="E359" s="1">
        <v>9</v>
      </c>
      <c r="F359" s="1">
        <v>10</v>
      </c>
      <c r="G359" s="1">
        <v>64</v>
      </c>
      <c r="H359" s="7">
        <v>1.9348358440936906</v>
      </c>
      <c r="I359" s="7">
        <f t="shared" si="77"/>
        <v>22.694936708860759</v>
      </c>
      <c r="J359" s="7">
        <f t="shared" si="65"/>
        <v>5.3055534129377486</v>
      </c>
      <c r="K359" s="7">
        <f t="shared" si="66"/>
        <v>22.140506329113926</v>
      </c>
      <c r="L359" s="7">
        <f t="shared" si="67"/>
        <v>4.9144008395218908</v>
      </c>
      <c r="M359" s="7">
        <f t="shared" si="68"/>
        <v>10.069620253164556</v>
      </c>
      <c r="N359" s="7">
        <f t="shared" si="69"/>
        <v>2.1089377326145904</v>
      </c>
      <c r="O359" s="7">
        <f t="shared" si="70"/>
        <v>10.958227848101266</v>
      </c>
      <c r="P359" s="7">
        <f t="shared" si="71"/>
        <v>2.2883463843764797</v>
      </c>
      <c r="Q359" s="7">
        <f t="shared" si="72"/>
        <v>-0.13098288807462291</v>
      </c>
      <c r="R359" s="7">
        <f t="shared" si="73"/>
        <v>0.17489287075933599</v>
      </c>
      <c r="S359" s="7">
        <f t="shared" si="74"/>
        <v>-0.5071843689943738</v>
      </c>
      <c r="T359" s="7">
        <f t="shared" si="75"/>
        <v>-0.41874248349965643</v>
      </c>
      <c r="U359" s="7">
        <f t="shared" si="76"/>
        <v>-0.22050421745232929</v>
      </c>
    </row>
    <row r="360" spans="1:21" x14ac:dyDescent="0.25">
      <c r="A360" s="1" t="s">
        <v>1670</v>
      </c>
      <c r="B360" s="1" t="s">
        <v>36</v>
      </c>
      <c r="C360" s="1">
        <v>21</v>
      </c>
      <c r="D360" s="1">
        <v>16</v>
      </c>
      <c r="E360" s="1">
        <v>10</v>
      </c>
      <c r="F360" s="1">
        <v>12</v>
      </c>
      <c r="G360" s="1">
        <v>59</v>
      </c>
      <c r="H360" s="7">
        <v>1.2659242088545835</v>
      </c>
      <c r="I360" s="7">
        <f t="shared" si="77"/>
        <v>22.694936708860759</v>
      </c>
      <c r="J360" s="7">
        <f t="shared" si="65"/>
        <v>5.3055534129377486</v>
      </c>
      <c r="K360" s="7">
        <f t="shared" si="66"/>
        <v>22.140506329113926</v>
      </c>
      <c r="L360" s="7">
        <f t="shared" si="67"/>
        <v>4.9144008395218908</v>
      </c>
      <c r="M360" s="7">
        <f t="shared" si="68"/>
        <v>10.069620253164556</v>
      </c>
      <c r="N360" s="7">
        <f t="shared" si="69"/>
        <v>2.1089377326145904</v>
      </c>
      <c r="O360" s="7">
        <f t="shared" si="70"/>
        <v>10.958227848101266</v>
      </c>
      <c r="P360" s="7">
        <f t="shared" si="71"/>
        <v>2.2883463843764797</v>
      </c>
      <c r="Q360" s="7">
        <f t="shared" si="72"/>
        <v>-0.31946463958455407</v>
      </c>
      <c r="R360" s="7">
        <f t="shared" si="73"/>
        <v>-1.2494923653218568</v>
      </c>
      <c r="S360" s="7">
        <f t="shared" si="74"/>
        <v>-3.3012000348745997E-2</v>
      </c>
      <c r="T360" s="7">
        <f t="shared" si="75"/>
        <v>0.45525107519183194</v>
      </c>
      <c r="U360" s="7">
        <f t="shared" si="76"/>
        <v>-0.28667948251583125</v>
      </c>
    </row>
    <row r="361" spans="1:21" x14ac:dyDescent="0.25">
      <c r="A361" s="1" t="s">
        <v>1670</v>
      </c>
      <c r="B361" s="1" t="s">
        <v>36</v>
      </c>
      <c r="C361" s="1">
        <v>32</v>
      </c>
      <c r="D361" s="1">
        <v>31</v>
      </c>
      <c r="E361" s="1">
        <v>9</v>
      </c>
      <c r="F361" s="1">
        <v>9</v>
      </c>
      <c r="G361" s="1">
        <v>81</v>
      </c>
      <c r="H361" s="7">
        <v>2.6189643676412167</v>
      </c>
      <c r="I361" s="7">
        <f t="shared" si="77"/>
        <v>22.694936708860759</v>
      </c>
      <c r="J361" s="7">
        <f t="shared" si="65"/>
        <v>5.3055534129377486</v>
      </c>
      <c r="K361" s="7">
        <f t="shared" si="66"/>
        <v>22.140506329113926</v>
      </c>
      <c r="L361" s="7">
        <f t="shared" si="67"/>
        <v>4.9144008395218908</v>
      </c>
      <c r="M361" s="7">
        <f t="shared" si="68"/>
        <v>10.069620253164556</v>
      </c>
      <c r="N361" s="7">
        <f t="shared" si="69"/>
        <v>2.1089377326145904</v>
      </c>
      <c r="O361" s="7">
        <f t="shared" si="70"/>
        <v>10.958227848101266</v>
      </c>
      <c r="P361" s="7">
        <f t="shared" si="71"/>
        <v>2.2883463843764797</v>
      </c>
      <c r="Q361" s="7">
        <f t="shared" si="72"/>
        <v>1.7538346270246887</v>
      </c>
      <c r="R361" s="7">
        <f t="shared" si="73"/>
        <v>1.8027617119949848</v>
      </c>
      <c r="S361" s="7">
        <f t="shared" si="74"/>
        <v>-0.5071843689943738</v>
      </c>
      <c r="T361" s="7">
        <f t="shared" si="75"/>
        <v>-0.85573926284540058</v>
      </c>
      <c r="U361" s="7">
        <f t="shared" si="76"/>
        <v>0.54841817679497473</v>
      </c>
    </row>
    <row r="362" spans="1:21" x14ac:dyDescent="0.25">
      <c r="A362" s="1" t="s">
        <v>1670</v>
      </c>
      <c r="B362" s="1" t="s">
        <v>36</v>
      </c>
      <c r="C362" s="1">
        <v>22</v>
      </c>
      <c r="D362" s="1">
        <v>23</v>
      </c>
      <c r="E362" s="1">
        <v>9</v>
      </c>
      <c r="F362" s="1">
        <v>12</v>
      </c>
      <c r="G362" s="1">
        <v>66</v>
      </c>
      <c r="H362" s="7">
        <v>1.4411533842457842</v>
      </c>
      <c r="I362" s="7">
        <f t="shared" si="77"/>
        <v>22.694936708860759</v>
      </c>
      <c r="J362" s="7">
        <f t="shared" si="65"/>
        <v>5.3055534129377486</v>
      </c>
      <c r="K362" s="7">
        <f t="shared" si="66"/>
        <v>22.140506329113926</v>
      </c>
      <c r="L362" s="7">
        <f t="shared" si="67"/>
        <v>4.9144008395218908</v>
      </c>
      <c r="M362" s="7">
        <f t="shared" si="68"/>
        <v>10.069620253164556</v>
      </c>
      <c r="N362" s="7">
        <f t="shared" si="69"/>
        <v>2.1089377326145904</v>
      </c>
      <c r="O362" s="7">
        <f t="shared" si="70"/>
        <v>10.958227848101266</v>
      </c>
      <c r="P362" s="7">
        <f t="shared" si="71"/>
        <v>2.2883463843764797</v>
      </c>
      <c r="Q362" s="7">
        <f t="shared" si="72"/>
        <v>-0.13098288807462291</v>
      </c>
      <c r="R362" s="7">
        <f t="shared" si="73"/>
        <v>0.17489287075933599</v>
      </c>
      <c r="S362" s="7">
        <f t="shared" si="74"/>
        <v>-0.5071843689943738</v>
      </c>
      <c r="T362" s="7">
        <f t="shared" si="75"/>
        <v>0.45525107519183194</v>
      </c>
      <c r="U362" s="7">
        <f t="shared" si="76"/>
        <v>-2.0058277794571949E-3</v>
      </c>
    </row>
    <row r="363" spans="1:21" x14ac:dyDescent="0.25">
      <c r="A363" s="1" t="s">
        <v>1670</v>
      </c>
      <c r="B363" s="1" t="s">
        <v>36</v>
      </c>
      <c r="C363" s="1">
        <v>30</v>
      </c>
      <c r="D363" s="1">
        <v>27</v>
      </c>
      <c r="E363" s="1">
        <v>12</v>
      </c>
      <c r="F363" s="1">
        <v>8</v>
      </c>
      <c r="G363" s="1">
        <v>77</v>
      </c>
      <c r="H363" s="7">
        <v>2.6287366566958377</v>
      </c>
      <c r="I363" s="7">
        <f t="shared" si="77"/>
        <v>22.694936708860759</v>
      </c>
      <c r="J363" s="7">
        <f t="shared" si="65"/>
        <v>5.3055534129377486</v>
      </c>
      <c r="K363" s="7">
        <f t="shared" si="66"/>
        <v>22.140506329113926</v>
      </c>
      <c r="L363" s="7">
        <f t="shared" si="67"/>
        <v>4.9144008395218908</v>
      </c>
      <c r="M363" s="7">
        <f t="shared" si="68"/>
        <v>10.069620253164556</v>
      </c>
      <c r="N363" s="7">
        <f t="shared" si="69"/>
        <v>2.1089377326145904</v>
      </c>
      <c r="O363" s="7">
        <f t="shared" si="70"/>
        <v>10.958227848101266</v>
      </c>
      <c r="P363" s="7">
        <f t="shared" si="71"/>
        <v>2.2883463843764797</v>
      </c>
      <c r="Q363" s="7">
        <f t="shared" si="72"/>
        <v>1.3768711240048266</v>
      </c>
      <c r="R363" s="7">
        <f t="shared" si="73"/>
        <v>0.98882729137716041</v>
      </c>
      <c r="S363" s="7">
        <f t="shared" si="74"/>
        <v>0.91533273694250961</v>
      </c>
      <c r="T363" s="7">
        <f t="shared" si="75"/>
        <v>-1.2927360421911447</v>
      </c>
      <c r="U363" s="7">
        <f t="shared" si="76"/>
        <v>0.49707377753333798</v>
      </c>
    </row>
    <row r="364" spans="1:21" x14ac:dyDescent="0.25">
      <c r="A364" s="1" t="s">
        <v>1670</v>
      </c>
      <c r="B364" s="1" t="s">
        <v>36</v>
      </c>
      <c r="C364" s="1">
        <v>25</v>
      </c>
      <c r="D364" s="1">
        <v>23</v>
      </c>
      <c r="E364" s="1">
        <v>7</v>
      </c>
      <c r="F364" s="1">
        <v>10</v>
      </c>
      <c r="G364" s="1">
        <v>65</v>
      </c>
      <c r="H364" s="7">
        <v>1.9148542155126762</v>
      </c>
      <c r="I364" s="7">
        <f t="shared" si="77"/>
        <v>22.694936708860759</v>
      </c>
      <c r="J364" s="7">
        <f t="shared" si="65"/>
        <v>5.3055534129377486</v>
      </c>
      <c r="K364" s="7">
        <f t="shared" si="66"/>
        <v>22.140506329113926</v>
      </c>
      <c r="L364" s="7">
        <f t="shared" si="67"/>
        <v>4.9144008395218908</v>
      </c>
      <c r="M364" s="7">
        <f t="shared" si="68"/>
        <v>10.069620253164556</v>
      </c>
      <c r="N364" s="7">
        <f t="shared" si="69"/>
        <v>2.1089377326145904</v>
      </c>
      <c r="O364" s="7">
        <f t="shared" si="70"/>
        <v>10.958227848101266</v>
      </c>
      <c r="P364" s="7">
        <f t="shared" si="71"/>
        <v>2.2883463843764797</v>
      </c>
      <c r="Q364" s="7">
        <f t="shared" si="72"/>
        <v>0.43446236645517061</v>
      </c>
      <c r="R364" s="7">
        <f t="shared" si="73"/>
        <v>0.17489287075933599</v>
      </c>
      <c r="S364" s="7">
        <f t="shared" si="74"/>
        <v>-1.4555291062856295</v>
      </c>
      <c r="T364" s="7">
        <f t="shared" si="75"/>
        <v>-0.41874248349965643</v>
      </c>
      <c r="U364" s="7">
        <f t="shared" si="76"/>
        <v>-0.31622908814269485</v>
      </c>
    </row>
    <row r="365" spans="1:21" x14ac:dyDescent="0.25">
      <c r="A365" s="1" t="s">
        <v>1670</v>
      </c>
      <c r="B365" s="1" t="s">
        <v>36</v>
      </c>
      <c r="C365" s="1">
        <v>25</v>
      </c>
      <c r="D365" s="1">
        <v>22</v>
      </c>
      <c r="E365" s="1">
        <v>10</v>
      </c>
      <c r="F365" s="1">
        <v>10</v>
      </c>
      <c r="G365" s="1">
        <v>67</v>
      </c>
      <c r="H365" s="7">
        <v>1.863963243832607</v>
      </c>
      <c r="I365" s="7">
        <f t="shared" si="77"/>
        <v>22.694936708860759</v>
      </c>
      <c r="J365" s="7">
        <f t="shared" si="65"/>
        <v>5.3055534129377486</v>
      </c>
      <c r="K365" s="7">
        <f t="shared" si="66"/>
        <v>22.140506329113926</v>
      </c>
      <c r="L365" s="7">
        <f t="shared" si="67"/>
        <v>4.9144008395218908</v>
      </c>
      <c r="M365" s="7">
        <f t="shared" si="68"/>
        <v>10.069620253164556</v>
      </c>
      <c r="N365" s="7">
        <f t="shared" si="69"/>
        <v>2.1089377326145904</v>
      </c>
      <c r="O365" s="7">
        <f t="shared" si="70"/>
        <v>10.958227848101266</v>
      </c>
      <c r="P365" s="7">
        <f t="shared" si="71"/>
        <v>2.2883463843764797</v>
      </c>
      <c r="Q365" s="7">
        <f t="shared" si="72"/>
        <v>0.43446236645517061</v>
      </c>
      <c r="R365" s="7">
        <f t="shared" si="73"/>
        <v>-2.8590734395120113E-2</v>
      </c>
      <c r="S365" s="7">
        <f t="shared" si="74"/>
        <v>-3.3012000348745997E-2</v>
      </c>
      <c r="T365" s="7">
        <f t="shared" si="75"/>
        <v>-0.41874248349965643</v>
      </c>
      <c r="U365" s="7">
        <f t="shared" si="76"/>
        <v>-1.1470712947087985E-2</v>
      </c>
    </row>
    <row r="366" spans="1:21" x14ac:dyDescent="0.25">
      <c r="A366" s="1" t="s">
        <v>1670</v>
      </c>
      <c r="B366" s="1" t="s">
        <v>36</v>
      </c>
      <c r="C366" s="1">
        <v>33</v>
      </c>
      <c r="D366" s="1">
        <v>33</v>
      </c>
      <c r="E366" s="1">
        <v>10</v>
      </c>
      <c r="F366" s="1">
        <v>15</v>
      </c>
      <c r="G366" s="1">
        <v>91</v>
      </c>
      <c r="H366" s="7">
        <v>2.2730302828309759</v>
      </c>
      <c r="I366" s="7">
        <f t="shared" si="77"/>
        <v>22.694936708860759</v>
      </c>
      <c r="J366" s="7">
        <f t="shared" si="65"/>
        <v>5.3055534129377486</v>
      </c>
      <c r="K366" s="7">
        <f t="shared" si="66"/>
        <v>22.140506329113926</v>
      </c>
      <c r="L366" s="7">
        <f t="shared" si="67"/>
        <v>4.9144008395218908</v>
      </c>
      <c r="M366" s="7">
        <f t="shared" si="68"/>
        <v>10.069620253164556</v>
      </c>
      <c r="N366" s="7">
        <f t="shared" si="69"/>
        <v>2.1089377326145904</v>
      </c>
      <c r="O366" s="7">
        <f t="shared" si="70"/>
        <v>10.958227848101266</v>
      </c>
      <c r="P366" s="7">
        <f t="shared" si="71"/>
        <v>2.2883463843764797</v>
      </c>
      <c r="Q366" s="7">
        <f t="shared" si="72"/>
        <v>1.94231637853462</v>
      </c>
      <c r="R366" s="7">
        <f t="shared" si="73"/>
        <v>2.2097289223038969</v>
      </c>
      <c r="S366" s="7">
        <f t="shared" si="74"/>
        <v>-3.3012000348745997E-2</v>
      </c>
      <c r="T366" s="7">
        <f t="shared" si="75"/>
        <v>1.7662414132290645</v>
      </c>
      <c r="U366" s="7">
        <f t="shared" si="76"/>
        <v>1.4713186784297088</v>
      </c>
    </row>
    <row r="367" spans="1:21" x14ac:dyDescent="0.25">
      <c r="A367" s="1" t="s">
        <v>1670</v>
      </c>
      <c r="B367" s="1" t="s">
        <v>36</v>
      </c>
      <c r="C367" s="1">
        <v>29</v>
      </c>
      <c r="D367" s="1">
        <v>29</v>
      </c>
      <c r="E367" s="1">
        <v>13</v>
      </c>
      <c r="F367" s="1">
        <v>15</v>
      </c>
      <c r="G367" s="1">
        <v>86</v>
      </c>
      <c r="H367" s="7">
        <v>1.5566235649883124</v>
      </c>
      <c r="I367" s="7">
        <f t="shared" si="77"/>
        <v>22.694936708860759</v>
      </c>
      <c r="J367" s="7">
        <f t="shared" si="65"/>
        <v>5.3055534129377486</v>
      </c>
      <c r="K367" s="7">
        <f t="shared" si="66"/>
        <v>22.140506329113926</v>
      </c>
      <c r="L367" s="7">
        <f t="shared" si="67"/>
        <v>4.9144008395218908</v>
      </c>
      <c r="M367" s="7">
        <f t="shared" si="68"/>
        <v>10.069620253164556</v>
      </c>
      <c r="N367" s="7">
        <f t="shared" si="69"/>
        <v>2.1089377326145904</v>
      </c>
      <c r="O367" s="7">
        <f t="shared" si="70"/>
        <v>10.958227848101266</v>
      </c>
      <c r="P367" s="7">
        <f t="shared" si="71"/>
        <v>2.2883463843764797</v>
      </c>
      <c r="Q367" s="7">
        <f t="shared" si="72"/>
        <v>1.1883893724948953</v>
      </c>
      <c r="R367" s="7">
        <f t="shared" si="73"/>
        <v>1.3957945016860727</v>
      </c>
      <c r="S367" s="7">
        <f t="shared" si="74"/>
        <v>1.3895051055881373</v>
      </c>
      <c r="T367" s="7">
        <f t="shared" si="75"/>
        <v>1.7662414132290645</v>
      </c>
      <c r="U367" s="7">
        <f t="shared" si="76"/>
        <v>1.4349825982495423</v>
      </c>
    </row>
    <row r="368" spans="1:21" x14ac:dyDescent="0.25">
      <c r="A368" s="1" t="s">
        <v>1670</v>
      </c>
      <c r="B368" s="1" t="s">
        <v>36</v>
      </c>
      <c r="C368" s="1">
        <v>26</v>
      </c>
      <c r="D368" s="1">
        <v>27</v>
      </c>
      <c r="E368" s="1">
        <v>13</v>
      </c>
      <c r="F368" s="1">
        <v>14</v>
      </c>
      <c r="G368" s="1">
        <v>80</v>
      </c>
      <c r="H368" s="7">
        <v>1.6756169931378435</v>
      </c>
      <c r="I368" s="7">
        <f t="shared" si="77"/>
        <v>22.694936708860759</v>
      </c>
      <c r="J368" s="7">
        <f t="shared" si="65"/>
        <v>5.3055534129377486</v>
      </c>
      <c r="K368" s="7">
        <f t="shared" si="66"/>
        <v>22.140506329113926</v>
      </c>
      <c r="L368" s="7">
        <f t="shared" si="67"/>
        <v>4.9144008395218908</v>
      </c>
      <c r="M368" s="7">
        <f t="shared" si="68"/>
        <v>10.069620253164556</v>
      </c>
      <c r="N368" s="7">
        <f t="shared" si="69"/>
        <v>2.1089377326145904</v>
      </c>
      <c r="O368" s="7">
        <f t="shared" si="70"/>
        <v>10.958227848101266</v>
      </c>
      <c r="P368" s="7">
        <f t="shared" si="71"/>
        <v>2.2883463843764797</v>
      </c>
      <c r="Q368" s="7">
        <f t="shared" si="72"/>
        <v>0.62294411796510174</v>
      </c>
      <c r="R368" s="7">
        <f t="shared" si="73"/>
        <v>0.98882729137716041</v>
      </c>
      <c r="S368" s="7">
        <f t="shared" si="74"/>
        <v>1.3895051055881373</v>
      </c>
      <c r="T368" s="7">
        <f t="shared" si="75"/>
        <v>1.3292446338833204</v>
      </c>
      <c r="U368" s="7">
        <f t="shared" si="76"/>
        <v>1.0826302872034299</v>
      </c>
    </row>
    <row r="369" spans="1:21" x14ac:dyDescent="0.25">
      <c r="A369" s="1" t="s">
        <v>1670</v>
      </c>
      <c r="B369" s="1" t="s">
        <v>36</v>
      </c>
      <c r="C369" s="1">
        <v>33</v>
      </c>
      <c r="D369" s="1">
        <v>33</v>
      </c>
      <c r="E369" s="1">
        <v>14</v>
      </c>
      <c r="F369" s="1">
        <v>15</v>
      </c>
      <c r="G369" s="1">
        <v>95</v>
      </c>
      <c r="H369" s="7">
        <v>2.2503560971771921</v>
      </c>
      <c r="I369" s="7">
        <f t="shared" si="77"/>
        <v>22.694936708860759</v>
      </c>
      <c r="J369" s="7">
        <f t="shared" si="65"/>
        <v>5.3055534129377486</v>
      </c>
      <c r="K369" s="7">
        <f t="shared" si="66"/>
        <v>22.140506329113926</v>
      </c>
      <c r="L369" s="7">
        <f t="shared" si="67"/>
        <v>4.9144008395218908</v>
      </c>
      <c r="M369" s="7">
        <f t="shared" si="68"/>
        <v>10.069620253164556</v>
      </c>
      <c r="N369" s="7">
        <f t="shared" si="69"/>
        <v>2.1089377326145904</v>
      </c>
      <c r="O369" s="7">
        <f t="shared" si="70"/>
        <v>10.958227848101266</v>
      </c>
      <c r="P369" s="7">
        <f t="shared" si="71"/>
        <v>2.2883463843764797</v>
      </c>
      <c r="Q369" s="7">
        <f t="shared" si="72"/>
        <v>1.94231637853462</v>
      </c>
      <c r="R369" s="7">
        <f t="shared" si="73"/>
        <v>2.2097289223038969</v>
      </c>
      <c r="S369" s="7">
        <f t="shared" si="74"/>
        <v>1.8636774742337652</v>
      </c>
      <c r="T369" s="7">
        <f t="shared" si="75"/>
        <v>1.7662414132290645</v>
      </c>
      <c r="U369" s="7">
        <f t="shared" si="76"/>
        <v>1.9454910470753366</v>
      </c>
    </row>
    <row r="370" spans="1:21" x14ac:dyDescent="0.25">
      <c r="A370" s="1" t="s">
        <v>1670</v>
      </c>
      <c r="B370" s="1" t="s">
        <v>36</v>
      </c>
      <c r="C370" s="1">
        <v>25</v>
      </c>
      <c r="D370" s="1">
        <v>22</v>
      </c>
      <c r="E370" s="1">
        <v>12</v>
      </c>
      <c r="F370" s="1">
        <v>15</v>
      </c>
      <c r="G370" s="1">
        <v>74</v>
      </c>
      <c r="H370" s="7">
        <v>1.5483655567842816</v>
      </c>
      <c r="I370" s="7">
        <f t="shared" si="77"/>
        <v>22.694936708860759</v>
      </c>
      <c r="J370" s="7">
        <f t="shared" si="65"/>
        <v>5.3055534129377486</v>
      </c>
      <c r="K370" s="7">
        <f t="shared" si="66"/>
        <v>22.140506329113926</v>
      </c>
      <c r="L370" s="7">
        <f t="shared" si="67"/>
        <v>4.9144008395218908</v>
      </c>
      <c r="M370" s="7">
        <f t="shared" si="68"/>
        <v>10.069620253164556</v>
      </c>
      <c r="N370" s="7">
        <f t="shared" si="69"/>
        <v>2.1089377326145904</v>
      </c>
      <c r="O370" s="7">
        <f t="shared" si="70"/>
        <v>10.958227848101266</v>
      </c>
      <c r="P370" s="7">
        <f t="shared" si="71"/>
        <v>2.2883463843764797</v>
      </c>
      <c r="Q370" s="7">
        <f t="shared" si="72"/>
        <v>0.43446236645517061</v>
      </c>
      <c r="R370" s="7">
        <f t="shared" si="73"/>
        <v>-2.8590734395120113E-2</v>
      </c>
      <c r="S370" s="7">
        <f t="shared" si="74"/>
        <v>0.91533273694250961</v>
      </c>
      <c r="T370" s="7">
        <f t="shared" si="75"/>
        <v>1.7662414132290645</v>
      </c>
      <c r="U370" s="7">
        <f t="shared" si="76"/>
        <v>0.77186144555790615</v>
      </c>
    </row>
    <row r="371" spans="1:21" x14ac:dyDescent="0.25">
      <c r="A371" s="1" t="s">
        <v>1670</v>
      </c>
      <c r="B371" s="1" t="s">
        <v>36</v>
      </c>
      <c r="C371" s="1">
        <v>28</v>
      </c>
      <c r="D371" s="1">
        <v>27</v>
      </c>
      <c r="E371" s="1">
        <v>12</v>
      </c>
      <c r="F371" s="1">
        <v>11</v>
      </c>
      <c r="G371" s="1">
        <v>78</v>
      </c>
      <c r="H371" s="7">
        <v>2.0412414523193152</v>
      </c>
      <c r="I371" s="7">
        <f t="shared" si="77"/>
        <v>22.694936708860759</v>
      </c>
      <c r="J371" s="7">
        <f t="shared" si="65"/>
        <v>5.3055534129377486</v>
      </c>
      <c r="K371" s="7">
        <f t="shared" si="66"/>
        <v>22.140506329113926</v>
      </c>
      <c r="L371" s="7">
        <f t="shared" si="67"/>
        <v>4.9144008395218908</v>
      </c>
      <c r="M371" s="7">
        <f t="shared" si="68"/>
        <v>10.069620253164556</v>
      </c>
      <c r="N371" s="7">
        <f t="shared" si="69"/>
        <v>2.1089377326145904</v>
      </c>
      <c r="O371" s="7">
        <f t="shared" si="70"/>
        <v>10.958227848101266</v>
      </c>
      <c r="P371" s="7">
        <f t="shared" si="71"/>
        <v>2.2883463843764797</v>
      </c>
      <c r="Q371" s="7">
        <f t="shared" si="72"/>
        <v>0.99990762098496411</v>
      </c>
      <c r="R371" s="7">
        <f t="shared" si="73"/>
        <v>0.98882729137716041</v>
      </c>
      <c r="S371" s="7">
        <f t="shared" si="74"/>
        <v>0.91533273694250961</v>
      </c>
      <c r="T371" s="7">
        <f t="shared" si="75"/>
        <v>1.8254295846087756E-2</v>
      </c>
      <c r="U371" s="7">
        <f t="shared" si="76"/>
        <v>0.73058048628768046</v>
      </c>
    </row>
    <row r="372" spans="1:21" x14ac:dyDescent="0.25">
      <c r="A372" s="1" t="s">
        <v>1670</v>
      </c>
      <c r="B372" s="1" t="s">
        <v>36</v>
      </c>
      <c r="C372" s="1">
        <v>27</v>
      </c>
      <c r="D372" s="1">
        <v>26</v>
      </c>
      <c r="E372" s="1">
        <v>12</v>
      </c>
      <c r="F372" s="1">
        <v>9</v>
      </c>
      <c r="G372" s="1">
        <v>74</v>
      </c>
      <c r="H372" s="7">
        <v>2.0970064133034736</v>
      </c>
      <c r="I372" s="7">
        <f t="shared" si="77"/>
        <v>22.694936708860759</v>
      </c>
      <c r="J372" s="7">
        <f t="shared" si="65"/>
        <v>5.3055534129377486</v>
      </c>
      <c r="K372" s="7">
        <f t="shared" si="66"/>
        <v>22.140506329113926</v>
      </c>
      <c r="L372" s="7">
        <f t="shared" si="67"/>
        <v>4.9144008395218908</v>
      </c>
      <c r="M372" s="7">
        <f t="shared" si="68"/>
        <v>10.069620253164556</v>
      </c>
      <c r="N372" s="7">
        <f t="shared" si="69"/>
        <v>2.1089377326145904</v>
      </c>
      <c r="O372" s="7">
        <f t="shared" si="70"/>
        <v>10.958227848101266</v>
      </c>
      <c r="P372" s="7">
        <f t="shared" si="71"/>
        <v>2.2883463843764797</v>
      </c>
      <c r="Q372" s="7">
        <f t="shared" si="72"/>
        <v>0.81142586947503292</v>
      </c>
      <c r="R372" s="7">
        <f t="shared" si="73"/>
        <v>0.78534368622270434</v>
      </c>
      <c r="S372" s="7">
        <f t="shared" si="74"/>
        <v>0.91533273694250961</v>
      </c>
      <c r="T372" s="7">
        <f t="shared" si="75"/>
        <v>-0.85573926284540058</v>
      </c>
      <c r="U372" s="7">
        <f t="shared" si="76"/>
        <v>0.41409075744871154</v>
      </c>
    </row>
    <row r="373" spans="1:21" x14ac:dyDescent="0.25">
      <c r="A373" s="1" t="s">
        <v>1670</v>
      </c>
      <c r="B373" s="1" t="s">
        <v>36</v>
      </c>
      <c r="C373" s="1">
        <v>27</v>
      </c>
      <c r="D373" s="1">
        <v>26</v>
      </c>
      <c r="E373" s="1">
        <v>13</v>
      </c>
      <c r="F373" s="1">
        <v>10</v>
      </c>
      <c r="G373" s="1">
        <v>76</v>
      </c>
      <c r="H373" s="7">
        <v>2.1926450482675728</v>
      </c>
      <c r="I373" s="7">
        <f t="shared" si="77"/>
        <v>22.694936708860759</v>
      </c>
      <c r="J373" s="7">
        <f t="shared" si="65"/>
        <v>5.3055534129377486</v>
      </c>
      <c r="K373" s="7">
        <f t="shared" si="66"/>
        <v>22.140506329113926</v>
      </c>
      <c r="L373" s="7">
        <f t="shared" si="67"/>
        <v>4.9144008395218908</v>
      </c>
      <c r="M373" s="7">
        <f t="shared" si="68"/>
        <v>10.069620253164556</v>
      </c>
      <c r="N373" s="7">
        <f t="shared" si="69"/>
        <v>2.1089377326145904</v>
      </c>
      <c r="O373" s="7">
        <f t="shared" si="70"/>
        <v>10.958227848101266</v>
      </c>
      <c r="P373" s="7">
        <f t="shared" si="71"/>
        <v>2.2883463843764797</v>
      </c>
      <c r="Q373" s="7">
        <f t="shared" si="72"/>
        <v>0.81142586947503292</v>
      </c>
      <c r="R373" s="7">
        <f t="shared" si="73"/>
        <v>0.78534368622270434</v>
      </c>
      <c r="S373" s="7">
        <f t="shared" si="74"/>
        <v>1.3895051055881373</v>
      </c>
      <c r="T373" s="7">
        <f t="shared" si="75"/>
        <v>-0.41874248349965643</v>
      </c>
      <c r="U373" s="7">
        <f t="shared" si="76"/>
        <v>0.64188304444655464</v>
      </c>
    </row>
    <row r="374" spans="1:21" x14ac:dyDescent="0.25">
      <c r="A374" s="1" t="s">
        <v>1670</v>
      </c>
      <c r="B374" s="1" t="s">
        <v>36</v>
      </c>
      <c r="C374" s="1">
        <v>29</v>
      </c>
      <c r="D374" s="1">
        <v>26</v>
      </c>
      <c r="E374" s="1">
        <v>13</v>
      </c>
      <c r="F374" s="1">
        <v>14</v>
      </c>
      <c r="G374" s="1">
        <v>82</v>
      </c>
      <c r="H374" s="7">
        <v>1.8432134703923737</v>
      </c>
      <c r="I374" s="7">
        <f t="shared" si="77"/>
        <v>22.694936708860759</v>
      </c>
      <c r="J374" s="7">
        <f t="shared" si="65"/>
        <v>5.3055534129377486</v>
      </c>
      <c r="K374" s="7">
        <f t="shared" si="66"/>
        <v>22.140506329113926</v>
      </c>
      <c r="L374" s="7">
        <f t="shared" si="67"/>
        <v>4.9144008395218908</v>
      </c>
      <c r="M374" s="7">
        <f t="shared" si="68"/>
        <v>10.069620253164556</v>
      </c>
      <c r="N374" s="7">
        <f t="shared" si="69"/>
        <v>2.1089377326145904</v>
      </c>
      <c r="O374" s="7">
        <f t="shared" si="70"/>
        <v>10.958227848101266</v>
      </c>
      <c r="P374" s="7">
        <f t="shared" si="71"/>
        <v>2.2883463843764797</v>
      </c>
      <c r="Q374" s="7">
        <f t="shared" si="72"/>
        <v>1.1883893724948953</v>
      </c>
      <c r="R374" s="7">
        <f t="shared" si="73"/>
        <v>0.78534368622270434</v>
      </c>
      <c r="S374" s="7">
        <f t="shared" si="74"/>
        <v>1.3895051055881373</v>
      </c>
      <c r="T374" s="7">
        <f t="shared" si="75"/>
        <v>1.3292446338833204</v>
      </c>
      <c r="U374" s="7">
        <f t="shared" si="76"/>
        <v>1.1731206995472643</v>
      </c>
    </row>
    <row r="375" spans="1:21" x14ac:dyDescent="0.25">
      <c r="A375" s="1" t="s">
        <v>1670</v>
      </c>
      <c r="B375" s="1" t="s">
        <v>36</v>
      </c>
      <c r="C375" s="1">
        <v>32</v>
      </c>
      <c r="D375" s="1">
        <v>29</v>
      </c>
      <c r="E375" s="1">
        <v>13</v>
      </c>
      <c r="F375" s="1">
        <v>12</v>
      </c>
      <c r="G375" s="1">
        <v>86</v>
      </c>
      <c r="H375" s="7">
        <v>2.1423686866978779</v>
      </c>
      <c r="I375" s="7">
        <f t="shared" si="77"/>
        <v>22.694936708860759</v>
      </c>
      <c r="J375" s="7">
        <f t="shared" si="65"/>
        <v>5.3055534129377486</v>
      </c>
      <c r="K375" s="7">
        <f t="shared" si="66"/>
        <v>22.140506329113926</v>
      </c>
      <c r="L375" s="7">
        <f t="shared" si="67"/>
        <v>4.9144008395218908</v>
      </c>
      <c r="M375" s="7">
        <f t="shared" si="68"/>
        <v>10.069620253164556</v>
      </c>
      <c r="N375" s="7">
        <f t="shared" si="69"/>
        <v>2.1089377326145904</v>
      </c>
      <c r="O375" s="7">
        <f t="shared" si="70"/>
        <v>10.958227848101266</v>
      </c>
      <c r="P375" s="7">
        <f t="shared" si="71"/>
        <v>2.2883463843764797</v>
      </c>
      <c r="Q375" s="7">
        <f t="shared" si="72"/>
        <v>1.7538346270246887</v>
      </c>
      <c r="R375" s="7">
        <f t="shared" si="73"/>
        <v>1.3957945016860727</v>
      </c>
      <c r="S375" s="7">
        <f t="shared" si="74"/>
        <v>1.3895051055881373</v>
      </c>
      <c r="T375" s="7">
        <f t="shared" si="75"/>
        <v>0.45525107519183194</v>
      </c>
      <c r="U375" s="7">
        <f t="shared" si="76"/>
        <v>1.2485963273726826</v>
      </c>
    </row>
    <row r="376" spans="1:21" x14ac:dyDescent="0.25">
      <c r="A376" s="1" t="s">
        <v>1670</v>
      </c>
      <c r="B376" s="1" t="s">
        <v>36</v>
      </c>
      <c r="C376" s="1">
        <v>29</v>
      </c>
      <c r="D376" s="1">
        <v>26</v>
      </c>
      <c r="E376" s="1">
        <v>12</v>
      </c>
      <c r="F376" s="1">
        <v>10</v>
      </c>
      <c r="G376" s="1">
        <v>77</v>
      </c>
      <c r="H376" s="7">
        <v>2.1000610491736689</v>
      </c>
      <c r="I376" s="7">
        <f t="shared" si="77"/>
        <v>22.694936708860759</v>
      </c>
      <c r="J376" s="7">
        <f t="shared" si="65"/>
        <v>5.3055534129377486</v>
      </c>
      <c r="K376" s="7">
        <f t="shared" si="66"/>
        <v>22.140506329113926</v>
      </c>
      <c r="L376" s="7">
        <f t="shared" si="67"/>
        <v>4.9144008395218908</v>
      </c>
      <c r="M376" s="7">
        <f t="shared" si="68"/>
        <v>10.069620253164556</v>
      </c>
      <c r="N376" s="7">
        <f t="shared" si="69"/>
        <v>2.1089377326145904</v>
      </c>
      <c r="O376" s="7">
        <f t="shared" si="70"/>
        <v>10.958227848101266</v>
      </c>
      <c r="P376" s="7">
        <f t="shared" si="71"/>
        <v>2.2883463843764797</v>
      </c>
      <c r="Q376" s="7">
        <f t="shared" si="72"/>
        <v>1.1883893724948953</v>
      </c>
      <c r="R376" s="7">
        <f t="shared" si="73"/>
        <v>0.78534368622270434</v>
      </c>
      <c r="S376" s="7">
        <f t="shared" si="74"/>
        <v>0.91533273694250961</v>
      </c>
      <c r="T376" s="7">
        <f t="shared" si="75"/>
        <v>-0.41874248349965643</v>
      </c>
      <c r="U376" s="7">
        <f t="shared" si="76"/>
        <v>0.61758082804011327</v>
      </c>
    </row>
    <row r="377" spans="1:21" x14ac:dyDescent="0.25">
      <c r="A377" s="1" t="s">
        <v>1670</v>
      </c>
      <c r="B377" s="1" t="s">
        <v>36</v>
      </c>
      <c r="C377" s="1">
        <v>31</v>
      </c>
      <c r="D377" s="1">
        <v>29</v>
      </c>
      <c r="E377" s="1">
        <v>12</v>
      </c>
      <c r="F377" s="1">
        <v>11</v>
      </c>
      <c r="G377" s="1">
        <v>83</v>
      </c>
      <c r="H377" s="7">
        <v>2.2188007849009166</v>
      </c>
      <c r="I377" s="7">
        <f t="shared" si="77"/>
        <v>22.694936708860759</v>
      </c>
      <c r="J377" s="7">
        <f t="shared" si="65"/>
        <v>5.3055534129377486</v>
      </c>
      <c r="K377" s="7">
        <f t="shared" si="66"/>
        <v>22.140506329113926</v>
      </c>
      <c r="L377" s="7">
        <f t="shared" si="67"/>
        <v>4.9144008395218908</v>
      </c>
      <c r="M377" s="7">
        <f t="shared" si="68"/>
        <v>10.069620253164556</v>
      </c>
      <c r="N377" s="7">
        <f t="shared" si="69"/>
        <v>2.1089377326145904</v>
      </c>
      <c r="O377" s="7">
        <f t="shared" si="70"/>
        <v>10.958227848101266</v>
      </c>
      <c r="P377" s="7">
        <f t="shared" si="71"/>
        <v>2.2883463843764797</v>
      </c>
      <c r="Q377" s="7">
        <f t="shared" si="72"/>
        <v>1.5653528755147577</v>
      </c>
      <c r="R377" s="7">
        <f t="shared" si="73"/>
        <v>1.3957945016860727</v>
      </c>
      <c r="S377" s="7">
        <f t="shared" si="74"/>
        <v>0.91533273694250961</v>
      </c>
      <c r="T377" s="7">
        <f t="shared" si="75"/>
        <v>1.8254295846087756E-2</v>
      </c>
      <c r="U377" s="7">
        <f t="shared" si="76"/>
        <v>0.97368360249735686</v>
      </c>
    </row>
    <row r="378" spans="1:21" x14ac:dyDescent="0.25">
      <c r="A378" s="1" t="s">
        <v>1670</v>
      </c>
      <c r="B378" s="1" t="s">
        <v>36</v>
      </c>
      <c r="C378" s="1">
        <v>29</v>
      </c>
      <c r="D378" s="1">
        <v>30</v>
      </c>
      <c r="E378" s="1">
        <v>13</v>
      </c>
      <c r="F378" s="1">
        <v>13</v>
      </c>
      <c r="G378" s="1">
        <v>85</v>
      </c>
      <c r="H378" s="7">
        <v>2.1838568563966754</v>
      </c>
      <c r="I378" s="7">
        <f t="shared" si="77"/>
        <v>22.694936708860759</v>
      </c>
      <c r="J378" s="7">
        <f t="shared" si="65"/>
        <v>5.3055534129377486</v>
      </c>
      <c r="K378" s="7">
        <f t="shared" si="66"/>
        <v>22.140506329113926</v>
      </c>
      <c r="L378" s="7">
        <f t="shared" si="67"/>
        <v>4.9144008395218908</v>
      </c>
      <c r="M378" s="7">
        <f t="shared" si="68"/>
        <v>10.069620253164556</v>
      </c>
      <c r="N378" s="7">
        <f t="shared" si="69"/>
        <v>2.1089377326145904</v>
      </c>
      <c r="O378" s="7">
        <f t="shared" si="70"/>
        <v>10.958227848101266</v>
      </c>
      <c r="P378" s="7">
        <f t="shared" si="71"/>
        <v>2.2883463843764797</v>
      </c>
      <c r="Q378" s="7">
        <f t="shared" si="72"/>
        <v>1.1883893724948953</v>
      </c>
      <c r="R378" s="7">
        <f t="shared" si="73"/>
        <v>1.5992781068405286</v>
      </c>
      <c r="S378" s="7">
        <f t="shared" si="74"/>
        <v>1.3895051055881373</v>
      </c>
      <c r="T378" s="7">
        <f t="shared" si="75"/>
        <v>0.89224785453757616</v>
      </c>
      <c r="U378" s="7">
        <f t="shared" si="76"/>
        <v>1.2673551098652842</v>
      </c>
    </row>
    <row r="379" spans="1:21" x14ac:dyDescent="0.25">
      <c r="A379" s="1" t="s">
        <v>1670</v>
      </c>
      <c r="B379" s="1" t="s">
        <v>36</v>
      </c>
      <c r="C379" s="1">
        <v>26</v>
      </c>
      <c r="D379" s="1">
        <v>27</v>
      </c>
      <c r="E379" s="1">
        <v>12</v>
      </c>
      <c r="F379" s="1">
        <v>11</v>
      </c>
      <c r="G379" s="1">
        <v>76</v>
      </c>
      <c r="H379" s="7">
        <v>1.9935794376846323</v>
      </c>
      <c r="I379" s="7">
        <f t="shared" si="77"/>
        <v>22.694936708860759</v>
      </c>
      <c r="J379" s="7">
        <f t="shared" si="65"/>
        <v>5.3055534129377486</v>
      </c>
      <c r="K379" s="7">
        <f t="shared" si="66"/>
        <v>22.140506329113926</v>
      </c>
      <c r="L379" s="7">
        <f t="shared" si="67"/>
        <v>4.9144008395218908</v>
      </c>
      <c r="M379" s="7">
        <f t="shared" si="68"/>
        <v>10.069620253164556</v>
      </c>
      <c r="N379" s="7">
        <f t="shared" si="69"/>
        <v>2.1089377326145904</v>
      </c>
      <c r="O379" s="7">
        <f t="shared" si="70"/>
        <v>10.958227848101266</v>
      </c>
      <c r="P379" s="7">
        <f t="shared" si="71"/>
        <v>2.2883463843764797</v>
      </c>
      <c r="Q379" s="7">
        <f t="shared" si="72"/>
        <v>0.62294411796510174</v>
      </c>
      <c r="R379" s="7">
        <f t="shared" si="73"/>
        <v>0.98882729137716041</v>
      </c>
      <c r="S379" s="7">
        <f t="shared" si="74"/>
        <v>0.91533273694250961</v>
      </c>
      <c r="T379" s="7">
        <f t="shared" si="75"/>
        <v>1.8254295846087756E-2</v>
      </c>
      <c r="U379" s="7">
        <f t="shared" si="76"/>
        <v>0.63633961053271493</v>
      </c>
    </row>
    <row r="380" spans="1:21" x14ac:dyDescent="0.25">
      <c r="A380" s="1" t="s">
        <v>1670</v>
      </c>
      <c r="B380" s="1" t="s">
        <v>36</v>
      </c>
      <c r="C380" s="1">
        <v>32</v>
      </c>
      <c r="D380" s="1">
        <v>32</v>
      </c>
      <c r="E380" s="1">
        <v>14</v>
      </c>
      <c r="F380" s="1">
        <v>15</v>
      </c>
      <c r="G380" s="1">
        <v>93</v>
      </c>
      <c r="H380" s="7">
        <v>2.0754980866510828</v>
      </c>
      <c r="I380" s="7">
        <f t="shared" si="77"/>
        <v>22.694936708860759</v>
      </c>
      <c r="J380" s="7">
        <f t="shared" si="65"/>
        <v>5.3055534129377486</v>
      </c>
      <c r="K380" s="7">
        <f t="shared" si="66"/>
        <v>22.140506329113926</v>
      </c>
      <c r="L380" s="7">
        <f t="shared" si="67"/>
        <v>4.9144008395218908</v>
      </c>
      <c r="M380" s="7">
        <f t="shared" si="68"/>
        <v>10.069620253164556</v>
      </c>
      <c r="N380" s="7">
        <f t="shared" si="69"/>
        <v>2.1089377326145904</v>
      </c>
      <c r="O380" s="7">
        <f t="shared" si="70"/>
        <v>10.958227848101266</v>
      </c>
      <c r="P380" s="7">
        <f t="shared" si="71"/>
        <v>2.2883463843764797</v>
      </c>
      <c r="Q380" s="7">
        <f t="shared" si="72"/>
        <v>1.7538346270246887</v>
      </c>
      <c r="R380" s="7">
        <f t="shared" si="73"/>
        <v>2.0062453171494408</v>
      </c>
      <c r="S380" s="7">
        <f t="shared" si="74"/>
        <v>1.8636774742337652</v>
      </c>
      <c r="T380" s="7">
        <f t="shared" si="75"/>
        <v>1.7662414132290645</v>
      </c>
      <c r="U380" s="7">
        <f t="shared" si="76"/>
        <v>1.8474997079092397</v>
      </c>
    </row>
    <row r="381" spans="1:21" x14ac:dyDescent="0.25">
      <c r="A381" s="1" t="s">
        <v>1670</v>
      </c>
      <c r="B381" s="1" t="s">
        <v>36</v>
      </c>
      <c r="C381" s="1">
        <v>25</v>
      </c>
      <c r="D381" s="1">
        <v>27</v>
      </c>
      <c r="E381" s="1">
        <v>12</v>
      </c>
      <c r="F381" s="1">
        <v>14</v>
      </c>
      <c r="G381" s="1">
        <v>78</v>
      </c>
      <c r="H381" s="7">
        <v>1.8708286933869709</v>
      </c>
      <c r="I381" s="7">
        <f t="shared" si="77"/>
        <v>22.694936708860759</v>
      </c>
      <c r="J381" s="7">
        <f t="shared" si="65"/>
        <v>5.3055534129377486</v>
      </c>
      <c r="K381" s="7">
        <f t="shared" si="66"/>
        <v>22.140506329113926</v>
      </c>
      <c r="L381" s="7">
        <f t="shared" si="67"/>
        <v>4.9144008395218908</v>
      </c>
      <c r="M381" s="7">
        <f t="shared" si="68"/>
        <v>10.069620253164556</v>
      </c>
      <c r="N381" s="7">
        <f t="shared" si="69"/>
        <v>2.1089377326145904</v>
      </c>
      <c r="O381" s="7">
        <f t="shared" si="70"/>
        <v>10.958227848101266</v>
      </c>
      <c r="P381" s="7">
        <f t="shared" si="71"/>
        <v>2.2883463843764797</v>
      </c>
      <c r="Q381" s="7">
        <f t="shared" si="72"/>
        <v>0.43446236645517061</v>
      </c>
      <c r="R381" s="7">
        <f t="shared" si="73"/>
        <v>0.98882729137716041</v>
      </c>
      <c r="S381" s="7">
        <f t="shared" si="74"/>
        <v>0.91533273694250961</v>
      </c>
      <c r="T381" s="7">
        <f t="shared" si="75"/>
        <v>1.3292446338833204</v>
      </c>
      <c r="U381" s="7">
        <f t="shared" si="76"/>
        <v>0.91696675716454035</v>
      </c>
    </row>
    <row r="382" spans="1:21" x14ac:dyDescent="0.25">
      <c r="A382" s="1" t="s">
        <v>1670</v>
      </c>
      <c r="B382" s="1" t="s">
        <v>36</v>
      </c>
      <c r="C382" s="1">
        <v>32</v>
      </c>
      <c r="D382" s="1">
        <v>29</v>
      </c>
      <c r="E382" s="1">
        <v>11</v>
      </c>
      <c r="F382" s="1">
        <v>13</v>
      </c>
      <c r="G382" s="1">
        <v>85</v>
      </c>
      <c r="H382" s="7">
        <v>2.3669736167866557</v>
      </c>
      <c r="I382" s="7">
        <f t="shared" si="77"/>
        <v>22.694936708860759</v>
      </c>
      <c r="J382" s="7">
        <f t="shared" si="65"/>
        <v>5.3055534129377486</v>
      </c>
      <c r="K382" s="7">
        <f t="shared" si="66"/>
        <v>22.140506329113926</v>
      </c>
      <c r="L382" s="7">
        <f t="shared" si="67"/>
        <v>4.9144008395218908</v>
      </c>
      <c r="M382" s="7">
        <f t="shared" si="68"/>
        <v>10.069620253164556</v>
      </c>
      <c r="N382" s="7">
        <f t="shared" si="69"/>
        <v>2.1089377326145904</v>
      </c>
      <c r="O382" s="7">
        <f t="shared" si="70"/>
        <v>10.958227848101266</v>
      </c>
      <c r="P382" s="7">
        <f t="shared" si="71"/>
        <v>2.2883463843764797</v>
      </c>
      <c r="Q382" s="7">
        <f t="shared" si="72"/>
        <v>1.7538346270246887</v>
      </c>
      <c r="R382" s="7">
        <f t="shared" si="73"/>
        <v>1.3957945016860727</v>
      </c>
      <c r="S382" s="7">
        <f t="shared" si="74"/>
        <v>0.44116036829688182</v>
      </c>
      <c r="T382" s="7">
        <f t="shared" si="75"/>
        <v>0.89224785453757616</v>
      </c>
      <c r="U382" s="7">
        <f t="shared" si="76"/>
        <v>1.1207593378863048</v>
      </c>
    </row>
    <row r="383" spans="1:21" x14ac:dyDescent="0.25">
      <c r="A383" s="1" t="s">
        <v>1671</v>
      </c>
      <c r="B383" s="1" t="s">
        <v>36</v>
      </c>
      <c r="C383" s="1">
        <v>27</v>
      </c>
      <c r="D383" s="1">
        <v>26</v>
      </c>
      <c r="E383" s="1">
        <v>10</v>
      </c>
      <c r="F383" s="1">
        <v>9</v>
      </c>
      <c r="G383" s="1">
        <v>72</v>
      </c>
      <c r="H383" s="7">
        <v>1.8081014266989472</v>
      </c>
      <c r="I383" s="7">
        <f t="shared" si="77"/>
        <v>22.694936708860759</v>
      </c>
      <c r="J383" s="7">
        <f t="shared" si="65"/>
        <v>5.3055534129377486</v>
      </c>
      <c r="K383" s="7">
        <f t="shared" si="66"/>
        <v>22.140506329113926</v>
      </c>
      <c r="L383" s="7">
        <f t="shared" si="67"/>
        <v>4.9144008395218908</v>
      </c>
      <c r="M383" s="7">
        <f t="shared" si="68"/>
        <v>10.069620253164556</v>
      </c>
      <c r="N383" s="7">
        <f t="shared" si="69"/>
        <v>2.1089377326145904</v>
      </c>
      <c r="O383" s="7">
        <f t="shared" si="70"/>
        <v>10.958227848101266</v>
      </c>
      <c r="P383" s="7">
        <f t="shared" si="71"/>
        <v>2.2883463843764797</v>
      </c>
      <c r="Q383" s="7">
        <f t="shared" si="72"/>
        <v>0.81142586947503292</v>
      </c>
      <c r="R383" s="7">
        <f t="shared" si="73"/>
        <v>0.78534368622270434</v>
      </c>
      <c r="S383" s="7">
        <f t="shared" si="74"/>
        <v>-3.3012000348745997E-2</v>
      </c>
      <c r="T383" s="7">
        <f t="shared" si="75"/>
        <v>-0.85573926284540058</v>
      </c>
      <c r="U383" s="7">
        <f t="shared" si="76"/>
        <v>0.17700457312589768</v>
      </c>
    </row>
    <row r="384" spans="1:21" x14ac:dyDescent="0.25">
      <c r="A384" s="1" t="s">
        <v>1671</v>
      </c>
      <c r="B384" s="1" t="s">
        <v>36</v>
      </c>
      <c r="C384" s="1">
        <v>26</v>
      </c>
      <c r="D384" s="1">
        <v>22</v>
      </c>
      <c r="E384" s="1">
        <v>10</v>
      </c>
      <c r="F384" s="1">
        <v>10</v>
      </c>
      <c r="G384" s="1">
        <v>68</v>
      </c>
      <c r="H384" s="7">
        <v>1.739436985245808</v>
      </c>
      <c r="I384" s="7">
        <f t="shared" si="77"/>
        <v>22.694936708860759</v>
      </c>
      <c r="J384" s="7">
        <f t="shared" si="65"/>
        <v>5.3055534129377486</v>
      </c>
      <c r="K384" s="7">
        <f t="shared" si="66"/>
        <v>22.140506329113926</v>
      </c>
      <c r="L384" s="7">
        <f t="shared" si="67"/>
        <v>4.9144008395218908</v>
      </c>
      <c r="M384" s="7">
        <f t="shared" si="68"/>
        <v>10.069620253164556</v>
      </c>
      <c r="N384" s="7">
        <f t="shared" si="69"/>
        <v>2.1089377326145904</v>
      </c>
      <c r="O384" s="7">
        <f t="shared" si="70"/>
        <v>10.958227848101266</v>
      </c>
      <c r="P384" s="7">
        <f t="shared" si="71"/>
        <v>2.2883463843764797</v>
      </c>
      <c r="Q384" s="7">
        <f t="shared" si="72"/>
        <v>0.62294411796510174</v>
      </c>
      <c r="R384" s="7">
        <f t="shared" si="73"/>
        <v>-2.8590734395120113E-2</v>
      </c>
      <c r="S384" s="7">
        <f t="shared" si="74"/>
        <v>-3.3012000348745997E-2</v>
      </c>
      <c r="T384" s="7">
        <f t="shared" si="75"/>
        <v>-0.41874248349965643</v>
      </c>
      <c r="U384" s="7">
        <f t="shared" si="76"/>
        <v>3.5649724930394797E-2</v>
      </c>
    </row>
    <row r="385" spans="1:21" x14ac:dyDescent="0.25">
      <c r="A385" s="1" t="s">
        <v>1671</v>
      </c>
      <c r="B385" s="1" t="s">
        <v>36</v>
      </c>
      <c r="C385" s="1">
        <v>19</v>
      </c>
      <c r="D385" s="1">
        <v>22</v>
      </c>
      <c r="E385" s="1">
        <v>10</v>
      </c>
      <c r="F385" s="1">
        <v>8</v>
      </c>
      <c r="G385" s="1">
        <v>59</v>
      </c>
      <c r="H385" s="7">
        <v>1.6132464481796023</v>
      </c>
      <c r="I385" s="7">
        <f t="shared" si="77"/>
        <v>22.694936708860759</v>
      </c>
      <c r="J385" s="7">
        <f t="shared" si="65"/>
        <v>5.3055534129377486</v>
      </c>
      <c r="K385" s="7">
        <f t="shared" si="66"/>
        <v>22.140506329113926</v>
      </c>
      <c r="L385" s="7">
        <f t="shared" si="67"/>
        <v>4.9144008395218908</v>
      </c>
      <c r="M385" s="7">
        <f t="shared" si="68"/>
        <v>10.069620253164556</v>
      </c>
      <c r="N385" s="7">
        <f t="shared" si="69"/>
        <v>2.1089377326145904</v>
      </c>
      <c r="O385" s="7">
        <f t="shared" si="70"/>
        <v>10.958227848101266</v>
      </c>
      <c r="P385" s="7">
        <f t="shared" si="71"/>
        <v>2.2883463843764797</v>
      </c>
      <c r="Q385" s="7">
        <f t="shared" si="72"/>
        <v>-0.69642814260441643</v>
      </c>
      <c r="R385" s="7">
        <f t="shared" si="73"/>
        <v>-2.8590734395120113E-2</v>
      </c>
      <c r="S385" s="7">
        <f t="shared" si="74"/>
        <v>-3.3012000348745997E-2</v>
      </c>
      <c r="T385" s="7">
        <f t="shared" si="75"/>
        <v>-1.2927360421911447</v>
      </c>
      <c r="U385" s="7">
        <f t="shared" si="76"/>
        <v>-0.51269172988485678</v>
      </c>
    </row>
    <row r="386" spans="1:21" x14ac:dyDescent="0.25">
      <c r="A386" s="1" t="s">
        <v>1671</v>
      </c>
      <c r="B386" s="1" t="s">
        <v>36</v>
      </c>
      <c r="C386" s="1">
        <v>17</v>
      </c>
      <c r="D386" s="1">
        <v>22</v>
      </c>
      <c r="E386" s="1">
        <v>11</v>
      </c>
      <c r="F386" s="1">
        <v>9</v>
      </c>
      <c r="G386" s="1">
        <v>59</v>
      </c>
      <c r="H386" s="7">
        <v>1.5063966175050878</v>
      </c>
      <c r="I386" s="7">
        <f t="shared" si="77"/>
        <v>22.694936708860759</v>
      </c>
      <c r="J386" s="7">
        <f t="shared" si="65"/>
        <v>5.3055534129377486</v>
      </c>
      <c r="K386" s="7">
        <f t="shared" si="66"/>
        <v>22.140506329113926</v>
      </c>
      <c r="L386" s="7">
        <f t="shared" si="67"/>
        <v>4.9144008395218908</v>
      </c>
      <c r="M386" s="7">
        <f t="shared" si="68"/>
        <v>10.069620253164556</v>
      </c>
      <c r="N386" s="7">
        <f t="shared" si="69"/>
        <v>2.1089377326145904</v>
      </c>
      <c r="O386" s="7">
        <f t="shared" si="70"/>
        <v>10.958227848101266</v>
      </c>
      <c r="P386" s="7">
        <f t="shared" si="71"/>
        <v>2.2883463843764797</v>
      </c>
      <c r="Q386" s="7">
        <f t="shared" si="72"/>
        <v>-1.0733916456242787</v>
      </c>
      <c r="R386" s="7">
        <f t="shared" si="73"/>
        <v>-2.8590734395120113E-2</v>
      </c>
      <c r="S386" s="7">
        <f t="shared" si="74"/>
        <v>0.44116036829688182</v>
      </c>
      <c r="T386" s="7">
        <f t="shared" si="75"/>
        <v>-0.85573926284540058</v>
      </c>
      <c r="U386" s="7">
        <f t="shared" si="76"/>
        <v>-0.37914031864197939</v>
      </c>
    </row>
    <row r="387" spans="1:21" x14ac:dyDescent="0.25">
      <c r="A387" s="1" t="s">
        <v>1671</v>
      </c>
      <c r="B387" s="1" t="s">
        <v>36</v>
      </c>
      <c r="C387" s="1">
        <v>22</v>
      </c>
      <c r="D387" s="1">
        <v>21</v>
      </c>
      <c r="E387" s="1">
        <v>9</v>
      </c>
      <c r="F387" s="1">
        <v>13</v>
      </c>
      <c r="G387" s="1">
        <v>65</v>
      </c>
      <c r="H387" s="7">
        <v>1.35400640077266</v>
      </c>
      <c r="I387" s="7">
        <f t="shared" si="77"/>
        <v>22.694936708860759</v>
      </c>
      <c r="J387" s="7">
        <f t="shared" ref="J387:J450" si="78">_xlfn.STDEV.S(C:C)</f>
        <v>5.3055534129377486</v>
      </c>
      <c r="K387" s="7">
        <f t="shared" ref="K387:K450" si="79">AVERAGE(D:D)</f>
        <v>22.140506329113926</v>
      </c>
      <c r="L387" s="7">
        <f t="shared" ref="L387:L450" si="80">_xlfn.STDEV.S(D:D)</f>
        <v>4.9144008395218908</v>
      </c>
      <c r="M387" s="7">
        <f t="shared" ref="M387:M450" si="81">AVERAGE(E:E)</f>
        <v>10.069620253164556</v>
      </c>
      <c r="N387" s="7">
        <f t="shared" ref="N387:N450" si="82">_xlfn.STDEV.S(E:E)</f>
        <v>2.1089377326145904</v>
      </c>
      <c r="O387" s="7">
        <f t="shared" ref="O387:O450" si="83">AVERAGE(F:F)</f>
        <v>10.958227848101266</v>
      </c>
      <c r="P387" s="7">
        <f t="shared" ref="P387:P450" si="84">_xlfn.STDEV.S(F:F)</f>
        <v>2.2883463843764797</v>
      </c>
      <c r="Q387" s="7">
        <f t="shared" ref="Q387:Q450" si="85">STANDARDIZE(C387,I387,J387)</f>
        <v>-0.13098288807462291</v>
      </c>
      <c r="R387" s="7">
        <f t="shared" ref="R387:R450" si="86">STANDARDIZE(D387,K387,L387)</f>
        <v>-0.23207433954957621</v>
      </c>
      <c r="S387" s="7">
        <f t="shared" ref="S387:S450" si="87">STANDARDIZE(E387,M387,N387)</f>
        <v>-0.5071843689943738</v>
      </c>
      <c r="T387" s="7">
        <f t="shared" ref="T387:T450" si="88">STANDARDIZE(F387,O387,P387)</f>
        <v>0.89224785453757616</v>
      </c>
      <c r="U387" s="7">
        <f t="shared" ref="U387:U450" si="89">AVERAGE(Q387:T387)</f>
        <v>5.501564479750809E-3</v>
      </c>
    </row>
    <row r="388" spans="1:21" x14ac:dyDescent="0.25">
      <c r="A388" s="1" t="s">
        <v>1671</v>
      </c>
      <c r="B388" s="1" t="s">
        <v>36</v>
      </c>
      <c r="C388" s="1">
        <v>28</v>
      </c>
      <c r="D388" s="1">
        <v>22</v>
      </c>
      <c r="E388" s="1">
        <v>8</v>
      </c>
      <c r="F388" s="1">
        <v>9</v>
      </c>
      <c r="G388" s="1">
        <v>67</v>
      </c>
      <c r="H388" s="7">
        <v>1.9081471748860577</v>
      </c>
      <c r="I388" s="7">
        <f t="shared" ref="I388:I451" si="90">AVERAGE(C:C)</f>
        <v>22.694936708860759</v>
      </c>
      <c r="J388" s="7">
        <f t="shared" si="78"/>
        <v>5.3055534129377486</v>
      </c>
      <c r="K388" s="7">
        <f t="shared" si="79"/>
        <v>22.140506329113926</v>
      </c>
      <c r="L388" s="7">
        <f t="shared" si="80"/>
        <v>4.9144008395218908</v>
      </c>
      <c r="M388" s="7">
        <f t="shared" si="81"/>
        <v>10.069620253164556</v>
      </c>
      <c r="N388" s="7">
        <f t="shared" si="82"/>
        <v>2.1089377326145904</v>
      </c>
      <c r="O388" s="7">
        <f t="shared" si="83"/>
        <v>10.958227848101266</v>
      </c>
      <c r="P388" s="7">
        <f t="shared" si="84"/>
        <v>2.2883463843764797</v>
      </c>
      <c r="Q388" s="7">
        <f t="shared" si="85"/>
        <v>0.99990762098496411</v>
      </c>
      <c r="R388" s="7">
        <f t="shared" si="86"/>
        <v>-2.8590734395120113E-2</v>
      </c>
      <c r="S388" s="7">
        <f t="shared" si="87"/>
        <v>-0.98135673764000164</v>
      </c>
      <c r="T388" s="7">
        <f t="shared" si="88"/>
        <v>-0.85573926284540058</v>
      </c>
      <c r="U388" s="7">
        <f t="shared" si="89"/>
        <v>-0.21644477847388957</v>
      </c>
    </row>
    <row r="389" spans="1:21" x14ac:dyDescent="0.25">
      <c r="A389" s="1" t="s">
        <v>1671</v>
      </c>
      <c r="B389" s="1" t="s">
        <v>36</v>
      </c>
      <c r="C389" s="1">
        <v>27</v>
      </c>
      <c r="D389" s="1">
        <v>26</v>
      </c>
      <c r="E389" s="1">
        <v>10</v>
      </c>
      <c r="F389" s="1">
        <v>10</v>
      </c>
      <c r="G389" s="1">
        <v>73</v>
      </c>
      <c r="H389" s="7">
        <v>2.1031112483834336</v>
      </c>
      <c r="I389" s="7">
        <f t="shared" si="90"/>
        <v>22.694936708860759</v>
      </c>
      <c r="J389" s="7">
        <f t="shared" si="78"/>
        <v>5.3055534129377486</v>
      </c>
      <c r="K389" s="7">
        <f t="shared" si="79"/>
        <v>22.140506329113926</v>
      </c>
      <c r="L389" s="7">
        <f t="shared" si="80"/>
        <v>4.9144008395218908</v>
      </c>
      <c r="M389" s="7">
        <f t="shared" si="81"/>
        <v>10.069620253164556</v>
      </c>
      <c r="N389" s="7">
        <f t="shared" si="82"/>
        <v>2.1089377326145904</v>
      </c>
      <c r="O389" s="7">
        <f t="shared" si="83"/>
        <v>10.958227848101266</v>
      </c>
      <c r="P389" s="7">
        <f t="shared" si="84"/>
        <v>2.2883463843764797</v>
      </c>
      <c r="Q389" s="7">
        <f t="shared" si="85"/>
        <v>0.81142586947503292</v>
      </c>
      <c r="R389" s="7">
        <f t="shared" si="86"/>
        <v>0.78534368622270434</v>
      </c>
      <c r="S389" s="7">
        <f t="shared" si="87"/>
        <v>-3.3012000348745997E-2</v>
      </c>
      <c r="T389" s="7">
        <f t="shared" si="88"/>
        <v>-0.41874248349965643</v>
      </c>
      <c r="U389" s="7">
        <f t="shared" si="89"/>
        <v>0.28625376796233371</v>
      </c>
    </row>
    <row r="390" spans="1:21" x14ac:dyDescent="0.25">
      <c r="A390" s="1" t="s">
        <v>1671</v>
      </c>
      <c r="B390" s="1" t="s">
        <v>36</v>
      </c>
      <c r="C390" s="1">
        <v>27</v>
      </c>
      <c r="D390" s="1">
        <v>26</v>
      </c>
      <c r="E390" s="1">
        <v>11</v>
      </c>
      <c r="F390" s="1">
        <v>11</v>
      </c>
      <c r="G390" s="1">
        <v>75</v>
      </c>
      <c r="H390" s="7">
        <v>1.9215378456610459</v>
      </c>
      <c r="I390" s="7">
        <f t="shared" si="90"/>
        <v>22.694936708860759</v>
      </c>
      <c r="J390" s="7">
        <f t="shared" si="78"/>
        <v>5.3055534129377486</v>
      </c>
      <c r="K390" s="7">
        <f t="shared" si="79"/>
        <v>22.140506329113926</v>
      </c>
      <c r="L390" s="7">
        <f t="shared" si="80"/>
        <v>4.9144008395218908</v>
      </c>
      <c r="M390" s="7">
        <f t="shared" si="81"/>
        <v>10.069620253164556</v>
      </c>
      <c r="N390" s="7">
        <f t="shared" si="82"/>
        <v>2.1089377326145904</v>
      </c>
      <c r="O390" s="7">
        <f t="shared" si="83"/>
        <v>10.958227848101266</v>
      </c>
      <c r="P390" s="7">
        <f t="shared" si="84"/>
        <v>2.2883463843764797</v>
      </c>
      <c r="Q390" s="7">
        <f t="shared" si="85"/>
        <v>0.81142586947503292</v>
      </c>
      <c r="R390" s="7">
        <f t="shared" si="86"/>
        <v>0.78534368622270434</v>
      </c>
      <c r="S390" s="7">
        <f t="shared" si="87"/>
        <v>0.44116036829688182</v>
      </c>
      <c r="T390" s="7">
        <f t="shared" si="88"/>
        <v>1.8254295846087756E-2</v>
      </c>
      <c r="U390" s="7">
        <f t="shared" si="89"/>
        <v>0.51404605496017675</v>
      </c>
    </row>
    <row r="391" spans="1:21" x14ac:dyDescent="0.25">
      <c r="A391" s="1" t="s">
        <v>1671</v>
      </c>
      <c r="B391" s="1" t="s">
        <v>36</v>
      </c>
      <c r="C391" s="1">
        <v>27</v>
      </c>
      <c r="D391" s="1">
        <v>27</v>
      </c>
      <c r="E391" s="1">
        <v>13</v>
      </c>
      <c r="F391" s="1">
        <v>15</v>
      </c>
      <c r="G391" s="1">
        <v>82</v>
      </c>
      <c r="H391" s="7">
        <v>1.4935759876113539</v>
      </c>
      <c r="I391" s="7">
        <f t="shared" si="90"/>
        <v>22.694936708860759</v>
      </c>
      <c r="J391" s="7">
        <f t="shared" si="78"/>
        <v>5.3055534129377486</v>
      </c>
      <c r="K391" s="7">
        <f t="shared" si="79"/>
        <v>22.140506329113926</v>
      </c>
      <c r="L391" s="7">
        <f t="shared" si="80"/>
        <v>4.9144008395218908</v>
      </c>
      <c r="M391" s="7">
        <f t="shared" si="81"/>
        <v>10.069620253164556</v>
      </c>
      <c r="N391" s="7">
        <f t="shared" si="82"/>
        <v>2.1089377326145904</v>
      </c>
      <c r="O391" s="7">
        <f t="shared" si="83"/>
        <v>10.958227848101266</v>
      </c>
      <c r="P391" s="7">
        <f t="shared" si="84"/>
        <v>2.2883463843764797</v>
      </c>
      <c r="Q391" s="7">
        <f t="shared" si="85"/>
        <v>0.81142586947503292</v>
      </c>
      <c r="R391" s="7">
        <f t="shared" si="86"/>
        <v>0.98882729137716041</v>
      </c>
      <c r="S391" s="7">
        <f t="shared" si="87"/>
        <v>1.3895051055881373</v>
      </c>
      <c r="T391" s="7">
        <f t="shared" si="88"/>
        <v>1.7662414132290645</v>
      </c>
      <c r="U391" s="7">
        <f t="shared" si="89"/>
        <v>1.2389999199173487</v>
      </c>
    </row>
    <row r="392" spans="1:21" x14ac:dyDescent="0.25">
      <c r="A392" s="1" t="s">
        <v>1671</v>
      </c>
      <c r="B392" s="1" t="s">
        <v>36</v>
      </c>
      <c r="C392" s="1">
        <v>20</v>
      </c>
      <c r="D392" s="1">
        <v>22</v>
      </c>
      <c r="E392" s="1">
        <v>10</v>
      </c>
      <c r="F392" s="1">
        <v>13</v>
      </c>
      <c r="G392" s="1">
        <v>65</v>
      </c>
      <c r="H392" s="7">
        <v>1.2909944487358054</v>
      </c>
      <c r="I392" s="7">
        <f t="shared" si="90"/>
        <v>22.694936708860759</v>
      </c>
      <c r="J392" s="7">
        <f t="shared" si="78"/>
        <v>5.3055534129377486</v>
      </c>
      <c r="K392" s="7">
        <f t="shared" si="79"/>
        <v>22.140506329113926</v>
      </c>
      <c r="L392" s="7">
        <f t="shared" si="80"/>
        <v>4.9144008395218908</v>
      </c>
      <c r="M392" s="7">
        <f t="shared" si="81"/>
        <v>10.069620253164556</v>
      </c>
      <c r="N392" s="7">
        <f t="shared" si="82"/>
        <v>2.1089377326145904</v>
      </c>
      <c r="O392" s="7">
        <f t="shared" si="83"/>
        <v>10.958227848101266</v>
      </c>
      <c r="P392" s="7">
        <f t="shared" si="84"/>
        <v>2.2883463843764797</v>
      </c>
      <c r="Q392" s="7">
        <f t="shared" si="85"/>
        <v>-0.50794639109448525</v>
      </c>
      <c r="R392" s="7">
        <f t="shared" si="86"/>
        <v>-2.8590734395120113E-2</v>
      </c>
      <c r="S392" s="7">
        <f t="shared" si="87"/>
        <v>-3.3012000348745997E-2</v>
      </c>
      <c r="T392" s="7">
        <f t="shared" si="88"/>
        <v>0.89224785453757616</v>
      </c>
      <c r="U392" s="7">
        <f t="shared" si="89"/>
        <v>8.0674682174806195E-2</v>
      </c>
    </row>
    <row r="393" spans="1:21" x14ac:dyDescent="0.25">
      <c r="A393" s="1" t="s">
        <v>1671</v>
      </c>
      <c r="B393" s="1" t="s">
        <v>36</v>
      </c>
      <c r="C393" s="1">
        <v>28</v>
      </c>
      <c r="D393" s="1">
        <v>28</v>
      </c>
      <c r="E393" s="1">
        <v>13</v>
      </c>
      <c r="F393" s="1">
        <v>15</v>
      </c>
      <c r="G393" s="1">
        <v>84</v>
      </c>
      <c r="H393" s="7">
        <v>1.4500221041639683</v>
      </c>
      <c r="I393" s="7">
        <f t="shared" si="90"/>
        <v>22.694936708860759</v>
      </c>
      <c r="J393" s="7">
        <f t="shared" si="78"/>
        <v>5.3055534129377486</v>
      </c>
      <c r="K393" s="7">
        <f t="shared" si="79"/>
        <v>22.140506329113926</v>
      </c>
      <c r="L393" s="7">
        <f t="shared" si="80"/>
        <v>4.9144008395218908</v>
      </c>
      <c r="M393" s="7">
        <f t="shared" si="81"/>
        <v>10.069620253164556</v>
      </c>
      <c r="N393" s="7">
        <f t="shared" si="82"/>
        <v>2.1089377326145904</v>
      </c>
      <c r="O393" s="7">
        <f t="shared" si="83"/>
        <v>10.958227848101266</v>
      </c>
      <c r="P393" s="7">
        <f t="shared" si="84"/>
        <v>2.2883463843764797</v>
      </c>
      <c r="Q393" s="7">
        <f t="shared" si="85"/>
        <v>0.99990762098496411</v>
      </c>
      <c r="R393" s="7">
        <f t="shared" si="86"/>
        <v>1.1923108965316165</v>
      </c>
      <c r="S393" s="7">
        <f t="shared" si="87"/>
        <v>1.3895051055881373</v>
      </c>
      <c r="T393" s="7">
        <f t="shared" si="88"/>
        <v>1.7662414132290645</v>
      </c>
      <c r="U393" s="7">
        <f t="shared" si="89"/>
        <v>1.3369912590834456</v>
      </c>
    </row>
    <row r="394" spans="1:21" x14ac:dyDescent="0.25">
      <c r="A394" s="1" t="s">
        <v>1671</v>
      </c>
      <c r="B394" s="1" t="s">
        <v>36</v>
      </c>
      <c r="C394" s="1">
        <v>25</v>
      </c>
      <c r="D394" s="1">
        <v>29</v>
      </c>
      <c r="E394" s="1">
        <v>13</v>
      </c>
      <c r="F394" s="1">
        <v>15</v>
      </c>
      <c r="G394" s="1">
        <v>82</v>
      </c>
      <c r="H394" s="7">
        <v>1.6012815380508714</v>
      </c>
      <c r="I394" s="7">
        <f t="shared" si="90"/>
        <v>22.694936708860759</v>
      </c>
      <c r="J394" s="7">
        <f t="shared" si="78"/>
        <v>5.3055534129377486</v>
      </c>
      <c r="K394" s="7">
        <f t="shared" si="79"/>
        <v>22.140506329113926</v>
      </c>
      <c r="L394" s="7">
        <f t="shared" si="80"/>
        <v>4.9144008395218908</v>
      </c>
      <c r="M394" s="7">
        <f t="shared" si="81"/>
        <v>10.069620253164556</v>
      </c>
      <c r="N394" s="7">
        <f t="shared" si="82"/>
        <v>2.1089377326145904</v>
      </c>
      <c r="O394" s="7">
        <f t="shared" si="83"/>
        <v>10.958227848101266</v>
      </c>
      <c r="P394" s="7">
        <f t="shared" si="84"/>
        <v>2.2883463843764797</v>
      </c>
      <c r="Q394" s="7">
        <f t="shared" si="85"/>
        <v>0.43446236645517061</v>
      </c>
      <c r="R394" s="7">
        <f t="shared" si="86"/>
        <v>1.3957945016860727</v>
      </c>
      <c r="S394" s="7">
        <f t="shared" si="87"/>
        <v>1.3895051055881373</v>
      </c>
      <c r="T394" s="7">
        <f t="shared" si="88"/>
        <v>1.7662414132290645</v>
      </c>
      <c r="U394" s="7">
        <f t="shared" si="89"/>
        <v>1.2465008467396113</v>
      </c>
    </row>
    <row r="395" spans="1:21" x14ac:dyDescent="0.25">
      <c r="A395" s="1" t="s">
        <v>1671</v>
      </c>
      <c r="B395" s="1" t="s">
        <v>36</v>
      </c>
      <c r="C395" s="1">
        <v>22</v>
      </c>
      <c r="D395" s="1">
        <v>26</v>
      </c>
      <c r="E395" s="1">
        <v>13</v>
      </c>
      <c r="F395" s="1">
        <v>14</v>
      </c>
      <c r="G395" s="1">
        <v>75</v>
      </c>
      <c r="H395" s="7">
        <v>1.2351684199496948</v>
      </c>
      <c r="I395" s="7">
        <f t="shared" si="90"/>
        <v>22.694936708860759</v>
      </c>
      <c r="J395" s="7">
        <f t="shared" si="78"/>
        <v>5.3055534129377486</v>
      </c>
      <c r="K395" s="7">
        <f t="shared" si="79"/>
        <v>22.140506329113926</v>
      </c>
      <c r="L395" s="7">
        <f t="shared" si="80"/>
        <v>4.9144008395218908</v>
      </c>
      <c r="M395" s="7">
        <f t="shared" si="81"/>
        <v>10.069620253164556</v>
      </c>
      <c r="N395" s="7">
        <f t="shared" si="82"/>
        <v>2.1089377326145904</v>
      </c>
      <c r="O395" s="7">
        <f t="shared" si="83"/>
        <v>10.958227848101266</v>
      </c>
      <c r="P395" s="7">
        <f t="shared" si="84"/>
        <v>2.2883463843764797</v>
      </c>
      <c r="Q395" s="7">
        <f t="shared" si="85"/>
        <v>-0.13098288807462291</v>
      </c>
      <c r="R395" s="7">
        <f t="shared" si="86"/>
        <v>0.78534368622270434</v>
      </c>
      <c r="S395" s="7">
        <f t="shared" si="87"/>
        <v>1.3895051055881373</v>
      </c>
      <c r="T395" s="7">
        <f t="shared" si="88"/>
        <v>1.3292446338833204</v>
      </c>
      <c r="U395" s="7">
        <f t="shared" si="89"/>
        <v>0.84327763440488468</v>
      </c>
    </row>
    <row r="396" spans="1:21" x14ac:dyDescent="0.25">
      <c r="A396" s="1" t="s">
        <v>1671</v>
      </c>
      <c r="B396" s="1" t="s">
        <v>36</v>
      </c>
      <c r="C396" s="1">
        <v>30</v>
      </c>
      <c r="D396" s="1">
        <v>23</v>
      </c>
      <c r="E396" s="1">
        <v>11</v>
      </c>
      <c r="F396" s="1">
        <v>14</v>
      </c>
      <c r="G396" s="1">
        <v>78</v>
      </c>
      <c r="H396" s="7">
        <v>1.5811388300841898</v>
      </c>
      <c r="I396" s="7">
        <f t="shared" si="90"/>
        <v>22.694936708860759</v>
      </c>
      <c r="J396" s="7">
        <f t="shared" si="78"/>
        <v>5.3055534129377486</v>
      </c>
      <c r="K396" s="7">
        <f t="shared" si="79"/>
        <v>22.140506329113926</v>
      </c>
      <c r="L396" s="7">
        <f t="shared" si="80"/>
        <v>4.9144008395218908</v>
      </c>
      <c r="M396" s="7">
        <f t="shared" si="81"/>
        <v>10.069620253164556</v>
      </c>
      <c r="N396" s="7">
        <f t="shared" si="82"/>
        <v>2.1089377326145904</v>
      </c>
      <c r="O396" s="7">
        <f t="shared" si="83"/>
        <v>10.958227848101266</v>
      </c>
      <c r="P396" s="7">
        <f t="shared" si="84"/>
        <v>2.2883463843764797</v>
      </c>
      <c r="Q396" s="7">
        <f t="shared" si="85"/>
        <v>1.3768711240048266</v>
      </c>
      <c r="R396" s="7">
        <f t="shared" si="86"/>
        <v>0.17489287075933599</v>
      </c>
      <c r="S396" s="7">
        <f t="shared" si="87"/>
        <v>0.44116036829688182</v>
      </c>
      <c r="T396" s="7">
        <f t="shared" si="88"/>
        <v>1.3292446338833204</v>
      </c>
      <c r="U396" s="7">
        <f t="shared" si="89"/>
        <v>0.83054224923609121</v>
      </c>
    </row>
    <row r="397" spans="1:21" x14ac:dyDescent="0.25">
      <c r="A397" s="1" t="s">
        <v>1671</v>
      </c>
      <c r="B397" s="1" t="s">
        <v>36</v>
      </c>
      <c r="C397" s="1">
        <v>19</v>
      </c>
      <c r="D397" s="1">
        <v>20</v>
      </c>
      <c r="E397" s="1">
        <v>9</v>
      </c>
      <c r="F397" s="1">
        <v>13</v>
      </c>
      <c r="G397" s="1">
        <v>61</v>
      </c>
      <c r="H397" s="7">
        <v>0.75106761619881102</v>
      </c>
      <c r="I397" s="7">
        <f t="shared" si="90"/>
        <v>22.694936708860759</v>
      </c>
      <c r="J397" s="7">
        <f t="shared" si="78"/>
        <v>5.3055534129377486</v>
      </c>
      <c r="K397" s="7">
        <f t="shared" si="79"/>
        <v>22.140506329113926</v>
      </c>
      <c r="L397" s="7">
        <f t="shared" si="80"/>
        <v>4.9144008395218908</v>
      </c>
      <c r="M397" s="7">
        <f t="shared" si="81"/>
        <v>10.069620253164556</v>
      </c>
      <c r="N397" s="7">
        <f t="shared" si="82"/>
        <v>2.1089377326145904</v>
      </c>
      <c r="O397" s="7">
        <f t="shared" si="83"/>
        <v>10.958227848101266</v>
      </c>
      <c r="P397" s="7">
        <f t="shared" si="84"/>
        <v>2.2883463843764797</v>
      </c>
      <c r="Q397" s="7">
        <f t="shared" si="85"/>
        <v>-0.69642814260441643</v>
      </c>
      <c r="R397" s="7">
        <f t="shared" si="86"/>
        <v>-0.43555794470403231</v>
      </c>
      <c r="S397" s="7">
        <f t="shared" si="87"/>
        <v>-0.5071843689943738</v>
      </c>
      <c r="T397" s="7">
        <f t="shared" si="88"/>
        <v>0.89224785453757616</v>
      </c>
      <c r="U397" s="7">
        <f t="shared" si="89"/>
        <v>-0.18673065044131162</v>
      </c>
    </row>
    <row r="398" spans="1:21" x14ac:dyDescent="0.25">
      <c r="A398" s="1" t="s">
        <v>1671</v>
      </c>
      <c r="B398" s="1" t="s">
        <v>36</v>
      </c>
      <c r="C398" s="1">
        <v>24</v>
      </c>
      <c r="D398" s="1">
        <v>25</v>
      </c>
      <c r="E398" s="1">
        <v>11</v>
      </c>
      <c r="F398" s="1">
        <v>15</v>
      </c>
      <c r="G398" s="1">
        <v>75</v>
      </c>
      <c r="H398" s="7">
        <v>1.0127393670836666</v>
      </c>
      <c r="I398" s="7">
        <f t="shared" si="90"/>
        <v>22.694936708860759</v>
      </c>
      <c r="J398" s="7">
        <f t="shared" si="78"/>
        <v>5.3055534129377486</v>
      </c>
      <c r="K398" s="7">
        <f t="shared" si="79"/>
        <v>22.140506329113926</v>
      </c>
      <c r="L398" s="7">
        <f t="shared" si="80"/>
        <v>4.9144008395218908</v>
      </c>
      <c r="M398" s="7">
        <f t="shared" si="81"/>
        <v>10.069620253164556</v>
      </c>
      <c r="N398" s="7">
        <f t="shared" si="82"/>
        <v>2.1089377326145904</v>
      </c>
      <c r="O398" s="7">
        <f t="shared" si="83"/>
        <v>10.958227848101266</v>
      </c>
      <c r="P398" s="7">
        <f t="shared" si="84"/>
        <v>2.2883463843764797</v>
      </c>
      <c r="Q398" s="7">
        <f t="shared" si="85"/>
        <v>0.24598061494523943</v>
      </c>
      <c r="R398" s="7">
        <f t="shared" si="86"/>
        <v>0.58186008106824816</v>
      </c>
      <c r="S398" s="7">
        <f t="shared" si="87"/>
        <v>0.44116036829688182</v>
      </c>
      <c r="T398" s="7">
        <f t="shared" si="88"/>
        <v>1.7662414132290645</v>
      </c>
      <c r="U398" s="7">
        <f t="shared" si="89"/>
        <v>0.7588106193848585</v>
      </c>
    </row>
    <row r="399" spans="1:21" x14ac:dyDescent="0.25">
      <c r="A399" s="1" t="s">
        <v>1671</v>
      </c>
      <c r="B399" s="1" t="s">
        <v>36</v>
      </c>
      <c r="C399" s="1">
        <v>27</v>
      </c>
      <c r="D399" s="1">
        <v>27</v>
      </c>
      <c r="E399" s="1">
        <v>12</v>
      </c>
      <c r="F399" s="1">
        <v>15</v>
      </c>
      <c r="G399" s="1">
        <v>81</v>
      </c>
      <c r="H399" s="7">
        <v>1.2351684199496948</v>
      </c>
      <c r="I399" s="7">
        <f t="shared" si="90"/>
        <v>22.694936708860759</v>
      </c>
      <c r="J399" s="7">
        <f t="shared" si="78"/>
        <v>5.3055534129377486</v>
      </c>
      <c r="K399" s="7">
        <f t="shared" si="79"/>
        <v>22.140506329113926</v>
      </c>
      <c r="L399" s="7">
        <f t="shared" si="80"/>
        <v>4.9144008395218908</v>
      </c>
      <c r="M399" s="7">
        <f t="shared" si="81"/>
        <v>10.069620253164556</v>
      </c>
      <c r="N399" s="7">
        <f t="shared" si="82"/>
        <v>2.1089377326145904</v>
      </c>
      <c r="O399" s="7">
        <f t="shared" si="83"/>
        <v>10.958227848101266</v>
      </c>
      <c r="P399" s="7">
        <f t="shared" si="84"/>
        <v>2.2883463843764797</v>
      </c>
      <c r="Q399" s="7">
        <f t="shared" si="85"/>
        <v>0.81142586947503292</v>
      </c>
      <c r="R399" s="7">
        <f t="shared" si="86"/>
        <v>0.98882729137716041</v>
      </c>
      <c r="S399" s="7">
        <f t="shared" si="87"/>
        <v>0.91533273694250961</v>
      </c>
      <c r="T399" s="7">
        <f t="shared" si="88"/>
        <v>1.7662414132290645</v>
      </c>
      <c r="U399" s="7">
        <f t="shared" si="89"/>
        <v>1.1204568277559419</v>
      </c>
    </row>
    <row r="400" spans="1:21" x14ac:dyDescent="0.25">
      <c r="A400" s="1" t="s">
        <v>1671</v>
      </c>
      <c r="B400" s="1" t="s">
        <v>36</v>
      </c>
      <c r="C400" s="1">
        <v>21</v>
      </c>
      <c r="D400" s="1">
        <v>21</v>
      </c>
      <c r="E400" s="1">
        <v>10</v>
      </c>
      <c r="F400" s="1">
        <v>13</v>
      </c>
      <c r="G400" s="1">
        <v>65</v>
      </c>
      <c r="H400" s="7">
        <v>0.91287092917527668</v>
      </c>
      <c r="I400" s="7">
        <f t="shared" si="90"/>
        <v>22.694936708860759</v>
      </c>
      <c r="J400" s="7">
        <f t="shared" si="78"/>
        <v>5.3055534129377486</v>
      </c>
      <c r="K400" s="7">
        <f t="shared" si="79"/>
        <v>22.140506329113926</v>
      </c>
      <c r="L400" s="7">
        <f t="shared" si="80"/>
        <v>4.9144008395218908</v>
      </c>
      <c r="M400" s="7">
        <f t="shared" si="81"/>
        <v>10.069620253164556</v>
      </c>
      <c r="N400" s="7">
        <f t="shared" si="82"/>
        <v>2.1089377326145904</v>
      </c>
      <c r="O400" s="7">
        <f t="shared" si="83"/>
        <v>10.958227848101266</v>
      </c>
      <c r="P400" s="7">
        <f t="shared" si="84"/>
        <v>2.2883463843764797</v>
      </c>
      <c r="Q400" s="7">
        <f t="shared" si="85"/>
        <v>-0.31946463958455407</v>
      </c>
      <c r="R400" s="7">
        <f t="shared" si="86"/>
        <v>-0.23207433954957621</v>
      </c>
      <c r="S400" s="7">
        <f t="shared" si="87"/>
        <v>-3.3012000348745997E-2</v>
      </c>
      <c r="T400" s="7">
        <f t="shared" si="88"/>
        <v>0.89224785453757616</v>
      </c>
      <c r="U400" s="7">
        <f t="shared" si="89"/>
        <v>7.6924218763674973E-2</v>
      </c>
    </row>
    <row r="401" spans="1:21" x14ac:dyDescent="0.25">
      <c r="A401" s="1" t="s">
        <v>1671</v>
      </c>
      <c r="B401" s="1" t="s">
        <v>36</v>
      </c>
      <c r="C401" s="1">
        <v>21</v>
      </c>
      <c r="D401" s="1">
        <v>22</v>
      </c>
      <c r="E401" s="1">
        <v>9</v>
      </c>
      <c r="F401" s="1">
        <v>13</v>
      </c>
      <c r="G401" s="1">
        <v>65</v>
      </c>
      <c r="H401" s="7">
        <v>1.1547005383792515</v>
      </c>
      <c r="I401" s="7">
        <f t="shared" si="90"/>
        <v>22.694936708860759</v>
      </c>
      <c r="J401" s="7">
        <f t="shared" si="78"/>
        <v>5.3055534129377486</v>
      </c>
      <c r="K401" s="7">
        <f t="shared" si="79"/>
        <v>22.140506329113926</v>
      </c>
      <c r="L401" s="7">
        <f t="shared" si="80"/>
        <v>4.9144008395218908</v>
      </c>
      <c r="M401" s="7">
        <f t="shared" si="81"/>
        <v>10.069620253164556</v>
      </c>
      <c r="N401" s="7">
        <f t="shared" si="82"/>
        <v>2.1089377326145904</v>
      </c>
      <c r="O401" s="7">
        <f t="shared" si="83"/>
        <v>10.958227848101266</v>
      </c>
      <c r="P401" s="7">
        <f t="shared" si="84"/>
        <v>2.2883463843764797</v>
      </c>
      <c r="Q401" s="7">
        <f t="shared" si="85"/>
        <v>-0.31946463958455407</v>
      </c>
      <c r="R401" s="7">
        <f t="shared" si="86"/>
        <v>-2.8590734395120113E-2</v>
      </c>
      <c r="S401" s="7">
        <f t="shared" si="87"/>
        <v>-0.5071843689943738</v>
      </c>
      <c r="T401" s="7">
        <f t="shared" si="88"/>
        <v>0.89224785453757616</v>
      </c>
      <c r="U401" s="7">
        <f t="shared" si="89"/>
        <v>9.2520278908820586E-3</v>
      </c>
    </row>
    <row r="402" spans="1:21" x14ac:dyDescent="0.25">
      <c r="A402" s="1" t="s">
        <v>1671</v>
      </c>
      <c r="B402" s="1" t="s">
        <v>36</v>
      </c>
      <c r="C402" s="1">
        <v>24</v>
      </c>
      <c r="D402" s="1">
        <v>23</v>
      </c>
      <c r="E402" s="1">
        <v>11</v>
      </c>
      <c r="F402" s="1">
        <v>13</v>
      </c>
      <c r="G402" s="1">
        <v>71</v>
      </c>
      <c r="H402" s="7">
        <v>1.0500305245868344</v>
      </c>
      <c r="I402" s="7">
        <f t="shared" si="90"/>
        <v>22.694936708860759</v>
      </c>
      <c r="J402" s="7">
        <f t="shared" si="78"/>
        <v>5.3055534129377486</v>
      </c>
      <c r="K402" s="7">
        <f t="shared" si="79"/>
        <v>22.140506329113926</v>
      </c>
      <c r="L402" s="7">
        <f t="shared" si="80"/>
        <v>4.9144008395218908</v>
      </c>
      <c r="M402" s="7">
        <f t="shared" si="81"/>
        <v>10.069620253164556</v>
      </c>
      <c r="N402" s="7">
        <f t="shared" si="82"/>
        <v>2.1089377326145904</v>
      </c>
      <c r="O402" s="7">
        <f t="shared" si="83"/>
        <v>10.958227848101266</v>
      </c>
      <c r="P402" s="7">
        <f t="shared" si="84"/>
        <v>2.2883463843764797</v>
      </c>
      <c r="Q402" s="7">
        <f t="shared" si="85"/>
        <v>0.24598061494523943</v>
      </c>
      <c r="R402" s="7">
        <f t="shared" si="86"/>
        <v>0.17489287075933599</v>
      </c>
      <c r="S402" s="7">
        <f t="shared" si="87"/>
        <v>0.44116036829688182</v>
      </c>
      <c r="T402" s="7">
        <f t="shared" si="88"/>
        <v>0.89224785453757616</v>
      </c>
      <c r="U402" s="7">
        <f t="shared" si="89"/>
        <v>0.43857042713475836</v>
      </c>
    </row>
    <row r="403" spans="1:21" x14ac:dyDescent="0.25">
      <c r="A403" s="1" t="s">
        <v>1671</v>
      </c>
      <c r="B403" s="1" t="s">
        <v>36</v>
      </c>
      <c r="C403" s="1">
        <v>24</v>
      </c>
      <c r="D403" s="1">
        <v>21</v>
      </c>
      <c r="E403" s="1">
        <v>11</v>
      </c>
      <c r="F403" s="1">
        <v>14</v>
      </c>
      <c r="G403" s="1">
        <v>70</v>
      </c>
      <c r="H403" s="7">
        <v>0.96076892283052262</v>
      </c>
      <c r="I403" s="7">
        <f t="shared" si="90"/>
        <v>22.694936708860759</v>
      </c>
      <c r="J403" s="7">
        <f t="shared" si="78"/>
        <v>5.3055534129377486</v>
      </c>
      <c r="K403" s="7">
        <f t="shared" si="79"/>
        <v>22.140506329113926</v>
      </c>
      <c r="L403" s="7">
        <f t="shared" si="80"/>
        <v>4.9144008395218908</v>
      </c>
      <c r="M403" s="7">
        <f t="shared" si="81"/>
        <v>10.069620253164556</v>
      </c>
      <c r="N403" s="7">
        <f t="shared" si="82"/>
        <v>2.1089377326145904</v>
      </c>
      <c r="O403" s="7">
        <f t="shared" si="83"/>
        <v>10.958227848101266</v>
      </c>
      <c r="P403" s="7">
        <f t="shared" si="84"/>
        <v>2.2883463843764797</v>
      </c>
      <c r="Q403" s="7">
        <f t="shared" si="85"/>
        <v>0.24598061494523943</v>
      </c>
      <c r="R403" s="7">
        <f t="shared" si="86"/>
        <v>-0.23207433954957621</v>
      </c>
      <c r="S403" s="7">
        <f t="shared" si="87"/>
        <v>0.44116036829688182</v>
      </c>
      <c r="T403" s="7">
        <f t="shared" si="88"/>
        <v>1.3292446338833204</v>
      </c>
      <c r="U403" s="7">
        <f t="shared" si="89"/>
        <v>0.44607781939396635</v>
      </c>
    </row>
    <row r="404" spans="1:21" x14ac:dyDescent="0.25">
      <c r="A404" s="1" t="s">
        <v>1671</v>
      </c>
      <c r="B404" s="1" t="s">
        <v>36</v>
      </c>
      <c r="C404" s="1">
        <v>22</v>
      </c>
      <c r="D404" s="1">
        <v>21</v>
      </c>
      <c r="E404" s="1">
        <v>9</v>
      </c>
      <c r="F404" s="1">
        <v>12</v>
      </c>
      <c r="G404" s="1">
        <v>64</v>
      </c>
      <c r="H404" s="7">
        <v>1.0377490433255414</v>
      </c>
      <c r="I404" s="7">
        <f t="shared" si="90"/>
        <v>22.694936708860759</v>
      </c>
      <c r="J404" s="7">
        <f t="shared" si="78"/>
        <v>5.3055534129377486</v>
      </c>
      <c r="K404" s="7">
        <f t="shared" si="79"/>
        <v>22.140506329113926</v>
      </c>
      <c r="L404" s="7">
        <f t="shared" si="80"/>
        <v>4.9144008395218908</v>
      </c>
      <c r="M404" s="7">
        <f t="shared" si="81"/>
        <v>10.069620253164556</v>
      </c>
      <c r="N404" s="7">
        <f t="shared" si="82"/>
        <v>2.1089377326145904</v>
      </c>
      <c r="O404" s="7">
        <f t="shared" si="83"/>
        <v>10.958227848101266</v>
      </c>
      <c r="P404" s="7">
        <f t="shared" si="84"/>
        <v>2.2883463843764797</v>
      </c>
      <c r="Q404" s="7">
        <f t="shared" si="85"/>
        <v>-0.13098288807462291</v>
      </c>
      <c r="R404" s="7">
        <f t="shared" si="86"/>
        <v>-0.23207433954957621</v>
      </c>
      <c r="S404" s="7">
        <f t="shared" si="87"/>
        <v>-0.5071843689943738</v>
      </c>
      <c r="T404" s="7">
        <f t="shared" si="88"/>
        <v>0.45525107519183194</v>
      </c>
      <c r="U404" s="7">
        <f t="shared" si="89"/>
        <v>-0.10374763035668524</v>
      </c>
    </row>
    <row r="405" spans="1:21" x14ac:dyDescent="0.25">
      <c r="A405" s="1" t="s">
        <v>1671</v>
      </c>
      <c r="B405" s="1" t="s">
        <v>36</v>
      </c>
      <c r="C405" s="1">
        <v>24</v>
      </c>
      <c r="D405" s="1">
        <v>27</v>
      </c>
      <c r="E405" s="1">
        <v>11</v>
      </c>
      <c r="F405" s="1">
        <v>12</v>
      </c>
      <c r="G405" s="1">
        <v>74</v>
      </c>
      <c r="H405" s="7">
        <v>1.5483655567842813</v>
      </c>
      <c r="I405" s="7">
        <f t="shared" si="90"/>
        <v>22.694936708860759</v>
      </c>
      <c r="J405" s="7">
        <f t="shared" si="78"/>
        <v>5.3055534129377486</v>
      </c>
      <c r="K405" s="7">
        <f t="shared" si="79"/>
        <v>22.140506329113926</v>
      </c>
      <c r="L405" s="7">
        <f t="shared" si="80"/>
        <v>4.9144008395218908</v>
      </c>
      <c r="M405" s="7">
        <f t="shared" si="81"/>
        <v>10.069620253164556</v>
      </c>
      <c r="N405" s="7">
        <f t="shared" si="82"/>
        <v>2.1089377326145904</v>
      </c>
      <c r="O405" s="7">
        <f t="shared" si="83"/>
        <v>10.958227848101266</v>
      </c>
      <c r="P405" s="7">
        <f t="shared" si="84"/>
        <v>2.2883463843764797</v>
      </c>
      <c r="Q405" s="7">
        <f t="shared" si="85"/>
        <v>0.24598061494523943</v>
      </c>
      <c r="R405" s="7">
        <f t="shared" si="86"/>
        <v>0.98882729137716041</v>
      </c>
      <c r="S405" s="7">
        <f t="shared" si="87"/>
        <v>0.44116036829688182</v>
      </c>
      <c r="T405" s="7">
        <f t="shared" si="88"/>
        <v>0.45525107519183194</v>
      </c>
      <c r="U405" s="7">
        <f t="shared" si="89"/>
        <v>0.5328048374527784</v>
      </c>
    </row>
    <row r="406" spans="1:21" x14ac:dyDescent="0.25">
      <c r="A406" s="1" t="s">
        <v>1671</v>
      </c>
      <c r="B406" s="1" t="s">
        <v>36</v>
      </c>
      <c r="C406" s="1">
        <v>26</v>
      </c>
      <c r="D406" s="1">
        <v>25</v>
      </c>
      <c r="E406" s="1">
        <v>10</v>
      </c>
      <c r="F406" s="1">
        <v>14</v>
      </c>
      <c r="G406" s="1">
        <v>75</v>
      </c>
      <c r="H406" s="7">
        <v>1.3634420996046577</v>
      </c>
      <c r="I406" s="7">
        <f t="shared" si="90"/>
        <v>22.694936708860759</v>
      </c>
      <c r="J406" s="7">
        <f t="shared" si="78"/>
        <v>5.3055534129377486</v>
      </c>
      <c r="K406" s="7">
        <f t="shared" si="79"/>
        <v>22.140506329113926</v>
      </c>
      <c r="L406" s="7">
        <f t="shared" si="80"/>
        <v>4.9144008395218908</v>
      </c>
      <c r="M406" s="7">
        <f t="shared" si="81"/>
        <v>10.069620253164556</v>
      </c>
      <c r="N406" s="7">
        <f t="shared" si="82"/>
        <v>2.1089377326145904</v>
      </c>
      <c r="O406" s="7">
        <f t="shared" si="83"/>
        <v>10.958227848101266</v>
      </c>
      <c r="P406" s="7">
        <f t="shared" si="84"/>
        <v>2.2883463843764797</v>
      </c>
      <c r="Q406" s="7">
        <f t="shared" si="85"/>
        <v>0.62294411796510174</v>
      </c>
      <c r="R406" s="7">
        <f t="shared" si="86"/>
        <v>0.58186008106824816</v>
      </c>
      <c r="S406" s="7">
        <f t="shared" si="87"/>
        <v>-3.3012000348745997E-2</v>
      </c>
      <c r="T406" s="7">
        <f t="shared" si="88"/>
        <v>1.3292446338833204</v>
      </c>
      <c r="U406" s="7">
        <f t="shared" si="89"/>
        <v>0.6252592081419811</v>
      </c>
    </row>
    <row r="407" spans="1:21" x14ac:dyDescent="0.25">
      <c r="A407" s="1" t="s">
        <v>1671</v>
      </c>
      <c r="B407" s="1" t="s">
        <v>36</v>
      </c>
      <c r="C407" s="1">
        <v>23</v>
      </c>
      <c r="D407" s="1">
        <v>24</v>
      </c>
      <c r="E407" s="1">
        <v>12</v>
      </c>
      <c r="F407" s="1">
        <v>13</v>
      </c>
      <c r="G407" s="1">
        <v>72</v>
      </c>
      <c r="H407" s="7">
        <v>1.2659242088545835</v>
      </c>
      <c r="I407" s="7">
        <f t="shared" si="90"/>
        <v>22.694936708860759</v>
      </c>
      <c r="J407" s="7">
        <f t="shared" si="78"/>
        <v>5.3055534129377486</v>
      </c>
      <c r="K407" s="7">
        <f t="shared" si="79"/>
        <v>22.140506329113926</v>
      </c>
      <c r="L407" s="7">
        <f t="shared" si="80"/>
        <v>4.9144008395218908</v>
      </c>
      <c r="M407" s="7">
        <f t="shared" si="81"/>
        <v>10.069620253164556</v>
      </c>
      <c r="N407" s="7">
        <f t="shared" si="82"/>
        <v>2.1089377326145904</v>
      </c>
      <c r="O407" s="7">
        <f t="shared" si="83"/>
        <v>10.958227848101266</v>
      </c>
      <c r="P407" s="7">
        <f t="shared" si="84"/>
        <v>2.2883463843764797</v>
      </c>
      <c r="Q407" s="7">
        <f t="shared" si="85"/>
        <v>5.7498863435308259E-2</v>
      </c>
      <c r="R407" s="7">
        <f t="shared" si="86"/>
        <v>0.37837647591379209</v>
      </c>
      <c r="S407" s="7">
        <f t="shared" si="87"/>
        <v>0.91533273694250961</v>
      </c>
      <c r="T407" s="7">
        <f t="shared" si="88"/>
        <v>0.89224785453757616</v>
      </c>
      <c r="U407" s="7">
        <f t="shared" si="89"/>
        <v>0.56086398270729654</v>
      </c>
    </row>
    <row r="408" spans="1:21" x14ac:dyDescent="0.25">
      <c r="A408" s="1" t="s">
        <v>1671</v>
      </c>
      <c r="B408" s="1" t="s">
        <v>36</v>
      </c>
      <c r="C408" s="1">
        <v>27</v>
      </c>
      <c r="D408" s="1">
        <v>23</v>
      </c>
      <c r="E408" s="1">
        <v>10</v>
      </c>
      <c r="F408" s="1">
        <v>13</v>
      </c>
      <c r="G408" s="1">
        <v>73</v>
      </c>
      <c r="H408" s="7">
        <v>1.5566235649883124</v>
      </c>
      <c r="I408" s="7">
        <f t="shared" si="90"/>
        <v>22.694936708860759</v>
      </c>
      <c r="J408" s="7">
        <f t="shared" si="78"/>
        <v>5.3055534129377486</v>
      </c>
      <c r="K408" s="7">
        <f t="shared" si="79"/>
        <v>22.140506329113926</v>
      </c>
      <c r="L408" s="7">
        <f t="shared" si="80"/>
        <v>4.9144008395218908</v>
      </c>
      <c r="M408" s="7">
        <f t="shared" si="81"/>
        <v>10.069620253164556</v>
      </c>
      <c r="N408" s="7">
        <f t="shared" si="82"/>
        <v>2.1089377326145904</v>
      </c>
      <c r="O408" s="7">
        <f t="shared" si="83"/>
        <v>10.958227848101266</v>
      </c>
      <c r="P408" s="7">
        <f t="shared" si="84"/>
        <v>2.2883463843764797</v>
      </c>
      <c r="Q408" s="7">
        <f t="shared" si="85"/>
        <v>0.81142586947503292</v>
      </c>
      <c r="R408" s="7">
        <f t="shared" si="86"/>
        <v>0.17489287075933599</v>
      </c>
      <c r="S408" s="7">
        <f t="shared" si="87"/>
        <v>-3.3012000348745997E-2</v>
      </c>
      <c r="T408" s="7">
        <f t="shared" si="88"/>
        <v>0.89224785453757616</v>
      </c>
      <c r="U408" s="7">
        <f t="shared" si="89"/>
        <v>0.46138864860579976</v>
      </c>
    </row>
    <row r="409" spans="1:21" x14ac:dyDescent="0.25">
      <c r="A409" s="1" t="s">
        <v>1672</v>
      </c>
      <c r="B409" s="1" t="s">
        <v>36</v>
      </c>
      <c r="C409" s="1">
        <v>13</v>
      </c>
      <c r="D409" s="1">
        <v>8</v>
      </c>
      <c r="E409" s="1">
        <v>6</v>
      </c>
      <c r="F409" s="1">
        <v>9</v>
      </c>
      <c r="G409" s="1">
        <v>36</v>
      </c>
      <c r="H409" s="7">
        <v>1.0127393670836666</v>
      </c>
      <c r="I409" s="7">
        <f t="shared" si="90"/>
        <v>22.694936708860759</v>
      </c>
      <c r="J409" s="7">
        <f t="shared" si="78"/>
        <v>5.3055534129377486</v>
      </c>
      <c r="K409" s="7">
        <f t="shared" si="79"/>
        <v>22.140506329113926</v>
      </c>
      <c r="L409" s="7">
        <f t="shared" si="80"/>
        <v>4.9144008395218908</v>
      </c>
      <c r="M409" s="7">
        <f t="shared" si="81"/>
        <v>10.069620253164556</v>
      </c>
      <c r="N409" s="7">
        <f t="shared" si="82"/>
        <v>2.1089377326145904</v>
      </c>
      <c r="O409" s="7">
        <f t="shared" si="83"/>
        <v>10.958227848101266</v>
      </c>
      <c r="P409" s="7">
        <f t="shared" si="84"/>
        <v>2.2883463843764797</v>
      </c>
      <c r="Q409" s="7">
        <f t="shared" si="85"/>
        <v>-1.8273186516640034</v>
      </c>
      <c r="R409" s="7">
        <f t="shared" si="86"/>
        <v>-2.8773612065575054</v>
      </c>
      <c r="S409" s="7">
        <f t="shared" si="87"/>
        <v>-1.9297014749312573</v>
      </c>
      <c r="T409" s="7">
        <f t="shared" si="88"/>
        <v>-0.85573926284540058</v>
      </c>
      <c r="U409" s="7">
        <f t="shared" si="89"/>
        <v>-1.8725301489995416</v>
      </c>
    </row>
    <row r="410" spans="1:21" x14ac:dyDescent="0.25">
      <c r="A410" s="1" t="s">
        <v>1672</v>
      </c>
      <c r="B410" s="1" t="s">
        <v>36</v>
      </c>
      <c r="C410" s="1">
        <v>16</v>
      </c>
      <c r="D410" s="1">
        <v>17</v>
      </c>
      <c r="E410" s="1">
        <v>9</v>
      </c>
      <c r="F410" s="1">
        <v>13</v>
      </c>
      <c r="G410" s="1">
        <v>55</v>
      </c>
      <c r="H410" s="7">
        <v>0.92680869599629834</v>
      </c>
      <c r="I410" s="7">
        <f t="shared" si="90"/>
        <v>22.694936708860759</v>
      </c>
      <c r="J410" s="7">
        <f t="shared" si="78"/>
        <v>5.3055534129377486</v>
      </c>
      <c r="K410" s="7">
        <f t="shared" si="79"/>
        <v>22.140506329113926</v>
      </c>
      <c r="L410" s="7">
        <f t="shared" si="80"/>
        <v>4.9144008395218908</v>
      </c>
      <c r="M410" s="7">
        <f t="shared" si="81"/>
        <v>10.069620253164556</v>
      </c>
      <c r="N410" s="7">
        <f t="shared" si="82"/>
        <v>2.1089377326145904</v>
      </c>
      <c r="O410" s="7">
        <f t="shared" si="83"/>
        <v>10.958227848101266</v>
      </c>
      <c r="P410" s="7">
        <f t="shared" si="84"/>
        <v>2.2883463843764797</v>
      </c>
      <c r="Q410" s="7">
        <f t="shared" si="85"/>
        <v>-1.26187339713421</v>
      </c>
      <c r="R410" s="7">
        <f t="shared" si="86"/>
        <v>-1.0460087601674006</v>
      </c>
      <c r="S410" s="7">
        <f t="shared" si="87"/>
        <v>-0.5071843689943738</v>
      </c>
      <c r="T410" s="7">
        <f t="shared" si="88"/>
        <v>0.89224785453757616</v>
      </c>
      <c r="U410" s="7">
        <f t="shared" si="89"/>
        <v>-0.48070466793960209</v>
      </c>
    </row>
    <row r="411" spans="1:21" x14ac:dyDescent="0.25">
      <c r="A411" s="1" t="s">
        <v>1672</v>
      </c>
      <c r="B411" s="1" t="s">
        <v>36</v>
      </c>
      <c r="C411" s="1">
        <v>18</v>
      </c>
      <c r="D411" s="1">
        <v>18</v>
      </c>
      <c r="E411" s="1">
        <v>9</v>
      </c>
      <c r="F411" s="1">
        <v>9</v>
      </c>
      <c r="G411" s="1">
        <v>54</v>
      </c>
      <c r="H411" s="7">
        <v>1.2142318453899048</v>
      </c>
      <c r="I411" s="7">
        <f t="shared" si="90"/>
        <v>22.694936708860759</v>
      </c>
      <c r="J411" s="7">
        <f t="shared" si="78"/>
        <v>5.3055534129377486</v>
      </c>
      <c r="K411" s="7">
        <f t="shared" si="79"/>
        <v>22.140506329113926</v>
      </c>
      <c r="L411" s="7">
        <f t="shared" si="80"/>
        <v>4.9144008395218908</v>
      </c>
      <c r="M411" s="7">
        <f t="shared" si="81"/>
        <v>10.069620253164556</v>
      </c>
      <c r="N411" s="7">
        <f t="shared" si="82"/>
        <v>2.1089377326145904</v>
      </c>
      <c r="O411" s="7">
        <f t="shared" si="83"/>
        <v>10.958227848101266</v>
      </c>
      <c r="P411" s="7">
        <f t="shared" si="84"/>
        <v>2.2883463843764797</v>
      </c>
      <c r="Q411" s="7">
        <f t="shared" si="85"/>
        <v>-0.88490989411434762</v>
      </c>
      <c r="R411" s="7">
        <f t="shared" si="86"/>
        <v>-0.84252515501294456</v>
      </c>
      <c r="S411" s="7">
        <f t="shared" si="87"/>
        <v>-0.5071843689943738</v>
      </c>
      <c r="T411" s="7">
        <f t="shared" si="88"/>
        <v>-0.85573926284540058</v>
      </c>
      <c r="U411" s="7">
        <f t="shared" si="89"/>
        <v>-0.77258967024176672</v>
      </c>
    </row>
    <row r="412" spans="1:21" x14ac:dyDescent="0.25">
      <c r="A412" s="1" t="s">
        <v>1672</v>
      </c>
      <c r="B412" s="1" t="s">
        <v>36</v>
      </c>
      <c r="C412" s="1">
        <v>20</v>
      </c>
      <c r="D412" s="1">
        <v>25</v>
      </c>
      <c r="E412" s="1">
        <v>11</v>
      </c>
      <c r="F412" s="1">
        <v>13</v>
      </c>
      <c r="G412" s="1">
        <v>69</v>
      </c>
      <c r="H412" s="7">
        <v>1.0315534712764842</v>
      </c>
      <c r="I412" s="7">
        <f t="shared" si="90"/>
        <v>22.694936708860759</v>
      </c>
      <c r="J412" s="7">
        <f t="shared" si="78"/>
        <v>5.3055534129377486</v>
      </c>
      <c r="K412" s="7">
        <f t="shared" si="79"/>
        <v>22.140506329113926</v>
      </c>
      <c r="L412" s="7">
        <f t="shared" si="80"/>
        <v>4.9144008395218908</v>
      </c>
      <c r="M412" s="7">
        <f t="shared" si="81"/>
        <v>10.069620253164556</v>
      </c>
      <c r="N412" s="7">
        <f t="shared" si="82"/>
        <v>2.1089377326145904</v>
      </c>
      <c r="O412" s="7">
        <f t="shared" si="83"/>
        <v>10.958227848101266</v>
      </c>
      <c r="P412" s="7">
        <f t="shared" si="84"/>
        <v>2.2883463843764797</v>
      </c>
      <c r="Q412" s="7">
        <f t="shared" si="85"/>
        <v>-0.50794639109448525</v>
      </c>
      <c r="R412" s="7">
        <f t="shared" si="86"/>
        <v>0.58186008106824816</v>
      </c>
      <c r="S412" s="7">
        <f t="shared" si="87"/>
        <v>0.44116036829688182</v>
      </c>
      <c r="T412" s="7">
        <f t="shared" si="88"/>
        <v>0.89224785453757616</v>
      </c>
      <c r="U412" s="7">
        <f t="shared" si="89"/>
        <v>0.35183047820205526</v>
      </c>
    </row>
    <row r="413" spans="1:21" x14ac:dyDescent="0.25">
      <c r="A413" s="1" t="s">
        <v>1672</v>
      </c>
      <c r="B413" s="1" t="s">
        <v>36</v>
      </c>
      <c r="C413" s="1">
        <v>15</v>
      </c>
      <c r="D413" s="1">
        <v>10</v>
      </c>
      <c r="E413" s="1">
        <v>4</v>
      </c>
      <c r="F413" s="1">
        <v>8</v>
      </c>
      <c r="G413" s="1">
        <v>37</v>
      </c>
      <c r="H413" s="7">
        <v>0.98709623358564913</v>
      </c>
      <c r="I413" s="7">
        <f t="shared" si="90"/>
        <v>22.694936708860759</v>
      </c>
      <c r="J413" s="7">
        <f t="shared" si="78"/>
        <v>5.3055534129377486</v>
      </c>
      <c r="K413" s="7">
        <f t="shared" si="79"/>
        <v>22.140506329113926</v>
      </c>
      <c r="L413" s="7">
        <f t="shared" si="80"/>
        <v>4.9144008395218908</v>
      </c>
      <c r="M413" s="7">
        <f t="shared" si="81"/>
        <v>10.069620253164556</v>
      </c>
      <c r="N413" s="7">
        <f t="shared" si="82"/>
        <v>2.1089377326145904</v>
      </c>
      <c r="O413" s="7">
        <f t="shared" si="83"/>
        <v>10.958227848101266</v>
      </c>
      <c r="P413" s="7">
        <f t="shared" si="84"/>
        <v>2.2883463843764797</v>
      </c>
      <c r="Q413" s="7">
        <f t="shared" si="85"/>
        <v>-1.4503551486441411</v>
      </c>
      <c r="R413" s="7">
        <f t="shared" si="86"/>
        <v>-2.4703939962485935</v>
      </c>
      <c r="S413" s="7">
        <f t="shared" si="87"/>
        <v>-2.8780462122225128</v>
      </c>
      <c r="T413" s="7">
        <f t="shared" si="88"/>
        <v>-1.2927360421911447</v>
      </c>
      <c r="U413" s="7">
        <f t="shared" si="89"/>
        <v>-2.0228828498265981</v>
      </c>
    </row>
    <row r="414" spans="1:21" x14ac:dyDescent="0.25">
      <c r="A414" s="1" t="s">
        <v>1672</v>
      </c>
      <c r="B414" s="1" t="s">
        <v>36</v>
      </c>
      <c r="C414" s="1">
        <v>26</v>
      </c>
      <c r="D414" s="1">
        <v>22</v>
      </c>
      <c r="E414" s="1">
        <v>11</v>
      </c>
      <c r="F414" s="1">
        <v>13</v>
      </c>
      <c r="G414" s="1">
        <v>72</v>
      </c>
      <c r="H414" s="7">
        <v>1.1266014242982163</v>
      </c>
      <c r="I414" s="7">
        <f t="shared" si="90"/>
        <v>22.694936708860759</v>
      </c>
      <c r="J414" s="7">
        <f t="shared" si="78"/>
        <v>5.3055534129377486</v>
      </c>
      <c r="K414" s="7">
        <f t="shared" si="79"/>
        <v>22.140506329113926</v>
      </c>
      <c r="L414" s="7">
        <f t="shared" si="80"/>
        <v>4.9144008395218908</v>
      </c>
      <c r="M414" s="7">
        <f t="shared" si="81"/>
        <v>10.069620253164556</v>
      </c>
      <c r="N414" s="7">
        <f t="shared" si="82"/>
        <v>2.1089377326145904</v>
      </c>
      <c r="O414" s="7">
        <f t="shared" si="83"/>
        <v>10.958227848101266</v>
      </c>
      <c r="P414" s="7">
        <f t="shared" si="84"/>
        <v>2.2883463843764797</v>
      </c>
      <c r="Q414" s="7">
        <f t="shared" si="85"/>
        <v>0.62294411796510174</v>
      </c>
      <c r="R414" s="7">
        <f t="shared" si="86"/>
        <v>-2.8590734395120113E-2</v>
      </c>
      <c r="S414" s="7">
        <f t="shared" si="87"/>
        <v>0.44116036829688182</v>
      </c>
      <c r="T414" s="7">
        <f t="shared" si="88"/>
        <v>0.89224785453757616</v>
      </c>
      <c r="U414" s="7">
        <f t="shared" si="89"/>
        <v>0.48194040160110985</v>
      </c>
    </row>
    <row r="415" spans="1:21" x14ac:dyDescent="0.25">
      <c r="A415" s="1" t="s">
        <v>1672</v>
      </c>
      <c r="B415" s="1" t="s">
        <v>36</v>
      </c>
      <c r="C415" s="1">
        <v>25</v>
      </c>
      <c r="D415" s="1">
        <v>27</v>
      </c>
      <c r="E415" s="1">
        <v>12</v>
      </c>
      <c r="F415" s="1">
        <v>11</v>
      </c>
      <c r="G415" s="1">
        <v>75</v>
      </c>
      <c r="H415" s="7">
        <v>1.5892265495016826</v>
      </c>
      <c r="I415" s="7">
        <f t="shared" si="90"/>
        <v>22.694936708860759</v>
      </c>
      <c r="J415" s="7">
        <f t="shared" si="78"/>
        <v>5.3055534129377486</v>
      </c>
      <c r="K415" s="7">
        <f t="shared" si="79"/>
        <v>22.140506329113926</v>
      </c>
      <c r="L415" s="7">
        <f t="shared" si="80"/>
        <v>4.9144008395218908</v>
      </c>
      <c r="M415" s="7">
        <f t="shared" si="81"/>
        <v>10.069620253164556</v>
      </c>
      <c r="N415" s="7">
        <f t="shared" si="82"/>
        <v>2.1089377326145904</v>
      </c>
      <c r="O415" s="7">
        <f t="shared" si="83"/>
        <v>10.958227848101266</v>
      </c>
      <c r="P415" s="7">
        <f t="shared" si="84"/>
        <v>2.2883463843764797</v>
      </c>
      <c r="Q415" s="7">
        <f t="shared" si="85"/>
        <v>0.43446236645517061</v>
      </c>
      <c r="R415" s="7">
        <f t="shared" si="86"/>
        <v>0.98882729137716041</v>
      </c>
      <c r="S415" s="7">
        <f t="shared" si="87"/>
        <v>0.91533273694250961</v>
      </c>
      <c r="T415" s="7">
        <f t="shared" si="88"/>
        <v>1.8254295846087756E-2</v>
      </c>
      <c r="U415" s="7">
        <f t="shared" si="89"/>
        <v>0.58921917265523216</v>
      </c>
    </row>
    <row r="416" spans="1:21" x14ac:dyDescent="0.25">
      <c r="A416" s="1" t="s">
        <v>1672</v>
      </c>
      <c r="B416" s="1" t="s">
        <v>36</v>
      </c>
      <c r="C416" s="1">
        <v>19</v>
      </c>
      <c r="D416" s="1">
        <v>18</v>
      </c>
      <c r="E416" s="1">
        <v>9</v>
      </c>
      <c r="F416" s="1">
        <v>13</v>
      </c>
      <c r="G416" s="1">
        <v>59</v>
      </c>
      <c r="H416" s="7">
        <v>1.1266014242982161</v>
      </c>
      <c r="I416" s="7">
        <f t="shared" si="90"/>
        <v>22.694936708860759</v>
      </c>
      <c r="J416" s="7">
        <f t="shared" si="78"/>
        <v>5.3055534129377486</v>
      </c>
      <c r="K416" s="7">
        <f t="shared" si="79"/>
        <v>22.140506329113926</v>
      </c>
      <c r="L416" s="7">
        <f t="shared" si="80"/>
        <v>4.9144008395218908</v>
      </c>
      <c r="M416" s="7">
        <f t="shared" si="81"/>
        <v>10.069620253164556</v>
      </c>
      <c r="N416" s="7">
        <f t="shared" si="82"/>
        <v>2.1089377326145904</v>
      </c>
      <c r="O416" s="7">
        <f t="shared" si="83"/>
        <v>10.958227848101266</v>
      </c>
      <c r="P416" s="7">
        <f t="shared" si="84"/>
        <v>2.2883463843764797</v>
      </c>
      <c r="Q416" s="7">
        <f t="shared" si="85"/>
        <v>-0.69642814260441643</v>
      </c>
      <c r="R416" s="7">
        <f t="shared" si="86"/>
        <v>-0.84252515501294456</v>
      </c>
      <c r="S416" s="7">
        <f t="shared" si="87"/>
        <v>-0.5071843689943738</v>
      </c>
      <c r="T416" s="7">
        <f t="shared" si="88"/>
        <v>0.89224785453757616</v>
      </c>
      <c r="U416" s="7">
        <f t="shared" si="89"/>
        <v>-0.28847245301853963</v>
      </c>
    </row>
    <row r="417" spans="1:21" x14ac:dyDescent="0.25">
      <c r="A417" s="1" t="s">
        <v>1672</v>
      </c>
      <c r="B417" s="1" t="s">
        <v>36</v>
      </c>
      <c r="C417" s="1">
        <v>21</v>
      </c>
      <c r="D417" s="1">
        <v>18</v>
      </c>
      <c r="E417" s="1">
        <v>9</v>
      </c>
      <c r="F417" s="1">
        <v>11</v>
      </c>
      <c r="G417" s="1">
        <v>59</v>
      </c>
      <c r="H417" s="7">
        <v>0.96741792204684529</v>
      </c>
      <c r="I417" s="7">
        <f t="shared" si="90"/>
        <v>22.694936708860759</v>
      </c>
      <c r="J417" s="7">
        <f t="shared" si="78"/>
        <v>5.3055534129377486</v>
      </c>
      <c r="K417" s="7">
        <f t="shared" si="79"/>
        <v>22.140506329113926</v>
      </c>
      <c r="L417" s="7">
        <f t="shared" si="80"/>
        <v>4.9144008395218908</v>
      </c>
      <c r="M417" s="7">
        <f t="shared" si="81"/>
        <v>10.069620253164556</v>
      </c>
      <c r="N417" s="7">
        <f t="shared" si="82"/>
        <v>2.1089377326145904</v>
      </c>
      <c r="O417" s="7">
        <f t="shared" si="83"/>
        <v>10.958227848101266</v>
      </c>
      <c r="P417" s="7">
        <f t="shared" si="84"/>
        <v>2.2883463843764797</v>
      </c>
      <c r="Q417" s="7">
        <f t="shared" si="85"/>
        <v>-0.31946463958455407</v>
      </c>
      <c r="R417" s="7">
        <f t="shared" si="86"/>
        <v>-0.84252515501294456</v>
      </c>
      <c r="S417" s="7">
        <f t="shared" si="87"/>
        <v>-0.5071843689943738</v>
      </c>
      <c r="T417" s="7">
        <f t="shared" si="88"/>
        <v>1.8254295846087756E-2</v>
      </c>
      <c r="U417" s="7">
        <f t="shared" si="89"/>
        <v>-0.41272996693644615</v>
      </c>
    </row>
    <row r="418" spans="1:21" x14ac:dyDescent="0.25">
      <c r="A418" s="1" t="s">
        <v>1672</v>
      </c>
      <c r="B418" s="1" t="s">
        <v>36</v>
      </c>
      <c r="C418" s="1">
        <v>29</v>
      </c>
      <c r="D418" s="1">
        <v>20</v>
      </c>
      <c r="E418" s="1">
        <v>10</v>
      </c>
      <c r="F418" s="1">
        <v>8</v>
      </c>
      <c r="G418" s="1">
        <v>67</v>
      </c>
      <c r="H418" s="7">
        <v>2.1543039806456381</v>
      </c>
      <c r="I418" s="7">
        <f t="shared" si="90"/>
        <v>22.694936708860759</v>
      </c>
      <c r="J418" s="7">
        <f t="shared" si="78"/>
        <v>5.3055534129377486</v>
      </c>
      <c r="K418" s="7">
        <f t="shared" si="79"/>
        <v>22.140506329113926</v>
      </c>
      <c r="L418" s="7">
        <f t="shared" si="80"/>
        <v>4.9144008395218908</v>
      </c>
      <c r="M418" s="7">
        <f t="shared" si="81"/>
        <v>10.069620253164556</v>
      </c>
      <c r="N418" s="7">
        <f t="shared" si="82"/>
        <v>2.1089377326145904</v>
      </c>
      <c r="O418" s="7">
        <f t="shared" si="83"/>
        <v>10.958227848101266</v>
      </c>
      <c r="P418" s="7">
        <f t="shared" si="84"/>
        <v>2.2883463843764797</v>
      </c>
      <c r="Q418" s="7">
        <f t="shared" si="85"/>
        <v>1.1883893724948953</v>
      </c>
      <c r="R418" s="7">
        <f t="shared" si="86"/>
        <v>-0.43555794470403231</v>
      </c>
      <c r="S418" s="7">
        <f t="shared" si="87"/>
        <v>-3.3012000348745997E-2</v>
      </c>
      <c r="T418" s="7">
        <f t="shared" si="88"/>
        <v>-1.2927360421911447</v>
      </c>
      <c r="U418" s="7">
        <f t="shared" si="89"/>
        <v>-0.14322915368725692</v>
      </c>
    </row>
    <row r="419" spans="1:21" x14ac:dyDescent="0.25">
      <c r="A419" s="1" t="s">
        <v>1672</v>
      </c>
      <c r="B419" s="1" t="s">
        <v>36</v>
      </c>
      <c r="C419" s="1">
        <v>25</v>
      </c>
      <c r="D419" s="1">
        <v>25</v>
      </c>
      <c r="E419" s="1">
        <v>9</v>
      </c>
      <c r="F419" s="1">
        <v>13</v>
      </c>
      <c r="G419" s="1">
        <v>72</v>
      </c>
      <c r="H419" s="7">
        <v>1.198289379030556</v>
      </c>
      <c r="I419" s="7">
        <f t="shared" si="90"/>
        <v>22.694936708860759</v>
      </c>
      <c r="J419" s="7">
        <f t="shared" si="78"/>
        <v>5.3055534129377486</v>
      </c>
      <c r="K419" s="7">
        <f t="shared" si="79"/>
        <v>22.140506329113926</v>
      </c>
      <c r="L419" s="7">
        <f t="shared" si="80"/>
        <v>4.9144008395218908</v>
      </c>
      <c r="M419" s="7">
        <f t="shared" si="81"/>
        <v>10.069620253164556</v>
      </c>
      <c r="N419" s="7">
        <f t="shared" si="82"/>
        <v>2.1089377326145904</v>
      </c>
      <c r="O419" s="7">
        <f t="shared" si="83"/>
        <v>10.958227848101266</v>
      </c>
      <c r="P419" s="7">
        <f t="shared" si="84"/>
        <v>2.2883463843764797</v>
      </c>
      <c r="Q419" s="7">
        <f t="shared" si="85"/>
        <v>0.43446236645517061</v>
      </c>
      <c r="R419" s="7">
        <f t="shared" si="86"/>
        <v>0.58186008106824816</v>
      </c>
      <c r="S419" s="7">
        <f t="shared" si="87"/>
        <v>-0.5071843689943738</v>
      </c>
      <c r="T419" s="7">
        <f t="shared" si="88"/>
        <v>0.89224785453757616</v>
      </c>
      <c r="U419" s="7">
        <f t="shared" si="89"/>
        <v>0.3503464832666553</v>
      </c>
    </row>
    <row r="420" spans="1:21" x14ac:dyDescent="0.25">
      <c r="A420" s="1" t="s">
        <v>1672</v>
      </c>
      <c r="B420" s="1" t="s">
        <v>36</v>
      </c>
      <c r="C420" s="1">
        <v>15</v>
      </c>
      <c r="D420" s="1">
        <v>19</v>
      </c>
      <c r="E420" s="1">
        <v>8</v>
      </c>
      <c r="F420" s="1">
        <v>10</v>
      </c>
      <c r="G420" s="1">
        <v>52</v>
      </c>
      <c r="H420" s="7">
        <v>1.2247448713915889</v>
      </c>
      <c r="I420" s="7">
        <f t="shared" si="90"/>
        <v>22.694936708860759</v>
      </c>
      <c r="J420" s="7">
        <f t="shared" si="78"/>
        <v>5.3055534129377486</v>
      </c>
      <c r="K420" s="7">
        <f t="shared" si="79"/>
        <v>22.140506329113926</v>
      </c>
      <c r="L420" s="7">
        <f t="shared" si="80"/>
        <v>4.9144008395218908</v>
      </c>
      <c r="M420" s="7">
        <f t="shared" si="81"/>
        <v>10.069620253164556</v>
      </c>
      <c r="N420" s="7">
        <f t="shared" si="82"/>
        <v>2.1089377326145904</v>
      </c>
      <c r="O420" s="7">
        <f t="shared" si="83"/>
        <v>10.958227848101266</v>
      </c>
      <c r="P420" s="7">
        <f t="shared" si="84"/>
        <v>2.2883463843764797</v>
      </c>
      <c r="Q420" s="7">
        <f t="shared" si="85"/>
        <v>-1.4503551486441411</v>
      </c>
      <c r="R420" s="7">
        <f t="shared" si="86"/>
        <v>-0.63904154985848838</v>
      </c>
      <c r="S420" s="7">
        <f t="shared" si="87"/>
        <v>-0.98135673764000164</v>
      </c>
      <c r="T420" s="7">
        <f t="shared" si="88"/>
        <v>-0.41874248349965643</v>
      </c>
      <c r="U420" s="7">
        <f t="shared" si="89"/>
        <v>-0.87237397991057186</v>
      </c>
    </row>
    <row r="421" spans="1:21" x14ac:dyDescent="0.25">
      <c r="A421" s="1" t="s">
        <v>1672</v>
      </c>
      <c r="B421" s="1" t="s">
        <v>36</v>
      </c>
      <c r="C421" s="1">
        <v>21</v>
      </c>
      <c r="D421" s="1">
        <v>21</v>
      </c>
      <c r="E421" s="1">
        <v>11</v>
      </c>
      <c r="F421" s="1">
        <v>7</v>
      </c>
      <c r="G421" s="1">
        <v>60</v>
      </c>
      <c r="H421" s="7">
        <v>1.6602440351979151</v>
      </c>
      <c r="I421" s="7">
        <f t="shared" si="90"/>
        <v>22.694936708860759</v>
      </c>
      <c r="J421" s="7">
        <f t="shared" si="78"/>
        <v>5.3055534129377486</v>
      </c>
      <c r="K421" s="7">
        <f t="shared" si="79"/>
        <v>22.140506329113926</v>
      </c>
      <c r="L421" s="7">
        <f t="shared" si="80"/>
        <v>4.9144008395218908</v>
      </c>
      <c r="M421" s="7">
        <f t="shared" si="81"/>
        <v>10.069620253164556</v>
      </c>
      <c r="N421" s="7">
        <f t="shared" si="82"/>
        <v>2.1089377326145904</v>
      </c>
      <c r="O421" s="7">
        <f t="shared" si="83"/>
        <v>10.958227848101266</v>
      </c>
      <c r="P421" s="7">
        <f t="shared" si="84"/>
        <v>2.2883463843764797</v>
      </c>
      <c r="Q421" s="7">
        <f t="shared" si="85"/>
        <v>-0.31946463958455407</v>
      </c>
      <c r="R421" s="7">
        <f t="shared" si="86"/>
        <v>-0.23207433954957621</v>
      </c>
      <c r="S421" s="7">
        <f t="shared" si="87"/>
        <v>0.44116036829688182</v>
      </c>
      <c r="T421" s="7">
        <f t="shared" si="88"/>
        <v>-1.729732821536889</v>
      </c>
      <c r="U421" s="7">
        <f t="shared" si="89"/>
        <v>-0.46002785809353436</v>
      </c>
    </row>
    <row r="422" spans="1:21" x14ac:dyDescent="0.25">
      <c r="A422" s="1" t="s">
        <v>1672</v>
      </c>
      <c r="B422" s="1" t="s">
        <v>36</v>
      </c>
      <c r="C422" s="1">
        <v>18</v>
      </c>
      <c r="D422" s="1">
        <v>19</v>
      </c>
      <c r="E422" s="1">
        <v>9</v>
      </c>
      <c r="F422" s="1">
        <v>8</v>
      </c>
      <c r="G422" s="1">
        <v>54</v>
      </c>
      <c r="H422" s="7">
        <v>1.0681880176381129</v>
      </c>
      <c r="I422" s="7">
        <f t="shared" si="90"/>
        <v>22.694936708860759</v>
      </c>
      <c r="J422" s="7">
        <f t="shared" si="78"/>
        <v>5.3055534129377486</v>
      </c>
      <c r="K422" s="7">
        <f t="shared" si="79"/>
        <v>22.140506329113926</v>
      </c>
      <c r="L422" s="7">
        <f t="shared" si="80"/>
        <v>4.9144008395218908</v>
      </c>
      <c r="M422" s="7">
        <f t="shared" si="81"/>
        <v>10.069620253164556</v>
      </c>
      <c r="N422" s="7">
        <f t="shared" si="82"/>
        <v>2.1089377326145904</v>
      </c>
      <c r="O422" s="7">
        <f t="shared" si="83"/>
        <v>10.958227848101266</v>
      </c>
      <c r="P422" s="7">
        <f t="shared" si="84"/>
        <v>2.2883463843764797</v>
      </c>
      <c r="Q422" s="7">
        <f t="shared" si="85"/>
        <v>-0.88490989411434762</v>
      </c>
      <c r="R422" s="7">
        <f t="shared" si="86"/>
        <v>-0.63904154985848838</v>
      </c>
      <c r="S422" s="7">
        <f t="shared" si="87"/>
        <v>-0.5071843689943738</v>
      </c>
      <c r="T422" s="7">
        <f t="shared" si="88"/>
        <v>-1.2927360421911447</v>
      </c>
      <c r="U422" s="7">
        <f t="shared" si="89"/>
        <v>-0.83096796378958859</v>
      </c>
    </row>
    <row r="423" spans="1:21" x14ac:dyDescent="0.25">
      <c r="A423" s="1" t="s">
        <v>1672</v>
      </c>
      <c r="B423" s="1" t="s">
        <v>36</v>
      </c>
      <c r="C423" s="1">
        <v>24</v>
      </c>
      <c r="D423" s="1">
        <v>20</v>
      </c>
      <c r="E423" s="1">
        <v>8</v>
      </c>
      <c r="F423" s="1">
        <v>9</v>
      </c>
      <c r="G423" s="1">
        <v>61</v>
      </c>
      <c r="H423" s="7">
        <v>1.5483655567842809</v>
      </c>
      <c r="I423" s="7">
        <f t="shared" si="90"/>
        <v>22.694936708860759</v>
      </c>
      <c r="J423" s="7">
        <f t="shared" si="78"/>
        <v>5.3055534129377486</v>
      </c>
      <c r="K423" s="7">
        <f t="shared" si="79"/>
        <v>22.140506329113926</v>
      </c>
      <c r="L423" s="7">
        <f t="shared" si="80"/>
        <v>4.9144008395218908</v>
      </c>
      <c r="M423" s="7">
        <f t="shared" si="81"/>
        <v>10.069620253164556</v>
      </c>
      <c r="N423" s="7">
        <f t="shared" si="82"/>
        <v>2.1089377326145904</v>
      </c>
      <c r="O423" s="7">
        <f t="shared" si="83"/>
        <v>10.958227848101266</v>
      </c>
      <c r="P423" s="7">
        <f t="shared" si="84"/>
        <v>2.2883463843764797</v>
      </c>
      <c r="Q423" s="7">
        <f t="shared" si="85"/>
        <v>0.24598061494523943</v>
      </c>
      <c r="R423" s="7">
        <f t="shared" si="86"/>
        <v>-0.43555794470403231</v>
      </c>
      <c r="S423" s="7">
        <f t="shared" si="87"/>
        <v>-0.98135673764000164</v>
      </c>
      <c r="T423" s="7">
        <f t="shared" si="88"/>
        <v>-0.85573926284540058</v>
      </c>
      <c r="U423" s="7">
        <f t="shared" si="89"/>
        <v>-0.50666833256104882</v>
      </c>
    </row>
    <row r="424" spans="1:21" x14ac:dyDescent="0.25">
      <c r="A424" s="1" t="s">
        <v>1672</v>
      </c>
      <c r="B424" s="1" t="s">
        <v>36</v>
      </c>
      <c r="C424" s="1">
        <v>20</v>
      </c>
      <c r="D424" s="1">
        <v>24</v>
      </c>
      <c r="E424" s="1">
        <v>9</v>
      </c>
      <c r="F424" s="1">
        <v>8</v>
      </c>
      <c r="G424" s="1">
        <v>61</v>
      </c>
      <c r="H424" s="7">
        <v>1.6525039276108333</v>
      </c>
      <c r="I424" s="7">
        <f t="shared" si="90"/>
        <v>22.694936708860759</v>
      </c>
      <c r="J424" s="7">
        <f t="shared" si="78"/>
        <v>5.3055534129377486</v>
      </c>
      <c r="K424" s="7">
        <f t="shared" si="79"/>
        <v>22.140506329113926</v>
      </c>
      <c r="L424" s="7">
        <f t="shared" si="80"/>
        <v>4.9144008395218908</v>
      </c>
      <c r="M424" s="7">
        <f t="shared" si="81"/>
        <v>10.069620253164556</v>
      </c>
      <c r="N424" s="7">
        <f t="shared" si="82"/>
        <v>2.1089377326145904</v>
      </c>
      <c r="O424" s="7">
        <f t="shared" si="83"/>
        <v>10.958227848101266</v>
      </c>
      <c r="P424" s="7">
        <f t="shared" si="84"/>
        <v>2.2883463843764797</v>
      </c>
      <c r="Q424" s="7">
        <f t="shared" si="85"/>
        <v>-0.50794639109448525</v>
      </c>
      <c r="R424" s="7">
        <f t="shared" si="86"/>
        <v>0.37837647591379209</v>
      </c>
      <c r="S424" s="7">
        <f t="shared" si="87"/>
        <v>-0.5071843689943738</v>
      </c>
      <c r="T424" s="7">
        <f t="shared" si="88"/>
        <v>-1.2927360421911447</v>
      </c>
      <c r="U424" s="7">
        <f t="shared" si="89"/>
        <v>-0.48237258159155294</v>
      </c>
    </row>
    <row r="425" spans="1:21" x14ac:dyDescent="0.25">
      <c r="A425" s="1" t="s">
        <v>1672</v>
      </c>
      <c r="B425" s="1" t="s">
        <v>36</v>
      </c>
      <c r="C425" s="1">
        <v>22</v>
      </c>
      <c r="D425" s="1">
        <v>20</v>
      </c>
      <c r="E425" s="1">
        <v>10</v>
      </c>
      <c r="F425" s="1">
        <v>13</v>
      </c>
      <c r="G425" s="1">
        <v>65</v>
      </c>
      <c r="H425" s="7">
        <v>0.81649658092772581</v>
      </c>
      <c r="I425" s="7">
        <f t="shared" si="90"/>
        <v>22.694936708860759</v>
      </c>
      <c r="J425" s="7">
        <f t="shared" si="78"/>
        <v>5.3055534129377486</v>
      </c>
      <c r="K425" s="7">
        <f t="shared" si="79"/>
        <v>22.140506329113926</v>
      </c>
      <c r="L425" s="7">
        <f t="shared" si="80"/>
        <v>4.9144008395218908</v>
      </c>
      <c r="M425" s="7">
        <f t="shared" si="81"/>
        <v>10.069620253164556</v>
      </c>
      <c r="N425" s="7">
        <f t="shared" si="82"/>
        <v>2.1089377326145904</v>
      </c>
      <c r="O425" s="7">
        <f t="shared" si="83"/>
        <v>10.958227848101266</v>
      </c>
      <c r="P425" s="7">
        <f t="shared" si="84"/>
        <v>2.2883463843764797</v>
      </c>
      <c r="Q425" s="7">
        <f t="shared" si="85"/>
        <v>-0.13098288807462291</v>
      </c>
      <c r="R425" s="7">
        <f t="shared" si="86"/>
        <v>-0.43555794470403231</v>
      </c>
      <c r="S425" s="7">
        <f t="shared" si="87"/>
        <v>-3.3012000348745997E-2</v>
      </c>
      <c r="T425" s="7">
        <f t="shared" si="88"/>
        <v>0.89224785453757616</v>
      </c>
      <c r="U425" s="7">
        <f t="shared" si="89"/>
        <v>7.3173755352543751E-2</v>
      </c>
    </row>
    <row r="426" spans="1:21" x14ac:dyDescent="0.25">
      <c r="A426" s="1" t="s">
        <v>1672</v>
      </c>
      <c r="B426" s="1" t="s">
        <v>36</v>
      </c>
      <c r="C426" s="1">
        <v>19</v>
      </c>
      <c r="D426" s="1">
        <v>15</v>
      </c>
      <c r="E426" s="1">
        <v>7</v>
      </c>
      <c r="F426" s="1">
        <v>8</v>
      </c>
      <c r="G426" s="1">
        <v>49</v>
      </c>
      <c r="H426" s="7">
        <v>1.0127393670836664</v>
      </c>
      <c r="I426" s="7">
        <f t="shared" si="90"/>
        <v>22.694936708860759</v>
      </c>
      <c r="J426" s="7">
        <f t="shared" si="78"/>
        <v>5.3055534129377486</v>
      </c>
      <c r="K426" s="7">
        <f t="shared" si="79"/>
        <v>22.140506329113926</v>
      </c>
      <c r="L426" s="7">
        <f t="shared" si="80"/>
        <v>4.9144008395218908</v>
      </c>
      <c r="M426" s="7">
        <f t="shared" si="81"/>
        <v>10.069620253164556</v>
      </c>
      <c r="N426" s="7">
        <f t="shared" si="82"/>
        <v>2.1089377326145904</v>
      </c>
      <c r="O426" s="7">
        <f t="shared" si="83"/>
        <v>10.958227848101266</v>
      </c>
      <c r="P426" s="7">
        <f t="shared" si="84"/>
        <v>2.2883463843764797</v>
      </c>
      <c r="Q426" s="7">
        <f t="shared" si="85"/>
        <v>-0.69642814260441643</v>
      </c>
      <c r="R426" s="7">
        <f t="shared" si="86"/>
        <v>-1.4529759704763128</v>
      </c>
      <c r="S426" s="7">
        <f t="shared" si="87"/>
        <v>-1.4555291062856295</v>
      </c>
      <c r="T426" s="7">
        <f t="shared" si="88"/>
        <v>-1.2927360421911447</v>
      </c>
      <c r="U426" s="7">
        <f t="shared" si="89"/>
        <v>-1.2244173153893758</v>
      </c>
    </row>
    <row r="427" spans="1:21" x14ac:dyDescent="0.25">
      <c r="A427" s="1" t="s">
        <v>1672</v>
      </c>
      <c r="B427" s="1" t="s">
        <v>36</v>
      </c>
      <c r="C427" s="1">
        <v>22</v>
      </c>
      <c r="D427" s="1">
        <v>24</v>
      </c>
      <c r="E427" s="1">
        <v>10</v>
      </c>
      <c r="F427" s="1">
        <v>14</v>
      </c>
      <c r="G427" s="1">
        <v>70</v>
      </c>
      <c r="H427" s="7">
        <v>0.86971849262290402</v>
      </c>
      <c r="I427" s="7">
        <f t="shared" si="90"/>
        <v>22.694936708860759</v>
      </c>
      <c r="J427" s="7">
        <f t="shared" si="78"/>
        <v>5.3055534129377486</v>
      </c>
      <c r="K427" s="7">
        <f t="shared" si="79"/>
        <v>22.140506329113926</v>
      </c>
      <c r="L427" s="7">
        <f t="shared" si="80"/>
        <v>4.9144008395218908</v>
      </c>
      <c r="M427" s="7">
        <f t="shared" si="81"/>
        <v>10.069620253164556</v>
      </c>
      <c r="N427" s="7">
        <f t="shared" si="82"/>
        <v>2.1089377326145904</v>
      </c>
      <c r="O427" s="7">
        <f t="shared" si="83"/>
        <v>10.958227848101266</v>
      </c>
      <c r="P427" s="7">
        <f t="shared" si="84"/>
        <v>2.2883463843764797</v>
      </c>
      <c r="Q427" s="7">
        <f t="shared" si="85"/>
        <v>-0.13098288807462291</v>
      </c>
      <c r="R427" s="7">
        <f t="shared" si="86"/>
        <v>0.37837647591379209</v>
      </c>
      <c r="S427" s="7">
        <f t="shared" si="87"/>
        <v>-3.3012000348745997E-2</v>
      </c>
      <c r="T427" s="7">
        <f t="shared" si="88"/>
        <v>1.3292446338833204</v>
      </c>
      <c r="U427" s="7">
        <f t="shared" si="89"/>
        <v>0.38590655534343588</v>
      </c>
    </row>
    <row r="428" spans="1:21" x14ac:dyDescent="0.25">
      <c r="A428" s="1" t="s">
        <v>1672</v>
      </c>
      <c r="B428" s="1" t="s">
        <v>36</v>
      </c>
      <c r="C428" s="1">
        <v>19</v>
      </c>
      <c r="D428" s="1">
        <v>18</v>
      </c>
      <c r="E428" s="1">
        <v>9</v>
      </c>
      <c r="F428" s="1">
        <v>12</v>
      </c>
      <c r="G428" s="1">
        <v>58</v>
      </c>
      <c r="H428" s="7">
        <v>0.66022529177352485</v>
      </c>
      <c r="I428" s="7">
        <f t="shared" si="90"/>
        <v>22.694936708860759</v>
      </c>
      <c r="J428" s="7">
        <f t="shared" si="78"/>
        <v>5.3055534129377486</v>
      </c>
      <c r="K428" s="7">
        <f t="shared" si="79"/>
        <v>22.140506329113926</v>
      </c>
      <c r="L428" s="7">
        <f t="shared" si="80"/>
        <v>4.9144008395218908</v>
      </c>
      <c r="M428" s="7">
        <f t="shared" si="81"/>
        <v>10.069620253164556</v>
      </c>
      <c r="N428" s="7">
        <f t="shared" si="82"/>
        <v>2.1089377326145904</v>
      </c>
      <c r="O428" s="7">
        <f t="shared" si="83"/>
        <v>10.958227848101266</v>
      </c>
      <c r="P428" s="7">
        <f t="shared" si="84"/>
        <v>2.2883463843764797</v>
      </c>
      <c r="Q428" s="7">
        <f t="shared" si="85"/>
        <v>-0.69642814260441643</v>
      </c>
      <c r="R428" s="7">
        <f t="shared" si="86"/>
        <v>-0.84252515501294456</v>
      </c>
      <c r="S428" s="7">
        <f t="shared" si="87"/>
        <v>-0.5071843689943738</v>
      </c>
      <c r="T428" s="7">
        <f t="shared" si="88"/>
        <v>0.45525107519183194</v>
      </c>
      <c r="U428" s="7">
        <f t="shared" si="89"/>
        <v>-0.39772164785497566</v>
      </c>
    </row>
    <row r="429" spans="1:21" x14ac:dyDescent="0.25">
      <c r="A429" s="1" t="s">
        <v>1672</v>
      </c>
      <c r="B429" s="1" t="s">
        <v>36</v>
      </c>
      <c r="C429" s="1">
        <v>22</v>
      </c>
      <c r="D429" s="1">
        <v>21</v>
      </c>
      <c r="E429" s="1">
        <v>10</v>
      </c>
      <c r="F429" s="1">
        <v>12</v>
      </c>
      <c r="G429" s="1">
        <v>65</v>
      </c>
      <c r="H429" s="7">
        <v>0.81649658092772603</v>
      </c>
      <c r="I429" s="7">
        <f t="shared" si="90"/>
        <v>22.694936708860759</v>
      </c>
      <c r="J429" s="7">
        <f t="shared" si="78"/>
        <v>5.3055534129377486</v>
      </c>
      <c r="K429" s="7">
        <f t="shared" si="79"/>
        <v>22.140506329113926</v>
      </c>
      <c r="L429" s="7">
        <f t="shared" si="80"/>
        <v>4.9144008395218908</v>
      </c>
      <c r="M429" s="7">
        <f t="shared" si="81"/>
        <v>10.069620253164556</v>
      </c>
      <c r="N429" s="7">
        <f t="shared" si="82"/>
        <v>2.1089377326145904</v>
      </c>
      <c r="O429" s="7">
        <f t="shared" si="83"/>
        <v>10.958227848101266</v>
      </c>
      <c r="P429" s="7">
        <f t="shared" si="84"/>
        <v>2.2883463843764797</v>
      </c>
      <c r="Q429" s="7">
        <f t="shared" si="85"/>
        <v>-0.13098288807462291</v>
      </c>
      <c r="R429" s="7">
        <f t="shared" si="86"/>
        <v>-0.23207433954957621</v>
      </c>
      <c r="S429" s="7">
        <f t="shared" si="87"/>
        <v>-3.3012000348745997E-2</v>
      </c>
      <c r="T429" s="7">
        <f t="shared" si="88"/>
        <v>0.45525107519183194</v>
      </c>
      <c r="U429" s="7">
        <f t="shared" si="89"/>
        <v>1.4795461804721702E-2</v>
      </c>
    </row>
    <row r="430" spans="1:21" x14ac:dyDescent="0.25">
      <c r="A430" s="1" t="s">
        <v>1672</v>
      </c>
      <c r="B430" s="1" t="s">
        <v>36</v>
      </c>
      <c r="C430" s="1">
        <v>14</v>
      </c>
      <c r="D430" s="1">
        <v>17</v>
      </c>
      <c r="E430" s="1">
        <v>8</v>
      </c>
      <c r="F430" s="1">
        <v>13</v>
      </c>
      <c r="G430" s="1">
        <v>52</v>
      </c>
      <c r="H430" s="7">
        <v>0.57735026918962573</v>
      </c>
      <c r="I430" s="7">
        <f t="shared" si="90"/>
        <v>22.694936708860759</v>
      </c>
      <c r="J430" s="7">
        <f t="shared" si="78"/>
        <v>5.3055534129377486</v>
      </c>
      <c r="K430" s="7">
        <f t="shared" si="79"/>
        <v>22.140506329113926</v>
      </c>
      <c r="L430" s="7">
        <f t="shared" si="80"/>
        <v>4.9144008395218908</v>
      </c>
      <c r="M430" s="7">
        <f t="shared" si="81"/>
        <v>10.069620253164556</v>
      </c>
      <c r="N430" s="7">
        <f t="shared" si="82"/>
        <v>2.1089377326145904</v>
      </c>
      <c r="O430" s="7">
        <f t="shared" si="83"/>
        <v>10.958227848101266</v>
      </c>
      <c r="P430" s="7">
        <f t="shared" si="84"/>
        <v>2.2883463843764797</v>
      </c>
      <c r="Q430" s="7">
        <f t="shared" si="85"/>
        <v>-1.6388369001540724</v>
      </c>
      <c r="R430" s="7">
        <f t="shared" si="86"/>
        <v>-1.0460087601674006</v>
      </c>
      <c r="S430" s="7">
        <f t="shared" si="87"/>
        <v>-0.98135673764000164</v>
      </c>
      <c r="T430" s="7">
        <f t="shared" si="88"/>
        <v>0.89224785453757616</v>
      </c>
      <c r="U430" s="7">
        <f t="shared" si="89"/>
        <v>-0.69348863585597464</v>
      </c>
    </row>
    <row r="431" spans="1:21" x14ac:dyDescent="0.25">
      <c r="A431" s="1" t="s">
        <v>1672</v>
      </c>
      <c r="B431" s="1" t="s">
        <v>36</v>
      </c>
      <c r="C431" s="1">
        <v>17</v>
      </c>
      <c r="D431" s="1">
        <v>15</v>
      </c>
      <c r="E431" s="1">
        <v>7</v>
      </c>
      <c r="F431" s="1">
        <v>10</v>
      </c>
      <c r="G431" s="1">
        <v>49</v>
      </c>
      <c r="H431" s="7">
        <v>0.59914468951527811</v>
      </c>
      <c r="I431" s="7">
        <f t="shared" si="90"/>
        <v>22.694936708860759</v>
      </c>
      <c r="J431" s="7">
        <f t="shared" si="78"/>
        <v>5.3055534129377486</v>
      </c>
      <c r="K431" s="7">
        <f t="shared" si="79"/>
        <v>22.140506329113926</v>
      </c>
      <c r="L431" s="7">
        <f t="shared" si="80"/>
        <v>4.9144008395218908</v>
      </c>
      <c r="M431" s="7">
        <f t="shared" si="81"/>
        <v>10.069620253164556</v>
      </c>
      <c r="N431" s="7">
        <f t="shared" si="82"/>
        <v>2.1089377326145904</v>
      </c>
      <c r="O431" s="7">
        <f t="shared" si="83"/>
        <v>10.958227848101266</v>
      </c>
      <c r="P431" s="7">
        <f t="shared" si="84"/>
        <v>2.2883463843764797</v>
      </c>
      <c r="Q431" s="7">
        <f t="shared" si="85"/>
        <v>-1.0733916456242787</v>
      </c>
      <c r="R431" s="7">
        <f t="shared" si="86"/>
        <v>-1.4529759704763128</v>
      </c>
      <c r="S431" s="7">
        <f t="shared" si="87"/>
        <v>-1.4555291062856295</v>
      </c>
      <c r="T431" s="7">
        <f t="shared" si="88"/>
        <v>-0.41874248349965643</v>
      </c>
      <c r="U431" s="7">
        <f t="shared" si="89"/>
        <v>-1.1001598014714693</v>
      </c>
    </row>
    <row r="432" spans="1:21" x14ac:dyDescent="0.25">
      <c r="A432" s="1" t="s">
        <v>1672</v>
      </c>
      <c r="B432" s="1" t="s">
        <v>36</v>
      </c>
      <c r="C432" s="1">
        <v>15</v>
      </c>
      <c r="D432" s="1">
        <v>13</v>
      </c>
      <c r="E432" s="1">
        <v>5</v>
      </c>
      <c r="F432" s="1">
        <v>10</v>
      </c>
      <c r="G432" s="1">
        <v>43</v>
      </c>
      <c r="H432" s="7">
        <v>0.75106761619881079</v>
      </c>
      <c r="I432" s="7">
        <f t="shared" si="90"/>
        <v>22.694936708860759</v>
      </c>
      <c r="J432" s="7">
        <f t="shared" si="78"/>
        <v>5.3055534129377486</v>
      </c>
      <c r="K432" s="7">
        <f t="shared" si="79"/>
        <v>22.140506329113926</v>
      </c>
      <c r="L432" s="7">
        <f t="shared" si="80"/>
        <v>4.9144008395218908</v>
      </c>
      <c r="M432" s="7">
        <f t="shared" si="81"/>
        <v>10.069620253164556</v>
      </c>
      <c r="N432" s="7">
        <f t="shared" si="82"/>
        <v>2.1089377326145904</v>
      </c>
      <c r="O432" s="7">
        <f t="shared" si="83"/>
        <v>10.958227848101266</v>
      </c>
      <c r="P432" s="7">
        <f t="shared" si="84"/>
        <v>2.2883463843764797</v>
      </c>
      <c r="Q432" s="7">
        <f t="shared" si="85"/>
        <v>-1.4503551486441411</v>
      </c>
      <c r="R432" s="7">
        <f t="shared" si="86"/>
        <v>-1.8599431807852249</v>
      </c>
      <c r="S432" s="7">
        <f t="shared" si="87"/>
        <v>-2.4038738435768852</v>
      </c>
      <c r="T432" s="7">
        <f t="shared" si="88"/>
        <v>-0.41874248349965643</v>
      </c>
      <c r="U432" s="7">
        <f t="shared" si="89"/>
        <v>-1.5332286641264767</v>
      </c>
    </row>
    <row r="433" spans="1:21" x14ac:dyDescent="0.25">
      <c r="A433" s="1" t="s">
        <v>1672</v>
      </c>
      <c r="B433" s="1" t="s">
        <v>36</v>
      </c>
      <c r="C433" s="1">
        <v>15</v>
      </c>
      <c r="D433" s="1">
        <v>13</v>
      </c>
      <c r="E433" s="1">
        <v>7</v>
      </c>
      <c r="F433" s="1">
        <v>10</v>
      </c>
      <c r="G433" s="1">
        <v>45</v>
      </c>
      <c r="H433" s="7">
        <v>0.5188745216627707</v>
      </c>
      <c r="I433" s="7">
        <f t="shared" si="90"/>
        <v>22.694936708860759</v>
      </c>
      <c r="J433" s="7">
        <f t="shared" si="78"/>
        <v>5.3055534129377486</v>
      </c>
      <c r="K433" s="7">
        <f t="shared" si="79"/>
        <v>22.140506329113926</v>
      </c>
      <c r="L433" s="7">
        <f t="shared" si="80"/>
        <v>4.9144008395218908</v>
      </c>
      <c r="M433" s="7">
        <f t="shared" si="81"/>
        <v>10.069620253164556</v>
      </c>
      <c r="N433" s="7">
        <f t="shared" si="82"/>
        <v>2.1089377326145904</v>
      </c>
      <c r="O433" s="7">
        <f t="shared" si="83"/>
        <v>10.958227848101266</v>
      </c>
      <c r="P433" s="7">
        <f t="shared" si="84"/>
        <v>2.2883463843764797</v>
      </c>
      <c r="Q433" s="7">
        <f t="shared" si="85"/>
        <v>-1.4503551486441411</v>
      </c>
      <c r="R433" s="7">
        <f t="shared" si="86"/>
        <v>-1.8599431807852249</v>
      </c>
      <c r="S433" s="7">
        <f t="shared" si="87"/>
        <v>-1.4555291062856295</v>
      </c>
      <c r="T433" s="7">
        <f t="shared" si="88"/>
        <v>-0.41874248349965643</v>
      </c>
      <c r="U433" s="7">
        <f t="shared" si="89"/>
        <v>-1.2961424798036629</v>
      </c>
    </row>
    <row r="434" spans="1:21" x14ac:dyDescent="0.25">
      <c r="A434" s="1" t="s">
        <v>1672</v>
      </c>
      <c r="B434" s="1" t="s">
        <v>36</v>
      </c>
      <c r="C434" s="1">
        <v>22</v>
      </c>
      <c r="D434" s="1">
        <v>18</v>
      </c>
      <c r="E434" s="1">
        <v>7</v>
      </c>
      <c r="F434" s="1">
        <v>10</v>
      </c>
      <c r="G434" s="1">
        <v>57</v>
      </c>
      <c r="H434" s="7">
        <v>1.2608503439122305</v>
      </c>
      <c r="I434" s="7">
        <f t="shared" si="90"/>
        <v>22.694936708860759</v>
      </c>
      <c r="J434" s="7">
        <f t="shared" si="78"/>
        <v>5.3055534129377486</v>
      </c>
      <c r="K434" s="7">
        <f t="shared" si="79"/>
        <v>22.140506329113926</v>
      </c>
      <c r="L434" s="7">
        <f t="shared" si="80"/>
        <v>4.9144008395218908</v>
      </c>
      <c r="M434" s="7">
        <f t="shared" si="81"/>
        <v>10.069620253164556</v>
      </c>
      <c r="N434" s="7">
        <f t="shared" si="82"/>
        <v>2.1089377326145904</v>
      </c>
      <c r="O434" s="7">
        <f t="shared" si="83"/>
        <v>10.958227848101266</v>
      </c>
      <c r="P434" s="7">
        <f t="shared" si="84"/>
        <v>2.2883463843764797</v>
      </c>
      <c r="Q434" s="7">
        <f t="shared" si="85"/>
        <v>-0.13098288807462291</v>
      </c>
      <c r="R434" s="7">
        <f t="shared" si="86"/>
        <v>-0.84252515501294456</v>
      </c>
      <c r="S434" s="7">
        <f t="shared" si="87"/>
        <v>-1.4555291062856295</v>
      </c>
      <c r="T434" s="7">
        <f t="shared" si="88"/>
        <v>-0.41874248349965643</v>
      </c>
      <c r="U434" s="7">
        <f t="shared" si="89"/>
        <v>-0.71194490821821332</v>
      </c>
    </row>
    <row r="435" spans="1:21" x14ac:dyDescent="0.25">
      <c r="A435" s="1" t="s">
        <v>1672</v>
      </c>
      <c r="B435" s="1" t="s">
        <v>36</v>
      </c>
      <c r="C435" s="1">
        <v>24</v>
      </c>
      <c r="D435" s="1">
        <v>22</v>
      </c>
      <c r="E435" s="1">
        <v>10</v>
      </c>
      <c r="F435" s="1">
        <v>11</v>
      </c>
      <c r="G435" s="1">
        <v>67</v>
      </c>
      <c r="H435" s="7">
        <v>1.3445044840729645</v>
      </c>
      <c r="I435" s="7">
        <f t="shared" si="90"/>
        <v>22.694936708860759</v>
      </c>
      <c r="J435" s="7">
        <f t="shared" si="78"/>
        <v>5.3055534129377486</v>
      </c>
      <c r="K435" s="7">
        <f t="shared" si="79"/>
        <v>22.140506329113926</v>
      </c>
      <c r="L435" s="7">
        <f t="shared" si="80"/>
        <v>4.9144008395218908</v>
      </c>
      <c r="M435" s="7">
        <f t="shared" si="81"/>
        <v>10.069620253164556</v>
      </c>
      <c r="N435" s="7">
        <f t="shared" si="82"/>
        <v>2.1089377326145904</v>
      </c>
      <c r="O435" s="7">
        <f t="shared" si="83"/>
        <v>10.958227848101266</v>
      </c>
      <c r="P435" s="7">
        <f t="shared" si="84"/>
        <v>2.2883463843764797</v>
      </c>
      <c r="Q435" s="7">
        <f t="shared" si="85"/>
        <v>0.24598061494523943</v>
      </c>
      <c r="R435" s="7">
        <f t="shared" si="86"/>
        <v>-2.8590734395120113E-2</v>
      </c>
      <c r="S435" s="7">
        <f t="shared" si="87"/>
        <v>-3.3012000348745997E-2</v>
      </c>
      <c r="T435" s="7">
        <f t="shared" si="88"/>
        <v>1.8254295846087756E-2</v>
      </c>
      <c r="U435" s="7">
        <f t="shared" si="89"/>
        <v>5.0658044011865272E-2</v>
      </c>
    </row>
    <row r="436" spans="1:21" x14ac:dyDescent="0.25">
      <c r="A436" s="1" t="s">
        <v>1672</v>
      </c>
      <c r="B436" s="1" t="s">
        <v>36</v>
      </c>
      <c r="C436" s="1">
        <v>25</v>
      </c>
      <c r="D436" s="1">
        <v>22</v>
      </c>
      <c r="E436" s="1">
        <v>9</v>
      </c>
      <c r="F436" s="1">
        <v>13</v>
      </c>
      <c r="G436" s="1">
        <v>69</v>
      </c>
      <c r="H436" s="7">
        <v>1.2506408613597126</v>
      </c>
      <c r="I436" s="7">
        <f t="shared" si="90"/>
        <v>22.694936708860759</v>
      </c>
      <c r="J436" s="7">
        <f t="shared" si="78"/>
        <v>5.3055534129377486</v>
      </c>
      <c r="K436" s="7">
        <f t="shared" si="79"/>
        <v>22.140506329113926</v>
      </c>
      <c r="L436" s="7">
        <f t="shared" si="80"/>
        <v>4.9144008395218908</v>
      </c>
      <c r="M436" s="7">
        <f t="shared" si="81"/>
        <v>10.069620253164556</v>
      </c>
      <c r="N436" s="7">
        <f t="shared" si="82"/>
        <v>2.1089377326145904</v>
      </c>
      <c r="O436" s="7">
        <f t="shared" si="83"/>
        <v>10.958227848101266</v>
      </c>
      <c r="P436" s="7">
        <f t="shared" si="84"/>
        <v>2.2883463843764797</v>
      </c>
      <c r="Q436" s="7">
        <f t="shared" si="85"/>
        <v>0.43446236645517061</v>
      </c>
      <c r="R436" s="7">
        <f t="shared" si="86"/>
        <v>-2.8590734395120113E-2</v>
      </c>
      <c r="S436" s="7">
        <f t="shared" si="87"/>
        <v>-0.5071843689943738</v>
      </c>
      <c r="T436" s="7">
        <f t="shared" si="88"/>
        <v>0.89224785453757616</v>
      </c>
      <c r="U436" s="7">
        <f t="shared" si="89"/>
        <v>0.19773377940081321</v>
      </c>
    </row>
    <row r="437" spans="1:21" x14ac:dyDescent="0.25">
      <c r="A437" s="1" t="s">
        <v>1672</v>
      </c>
      <c r="B437" s="1" t="s">
        <v>36</v>
      </c>
      <c r="C437" s="1">
        <v>24</v>
      </c>
      <c r="D437" s="1">
        <v>23</v>
      </c>
      <c r="E437" s="1">
        <v>10</v>
      </c>
      <c r="F437" s="1">
        <v>13</v>
      </c>
      <c r="G437" s="1">
        <v>70</v>
      </c>
      <c r="H437" s="7">
        <v>1.2608503439122305</v>
      </c>
      <c r="I437" s="7">
        <f t="shared" si="90"/>
        <v>22.694936708860759</v>
      </c>
      <c r="J437" s="7">
        <f t="shared" si="78"/>
        <v>5.3055534129377486</v>
      </c>
      <c r="K437" s="7">
        <f t="shared" si="79"/>
        <v>22.140506329113926</v>
      </c>
      <c r="L437" s="7">
        <f t="shared" si="80"/>
        <v>4.9144008395218908</v>
      </c>
      <c r="M437" s="7">
        <f t="shared" si="81"/>
        <v>10.069620253164556</v>
      </c>
      <c r="N437" s="7">
        <f t="shared" si="82"/>
        <v>2.1089377326145904</v>
      </c>
      <c r="O437" s="7">
        <f t="shared" si="83"/>
        <v>10.958227848101266</v>
      </c>
      <c r="P437" s="7">
        <f t="shared" si="84"/>
        <v>2.2883463843764797</v>
      </c>
      <c r="Q437" s="7">
        <f t="shared" si="85"/>
        <v>0.24598061494523943</v>
      </c>
      <c r="R437" s="7">
        <f t="shared" si="86"/>
        <v>0.17489287075933599</v>
      </c>
      <c r="S437" s="7">
        <f t="shared" si="87"/>
        <v>-3.3012000348745997E-2</v>
      </c>
      <c r="T437" s="7">
        <f t="shared" si="88"/>
        <v>0.89224785453757616</v>
      </c>
      <c r="U437" s="7">
        <f t="shared" si="89"/>
        <v>0.3200273349733514</v>
      </c>
    </row>
    <row r="438" spans="1:21" x14ac:dyDescent="0.25">
      <c r="A438" s="1" t="s">
        <v>1672</v>
      </c>
      <c r="B438" s="1" t="s">
        <v>36</v>
      </c>
      <c r="C438" s="1">
        <v>21</v>
      </c>
      <c r="D438" s="1">
        <v>20</v>
      </c>
      <c r="E438" s="1">
        <v>9</v>
      </c>
      <c r="F438" s="1">
        <v>13</v>
      </c>
      <c r="G438" s="1">
        <v>63</v>
      </c>
      <c r="H438" s="7">
        <v>0.80064076902543568</v>
      </c>
      <c r="I438" s="7">
        <f t="shared" si="90"/>
        <v>22.694936708860759</v>
      </c>
      <c r="J438" s="7">
        <f t="shared" si="78"/>
        <v>5.3055534129377486</v>
      </c>
      <c r="K438" s="7">
        <f t="shared" si="79"/>
        <v>22.140506329113926</v>
      </c>
      <c r="L438" s="7">
        <f t="shared" si="80"/>
        <v>4.9144008395218908</v>
      </c>
      <c r="M438" s="7">
        <f t="shared" si="81"/>
        <v>10.069620253164556</v>
      </c>
      <c r="N438" s="7">
        <f t="shared" si="82"/>
        <v>2.1089377326145904</v>
      </c>
      <c r="O438" s="7">
        <f t="shared" si="83"/>
        <v>10.958227848101266</v>
      </c>
      <c r="P438" s="7">
        <f t="shared" si="84"/>
        <v>2.2883463843764797</v>
      </c>
      <c r="Q438" s="7">
        <f t="shared" si="85"/>
        <v>-0.31946463958455407</v>
      </c>
      <c r="R438" s="7">
        <f t="shared" si="86"/>
        <v>-0.43555794470403231</v>
      </c>
      <c r="S438" s="7">
        <f t="shared" si="87"/>
        <v>-0.5071843689943738</v>
      </c>
      <c r="T438" s="7">
        <f t="shared" si="88"/>
        <v>0.89224785453757616</v>
      </c>
      <c r="U438" s="7">
        <f t="shared" si="89"/>
        <v>-9.2489774686345977E-2</v>
      </c>
    </row>
    <row r="439" spans="1:21" x14ac:dyDescent="0.25">
      <c r="A439" s="1" t="s">
        <v>1672</v>
      </c>
      <c r="B439" s="1" t="s">
        <v>36</v>
      </c>
      <c r="C439" s="1">
        <v>26</v>
      </c>
      <c r="D439" s="1">
        <v>22</v>
      </c>
      <c r="E439" s="1">
        <v>10</v>
      </c>
      <c r="F439" s="1">
        <v>14</v>
      </c>
      <c r="G439" s="1">
        <v>72</v>
      </c>
      <c r="H439" s="7">
        <v>1.1982893790305562</v>
      </c>
      <c r="I439" s="7">
        <f t="shared" si="90"/>
        <v>22.694936708860759</v>
      </c>
      <c r="J439" s="7">
        <f t="shared" si="78"/>
        <v>5.3055534129377486</v>
      </c>
      <c r="K439" s="7">
        <f t="shared" si="79"/>
        <v>22.140506329113926</v>
      </c>
      <c r="L439" s="7">
        <f t="shared" si="80"/>
        <v>4.9144008395218908</v>
      </c>
      <c r="M439" s="7">
        <f t="shared" si="81"/>
        <v>10.069620253164556</v>
      </c>
      <c r="N439" s="7">
        <f t="shared" si="82"/>
        <v>2.1089377326145904</v>
      </c>
      <c r="O439" s="7">
        <f t="shared" si="83"/>
        <v>10.958227848101266</v>
      </c>
      <c r="P439" s="7">
        <f t="shared" si="84"/>
        <v>2.2883463843764797</v>
      </c>
      <c r="Q439" s="7">
        <f t="shared" si="85"/>
        <v>0.62294411796510174</v>
      </c>
      <c r="R439" s="7">
        <f t="shared" si="86"/>
        <v>-2.8590734395120113E-2</v>
      </c>
      <c r="S439" s="7">
        <f t="shared" si="87"/>
        <v>-3.3012000348745997E-2</v>
      </c>
      <c r="T439" s="7">
        <f t="shared" si="88"/>
        <v>1.3292446338833204</v>
      </c>
      <c r="U439" s="7">
        <f t="shared" si="89"/>
        <v>0.47264650427613897</v>
      </c>
    </row>
    <row r="440" spans="1:21" x14ac:dyDescent="0.25">
      <c r="A440" s="1" t="s">
        <v>1672</v>
      </c>
      <c r="B440" s="1" t="s">
        <v>36</v>
      </c>
      <c r="C440" s="1">
        <v>24</v>
      </c>
      <c r="D440" s="1">
        <v>22</v>
      </c>
      <c r="E440" s="1">
        <v>9</v>
      </c>
      <c r="F440" s="1">
        <v>10</v>
      </c>
      <c r="G440" s="1">
        <v>65</v>
      </c>
      <c r="H440" s="7">
        <v>1.5811388300841895</v>
      </c>
      <c r="I440" s="7">
        <f t="shared" si="90"/>
        <v>22.694936708860759</v>
      </c>
      <c r="J440" s="7">
        <f t="shared" si="78"/>
        <v>5.3055534129377486</v>
      </c>
      <c r="K440" s="7">
        <f t="shared" si="79"/>
        <v>22.140506329113926</v>
      </c>
      <c r="L440" s="7">
        <f t="shared" si="80"/>
        <v>4.9144008395218908</v>
      </c>
      <c r="M440" s="7">
        <f t="shared" si="81"/>
        <v>10.069620253164556</v>
      </c>
      <c r="N440" s="7">
        <f t="shared" si="82"/>
        <v>2.1089377326145904</v>
      </c>
      <c r="O440" s="7">
        <f t="shared" si="83"/>
        <v>10.958227848101266</v>
      </c>
      <c r="P440" s="7">
        <f t="shared" si="84"/>
        <v>2.2883463843764797</v>
      </c>
      <c r="Q440" s="7">
        <f t="shared" si="85"/>
        <v>0.24598061494523943</v>
      </c>
      <c r="R440" s="7">
        <f t="shared" si="86"/>
        <v>-2.8590734395120113E-2</v>
      </c>
      <c r="S440" s="7">
        <f t="shared" si="87"/>
        <v>-0.5071843689943738</v>
      </c>
      <c r="T440" s="7">
        <f t="shared" si="88"/>
        <v>-0.41874248349965643</v>
      </c>
      <c r="U440" s="7">
        <f t="shared" si="89"/>
        <v>-0.17713424298597774</v>
      </c>
    </row>
    <row r="441" spans="1:21" x14ac:dyDescent="0.25">
      <c r="A441" s="1" t="s">
        <v>1673</v>
      </c>
      <c r="B441" s="1" t="s">
        <v>36</v>
      </c>
      <c r="C441" s="1">
        <v>24</v>
      </c>
      <c r="D441" s="1">
        <v>23</v>
      </c>
      <c r="E441" s="1">
        <v>10</v>
      </c>
      <c r="F441" s="1">
        <v>12</v>
      </c>
      <c r="G441" s="1">
        <v>69</v>
      </c>
      <c r="H441" s="7">
        <v>1.5483655567842816</v>
      </c>
      <c r="I441" s="7">
        <f t="shared" si="90"/>
        <v>22.694936708860759</v>
      </c>
      <c r="J441" s="7">
        <f t="shared" si="78"/>
        <v>5.3055534129377486</v>
      </c>
      <c r="K441" s="7">
        <f t="shared" si="79"/>
        <v>22.140506329113926</v>
      </c>
      <c r="L441" s="7">
        <f t="shared" si="80"/>
        <v>4.9144008395218908</v>
      </c>
      <c r="M441" s="7">
        <f t="shared" si="81"/>
        <v>10.069620253164556</v>
      </c>
      <c r="N441" s="7">
        <f t="shared" si="82"/>
        <v>2.1089377326145904</v>
      </c>
      <c r="O441" s="7">
        <f t="shared" si="83"/>
        <v>10.958227848101266</v>
      </c>
      <c r="P441" s="7">
        <f t="shared" si="84"/>
        <v>2.2883463843764797</v>
      </c>
      <c r="Q441" s="7">
        <f t="shared" si="85"/>
        <v>0.24598061494523943</v>
      </c>
      <c r="R441" s="7">
        <f t="shared" si="86"/>
        <v>0.17489287075933599</v>
      </c>
      <c r="S441" s="7">
        <f t="shared" si="87"/>
        <v>-3.3012000348745997E-2</v>
      </c>
      <c r="T441" s="7">
        <f t="shared" si="88"/>
        <v>0.45525107519183194</v>
      </c>
      <c r="U441" s="7">
        <f t="shared" si="89"/>
        <v>0.21077814013691532</v>
      </c>
    </row>
    <row r="442" spans="1:21" x14ac:dyDescent="0.25">
      <c r="A442" s="1" t="s">
        <v>1673</v>
      </c>
      <c r="B442" s="1" t="s">
        <v>36</v>
      </c>
      <c r="C442" s="1">
        <v>23</v>
      </c>
      <c r="D442" s="1">
        <v>24</v>
      </c>
      <c r="E442" s="1">
        <v>11</v>
      </c>
      <c r="F442" s="1">
        <v>13</v>
      </c>
      <c r="G442" s="1">
        <v>71</v>
      </c>
      <c r="H442" s="7">
        <v>1.3301243435223524</v>
      </c>
      <c r="I442" s="7">
        <f t="shared" si="90"/>
        <v>22.694936708860759</v>
      </c>
      <c r="J442" s="7">
        <f t="shared" si="78"/>
        <v>5.3055534129377486</v>
      </c>
      <c r="K442" s="7">
        <f t="shared" si="79"/>
        <v>22.140506329113926</v>
      </c>
      <c r="L442" s="7">
        <f t="shared" si="80"/>
        <v>4.9144008395218908</v>
      </c>
      <c r="M442" s="7">
        <f t="shared" si="81"/>
        <v>10.069620253164556</v>
      </c>
      <c r="N442" s="7">
        <f t="shared" si="82"/>
        <v>2.1089377326145904</v>
      </c>
      <c r="O442" s="7">
        <f t="shared" si="83"/>
        <v>10.958227848101266</v>
      </c>
      <c r="P442" s="7">
        <f t="shared" si="84"/>
        <v>2.2883463843764797</v>
      </c>
      <c r="Q442" s="7">
        <f t="shared" si="85"/>
        <v>5.7498863435308259E-2</v>
      </c>
      <c r="R442" s="7">
        <f t="shared" si="86"/>
        <v>0.37837647591379209</v>
      </c>
      <c r="S442" s="7">
        <f t="shared" si="87"/>
        <v>0.44116036829688182</v>
      </c>
      <c r="T442" s="7">
        <f t="shared" si="88"/>
        <v>0.89224785453757616</v>
      </c>
      <c r="U442" s="7">
        <f t="shared" si="89"/>
        <v>0.44232089054588958</v>
      </c>
    </row>
    <row r="443" spans="1:21" x14ac:dyDescent="0.25">
      <c r="A443" s="1" t="s">
        <v>1673</v>
      </c>
      <c r="B443" s="1" t="s">
        <v>36</v>
      </c>
      <c r="C443" s="1">
        <v>17</v>
      </c>
      <c r="D443" s="1">
        <v>16</v>
      </c>
      <c r="E443" s="1">
        <v>7</v>
      </c>
      <c r="F443" s="1">
        <v>7</v>
      </c>
      <c r="G443" s="1">
        <v>47</v>
      </c>
      <c r="H443" s="7">
        <v>1.192927878405448</v>
      </c>
      <c r="I443" s="7">
        <f t="shared" si="90"/>
        <v>22.694936708860759</v>
      </c>
      <c r="J443" s="7">
        <f t="shared" si="78"/>
        <v>5.3055534129377486</v>
      </c>
      <c r="K443" s="7">
        <f t="shared" si="79"/>
        <v>22.140506329113926</v>
      </c>
      <c r="L443" s="7">
        <f t="shared" si="80"/>
        <v>4.9144008395218908</v>
      </c>
      <c r="M443" s="7">
        <f t="shared" si="81"/>
        <v>10.069620253164556</v>
      </c>
      <c r="N443" s="7">
        <f t="shared" si="82"/>
        <v>2.1089377326145904</v>
      </c>
      <c r="O443" s="7">
        <f t="shared" si="83"/>
        <v>10.958227848101266</v>
      </c>
      <c r="P443" s="7">
        <f t="shared" si="84"/>
        <v>2.2883463843764797</v>
      </c>
      <c r="Q443" s="7">
        <f t="shared" si="85"/>
        <v>-1.0733916456242787</v>
      </c>
      <c r="R443" s="7">
        <f t="shared" si="86"/>
        <v>-1.2494923653218568</v>
      </c>
      <c r="S443" s="7">
        <f t="shared" si="87"/>
        <v>-1.4555291062856295</v>
      </c>
      <c r="T443" s="7">
        <f t="shared" si="88"/>
        <v>-1.729732821536889</v>
      </c>
      <c r="U443" s="7">
        <f t="shared" si="89"/>
        <v>-1.3770364846921637</v>
      </c>
    </row>
    <row r="444" spans="1:21" x14ac:dyDescent="0.25">
      <c r="A444" s="1" t="s">
        <v>1673</v>
      </c>
      <c r="B444" s="1" t="s">
        <v>36</v>
      </c>
      <c r="C444" s="1">
        <v>21</v>
      </c>
      <c r="D444" s="1">
        <v>20</v>
      </c>
      <c r="E444" s="1">
        <v>11</v>
      </c>
      <c r="F444" s="1">
        <v>10</v>
      </c>
      <c r="G444" s="1">
        <v>62</v>
      </c>
      <c r="H444" s="7">
        <v>1.2351684199496948</v>
      </c>
      <c r="I444" s="7">
        <f t="shared" si="90"/>
        <v>22.694936708860759</v>
      </c>
      <c r="J444" s="7">
        <f t="shared" si="78"/>
        <v>5.3055534129377486</v>
      </c>
      <c r="K444" s="7">
        <f t="shared" si="79"/>
        <v>22.140506329113926</v>
      </c>
      <c r="L444" s="7">
        <f t="shared" si="80"/>
        <v>4.9144008395218908</v>
      </c>
      <c r="M444" s="7">
        <f t="shared" si="81"/>
        <v>10.069620253164556</v>
      </c>
      <c r="N444" s="7">
        <f t="shared" si="82"/>
        <v>2.1089377326145904</v>
      </c>
      <c r="O444" s="7">
        <f t="shared" si="83"/>
        <v>10.958227848101266</v>
      </c>
      <c r="P444" s="7">
        <f t="shared" si="84"/>
        <v>2.2883463843764797</v>
      </c>
      <c r="Q444" s="7">
        <f t="shared" si="85"/>
        <v>-0.31946463958455407</v>
      </c>
      <c r="R444" s="7">
        <f t="shared" si="86"/>
        <v>-0.43555794470403231</v>
      </c>
      <c r="S444" s="7">
        <f t="shared" si="87"/>
        <v>0.44116036829688182</v>
      </c>
      <c r="T444" s="7">
        <f t="shared" si="88"/>
        <v>-0.41874248349965643</v>
      </c>
      <c r="U444" s="7">
        <f t="shared" si="89"/>
        <v>-0.18315117487284024</v>
      </c>
    </row>
    <row r="445" spans="1:21" x14ac:dyDescent="0.25">
      <c r="A445" s="1" t="s">
        <v>1673</v>
      </c>
      <c r="B445" s="1" t="s">
        <v>36</v>
      </c>
      <c r="C445" s="1">
        <v>25</v>
      </c>
      <c r="D445" s="1">
        <v>20</v>
      </c>
      <c r="E445" s="1">
        <v>12</v>
      </c>
      <c r="F445" s="1">
        <v>12</v>
      </c>
      <c r="G445" s="1">
        <v>69</v>
      </c>
      <c r="H445" s="7">
        <v>1.4366984945013914</v>
      </c>
      <c r="I445" s="7">
        <f t="shared" si="90"/>
        <v>22.694936708860759</v>
      </c>
      <c r="J445" s="7">
        <f t="shared" si="78"/>
        <v>5.3055534129377486</v>
      </c>
      <c r="K445" s="7">
        <f t="shared" si="79"/>
        <v>22.140506329113926</v>
      </c>
      <c r="L445" s="7">
        <f t="shared" si="80"/>
        <v>4.9144008395218908</v>
      </c>
      <c r="M445" s="7">
        <f t="shared" si="81"/>
        <v>10.069620253164556</v>
      </c>
      <c r="N445" s="7">
        <f t="shared" si="82"/>
        <v>2.1089377326145904</v>
      </c>
      <c r="O445" s="7">
        <f t="shared" si="83"/>
        <v>10.958227848101266</v>
      </c>
      <c r="P445" s="7">
        <f t="shared" si="84"/>
        <v>2.2883463843764797</v>
      </c>
      <c r="Q445" s="7">
        <f t="shared" si="85"/>
        <v>0.43446236645517061</v>
      </c>
      <c r="R445" s="7">
        <f t="shared" si="86"/>
        <v>-0.43555794470403231</v>
      </c>
      <c r="S445" s="7">
        <f t="shared" si="87"/>
        <v>0.91533273694250961</v>
      </c>
      <c r="T445" s="7">
        <f t="shared" si="88"/>
        <v>0.45525107519183194</v>
      </c>
      <c r="U445" s="7">
        <f t="shared" si="89"/>
        <v>0.34237205847136998</v>
      </c>
    </row>
    <row r="446" spans="1:21" x14ac:dyDescent="0.25">
      <c r="A446" s="1" t="s">
        <v>1673</v>
      </c>
      <c r="B446" s="1" t="s">
        <v>36</v>
      </c>
      <c r="C446" s="1">
        <v>22</v>
      </c>
      <c r="D446" s="1">
        <v>22</v>
      </c>
      <c r="E446" s="1">
        <v>11</v>
      </c>
      <c r="F446" s="1">
        <v>12</v>
      </c>
      <c r="G446" s="1">
        <v>67</v>
      </c>
      <c r="H446" s="7">
        <v>1.281025230440697</v>
      </c>
      <c r="I446" s="7">
        <f t="shared" si="90"/>
        <v>22.694936708860759</v>
      </c>
      <c r="J446" s="7">
        <f t="shared" si="78"/>
        <v>5.3055534129377486</v>
      </c>
      <c r="K446" s="7">
        <f t="shared" si="79"/>
        <v>22.140506329113926</v>
      </c>
      <c r="L446" s="7">
        <f t="shared" si="80"/>
        <v>4.9144008395218908</v>
      </c>
      <c r="M446" s="7">
        <f t="shared" si="81"/>
        <v>10.069620253164556</v>
      </c>
      <c r="N446" s="7">
        <f t="shared" si="82"/>
        <v>2.1089377326145904</v>
      </c>
      <c r="O446" s="7">
        <f t="shared" si="83"/>
        <v>10.958227848101266</v>
      </c>
      <c r="P446" s="7">
        <f t="shared" si="84"/>
        <v>2.2883463843764797</v>
      </c>
      <c r="Q446" s="7">
        <f t="shared" si="85"/>
        <v>-0.13098288807462291</v>
      </c>
      <c r="R446" s="7">
        <f t="shared" si="86"/>
        <v>-2.8590734395120113E-2</v>
      </c>
      <c r="S446" s="7">
        <f t="shared" si="87"/>
        <v>0.44116036829688182</v>
      </c>
      <c r="T446" s="7">
        <f t="shared" si="88"/>
        <v>0.45525107519183194</v>
      </c>
      <c r="U446" s="7">
        <f t="shared" si="89"/>
        <v>0.18420945525474269</v>
      </c>
    </row>
    <row r="447" spans="1:21" x14ac:dyDescent="0.25">
      <c r="A447" s="1" t="s">
        <v>1673</v>
      </c>
      <c r="B447" s="1" t="s">
        <v>36</v>
      </c>
      <c r="C447" s="1">
        <v>15</v>
      </c>
      <c r="D447" s="1">
        <v>20</v>
      </c>
      <c r="E447" s="1">
        <v>11</v>
      </c>
      <c r="F447" s="1">
        <v>9</v>
      </c>
      <c r="G447" s="1">
        <v>55</v>
      </c>
      <c r="H447" s="7">
        <v>1.2351684199496948</v>
      </c>
      <c r="I447" s="7">
        <f t="shared" si="90"/>
        <v>22.694936708860759</v>
      </c>
      <c r="J447" s="7">
        <f t="shared" si="78"/>
        <v>5.3055534129377486</v>
      </c>
      <c r="K447" s="7">
        <f t="shared" si="79"/>
        <v>22.140506329113926</v>
      </c>
      <c r="L447" s="7">
        <f t="shared" si="80"/>
        <v>4.9144008395218908</v>
      </c>
      <c r="M447" s="7">
        <f t="shared" si="81"/>
        <v>10.069620253164556</v>
      </c>
      <c r="N447" s="7">
        <f t="shared" si="82"/>
        <v>2.1089377326145904</v>
      </c>
      <c r="O447" s="7">
        <f t="shared" si="83"/>
        <v>10.958227848101266</v>
      </c>
      <c r="P447" s="7">
        <f t="shared" si="84"/>
        <v>2.2883463843764797</v>
      </c>
      <c r="Q447" s="7">
        <f t="shared" si="85"/>
        <v>-1.4503551486441411</v>
      </c>
      <c r="R447" s="7">
        <f t="shared" si="86"/>
        <v>-0.43555794470403231</v>
      </c>
      <c r="S447" s="7">
        <f t="shared" si="87"/>
        <v>0.44116036829688182</v>
      </c>
      <c r="T447" s="7">
        <f t="shared" si="88"/>
        <v>-0.85573926284540058</v>
      </c>
      <c r="U447" s="7">
        <f t="shared" si="89"/>
        <v>-0.57512299697417302</v>
      </c>
    </row>
    <row r="448" spans="1:21" x14ac:dyDescent="0.25">
      <c r="A448" s="1" t="s">
        <v>1673</v>
      </c>
      <c r="B448" s="1" t="s">
        <v>36</v>
      </c>
      <c r="C448" s="1">
        <v>24</v>
      </c>
      <c r="D448" s="1">
        <v>25</v>
      </c>
      <c r="E448" s="1">
        <v>12</v>
      </c>
      <c r="F448" s="1">
        <v>13</v>
      </c>
      <c r="G448" s="1">
        <v>74</v>
      </c>
      <c r="H448" s="7">
        <v>1.3774744634423888</v>
      </c>
      <c r="I448" s="7">
        <f t="shared" si="90"/>
        <v>22.694936708860759</v>
      </c>
      <c r="J448" s="7">
        <f t="shared" si="78"/>
        <v>5.3055534129377486</v>
      </c>
      <c r="K448" s="7">
        <f t="shared" si="79"/>
        <v>22.140506329113926</v>
      </c>
      <c r="L448" s="7">
        <f t="shared" si="80"/>
        <v>4.9144008395218908</v>
      </c>
      <c r="M448" s="7">
        <f t="shared" si="81"/>
        <v>10.069620253164556</v>
      </c>
      <c r="N448" s="7">
        <f t="shared" si="82"/>
        <v>2.1089377326145904</v>
      </c>
      <c r="O448" s="7">
        <f t="shared" si="83"/>
        <v>10.958227848101266</v>
      </c>
      <c r="P448" s="7">
        <f t="shared" si="84"/>
        <v>2.2883463843764797</v>
      </c>
      <c r="Q448" s="7">
        <f t="shared" si="85"/>
        <v>0.24598061494523943</v>
      </c>
      <c r="R448" s="7">
        <f t="shared" si="86"/>
        <v>0.58186008106824816</v>
      </c>
      <c r="S448" s="7">
        <f t="shared" si="87"/>
        <v>0.91533273694250961</v>
      </c>
      <c r="T448" s="7">
        <f t="shared" si="88"/>
        <v>0.89224785453757616</v>
      </c>
      <c r="U448" s="7">
        <f t="shared" si="89"/>
        <v>0.65885532187339335</v>
      </c>
    </row>
    <row r="449" spans="1:21" x14ac:dyDescent="0.25">
      <c r="A449" s="1" t="s">
        <v>1673</v>
      </c>
      <c r="B449" s="1" t="s">
        <v>36</v>
      </c>
      <c r="C449" s="1">
        <v>18</v>
      </c>
      <c r="D449" s="1">
        <v>20</v>
      </c>
      <c r="E449" s="1">
        <v>10</v>
      </c>
      <c r="F449" s="1">
        <v>10</v>
      </c>
      <c r="G449" s="1">
        <v>58</v>
      </c>
      <c r="H449" s="7">
        <v>1.0500305245868344</v>
      </c>
      <c r="I449" s="7">
        <f t="shared" si="90"/>
        <v>22.694936708860759</v>
      </c>
      <c r="J449" s="7">
        <f t="shared" si="78"/>
        <v>5.3055534129377486</v>
      </c>
      <c r="K449" s="7">
        <f t="shared" si="79"/>
        <v>22.140506329113926</v>
      </c>
      <c r="L449" s="7">
        <f t="shared" si="80"/>
        <v>4.9144008395218908</v>
      </c>
      <c r="M449" s="7">
        <f t="shared" si="81"/>
        <v>10.069620253164556</v>
      </c>
      <c r="N449" s="7">
        <f t="shared" si="82"/>
        <v>2.1089377326145904</v>
      </c>
      <c r="O449" s="7">
        <f t="shared" si="83"/>
        <v>10.958227848101266</v>
      </c>
      <c r="P449" s="7">
        <f t="shared" si="84"/>
        <v>2.2883463843764797</v>
      </c>
      <c r="Q449" s="7">
        <f t="shared" si="85"/>
        <v>-0.88490989411434762</v>
      </c>
      <c r="R449" s="7">
        <f t="shared" si="86"/>
        <v>-0.43555794470403231</v>
      </c>
      <c r="S449" s="7">
        <f t="shared" si="87"/>
        <v>-3.3012000348745997E-2</v>
      </c>
      <c r="T449" s="7">
        <f t="shared" si="88"/>
        <v>-0.41874248349965643</v>
      </c>
      <c r="U449" s="7">
        <f t="shared" si="89"/>
        <v>-0.44305558066669559</v>
      </c>
    </row>
    <row r="450" spans="1:21" x14ac:dyDescent="0.25">
      <c r="A450" s="1" t="s">
        <v>1673</v>
      </c>
      <c r="B450" s="1" t="s">
        <v>36</v>
      </c>
      <c r="C450" s="1">
        <v>18</v>
      </c>
      <c r="D450" s="1">
        <v>19</v>
      </c>
      <c r="E450" s="1">
        <v>9</v>
      </c>
      <c r="F450" s="1">
        <v>8</v>
      </c>
      <c r="G450" s="1">
        <v>54</v>
      </c>
      <c r="H450" s="7">
        <v>1.2142318453899048</v>
      </c>
      <c r="I450" s="7">
        <f t="shared" si="90"/>
        <v>22.694936708860759</v>
      </c>
      <c r="J450" s="7">
        <f t="shared" si="78"/>
        <v>5.3055534129377486</v>
      </c>
      <c r="K450" s="7">
        <f t="shared" si="79"/>
        <v>22.140506329113926</v>
      </c>
      <c r="L450" s="7">
        <f t="shared" si="80"/>
        <v>4.9144008395218908</v>
      </c>
      <c r="M450" s="7">
        <f t="shared" si="81"/>
        <v>10.069620253164556</v>
      </c>
      <c r="N450" s="7">
        <f t="shared" si="82"/>
        <v>2.1089377326145904</v>
      </c>
      <c r="O450" s="7">
        <f t="shared" si="83"/>
        <v>10.958227848101266</v>
      </c>
      <c r="P450" s="7">
        <f t="shared" si="84"/>
        <v>2.2883463843764797</v>
      </c>
      <c r="Q450" s="7">
        <f t="shared" si="85"/>
        <v>-0.88490989411434762</v>
      </c>
      <c r="R450" s="7">
        <f t="shared" si="86"/>
        <v>-0.63904154985848838</v>
      </c>
      <c r="S450" s="7">
        <f t="shared" si="87"/>
        <v>-0.5071843689943738</v>
      </c>
      <c r="T450" s="7">
        <f t="shared" si="88"/>
        <v>-1.2927360421911447</v>
      </c>
      <c r="U450" s="7">
        <f t="shared" si="89"/>
        <v>-0.83096796378958859</v>
      </c>
    </row>
    <row r="451" spans="1:21" x14ac:dyDescent="0.25">
      <c r="A451" s="1" t="s">
        <v>1673</v>
      </c>
      <c r="B451" s="1" t="s">
        <v>36</v>
      </c>
      <c r="C451" s="1">
        <v>23</v>
      </c>
      <c r="D451" s="1">
        <v>21</v>
      </c>
      <c r="E451" s="1">
        <v>10</v>
      </c>
      <c r="F451" s="1">
        <v>9</v>
      </c>
      <c r="G451" s="1">
        <v>63</v>
      </c>
      <c r="H451" s="7">
        <v>1.4051188470584872</v>
      </c>
      <c r="I451" s="7">
        <f t="shared" si="90"/>
        <v>22.694936708860759</v>
      </c>
      <c r="J451" s="7">
        <f t="shared" ref="J451:J514" si="91">_xlfn.STDEV.S(C:C)</f>
        <v>5.3055534129377486</v>
      </c>
      <c r="K451" s="7">
        <f t="shared" ref="K451:K514" si="92">AVERAGE(D:D)</f>
        <v>22.140506329113926</v>
      </c>
      <c r="L451" s="7">
        <f t="shared" ref="L451:L514" si="93">_xlfn.STDEV.S(D:D)</f>
        <v>4.9144008395218908</v>
      </c>
      <c r="M451" s="7">
        <f t="shared" ref="M451:M514" si="94">AVERAGE(E:E)</f>
        <v>10.069620253164556</v>
      </c>
      <c r="N451" s="7">
        <f t="shared" ref="N451:N514" si="95">_xlfn.STDEV.S(E:E)</f>
        <v>2.1089377326145904</v>
      </c>
      <c r="O451" s="7">
        <f t="shared" ref="O451:O514" si="96">AVERAGE(F:F)</f>
        <v>10.958227848101266</v>
      </c>
      <c r="P451" s="7">
        <f t="shared" ref="P451:P514" si="97">_xlfn.STDEV.S(F:F)</f>
        <v>2.2883463843764797</v>
      </c>
      <c r="Q451" s="7">
        <f t="shared" ref="Q451:Q514" si="98">STANDARDIZE(C451,I451,J451)</f>
        <v>5.7498863435308259E-2</v>
      </c>
      <c r="R451" s="7">
        <f t="shared" ref="R451:R514" si="99">STANDARDIZE(D451,K451,L451)</f>
        <v>-0.23207433954957621</v>
      </c>
      <c r="S451" s="7">
        <f t="shared" ref="S451:S514" si="100">STANDARDIZE(E451,M451,N451)</f>
        <v>-3.3012000348745997E-2</v>
      </c>
      <c r="T451" s="7">
        <f t="shared" ref="T451:T514" si="101">STANDARDIZE(F451,O451,P451)</f>
        <v>-0.85573926284540058</v>
      </c>
      <c r="U451" s="7">
        <f t="shared" ref="U451:U514" si="102">AVERAGE(Q451:T451)</f>
        <v>-0.26583168482710362</v>
      </c>
    </row>
    <row r="452" spans="1:21" x14ac:dyDescent="0.25">
      <c r="A452" s="1" t="s">
        <v>1673</v>
      </c>
      <c r="B452" s="1" t="s">
        <v>36</v>
      </c>
      <c r="C452" s="1">
        <v>16</v>
      </c>
      <c r="D452" s="1">
        <v>18</v>
      </c>
      <c r="E452" s="1">
        <v>9</v>
      </c>
      <c r="F452" s="1">
        <v>10</v>
      </c>
      <c r="G452" s="1">
        <v>53</v>
      </c>
      <c r="H452" s="7">
        <v>0.75955452531274981</v>
      </c>
      <c r="I452" s="7">
        <f t="shared" ref="I452:I515" si="103">AVERAGE(C:C)</f>
        <v>22.694936708860759</v>
      </c>
      <c r="J452" s="7">
        <f t="shared" si="91"/>
        <v>5.3055534129377486</v>
      </c>
      <c r="K452" s="7">
        <f t="shared" si="92"/>
        <v>22.140506329113926</v>
      </c>
      <c r="L452" s="7">
        <f t="shared" si="93"/>
        <v>4.9144008395218908</v>
      </c>
      <c r="M452" s="7">
        <f t="shared" si="94"/>
        <v>10.069620253164556</v>
      </c>
      <c r="N452" s="7">
        <f t="shared" si="95"/>
        <v>2.1089377326145904</v>
      </c>
      <c r="O452" s="7">
        <f t="shared" si="96"/>
        <v>10.958227848101266</v>
      </c>
      <c r="P452" s="7">
        <f t="shared" si="97"/>
        <v>2.2883463843764797</v>
      </c>
      <c r="Q452" s="7">
        <f t="shared" si="98"/>
        <v>-1.26187339713421</v>
      </c>
      <c r="R452" s="7">
        <f t="shared" si="99"/>
        <v>-0.84252515501294456</v>
      </c>
      <c r="S452" s="7">
        <f t="shared" si="100"/>
        <v>-0.5071843689943738</v>
      </c>
      <c r="T452" s="7">
        <f t="shared" si="101"/>
        <v>-0.41874248349965643</v>
      </c>
      <c r="U452" s="7">
        <f t="shared" si="102"/>
        <v>-0.75758135116029612</v>
      </c>
    </row>
    <row r="453" spans="1:21" x14ac:dyDescent="0.25">
      <c r="A453" s="1" t="s">
        <v>1673</v>
      </c>
      <c r="B453" s="1" t="s">
        <v>36</v>
      </c>
      <c r="C453" s="1">
        <v>24</v>
      </c>
      <c r="D453" s="1">
        <v>26</v>
      </c>
      <c r="E453" s="1">
        <v>10</v>
      </c>
      <c r="F453" s="1">
        <v>12</v>
      </c>
      <c r="G453" s="1">
        <v>72</v>
      </c>
      <c r="H453" s="7">
        <v>1.5607361839521232</v>
      </c>
      <c r="I453" s="7">
        <f t="shared" si="103"/>
        <v>22.694936708860759</v>
      </c>
      <c r="J453" s="7">
        <f t="shared" si="91"/>
        <v>5.3055534129377486</v>
      </c>
      <c r="K453" s="7">
        <f t="shared" si="92"/>
        <v>22.140506329113926</v>
      </c>
      <c r="L453" s="7">
        <f t="shared" si="93"/>
        <v>4.9144008395218908</v>
      </c>
      <c r="M453" s="7">
        <f t="shared" si="94"/>
        <v>10.069620253164556</v>
      </c>
      <c r="N453" s="7">
        <f t="shared" si="95"/>
        <v>2.1089377326145904</v>
      </c>
      <c r="O453" s="7">
        <f t="shared" si="96"/>
        <v>10.958227848101266</v>
      </c>
      <c r="P453" s="7">
        <f t="shared" si="97"/>
        <v>2.2883463843764797</v>
      </c>
      <c r="Q453" s="7">
        <f t="shared" si="98"/>
        <v>0.24598061494523943</v>
      </c>
      <c r="R453" s="7">
        <f t="shared" si="99"/>
        <v>0.78534368622270434</v>
      </c>
      <c r="S453" s="7">
        <f t="shared" si="100"/>
        <v>-3.3012000348745997E-2</v>
      </c>
      <c r="T453" s="7">
        <f t="shared" si="101"/>
        <v>0.45525107519183194</v>
      </c>
      <c r="U453" s="7">
        <f t="shared" si="102"/>
        <v>0.36339084400275745</v>
      </c>
    </row>
    <row r="454" spans="1:21" x14ac:dyDescent="0.25">
      <c r="A454" s="1" t="s">
        <v>1673</v>
      </c>
      <c r="B454" s="1" t="s">
        <v>36</v>
      </c>
      <c r="C454" s="1">
        <v>18</v>
      </c>
      <c r="D454" s="1">
        <v>18</v>
      </c>
      <c r="E454" s="1">
        <v>9</v>
      </c>
      <c r="F454" s="1">
        <v>10</v>
      </c>
      <c r="G454" s="1">
        <v>55</v>
      </c>
      <c r="H454" s="7">
        <v>1.0919284281983375</v>
      </c>
      <c r="I454" s="7">
        <f t="shared" si="103"/>
        <v>22.694936708860759</v>
      </c>
      <c r="J454" s="7">
        <f t="shared" si="91"/>
        <v>5.3055534129377486</v>
      </c>
      <c r="K454" s="7">
        <f t="shared" si="92"/>
        <v>22.140506329113926</v>
      </c>
      <c r="L454" s="7">
        <f t="shared" si="93"/>
        <v>4.9144008395218908</v>
      </c>
      <c r="M454" s="7">
        <f t="shared" si="94"/>
        <v>10.069620253164556</v>
      </c>
      <c r="N454" s="7">
        <f t="shared" si="95"/>
        <v>2.1089377326145904</v>
      </c>
      <c r="O454" s="7">
        <f t="shared" si="96"/>
        <v>10.958227848101266</v>
      </c>
      <c r="P454" s="7">
        <f t="shared" si="97"/>
        <v>2.2883463843764797</v>
      </c>
      <c r="Q454" s="7">
        <f t="shared" si="98"/>
        <v>-0.88490989411434762</v>
      </c>
      <c r="R454" s="7">
        <f t="shared" si="99"/>
        <v>-0.84252515501294456</v>
      </c>
      <c r="S454" s="7">
        <f t="shared" si="100"/>
        <v>-0.5071843689943738</v>
      </c>
      <c r="T454" s="7">
        <f t="shared" si="101"/>
        <v>-0.41874248349965643</v>
      </c>
      <c r="U454" s="7">
        <f t="shared" si="102"/>
        <v>-0.66334047540533059</v>
      </c>
    </row>
    <row r="455" spans="1:21" x14ac:dyDescent="0.25">
      <c r="A455" s="1" t="s">
        <v>1673</v>
      </c>
      <c r="B455" s="1" t="s">
        <v>36</v>
      </c>
      <c r="C455" s="1">
        <v>17</v>
      </c>
      <c r="D455" s="1">
        <v>16</v>
      </c>
      <c r="E455" s="1">
        <v>8</v>
      </c>
      <c r="F455" s="1">
        <v>9</v>
      </c>
      <c r="G455" s="1">
        <v>50</v>
      </c>
      <c r="H455" s="7">
        <v>0.98709623358564946</v>
      </c>
      <c r="I455" s="7">
        <f t="shared" si="103"/>
        <v>22.694936708860759</v>
      </c>
      <c r="J455" s="7">
        <f t="shared" si="91"/>
        <v>5.3055534129377486</v>
      </c>
      <c r="K455" s="7">
        <f t="shared" si="92"/>
        <v>22.140506329113926</v>
      </c>
      <c r="L455" s="7">
        <f t="shared" si="93"/>
        <v>4.9144008395218908</v>
      </c>
      <c r="M455" s="7">
        <f t="shared" si="94"/>
        <v>10.069620253164556</v>
      </c>
      <c r="N455" s="7">
        <f t="shared" si="95"/>
        <v>2.1089377326145904</v>
      </c>
      <c r="O455" s="7">
        <f t="shared" si="96"/>
        <v>10.958227848101266</v>
      </c>
      <c r="P455" s="7">
        <f t="shared" si="97"/>
        <v>2.2883463843764797</v>
      </c>
      <c r="Q455" s="7">
        <f t="shared" si="98"/>
        <v>-1.0733916456242787</v>
      </c>
      <c r="R455" s="7">
        <f t="shared" si="99"/>
        <v>-1.2494923653218568</v>
      </c>
      <c r="S455" s="7">
        <f t="shared" si="100"/>
        <v>-0.98135673764000164</v>
      </c>
      <c r="T455" s="7">
        <f t="shared" si="101"/>
        <v>-0.85573926284540058</v>
      </c>
      <c r="U455" s="7">
        <f t="shared" si="102"/>
        <v>-1.0399950028578844</v>
      </c>
    </row>
    <row r="456" spans="1:21" x14ac:dyDescent="0.25">
      <c r="A456" s="1" t="s">
        <v>1673</v>
      </c>
      <c r="B456" s="1" t="s">
        <v>36</v>
      </c>
      <c r="C456" s="1">
        <v>24</v>
      </c>
      <c r="D456" s="1">
        <v>26</v>
      </c>
      <c r="E456" s="1">
        <v>10</v>
      </c>
      <c r="F456" s="1">
        <v>12</v>
      </c>
      <c r="G456" s="1">
        <v>72</v>
      </c>
      <c r="H456" s="7">
        <v>1.2659242088545832</v>
      </c>
      <c r="I456" s="7">
        <f t="shared" si="103"/>
        <v>22.694936708860759</v>
      </c>
      <c r="J456" s="7">
        <f t="shared" si="91"/>
        <v>5.3055534129377486</v>
      </c>
      <c r="K456" s="7">
        <f t="shared" si="92"/>
        <v>22.140506329113926</v>
      </c>
      <c r="L456" s="7">
        <f t="shared" si="93"/>
        <v>4.9144008395218908</v>
      </c>
      <c r="M456" s="7">
        <f t="shared" si="94"/>
        <v>10.069620253164556</v>
      </c>
      <c r="N456" s="7">
        <f t="shared" si="95"/>
        <v>2.1089377326145904</v>
      </c>
      <c r="O456" s="7">
        <f t="shared" si="96"/>
        <v>10.958227848101266</v>
      </c>
      <c r="P456" s="7">
        <f t="shared" si="97"/>
        <v>2.2883463843764797</v>
      </c>
      <c r="Q456" s="7">
        <f t="shared" si="98"/>
        <v>0.24598061494523943</v>
      </c>
      <c r="R456" s="7">
        <f t="shared" si="99"/>
        <v>0.78534368622270434</v>
      </c>
      <c r="S456" s="7">
        <f t="shared" si="100"/>
        <v>-3.3012000348745997E-2</v>
      </c>
      <c r="T456" s="7">
        <f t="shared" si="101"/>
        <v>0.45525107519183194</v>
      </c>
      <c r="U456" s="7">
        <f t="shared" si="102"/>
        <v>0.36339084400275745</v>
      </c>
    </row>
    <row r="457" spans="1:21" x14ac:dyDescent="0.25">
      <c r="A457" s="1" t="s">
        <v>1673</v>
      </c>
      <c r="B457" s="1" t="s">
        <v>36</v>
      </c>
      <c r="C457" s="1">
        <v>17</v>
      </c>
      <c r="D457" s="1">
        <v>19</v>
      </c>
      <c r="E457" s="1">
        <v>8</v>
      </c>
      <c r="F457" s="1">
        <v>9</v>
      </c>
      <c r="G457" s="1">
        <v>53</v>
      </c>
      <c r="H457" s="7">
        <v>0.86231649850257641</v>
      </c>
      <c r="I457" s="7">
        <f t="shared" si="103"/>
        <v>22.694936708860759</v>
      </c>
      <c r="J457" s="7">
        <f t="shared" si="91"/>
        <v>5.3055534129377486</v>
      </c>
      <c r="K457" s="7">
        <f t="shared" si="92"/>
        <v>22.140506329113926</v>
      </c>
      <c r="L457" s="7">
        <f t="shared" si="93"/>
        <v>4.9144008395218908</v>
      </c>
      <c r="M457" s="7">
        <f t="shared" si="94"/>
        <v>10.069620253164556</v>
      </c>
      <c r="N457" s="7">
        <f t="shared" si="95"/>
        <v>2.1089377326145904</v>
      </c>
      <c r="O457" s="7">
        <f t="shared" si="96"/>
        <v>10.958227848101266</v>
      </c>
      <c r="P457" s="7">
        <f t="shared" si="97"/>
        <v>2.2883463843764797</v>
      </c>
      <c r="Q457" s="7">
        <f t="shared" si="98"/>
        <v>-1.0733916456242787</v>
      </c>
      <c r="R457" s="7">
        <f t="shared" si="99"/>
        <v>-0.63904154985848838</v>
      </c>
      <c r="S457" s="7">
        <f t="shared" si="100"/>
        <v>-0.98135673764000164</v>
      </c>
      <c r="T457" s="7">
        <f t="shared" si="101"/>
        <v>-0.85573926284540058</v>
      </c>
      <c r="U457" s="7">
        <f t="shared" si="102"/>
        <v>-0.88738229899204235</v>
      </c>
    </row>
    <row r="458" spans="1:21" x14ac:dyDescent="0.25">
      <c r="A458" s="1" t="s">
        <v>1673</v>
      </c>
      <c r="B458" s="1" t="s">
        <v>36</v>
      </c>
      <c r="C458" s="1">
        <v>21</v>
      </c>
      <c r="D458" s="1">
        <v>21</v>
      </c>
      <c r="E458" s="1">
        <v>9</v>
      </c>
      <c r="F458" s="1">
        <v>12</v>
      </c>
      <c r="G458" s="1">
        <v>63</v>
      </c>
      <c r="H458" s="7">
        <v>1.0681880176381127</v>
      </c>
      <c r="I458" s="7">
        <f t="shared" si="103"/>
        <v>22.694936708860759</v>
      </c>
      <c r="J458" s="7">
        <f t="shared" si="91"/>
        <v>5.3055534129377486</v>
      </c>
      <c r="K458" s="7">
        <f t="shared" si="92"/>
        <v>22.140506329113926</v>
      </c>
      <c r="L458" s="7">
        <f t="shared" si="93"/>
        <v>4.9144008395218908</v>
      </c>
      <c r="M458" s="7">
        <f t="shared" si="94"/>
        <v>10.069620253164556</v>
      </c>
      <c r="N458" s="7">
        <f t="shared" si="95"/>
        <v>2.1089377326145904</v>
      </c>
      <c r="O458" s="7">
        <f t="shared" si="96"/>
        <v>10.958227848101266</v>
      </c>
      <c r="P458" s="7">
        <f t="shared" si="97"/>
        <v>2.2883463843764797</v>
      </c>
      <c r="Q458" s="7">
        <f t="shared" si="98"/>
        <v>-0.31946463958455407</v>
      </c>
      <c r="R458" s="7">
        <f t="shared" si="99"/>
        <v>-0.23207433954957621</v>
      </c>
      <c r="S458" s="7">
        <f t="shared" si="100"/>
        <v>-0.5071843689943738</v>
      </c>
      <c r="T458" s="7">
        <f t="shared" si="101"/>
        <v>0.45525107519183194</v>
      </c>
      <c r="U458" s="7">
        <f t="shared" si="102"/>
        <v>-0.15086806823416804</v>
      </c>
    </row>
    <row r="459" spans="1:21" x14ac:dyDescent="0.25">
      <c r="A459" s="1" t="s">
        <v>1673</v>
      </c>
      <c r="B459" s="1" t="s">
        <v>36</v>
      </c>
      <c r="C459" s="1">
        <v>21</v>
      </c>
      <c r="D459" s="1">
        <v>23</v>
      </c>
      <c r="E459" s="1">
        <v>10</v>
      </c>
      <c r="F459" s="1">
        <v>12</v>
      </c>
      <c r="G459" s="1">
        <v>66</v>
      </c>
      <c r="H459" s="7">
        <v>1.1151635501529555</v>
      </c>
      <c r="I459" s="7">
        <f t="shared" si="103"/>
        <v>22.694936708860759</v>
      </c>
      <c r="J459" s="7">
        <f t="shared" si="91"/>
        <v>5.3055534129377486</v>
      </c>
      <c r="K459" s="7">
        <f t="shared" si="92"/>
        <v>22.140506329113926</v>
      </c>
      <c r="L459" s="7">
        <f t="shared" si="93"/>
        <v>4.9144008395218908</v>
      </c>
      <c r="M459" s="7">
        <f t="shared" si="94"/>
        <v>10.069620253164556</v>
      </c>
      <c r="N459" s="7">
        <f t="shared" si="95"/>
        <v>2.1089377326145904</v>
      </c>
      <c r="O459" s="7">
        <f t="shared" si="96"/>
        <v>10.958227848101266</v>
      </c>
      <c r="P459" s="7">
        <f t="shared" si="97"/>
        <v>2.2883463843764797</v>
      </c>
      <c r="Q459" s="7">
        <f t="shared" si="98"/>
        <v>-0.31946463958455407</v>
      </c>
      <c r="R459" s="7">
        <f t="shared" si="99"/>
        <v>0.17489287075933599</v>
      </c>
      <c r="S459" s="7">
        <f t="shared" si="100"/>
        <v>-3.3012000348745997E-2</v>
      </c>
      <c r="T459" s="7">
        <f t="shared" si="101"/>
        <v>0.45525107519183194</v>
      </c>
      <c r="U459" s="7">
        <f t="shared" si="102"/>
        <v>6.9416826504466969E-2</v>
      </c>
    </row>
    <row r="460" spans="1:21" x14ac:dyDescent="0.25">
      <c r="A460" s="1" t="s">
        <v>1673</v>
      </c>
      <c r="B460" s="1" t="s">
        <v>36</v>
      </c>
      <c r="C460" s="1">
        <v>18</v>
      </c>
      <c r="D460" s="1">
        <v>22</v>
      </c>
      <c r="E460" s="1">
        <v>9</v>
      </c>
      <c r="F460" s="1">
        <v>12</v>
      </c>
      <c r="G460" s="1">
        <v>61</v>
      </c>
      <c r="H460" s="7">
        <v>1.0315534712764838</v>
      </c>
      <c r="I460" s="7">
        <f t="shared" si="103"/>
        <v>22.694936708860759</v>
      </c>
      <c r="J460" s="7">
        <f t="shared" si="91"/>
        <v>5.3055534129377486</v>
      </c>
      <c r="K460" s="7">
        <f t="shared" si="92"/>
        <v>22.140506329113926</v>
      </c>
      <c r="L460" s="7">
        <f t="shared" si="93"/>
        <v>4.9144008395218908</v>
      </c>
      <c r="M460" s="7">
        <f t="shared" si="94"/>
        <v>10.069620253164556</v>
      </c>
      <c r="N460" s="7">
        <f t="shared" si="95"/>
        <v>2.1089377326145904</v>
      </c>
      <c r="O460" s="7">
        <f t="shared" si="96"/>
        <v>10.958227848101266</v>
      </c>
      <c r="P460" s="7">
        <f t="shared" si="97"/>
        <v>2.2883463843764797</v>
      </c>
      <c r="Q460" s="7">
        <f t="shared" si="98"/>
        <v>-0.88490989411434762</v>
      </c>
      <c r="R460" s="7">
        <f t="shared" si="99"/>
        <v>-2.8590734395120113E-2</v>
      </c>
      <c r="S460" s="7">
        <f t="shared" si="100"/>
        <v>-0.5071843689943738</v>
      </c>
      <c r="T460" s="7">
        <f t="shared" si="101"/>
        <v>0.45525107519183194</v>
      </c>
      <c r="U460" s="7">
        <f t="shared" si="102"/>
        <v>-0.24135848057800241</v>
      </c>
    </row>
    <row r="461" spans="1:21" x14ac:dyDescent="0.25">
      <c r="A461" s="1" t="s">
        <v>1673</v>
      </c>
      <c r="B461" s="1" t="s">
        <v>36</v>
      </c>
      <c r="C461" s="1">
        <v>20</v>
      </c>
      <c r="D461" s="1">
        <v>19</v>
      </c>
      <c r="E461" s="1">
        <v>8</v>
      </c>
      <c r="F461" s="1">
        <v>11</v>
      </c>
      <c r="G461" s="1">
        <v>58</v>
      </c>
      <c r="H461" s="7">
        <v>1.0500305245868342</v>
      </c>
      <c r="I461" s="7">
        <f t="shared" si="103"/>
        <v>22.694936708860759</v>
      </c>
      <c r="J461" s="7">
        <f t="shared" si="91"/>
        <v>5.3055534129377486</v>
      </c>
      <c r="K461" s="7">
        <f t="shared" si="92"/>
        <v>22.140506329113926</v>
      </c>
      <c r="L461" s="7">
        <f t="shared" si="93"/>
        <v>4.9144008395218908</v>
      </c>
      <c r="M461" s="7">
        <f t="shared" si="94"/>
        <v>10.069620253164556</v>
      </c>
      <c r="N461" s="7">
        <f t="shared" si="95"/>
        <v>2.1089377326145904</v>
      </c>
      <c r="O461" s="7">
        <f t="shared" si="96"/>
        <v>10.958227848101266</v>
      </c>
      <c r="P461" s="7">
        <f t="shared" si="97"/>
        <v>2.2883463843764797</v>
      </c>
      <c r="Q461" s="7">
        <f t="shared" si="98"/>
        <v>-0.50794639109448525</v>
      </c>
      <c r="R461" s="7">
        <f t="shared" si="99"/>
        <v>-0.63904154985848838</v>
      </c>
      <c r="S461" s="7">
        <f t="shared" si="100"/>
        <v>-0.98135673764000164</v>
      </c>
      <c r="T461" s="7">
        <f t="shared" si="101"/>
        <v>1.8254295846087756E-2</v>
      </c>
      <c r="U461" s="7">
        <f t="shared" si="102"/>
        <v>-0.52752259568672177</v>
      </c>
    </row>
    <row r="462" spans="1:21" x14ac:dyDescent="0.25">
      <c r="A462" s="1" t="s">
        <v>1673</v>
      </c>
      <c r="B462" s="1" t="s">
        <v>36</v>
      </c>
      <c r="C462" s="1">
        <v>22</v>
      </c>
      <c r="D462" s="1">
        <v>22</v>
      </c>
      <c r="E462" s="1">
        <v>10</v>
      </c>
      <c r="F462" s="1">
        <v>12</v>
      </c>
      <c r="G462" s="1">
        <v>66</v>
      </c>
      <c r="H462" s="7">
        <v>1.0377490433255412</v>
      </c>
      <c r="I462" s="7">
        <f t="shared" si="103"/>
        <v>22.694936708860759</v>
      </c>
      <c r="J462" s="7">
        <f t="shared" si="91"/>
        <v>5.3055534129377486</v>
      </c>
      <c r="K462" s="7">
        <f t="shared" si="92"/>
        <v>22.140506329113926</v>
      </c>
      <c r="L462" s="7">
        <f t="shared" si="93"/>
        <v>4.9144008395218908</v>
      </c>
      <c r="M462" s="7">
        <f t="shared" si="94"/>
        <v>10.069620253164556</v>
      </c>
      <c r="N462" s="7">
        <f t="shared" si="95"/>
        <v>2.1089377326145904</v>
      </c>
      <c r="O462" s="7">
        <f t="shared" si="96"/>
        <v>10.958227848101266</v>
      </c>
      <c r="P462" s="7">
        <f t="shared" si="97"/>
        <v>2.2883463843764797</v>
      </c>
      <c r="Q462" s="7">
        <f t="shared" si="98"/>
        <v>-0.13098288807462291</v>
      </c>
      <c r="R462" s="7">
        <f t="shared" si="99"/>
        <v>-2.8590734395120113E-2</v>
      </c>
      <c r="S462" s="7">
        <f t="shared" si="100"/>
        <v>-3.3012000348745997E-2</v>
      </c>
      <c r="T462" s="7">
        <f t="shared" si="101"/>
        <v>0.45525107519183194</v>
      </c>
      <c r="U462" s="7">
        <f t="shared" si="102"/>
        <v>6.5666363093335733E-2</v>
      </c>
    </row>
    <row r="463" spans="1:21" x14ac:dyDescent="0.25">
      <c r="A463" s="1" t="s">
        <v>1673</v>
      </c>
      <c r="B463" s="1" t="s">
        <v>36</v>
      </c>
      <c r="C463" s="1">
        <v>18</v>
      </c>
      <c r="D463" s="1">
        <v>18</v>
      </c>
      <c r="E463" s="1">
        <v>10</v>
      </c>
      <c r="F463" s="1">
        <v>10</v>
      </c>
      <c r="G463" s="1">
        <v>56</v>
      </c>
      <c r="H463" s="7">
        <v>0.85485041426511055</v>
      </c>
      <c r="I463" s="7">
        <f t="shared" si="103"/>
        <v>22.694936708860759</v>
      </c>
      <c r="J463" s="7">
        <f t="shared" si="91"/>
        <v>5.3055534129377486</v>
      </c>
      <c r="K463" s="7">
        <f t="shared" si="92"/>
        <v>22.140506329113926</v>
      </c>
      <c r="L463" s="7">
        <f t="shared" si="93"/>
        <v>4.9144008395218908</v>
      </c>
      <c r="M463" s="7">
        <f t="shared" si="94"/>
        <v>10.069620253164556</v>
      </c>
      <c r="N463" s="7">
        <f t="shared" si="95"/>
        <v>2.1089377326145904</v>
      </c>
      <c r="O463" s="7">
        <f t="shared" si="96"/>
        <v>10.958227848101266</v>
      </c>
      <c r="P463" s="7">
        <f t="shared" si="97"/>
        <v>2.2883463843764797</v>
      </c>
      <c r="Q463" s="7">
        <f t="shared" si="98"/>
        <v>-0.88490989411434762</v>
      </c>
      <c r="R463" s="7">
        <f t="shared" si="99"/>
        <v>-0.84252515501294456</v>
      </c>
      <c r="S463" s="7">
        <f t="shared" si="100"/>
        <v>-3.3012000348745997E-2</v>
      </c>
      <c r="T463" s="7">
        <f t="shared" si="101"/>
        <v>-0.41874248349965643</v>
      </c>
      <c r="U463" s="7">
        <f t="shared" si="102"/>
        <v>-0.54479738324392368</v>
      </c>
    </row>
    <row r="464" spans="1:21" x14ac:dyDescent="0.25">
      <c r="A464" s="1" t="s">
        <v>1673</v>
      </c>
      <c r="B464" s="1" t="s">
        <v>36</v>
      </c>
      <c r="C464" s="1">
        <v>29</v>
      </c>
      <c r="D464" s="1">
        <v>25</v>
      </c>
      <c r="E464" s="1">
        <v>12</v>
      </c>
      <c r="F464" s="1">
        <v>14</v>
      </c>
      <c r="G464" s="1">
        <v>80</v>
      </c>
      <c r="H464" s="7">
        <v>1.6756169931378435</v>
      </c>
      <c r="I464" s="7">
        <f t="shared" si="103"/>
        <v>22.694936708860759</v>
      </c>
      <c r="J464" s="7">
        <f t="shared" si="91"/>
        <v>5.3055534129377486</v>
      </c>
      <c r="K464" s="7">
        <f t="shared" si="92"/>
        <v>22.140506329113926</v>
      </c>
      <c r="L464" s="7">
        <f t="shared" si="93"/>
        <v>4.9144008395218908</v>
      </c>
      <c r="M464" s="7">
        <f t="shared" si="94"/>
        <v>10.069620253164556</v>
      </c>
      <c r="N464" s="7">
        <f t="shared" si="95"/>
        <v>2.1089377326145904</v>
      </c>
      <c r="O464" s="7">
        <f t="shared" si="96"/>
        <v>10.958227848101266</v>
      </c>
      <c r="P464" s="7">
        <f t="shared" si="97"/>
        <v>2.2883463843764797</v>
      </c>
      <c r="Q464" s="7">
        <f t="shared" si="98"/>
        <v>1.1883893724948953</v>
      </c>
      <c r="R464" s="7">
        <f t="shared" si="99"/>
        <v>0.58186008106824816</v>
      </c>
      <c r="S464" s="7">
        <f t="shared" si="100"/>
        <v>0.91533273694250961</v>
      </c>
      <c r="T464" s="7">
        <f t="shared" si="101"/>
        <v>1.3292446338833204</v>
      </c>
      <c r="U464" s="7">
        <f t="shared" si="102"/>
        <v>1.0037067060972433</v>
      </c>
    </row>
    <row r="465" spans="1:21" x14ac:dyDescent="0.25">
      <c r="A465" s="1" t="s">
        <v>1673</v>
      </c>
      <c r="B465" s="1" t="s">
        <v>36</v>
      </c>
      <c r="C465" s="1">
        <v>26</v>
      </c>
      <c r="D465" s="1">
        <v>26</v>
      </c>
      <c r="E465" s="1">
        <v>12</v>
      </c>
      <c r="F465" s="1">
        <v>14</v>
      </c>
      <c r="G465" s="1">
        <v>78</v>
      </c>
      <c r="H465" s="7">
        <v>1.3540064007726598</v>
      </c>
      <c r="I465" s="7">
        <f t="shared" si="103"/>
        <v>22.694936708860759</v>
      </c>
      <c r="J465" s="7">
        <f t="shared" si="91"/>
        <v>5.3055534129377486</v>
      </c>
      <c r="K465" s="7">
        <f t="shared" si="92"/>
        <v>22.140506329113926</v>
      </c>
      <c r="L465" s="7">
        <f t="shared" si="93"/>
        <v>4.9144008395218908</v>
      </c>
      <c r="M465" s="7">
        <f t="shared" si="94"/>
        <v>10.069620253164556</v>
      </c>
      <c r="N465" s="7">
        <f t="shared" si="95"/>
        <v>2.1089377326145904</v>
      </c>
      <c r="O465" s="7">
        <f t="shared" si="96"/>
        <v>10.958227848101266</v>
      </c>
      <c r="P465" s="7">
        <f t="shared" si="97"/>
        <v>2.2883463843764797</v>
      </c>
      <c r="Q465" s="7">
        <f t="shared" si="98"/>
        <v>0.62294411796510174</v>
      </c>
      <c r="R465" s="7">
        <f t="shared" si="99"/>
        <v>0.78534368622270434</v>
      </c>
      <c r="S465" s="7">
        <f t="shared" si="100"/>
        <v>0.91533273694250961</v>
      </c>
      <c r="T465" s="7">
        <f t="shared" si="101"/>
        <v>1.3292446338833204</v>
      </c>
      <c r="U465" s="7">
        <f t="shared" si="102"/>
        <v>0.91321629375340896</v>
      </c>
    </row>
    <row r="466" spans="1:21" x14ac:dyDescent="0.25">
      <c r="A466" s="1" t="s">
        <v>1673</v>
      </c>
      <c r="B466" s="1" t="s">
        <v>36</v>
      </c>
      <c r="C466" s="1">
        <v>25</v>
      </c>
      <c r="D466" s="1">
        <v>25</v>
      </c>
      <c r="E466" s="1">
        <v>12</v>
      </c>
      <c r="F466" s="1">
        <v>13</v>
      </c>
      <c r="G466" s="1">
        <v>75</v>
      </c>
      <c r="H466" s="7">
        <v>1.4806443503784736</v>
      </c>
      <c r="I466" s="7">
        <f t="shared" si="103"/>
        <v>22.694936708860759</v>
      </c>
      <c r="J466" s="7">
        <f t="shared" si="91"/>
        <v>5.3055534129377486</v>
      </c>
      <c r="K466" s="7">
        <f t="shared" si="92"/>
        <v>22.140506329113926</v>
      </c>
      <c r="L466" s="7">
        <f t="shared" si="93"/>
        <v>4.9144008395218908</v>
      </c>
      <c r="M466" s="7">
        <f t="shared" si="94"/>
        <v>10.069620253164556</v>
      </c>
      <c r="N466" s="7">
        <f t="shared" si="95"/>
        <v>2.1089377326145904</v>
      </c>
      <c r="O466" s="7">
        <f t="shared" si="96"/>
        <v>10.958227848101266</v>
      </c>
      <c r="P466" s="7">
        <f t="shared" si="97"/>
        <v>2.2883463843764797</v>
      </c>
      <c r="Q466" s="7">
        <f t="shared" si="98"/>
        <v>0.43446236645517061</v>
      </c>
      <c r="R466" s="7">
        <f t="shared" si="99"/>
        <v>0.58186008106824816</v>
      </c>
      <c r="S466" s="7">
        <f t="shared" si="100"/>
        <v>0.91533273694250961</v>
      </c>
      <c r="T466" s="7">
        <f t="shared" si="101"/>
        <v>0.89224785453757616</v>
      </c>
      <c r="U466" s="7">
        <f t="shared" si="102"/>
        <v>0.70597575975087612</v>
      </c>
    </row>
    <row r="467" spans="1:21" x14ac:dyDescent="0.25">
      <c r="A467" s="1" t="s">
        <v>1673</v>
      </c>
      <c r="B467" s="1" t="s">
        <v>36</v>
      </c>
      <c r="C467" s="1">
        <v>23</v>
      </c>
      <c r="D467" s="1">
        <v>23</v>
      </c>
      <c r="E467" s="1">
        <v>12</v>
      </c>
      <c r="F467" s="1">
        <v>14</v>
      </c>
      <c r="G467" s="1">
        <v>72</v>
      </c>
      <c r="H467" s="7">
        <v>1.3301243435223526</v>
      </c>
      <c r="I467" s="7">
        <f t="shared" si="103"/>
        <v>22.694936708860759</v>
      </c>
      <c r="J467" s="7">
        <f t="shared" si="91"/>
        <v>5.3055534129377486</v>
      </c>
      <c r="K467" s="7">
        <f t="shared" si="92"/>
        <v>22.140506329113926</v>
      </c>
      <c r="L467" s="7">
        <f t="shared" si="93"/>
        <v>4.9144008395218908</v>
      </c>
      <c r="M467" s="7">
        <f t="shared" si="94"/>
        <v>10.069620253164556</v>
      </c>
      <c r="N467" s="7">
        <f t="shared" si="95"/>
        <v>2.1089377326145904</v>
      </c>
      <c r="O467" s="7">
        <f t="shared" si="96"/>
        <v>10.958227848101266</v>
      </c>
      <c r="P467" s="7">
        <f t="shared" si="97"/>
        <v>2.2883463843764797</v>
      </c>
      <c r="Q467" s="7">
        <f t="shared" si="98"/>
        <v>5.7498863435308259E-2</v>
      </c>
      <c r="R467" s="7">
        <f t="shared" si="99"/>
        <v>0.17489287075933599</v>
      </c>
      <c r="S467" s="7">
        <f t="shared" si="100"/>
        <v>0.91533273694250961</v>
      </c>
      <c r="T467" s="7">
        <f t="shared" si="101"/>
        <v>1.3292446338833204</v>
      </c>
      <c r="U467" s="7">
        <f t="shared" si="102"/>
        <v>0.61924227625511863</v>
      </c>
    </row>
    <row r="468" spans="1:21" x14ac:dyDescent="0.25">
      <c r="A468" s="1" t="s">
        <v>1673</v>
      </c>
      <c r="B468" s="1" t="s">
        <v>36</v>
      </c>
      <c r="C468" s="1">
        <v>20</v>
      </c>
      <c r="D468" s="1">
        <v>23</v>
      </c>
      <c r="E468" s="1">
        <v>11</v>
      </c>
      <c r="F468" s="1">
        <v>14</v>
      </c>
      <c r="G468" s="1">
        <v>68</v>
      </c>
      <c r="H468" s="7">
        <v>1.3008872711759818</v>
      </c>
      <c r="I468" s="7">
        <f t="shared" si="103"/>
        <v>22.694936708860759</v>
      </c>
      <c r="J468" s="7">
        <f t="shared" si="91"/>
        <v>5.3055534129377486</v>
      </c>
      <c r="K468" s="7">
        <f t="shared" si="92"/>
        <v>22.140506329113926</v>
      </c>
      <c r="L468" s="7">
        <f t="shared" si="93"/>
        <v>4.9144008395218908</v>
      </c>
      <c r="M468" s="7">
        <f t="shared" si="94"/>
        <v>10.069620253164556</v>
      </c>
      <c r="N468" s="7">
        <f t="shared" si="95"/>
        <v>2.1089377326145904</v>
      </c>
      <c r="O468" s="7">
        <f t="shared" si="96"/>
        <v>10.958227848101266</v>
      </c>
      <c r="P468" s="7">
        <f t="shared" si="97"/>
        <v>2.2883463843764797</v>
      </c>
      <c r="Q468" s="7">
        <f t="shared" si="98"/>
        <v>-0.50794639109448525</v>
      </c>
      <c r="R468" s="7">
        <f t="shared" si="99"/>
        <v>0.17489287075933599</v>
      </c>
      <c r="S468" s="7">
        <f t="shared" si="100"/>
        <v>0.44116036829688182</v>
      </c>
      <c r="T468" s="7">
        <f t="shared" si="101"/>
        <v>1.3292446338833204</v>
      </c>
      <c r="U468" s="7">
        <f t="shared" si="102"/>
        <v>0.35933787046126325</v>
      </c>
    </row>
    <row r="469" spans="1:21" x14ac:dyDescent="0.25">
      <c r="A469" s="1" t="s">
        <v>1673</v>
      </c>
      <c r="B469" s="1" t="s">
        <v>36</v>
      </c>
      <c r="C469" s="1">
        <v>25</v>
      </c>
      <c r="D469" s="1">
        <v>24</v>
      </c>
      <c r="E469" s="1">
        <v>11</v>
      </c>
      <c r="F469" s="1">
        <v>12</v>
      </c>
      <c r="G469" s="1">
        <v>72</v>
      </c>
      <c r="H469" s="7">
        <v>1.5607361839521232</v>
      </c>
      <c r="I469" s="7">
        <f t="shared" si="103"/>
        <v>22.694936708860759</v>
      </c>
      <c r="J469" s="7">
        <f t="shared" si="91"/>
        <v>5.3055534129377486</v>
      </c>
      <c r="K469" s="7">
        <f t="shared" si="92"/>
        <v>22.140506329113926</v>
      </c>
      <c r="L469" s="7">
        <f t="shared" si="93"/>
        <v>4.9144008395218908</v>
      </c>
      <c r="M469" s="7">
        <f t="shared" si="94"/>
        <v>10.069620253164556</v>
      </c>
      <c r="N469" s="7">
        <f t="shared" si="95"/>
        <v>2.1089377326145904</v>
      </c>
      <c r="O469" s="7">
        <f t="shared" si="96"/>
        <v>10.958227848101266</v>
      </c>
      <c r="P469" s="7">
        <f t="shared" si="97"/>
        <v>2.2883463843764797</v>
      </c>
      <c r="Q469" s="7">
        <f t="shared" si="98"/>
        <v>0.43446236645517061</v>
      </c>
      <c r="R469" s="7">
        <f t="shared" si="99"/>
        <v>0.37837647591379209</v>
      </c>
      <c r="S469" s="7">
        <f t="shared" si="100"/>
        <v>0.44116036829688182</v>
      </c>
      <c r="T469" s="7">
        <f t="shared" si="101"/>
        <v>0.45525107519183194</v>
      </c>
      <c r="U469" s="7">
        <f t="shared" si="102"/>
        <v>0.42731257146441914</v>
      </c>
    </row>
    <row r="470" spans="1:21" x14ac:dyDescent="0.25">
      <c r="A470" s="1" t="s">
        <v>1673</v>
      </c>
      <c r="B470" s="1" t="s">
        <v>36</v>
      </c>
      <c r="C470" s="1">
        <v>24</v>
      </c>
      <c r="D470" s="1">
        <v>24</v>
      </c>
      <c r="E470" s="1">
        <v>10</v>
      </c>
      <c r="F470" s="1">
        <v>13</v>
      </c>
      <c r="G470" s="1">
        <v>71</v>
      </c>
      <c r="H470" s="7">
        <v>1.2659242088545835</v>
      </c>
      <c r="I470" s="7">
        <f t="shared" si="103"/>
        <v>22.694936708860759</v>
      </c>
      <c r="J470" s="7">
        <f t="shared" si="91"/>
        <v>5.3055534129377486</v>
      </c>
      <c r="K470" s="7">
        <f t="shared" si="92"/>
        <v>22.140506329113926</v>
      </c>
      <c r="L470" s="7">
        <f t="shared" si="93"/>
        <v>4.9144008395218908</v>
      </c>
      <c r="M470" s="7">
        <f t="shared" si="94"/>
        <v>10.069620253164556</v>
      </c>
      <c r="N470" s="7">
        <f t="shared" si="95"/>
        <v>2.1089377326145904</v>
      </c>
      <c r="O470" s="7">
        <f t="shared" si="96"/>
        <v>10.958227848101266</v>
      </c>
      <c r="P470" s="7">
        <f t="shared" si="97"/>
        <v>2.2883463843764797</v>
      </c>
      <c r="Q470" s="7">
        <f t="shared" si="98"/>
        <v>0.24598061494523943</v>
      </c>
      <c r="R470" s="7">
        <f t="shared" si="99"/>
        <v>0.37837647591379209</v>
      </c>
      <c r="S470" s="7">
        <f t="shared" si="100"/>
        <v>-3.3012000348745997E-2</v>
      </c>
      <c r="T470" s="7">
        <f t="shared" si="101"/>
        <v>0.89224785453757616</v>
      </c>
      <c r="U470" s="7">
        <f t="shared" si="102"/>
        <v>0.37089823626196539</v>
      </c>
    </row>
    <row r="471" spans="1:21" x14ac:dyDescent="0.25">
      <c r="A471" s="1" t="s">
        <v>1669</v>
      </c>
      <c r="B471" s="1" t="s">
        <v>36</v>
      </c>
      <c r="C471" s="1">
        <v>25</v>
      </c>
      <c r="D471" s="1">
        <v>27</v>
      </c>
      <c r="E471" s="1">
        <v>11</v>
      </c>
      <c r="F471" s="1">
        <v>11</v>
      </c>
      <c r="G471" s="1">
        <v>74</v>
      </c>
      <c r="H471" s="7">
        <v>1.8432134703923735</v>
      </c>
      <c r="I471" s="7">
        <f t="shared" si="103"/>
        <v>22.694936708860759</v>
      </c>
      <c r="J471" s="7">
        <f t="shared" si="91"/>
        <v>5.3055534129377486</v>
      </c>
      <c r="K471" s="7">
        <f t="shared" si="92"/>
        <v>22.140506329113926</v>
      </c>
      <c r="L471" s="7">
        <f t="shared" si="93"/>
        <v>4.9144008395218908</v>
      </c>
      <c r="M471" s="7">
        <f t="shared" si="94"/>
        <v>10.069620253164556</v>
      </c>
      <c r="N471" s="7">
        <f t="shared" si="95"/>
        <v>2.1089377326145904</v>
      </c>
      <c r="O471" s="7">
        <f t="shared" si="96"/>
        <v>10.958227848101266</v>
      </c>
      <c r="P471" s="7">
        <f t="shared" si="97"/>
        <v>2.2883463843764797</v>
      </c>
      <c r="Q471" s="7">
        <f t="shared" si="98"/>
        <v>0.43446236645517061</v>
      </c>
      <c r="R471" s="7">
        <f t="shared" si="99"/>
        <v>0.98882729137716041</v>
      </c>
      <c r="S471" s="7">
        <f t="shared" si="100"/>
        <v>0.44116036829688182</v>
      </c>
      <c r="T471" s="7">
        <f t="shared" si="101"/>
        <v>1.8254295846087756E-2</v>
      </c>
      <c r="U471" s="7">
        <f t="shared" si="102"/>
        <v>0.4706760804938252</v>
      </c>
    </row>
    <row r="472" spans="1:21" x14ac:dyDescent="0.25">
      <c r="A472" s="1" t="s">
        <v>1669</v>
      </c>
      <c r="B472" s="1" t="s">
        <v>36</v>
      </c>
      <c r="C472" s="1">
        <v>19</v>
      </c>
      <c r="D472" s="1">
        <v>20</v>
      </c>
      <c r="E472" s="1">
        <v>8</v>
      </c>
      <c r="F472" s="1">
        <v>9</v>
      </c>
      <c r="G472" s="1">
        <v>56</v>
      </c>
      <c r="H472" s="7">
        <v>1.4935759876113539</v>
      </c>
      <c r="I472" s="7">
        <f t="shared" si="103"/>
        <v>22.694936708860759</v>
      </c>
      <c r="J472" s="7">
        <f t="shared" si="91"/>
        <v>5.3055534129377486</v>
      </c>
      <c r="K472" s="7">
        <f t="shared" si="92"/>
        <v>22.140506329113926</v>
      </c>
      <c r="L472" s="7">
        <f t="shared" si="93"/>
        <v>4.9144008395218908</v>
      </c>
      <c r="M472" s="7">
        <f t="shared" si="94"/>
        <v>10.069620253164556</v>
      </c>
      <c r="N472" s="7">
        <f t="shared" si="95"/>
        <v>2.1089377326145904</v>
      </c>
      <c r="O472" s="7">
        <f t="shared" si="96"/>
        <v>10.958227848101266</v>
      </c>
      <c r="P472" s="7">
        <f t="shared" si="97"/>
        <v>2.2883463843764797</v>
      </c>
      <c r="Q472" s="7">
        <f t="shared" si="98"/>
        <v>-0.69642814260441643</v>
      </c>
      <c r="R472" s="7">
        <f t="shared" si="99"/>
        <v>-0.43555794470403231</v>
      </c>
      <c r="S472" s="7">
        <f t="shared" si="100"/>
        <v>-0.98135673764000164</v>
      </c>
      <c r="T472" s="7">
        <f t="shared" si="101"/>
        <v>-0.85573926284540058</v>
      </c>
      <c r="U472" s="7">
        <f t="shared" si="102"/>
        <v>-0.74227052194846266</v>
      </c>
    </row>
    <row r="473" spans="1:21" x14ac:dyDescent="0.25">
      <c r="A473" s="1" t="s">
        <v>1669</v>
      </c>
      <c r="B473" s="1" t="s">
        <v>36</v>
      </c>
      <c r="C473" s="1">
        <v>28</v>
      </c>
      <c r="D473" s="1">
        <v>28</v>
      </c>
      <c r="E473" s="1">
        <v>12</v>
      </c>
      <c r="F473" s="1">
        <v>11</v>
      </c>
      <c r="G473" s="1">
        <v>79</v>
      </c>
      <c r="H473" s="7">
        <v>2.2532028485964322</v>
      </c>
      <c r="I473" s="7">
        <f t="shared" si="103"/>
        <v>22.694936708860759</v>
      </c>
      <c r="J473" s="7">
        <f t="shared" si="91"/>
        <v>5.3055534129377486</v>
      </c>
      <c r="K473" s="7">
        <f t="shared" si="92"/>
        <v>22.140506329113926</v>
      </c>
      <c r="L473" s="7">
        <f t="shared" si="93"/>
        <v>4.9144008395218908</v>
      </c>
      <c r="M473" s="7">
        <f t="shared" si="94"/>
        <v>10.069620253164556</v>
      </c>
      <c r="N473" s="7">
        <f t="shared" si="95"/>
        <v>2.1089377326145904</v>
      </c>
      <c r="O473" s="7">
        <f t="shared" si="96"/>
        <v>10.958227848101266</v>
      </c>
      <c r="P473" s="7">
        <f t="shared" si="97"/>
        <v>2.2883463843764797</v>
      </c>
      <c r="Q473" s="7">
        <f t="shared" si="98"/>
        <v>0.99990762098496411</v>
      </c>
      <c r="R473" s="7">
        <f t="shared" si="99"/>
        <v>1.1923108965316165</v>
      </c>
      <c r="S473" s="7">
        <f t="shared" si="100"/>
        <v>0.91533273694250961</v>
      </c>
      <c r="T473" s="7">
        <f t="shared" si="101"/>
        <v>1.8254295846087756E-2</v>
      </c>
      <c r="U473" s="7">
        <f t="shared" si="102"/>
        <v>0.78145138757629451</v>
      </c>
    </row>
    <row r="474" spans="1:21" x14ac:dyDescent="0.25">
      <c r="A474" s="1" t="s">
        <v>1669</v>
      </c>
      <c r="B474" s="1" t="s">
        <v>36</v>
      </c>
      <c r="C474" s="1">
        <v>26</v>
      </c>
      <c r="D474" s="1">
        <v>30</v>
      </c>
      <c r="E474" s="1">
        <v>12</v>
      </c>
      <c r="F474" s="1">
        <v>8</v>
      </c>
      <c r="G474" s="1">
        <v>76</v>
      </c>
      <c r="H474" s="7">
        <v>2.7642405179408032</v>
      </c>
      <c r="I474" s="7">
        <f t="shared" si="103"/>
        <v>22.694936708860759</v>
      </c>
      <c r="J474" s="7">
        <f t="shared" si="91"/>
        <v>5.3055534129377486</v>
      </c>
      <c r="K474" s="7">
        <f t="shared" si="92"/>
        <v>22.140506329113926</v>
      </c>
      <c r="L474" s="7">
        <f t="shared" si="93"/>
        <v>4.9144008395218908</v>
      </c>
      <c r="M474" s="7">
        <f t="shared" si="94"/>
        <v>10.069620253164556</v>
      </c>
      <c r="N474" s="7">
        <f t="shared" si="95"/>
        <v>2.1089377326145904</v>
      </c>
      <c r="O474" s="7">
        <f t="shared" si="96"/>
        <v>10.958227848101266</v>
      </c>
      <c r="P474" s="7">
        <f t="shared" si="97"/>
        <v>2.2883463843764797</v>
      </c>
      <c r="Q474" s="7">
        <f t="shared" si="98"/>
        <v>0.62294411796510174</v>
      </c>
      <c r="R474" s="7">
        <f t="shared" si="99"/>
        <v>1.5992781068405286</v>
      </c>
      <c r="S474" s="7">
        <f t="shared" si="100"/>
        <v>0.91533273694250961</v>
      </c>
      <c r="T474" s="7">
        <f t="shared" si="101"/>
        <v>-1.2927360421911447</v>
      </c>
      <c r="U474" s="7">
        <f t="shared" si="102"/>
        <v>0.46120472988924882</v>
      </c>
    </row>
    <row r="475" spans="1:21" x14ac:dyDescent="0.25">
      <c r="A475" s="1" t="s">
        <v>1669</v>
      </c>
      <c r="B475" s="1" t="s">
        <v>36</v>
      </c>
      <c r="C475" s="1">
        <v>26</v>
      </c>
      <c r="D475" s="1">
        <v>29</v>
      </c>
      <c r="E475" s="1">
        <v>11</v>
      </c>
      <c r="F475" s="1">
        <v>14</v>
      </c>
      <c r="G475" s="1">
        <v>80</v>
      </c>
      <c r="H475" s="7">
        <v>2.034951016861497</v>
      </c>
      <c r="I475" s="7">
        <f t="shared" si="103"/>
        <v>22.694936708860759</v>
      </c>
      <c r="J475" s="7">
        <f t="shared" si="91"/>
        <v>5.3055534129377486</v>
      </c>
      <c r="K475" s="7">
        <f t="shared" si="92"/>
        <v>22.140506329113926</v>
      </c>
      <c r="L475" s="7">
        <f t="shared" si="93"/>
        <v>4.9144008395218908</v>
      </c>
      <c r="M475" s="7">
        <f t="shared" si="94"/>
        <v>10.069620253164556</v>
      </c>
      <c r="N475" s="7">
        <f t="shared" si="95"/>
        <v>2.1089377326145904</v>
      </c>
      <c r="O475" s="7">
        <f t="shared" si="96"/>
        <v>10.958227848101266</v>
      </c>
      <c r="P475" s="7">
        <f t="shared" si="97"/>
        <v>2.2883463843764797</v>
      </c>
      <c r="Q475" s="7">
        <f t="shared" si="98"/>
        <v>0.62294411796510174</v>
      </c>
      <c r="R475" s="7">
        <f t="shared" si="99"/>
        <v>1.3957945016860727</v>
      </c>
      <c r="S475" s="7">
        <f t="shared" si="100"/>
        <v>0.44116036829688182</v>
      </c>
      <c r="T475" s="7">
        <f t="shared" si="101"/>
        <v>1.3292446338833204</v>
      </c>
      <c r="U475" s="7">
        <f t="shared" si="102"/>
        <v>0.94728590545784419</v>
      </c>
    </row>
    <row r="476" spans="1:21" x14ac:dyDescent="0.25">
      <c r="A476" s="1" t="s">
        <v>1669</v>
      </c>
      <c r="B476" s="1" t="s">
        <v>36</v>
      </c>
      <c r="C476" s="1">
        <v>29</v>
      </c>
      <c r="D476" s="1">
        <v>24</v>
      </c>
      <c r="E476" s="1">
        <v>12</v>
      </c>
      <c r="F476" s="1">
        <v>9</v>
      </c>
      <c r="G476" s="1">
        <v>74</v>
      </c>
      <c r="H476" s="7">
        <v>2.3588350014578308</v>
      </c>
      <c r="I476" s="7">
        <f t="shared" si="103"/>
        <v>22.694936708860759</v>
      </c>
      <c r="J476" s="7">
        <f t="shared" si="91"/>
        <v>5.3055534129377486</v>
      </c>
      <c r="K476" s="7">
        <f t="shared" si="92"/>
        <v>22.140506329113926</v>
      </c>
      <c r="L476" s="7">
        <f t="shared" si="93"/>
        <v>4.9144008395218908</v>
      </c>
      <c r="M476" s="7">
        <f t="shared" si="94"/>
        <v>10.069620253164556</v>
      </c>
      <c r="N476" s="7">
        <f t="shared" si="95"/>
        <v>2.1089377326145904</v>
      </c>
      <c r="O476" s="7">
        <f t="shared" si="96"/>
        <v>10.958227848101266</v>
      </c>
      <c r="P476" s="7">
        <f t="shared" si="97"/>
        <v>2.2883463843764797</v>
      </c>
      <c r="Q476" s="7">
        <f t="shared" si="98"/>
        <v>1.1883893724948953</v>
      </c>
      <c r="R476" s="7">
        <f t="shared" si="99"/>
        <v>0.37837647591379209</v>
      </c>
      <c r="S476" s="7">
        <f t="shared" si="100"/>
        <v>0.91533273694250961</v>
      </c>
      <c r="T476" s="7">
        <f t="shared" si="101"/>
        <v>-0.85573926284540058</v>
      </c>
      <c r="U476" s="7">
        <f t="shared" si="102"/>
        <v>0.4065898306264491</v>
      </c>
    </row>
    <row r="477" spans="1:21" x14ac:dyDescent="0.25">
      <c r="A477" s="1" t="s">
        <v>1669</v>
      </c>
      <c r="B477" s="1" t="s">
        <v>36</v>
      </c>
      <c r="C477" s="1">
        <v>8</v>
      </c>
      <c r="D477" s="1">
        <v>24</v>
      </c>
      <c r="E477" s="1">
        <v>11</v>
      </c>
      <c r="F477" s="1">
        <v>5</v>
      </c>
      <c r="G477" s="1">
        <v>48</v>
      </c>
      <c r="H477" s="7">
        <v>2.8102376941169758</v>
      </c>
      <c r="I477" s="7">
        <f t="shared" si="103"/>
        <v>22.694936708860759</v>
      </c>
      <c r="J477" s="7">
        <f t="shared" si="91"/>
        <v>5.3055534129377486</v>
      </c>
      <c r="K477" s="7">
        <f t="shared" si="92"/>
        <v>22.140506329113926</v>
      </c>
      <c r="L477" s="7">
        <f t="shared" si="93"/>
        <v>4.9144008395218908</v>
      </c>
      <c r="M477" s="7">
        <f t="shared" si="94"/>
        <v>10.069620253164556</v>
      </c>
      <c r="N477" s="7">
        <f t="shared" si="95"/>
        <v>2.1089377326145904</v>
      </c>
      <c r="O477" s="7">
        <f t="shared" si="96"/>
        <v>10.958227848101266</v>
      </c>
      <c r="P477" s="7">
        <f t="shared" si="97"/>
        <v>2.2883463843764797</v>
      </c>
      <c r="Q477" s="7">
        <f t="shared" si="98"/>
        <v>-2.7697274092136595</v>
      </c>
      <c r="R477" s="7">
        <f t="shared" si="99"/>
        <v>0.37837647591379209</v>
      </c>
      <c r="S477" s="7">
        <f t="shared" si="100"/>
        <v>0.44116036829688182</v>
      </c>
      <c r="T477" s="7">
        <f t="shared" si="101"/>
        <v>-2.6037263802283772</v>
      </c>
      <c r="U477" s="7">
        <f t="shared" si="102"/>
        <v>-1.1384792363078406</v>
      </c>
    </row>
    <row r="478" spans="1:21" x14ac:dyDescent="0.25">
      <c r="A478" s="1" t="s">
        <v>1669</v>
      </c>
      <c r="B478" s="1" t="s">
        <v>36</v>
      </c>
      <c r="C478" s="1">
        <v>27</v>
      </c>
      <c r="D478" s="1">
        <v>29</v>
      </c>
      <c r="E478" s="1">
        <v>12</v>
      </c>
      <c r="F478" s="1">
        <v>12</v>
      </c>
      <c r="G478" s="1">
        <v>80</v>
      </c>
      <c r="H478" s="7">
        <v>2.3038429433649132</v>
      </c>
      <c r="I478" s="7">
        <f t="shared" si="103"/>
        <v>22.694936708860759</v>
      </c>
      <c r="J478" s="7">
        <f t="shared" si="91"/>
        <v>5.3055534129377486</v>
      </c>
      <c r="K478" s="7">
        <f t="shared" si="92"/>
        <v>22.140506329113926</v>
      </c>
      <c r="L478" s="7">
        <f t="shared" si="93"/>
        <v>4.9144008395218908</v>
      </c>
      <c r="M478" s="7">
        <f t="shared" si="94"/>
        <v>10.069620253164556</v>
      </c>
      <c r="N478" s="7">
        <f t="shared" si="95"/>
        <v>2.1089377326145904</v>
      </c>
      <c r="O478" s="7">
        <f t="shared" si="96"/>
        <v>10.958227848101266</v>
      </c>
      <c r="P478" s="7">
        <f t="shared" si="97"/>
        <v>2.2883463843764797</v>
      </c>
      <c r="Q478" s="7">
        <f t="shared" si="98"/>
        <v>0.81142586947503292</v>
      </c>
      <c r="R478" s="7">
        <f t="shared" si="99"/>
        <v>1.3957945016860727</v>
      </c>
      <c r="S478" s="7">
        <f t="shared" si="100"/>
        <v>0.91533273694250961</v>
      </c>
      <c r="T478" s="7">
        <f t="shared" si="101"/>
        <v>0.45525107519183194</v>
      </c>
      <c r="U478" s="7">
        <f t="shared" si="102"/>
        <v>0.89445104582386181</v>
      </c>
    </row>
    <row r="479" spans="1:21" x14ac:dyDescent="0.25">
      <c r="A479" s="1" t="s">
        <v>1674</v>
      </c>
      <c r="B479" s="1" t="s">
        <v>36</v>
      </c>
      <c r="C479" s="1">
        <v>27</v>
      </c>
      <c r="D479" s="1">
        <v>27</v>
      </c>
      <c r="E479" s="1">
        <v>11</v>
      </c>
      <c r="F479" s="1">
        <v>10</v>
      </c>
      <c r="G479" s="1">
        <v>75</v>
      </c>
      <c r="H479" s="7">
        <v>1.9644272343292228</v>
      </c>
      <c r="I479" s="7">
        <f t="shared" si="103"/>
        <v>22.694936708860759</v>
      </c>
      <c r="J479" s="7">
        <f t="shared" si="91"/>
        <v>5.3055534129377486</v>
      </c>
      <c r="K479" s="7">
        <f t="shared" si="92"/>
        <v>22.140506329113926</v>
      </c>
      <c r="L479" s="7">
        <f t="shared" si="93"/>
        <v>4.9144008395218908</v>
      </c>
      <c r="M479" s="7">
        <f t="shared" si="94"/>
        <v>10.069620253164556</v>
      </c>
      <c r="N479" s="7">
        <f t="shared" si="95"/>
        <v>2.1089377326145904</v>
      </c>
      <c r="O479" s="7">
        <f t="shared" si="96"/>
        <v>10.958227848101266</v>
      </c>
      <c r="P479" s="7">
        <f t="shared" si="97"/>
        <v>2.2883463843764797</v>
      </c>
      <c r="Q479" s="7">
        <f t="shared" si="98"/>
        <v>0.81142586947503292</v>
      </c>
      <c r="R479" s="7">
        <f t="shared" si="99"/>
        <v>0.98882729137716041</v>
      </c>
      <c r="S479" s="7">
        <f t="shared" si="100"/>
        <v>0.44116036829688182</v>
      </c>
      <c r="T479" s="7">
        <f t="shared" si="101"/>
        <v>-0.41874248349965643</v>
      </c>
      <c r="U479" s="7">
        <f t="shared" si="102"/>
        <v>0.45566776141235471</v>
      </c>
    </row>
    <row r="480" spans="1:21" x14ac:dyDescent="0.25">
      <c r="A480" s="1" t="s">
        <v>1674</v>
      </c>
      <c r="B480" s="1" t="s">
        <v>36</v>
      </c>
      <c r="C480" s="1">
        <v>17</v>
      </c>
      <c r="D480" s="1">
        <v>17</v>
      </c>
      <c r="E480" s="1">
        <v>9</v>
      </c>
      <c r="F480" s="1">
        <v>7</v>
      </c>
      <c r="G480" s="1">
        <v>50</v>
      </c>
      <c r="H480" s="7">
        <v>1.0681880176381131</v>
      </c>
      <c r="I480" s="7">
        <f t="shared" si="103"/>
        <v>22.694936708860759</v>
      </c>
      <c r="J480" s="7">
        <f t="shared" si="91"/>
        <v>5.3055534129377486</v>
      </c>
      <c r="K480" s="7">
        <f t="shared" si="92"/>
        <v>22.140506329113926</v>
      </c>
      <c r="L480" s="7">
        <f t="shared" si="93"/>
        <v>4.9144008395218908</v>
      </c>
      <c r="M480" s="7">
        <f t="shared" si="94"/>
        <v>10.069620253164556</v>
      </c>
      <c r="N480" s="7">
        <f t="shared" si="95"/>
        <v>2.1089377326145904</v>
      </c>
      <c r="O480" s="7">
        <f t="shared" si="96"/>
        <v>10.958227848101266</v>
      </c>
      <c r="P480" s="7">
        <f t="shared" si="97"/>
        <v>2.2883463843764797</v>
      </c>
      <c r="Q480" s="7">
        <f t="shared" si="98"/>
        <v>-1.0733916456242787</v>
      </c>
      <c r="R480" s="7">
        <f t="shared" si="99"/>
        <v>-1.0460087601674006</v>
      </c>
      <c r="S480" s="7">
        <f t="shared" si="100"/>
        <v>-0.5071843689943738</v>
      </c>
      <c r="T480" s="7">
        <f t="shared" si="101"/>
        <v>-1.729732821536889</v>
      </c>
      <c r="U480" s="7">
        <f t="shared" si="102"/>
        <v>-1.0890793990807355</v>
      </c>
    </row>
    <row r="481" spans="1:21" x14ac:dyDescent="0.25">
      <c r="A481" s="1" t="s">
        <v>1674</v>
      </c>
      <c r="B481" s="1" t="s">
        <v>36</v>
      </c>
      <c r="C481" s="1">
        <v>29</v>
      </c>
      <c r="D481" s="1">
        <v>24</v>
      </c>
      <c r="E481" s="1">
        <v>12</v>
      </c>
      <c r="F481" s="1">
        <v>13</v>
      </c>
      <c r="G481" s="1">
        <v>78</v>
      </c>
      <c r="H481" s="7">
        <v>1.5275252316519465</v>
      </c>
      <c r="I481" s="7">
        <f t="shared" si="103"/>
        <v>22.694936708860759</v>
      </c>
      <c r="J481" s="7">
        <f t="shared" si="91"/>
        <v>5.3055534129377486</v>
      </c>
      <c r="K481" s="7">
        <f t="shared" si="92"/>
        <v>22.140506329113926</v>
      </c>
      <c r="L481" s="7">
        <f t="shared" si="93"/>
        <v>4.9144008395218908</v>
      </c>
      <c r="M481" s="7">
        <f t="shared" si="94"/>
        <v>10.069620253164556</v>
      </c>
      <c r="N481" s="7">
        <f t="shared" si="95"/>
        <v>2.1089377326145904</v>
      </c>
      <c r="O481" s="7">
        <f t="shared" si="96"/>
        <v>10.958227848101266</v>
      </c>
      <c r="P481" s="7">
        <f t="shared" si="97"/>
        <v>2.2883463843764797</v>
      </c>
      <c r="Q481" s="7">
        <f t="shared" si="98"/>
        <v>1.1883893724948953</v>
      </c>
      <c r="R481" s="7">
        <f t="shared" si="99"/>
        <v>0.37837647591379209</v>
      </c>
      <c r="S481" s="7">
        <f t="shared" si="100"/>
        <v>0.91533273694250961</v>
      </c>
      <c r="T481" s="7">
        <f t="shared" si="101"/>
        <v>0.89224785453757616</v>
      </c>
      <c r="U481" s="7">
        <f t="shared" si="102"/>
        <v>0.84358660997219326</v>
      </c>
    </row>
    <row r="482" spans="1:21" x14ac:dyDescent="0.25">
      <c r="A482" s="1" t="s">
        <v>1674</v>
      </c>
      <c r="B482" s="1" t="s">
        <v>36</v>
      </c>
      <c r="C482" s="1">
        <v>23</v>
      </c>
      <c r="D482" s="1">
        <v>21</v>
      </c>
      <c r="E482" s="1">
        <v>12</v>
      </c>
      <c r="F482" s="1">
        <v>10</v>
      </c>
      <c r="G482" s="1">
        <v>66</v>
      </c>
      <c r="H482" s="7">
        <v>1.8009968749527976</v>
      </c>
      <c r="I482" s="7">
        <f t="shared" si="103"/>
        <v>22.694936708860759</v>
      </c>
      <c r="J482" s="7">
        <f t="shared" si="91"/>
        <v>5.3055534129377486</v>
      </c>
      <c r="K482" s="7">
        <f t="shared" si="92"/>
        <v>22.140506329113926</v>
      </c>
      <c r="L482" s="7">
        <f t="shared" si="93"/>
        <v>4.9144008395218908</v>
      </c>
      <c r="M482" s="7">
        <f t="shared" si="94"/>
        <v>10.069620253164556</v>
      </c>
      <c r="N482" s="7">
        <f t="shared" si="95"/>
        <v>2.1089377326145904</v>
      </c>
      <c r="O482" s="7">
        <f t="shared" si="96"/>
        <v>10.958227848101266</v>
      </c>
      <c r="P482" s="7">
        <f t="shared" si="97"/>
        <v>2.2883463843764797</v>
      </c>
      <c r="Q482" s="7">
        <f t="shared" si="98"/>
        <v>5.7498863435308259E-2</v>
      </c>
      <c r="R482" s="7">
        <f t="shared" si="99"/>
        <v>-0.23207433954957621</v>
      </c>
      <c r="S482" s="7">
        <f t="shared" si="100"/>
        <v>0.91533273694250961</v>
      </c>
      <c r="T482" s="7">
        <f t="shared" si="101"/>
        <v>-0.41874248349965643</v>
      </c>
      <c r="U482" s="7">
        <f t="shared" si="102"/>
        <v>8.0503694332146311E-2</v>
      </c>
    </row>
    <row r="483" spans="1:21" x14ac:dyDescent="0.25">
      <c r="A483" s="1" t="s">
        <v>1674</v>
      </c>
      <c r="B483" s="1" t="s">
        <v>36</v>
      </c>
      <c r="C483" s="1">
        <v>30</v>
      </c>
      <c r="D483" s="1">
        <v>23</v>
      </c>
      <c r="E483" s="1">
        <v>13</v>
      </c>
      <c r="F483" s="1">
        <v>14</v>
      </c>
      <c r="G483" s="1">
        <v>80</v>
      </c>
      <c r="H483" s="7">
        <v>1.863963243832607</v>
      </c>
      <c r="I483" s="7">
        <f t="shared" si="103"/>
        <v>22.694936708860759</v>
      </c>
      <c r="J483" s="7">
        <f t="shared" si="91"/>
        <v>5.3055534129377486</v>
      </c>
      <c r="K483" s="7">
        <f t="shared" si="92"/>
        <v>22.140506329113926</v>
      </c>
      <c r="L483" s="7">
        <f t="shared" si="93"/>
        <v>4.9144008395218908</v>
      </c>
      <c r="M483" s="7">
        <f t="shared" si="94"/>
        <v>10.069620253164556</v>
      </c>
      <c r="N483" s="7">
        <f t="shared" si="95"/>
        <v>2.1089377326145904</v>
      </c>
      <c r="O483" s="7">
        <f t="shared" si="96"/>
        <v>10.958227848101266</v>
      </c>
      <c r="P483" s="7">
        <f t="shared" si="97"/>
        <v>2.2883463843764797</v>
      </c>
      <c r="Q483" s="7">
        <f t="shared" si="98"/>
        <v>1.3768711240048266</v>
      </c>
      <c r="R483" s="7">
        <f t="shared" si="99"/>
        <v>0.17489287075933599</v>
      </c>
      <c r="S483" s="7">
        <f t="shared" si="100"/>
        <v>1.3895051055881373</v>
      </c>
      <c r="T483" s="7">
        <f t="shared" si="101"/>
        <v>1.3292446338833204</v>
      </c>
      <c r="U483" s="7">
        <f t="shared" si="102"/>
        <v>1.067628433558905</v>
      </c>
    </row>
    <row r="484" spans="1:21" x14ac:dyDescent="0.25">
      <c r="A484" s="1" t="s">
        <v>1674</v>
      </c>
      <c r="B484" s="1" t="s">
        <v>36</v>
      </c>
      <c r="C484" s="1">
        <v>28</v>
      </c>
      <c r="D484" s="1">
        <v>22</v>
      </c>
      <c r="E484" s="1">
        <v>11</v>
      </c>
      <c r="F484" s="1">
        <v>9</v>
      </c>
      <c r="G484" s="1">
        <v>70</v>
      </c>
      <c r="H484" s="7">
        <v>2.1423686866978775</v>
      </c>
      <c r="I484" s="7">
        <f t="shared" si="103"/>
        <v>22.694936708860759</v>
      </c>
      <c r="J484" s="7">
        <f t="shared" si="91"/>
        <v>5.3055534129377486</v>
      </c>
      <c r="K484" s="7">
        <f t="shared" si="92"/>
        <v>22.140506329113926</v>
      </c>
      <c r="L484" s="7">
        <f t="shared" si="93"/>
        <v>4.9144008395218908</v>
      </c>
      <c r="M484" s="7">
        <f t="shared" si="94"/>
        <v>10.069620253164556</v>
      </c>
      <c r="N484" s="7">
        <f t="shared" si="95"/>
        <v>2.1089377326145904</v>
      </c>
      <c r="O484" s="7">
        <f t="shared" si="96"/>
        <v>10.958227848101266</v>
      </c>
      <c r="P484" s="7">
        <f t="shared" si="97"/>
        <v>2.2883463843764797</v>
      </c>
      <c r="Q484" s="7">
        <f t="shared" si="98"/>
        <v>0.99990762098496411</v>
      </c>
      <c r="R484" s="7">
        <f t="shared" si="99"/>
        <v>-2.8590734395120113E-2</v>
      </c>
      <c r="S484" s="7">
        <f t="shared" si="100"/>
        <v>0.44116036829688182</v>
      </c>
      <c r="T484" s="7">
        <f t="shared" si="101"/>
        <v>-0.85573926284540058</v>
      </c>
      <c r="U484" s="7">
        <f t="shared" si="102"/>
        <v>0.13918449801033128</v>
      </c>
    </row>
    <row r="485" spans="1:21" x14ac:dyDescent="0.25">
      <c r="A485" s="1" t="s">
        <v>1674</v>
      </c>
      <c r="B485" s="1" t="s">
        <v>36</v>
      </c>
      <c r="C485" s="1">
        <v>8</v>
      </c>
      <c r="D485" s="1">
        <v>18</v>
      </c>
      <c r="E485" s="1">
        <v>12</v>
      </c>
      <c r="F485" s="1">
        <v>9</v>
      </c>
      <c r="G485" s="1">
        <v>47</v>
      </c>
      <c r="H485" s="7">
        <v>1.6602440351979151</v>
      </c>
      <c r="I485" s="7">
        <f t="shared" si="103"/>
        <v>22.694936708860759</v>
      </c>
      <c r="J485" s="7">
        <f t="shared" si="91"/>
        <v>5.3055534129377486</v>
      </c>
      <c r="K485" s="7">
        <f t="shared" si="92"/>
        <v>22.140506329113926</v>
      </c>
      <c r="L485" s="7">
        <f t="shared" si="93"/>
        <v>4.9144008395218908</v>
      </c>
      <c r="M485" s="7">
        <f t="shared" si="94"/>
        <v>10.069620253164556</v>
      </c>
      <c r="N485" s="7">
        <f t="shared" si="95"/>
        <v>2.1089377326145904</v>
      </c>
      <c r="O485" s="7">
        <f t="shared" si="96"/>
        <v>10.958227848101266</v>
      </c>
      <c r="P485" s="7">
        <f t="shared" si="97"/>
        <v>2.2883463843764797</v>
      </c>
      <c r="Q485" s="7">
        <f t="shared" si="98"/>
        <v>-2.7697274092136595</v>
      </c>
      <c r="R485" s="7">
        <f t="shared" si="99"/>
        <v>-0.84252515501294456</v>
      </c>
      <c r="S485" s="7">
        <f t="shared" si="100"/>
        <v>0.91533273694250961</v>
      </c>
      <c r="T485" s="7">
        <f t="shared" si="101"/>
        <v>-0.85573926284540058</v>
      </c>
      <c r="U485" s="7">
        <f t="shared" si="102"/>
        <v>-0.8881647725323738</v>
      </c>
    </row>
    <row r="486" spans="1:21" x14ac:dyDescent="0.25">
      <c r="A486" s="1" t="s">
        <v>1674</v>
      </c>
      <c r="B486" s="1" t="s">
        <v>36</v>
      </c>
      <c r="C486" s="1">
        <v>30</v>
      </c>
      <c r="D486" s="1">
        <v>25</v>
      </c>
      <c r="E486" s="1">
        <v>12</v>
      </c>
      <c r="F486" s="1">
        <v>12</v>
      </c>
      <c r="G486" s="1">
        <v>79</v>
      </c>
      <c r="H486" s="7">
        <v>1.9774368283857795</v>
      </c>
      <c r="I486" s="7">
        <f t="shared" si="103"/>
        <v>22.694936708860759</v>
      </c>
      <c r="J486" s="7">
        <f t="shared" si="91"/>
        <v>5.3055534129377486</v>
      </c>
      <c r="K486" s="7">
        <f t="shared" si="92"/>
        <v>22.140506329113926</v>
      </c>
      <c r="L486" s="7">
        <f t="shared" si="93"/>
        <v>4.9144008395218908</v>
      </c>
      <c r="M486" s="7">
        <f t="shared" si="94"/>
        <v>10.069620253164556</v>
      </c>
      <c r="N486" s="7">
        <f t="shared" si="95"/>
        <v>2.1089377326145904</v>
      </c>
      <c r="O486" s="7">
        <f t="shared" si="96"/>
        <v>10.958227848101266</v>
      </c>
      <c r="P486" s="7">
        <f t="shared" si="97"/>
        <v>2.2883463843764797</v>
      </c>
      <c r="Q486" s="7">
        <f t="shared" si="98"/>
        <v>1.3768711240048266</v>
      </c>
      <c r="R486" s="7">
        <f t="shared" si="99"/>
        <v>0.58186008106824816</v>
      </c>
      <c r="S486" s="7">
        <f t="shared" si="100"/>
        <v>0.91533273694250961</v>
      </c>
      <c r="T486" s="7">
        <f t="shared" si="101"/>
        <v>0.45525107519183194</v>
      </c>
      <c r="U486" s="7">
        <f t="shared" si="102"/>
        <v>0.83232875430185405</v>
      </c>
    </row>
    <row r="487" spans="1:21" x14ac:dyDescent="0.25">
      <c r="A487" s="1" t="s">
        <v>1674</v>
      </c>
      <c r="B487" s="1" t="s">
        <v>36</v>
      </c>
      <c r="C487" s="1">
        <v>23</v>
      </c>
      <c r="D487" s="1">
        <v>20</v>
      </c>
      <c r="E487" s="1">
        <v>10</v>
      </c>
      <c r="F487" s="1">
        <v>12</v>
      </c>
      <c r="G487" s="1">
        <v>65</v>
      </c>
      <c r="H487" s="7">
        <v>1.3540064007726598</v>
      </c>
      <c r="I487" s="7">
        <f t="shared" si="103"/>
        <v>22.694936708860759</v>
      </c>
      <c r="J487" s="7">
        <f t="shared" si="91"/>
        <v>5.3055534129377486</v>
      </c>
      <c r="K487" s="7">
        <f t="shared" si="92"/>
        <v>22.140506329113926</v>
      </c>
      <c r="L487" s="7">
        <f t="shared" si="93"/>
        <v>4.9144008395218908</v>
      </c>
      <c r="M487" s="7">
        <f t="shared" si="94"/>
        <v>10.069620253164556</v>
      </c>
      <c r="N487" s="7">
        <f t="shared" si="95"/>
        <v>2.1089377326145904</v>
      </c>
      <c r="O487" s="7">
        <f t="shared" si="96"/>
        <v>10.958227848101266</v>
      </c>
      <c r="P487" s="7">
        <f t="shared" si="97"/>
        <v>2.2883463843764797</v>
      </c>
      <c r="Q487" s="7">
        <f t="shared" si="98"/>
        <v>5.7498863435308259E-2</v>
      </c>
      <c r="R487" s="7">
        <f t="shared" si="99"/>
        <v>-0.43555794470403231</v>
      </c>
      <c r="S487" s="7">
        <f t="shared" si="100"/>
        <v>-3.3012000348745997E-2</v>
      </c>
      <c r="T487" s="7">
        <f t="shared" si="101"/>
        <v>0.45525107519183194</v>
      </c>
      <c r="U487" s="7">
        <f t="shared" si="102"/>
        <v>1.1044998393590466E-2</v>
      </c>
    </row>
    <row r="488" spans="1:21" x14ac:dyDescent="0.25">
      <c r="A488" s="1" t="s">
        <v>1674</v>
      </c>
      <c r="B488" s="1" t="s">
        <v>36</v>
      </c>
      <c r="C488" s="1">
        <v>26</v>
      </c>
      <c r="D488" s="1">
        <v>25</v>
      </c>
      <c r="E488" s="1">
        <v>8</v>
      </c>
      <c r="F488" s="1">
        <v>10</v>
      </c>
      <c r="G488" s="1">
        <v>69</v>
      </c>
      <c r="H488" s="7">
        <v>2.4961508830135308</v>
      </c>
      <c r="I488" s="7">
        <f t="shared" si="103"/>
        <v>22.694936708860759</v>
      </c>
      <c r="J488" s="7">
        <f t="shared" si="91"/>
        <v>5.3055534129377486</v>
      </c>
      <c r="K488" s="7">
        <f t="shared" si="92"/>
        <v>22.140506329113926</v>
      </c>
      <c r="L488" s="7">
        <f t="shared" si="93"/>
        <v>4.9144008395218908</v>
      </c>
      <c r="M488" s="7">
        <f t="shared" si="94"/>
        <v>10.069620253164556</v>
      </c>
      <c r="N488" s="7">
        <f t="shared" si="95"/>
        <v>2.1089377326145904</v>
      </c>
      <c r="O488" s="7">
        <f t="shared" si="96"/>
        <v>10.958227848101266</v>
      </c>
      <c r="P488" s="7">
        <f t="shared" si="97"/>
        <v>2.2883463843764797</v>
      </c>
      <c r="Q488" s="7">
        <f t="shared" si="98"/>
        <v>0.62294411796510174</v>
      </c>
      <c r="R488" s="7">
        <f t="shared" si="99"/>
        <v>0.58186008106824816</v>
      </c>
      <c r="S488" s="7">
        <f t="shared" si="100"/>
        <v>-0.98135673764000164</v>
      </c>
      <c r="T488" s="7">
        <f t="shared" si="101"/>
        <v>-0.41874248349965643</v>
      </c>
      <c r="U488" s="7">
        <f t="shared" si="102"/>
        <v>-4.8823755526577015E-2</v>
      </c>
    </row>
    <row r="489" spans="1:21" x14ac:dyDescent="0.25">
      <c r="A489" s="1" t="s">
        <v>1674</v>
      </c>
      <c r="B489" s="1" t="s">
        <v>36</v>
      </c>
      <c r="C489" s="1">
        <v>25</v>
      </c>
      <c r="D489" s="1">
        <v>23</v>
      </c>
      <c r="E489" s="1">
        <v>11</v>
      </c>
      <c r="F489" s="1">
        <v>13</v>
      </c>
      <c r="G489" s="1">
        <v>72</v>
      </c>
      <c r="H489" s="7">
        <v>1.5607361839521232</v>
      </c>
      <c r="I489" s="7">
        <f t="shared" si="103"/>
        <v>22.694936708860759</v>
      </c>
      <c r="J489" s="7">
        <f t="shared" si="91"/>
        <v>5.3055534129377486</v>
      </c>
      <c r="K489" s="7">
        <f t="shared" si="92"/>
        <v>22.140506329113926</v>
      </c>
      <c r="L489" s="7">
        <f t="shared" si="93"/>
        <v>4.9144008395218908</v>
      </c>
      <c r="M489" s="7">
        <f t="shared" si="94"/>
        <v>10.069620253164556</v>
      </c>
      <c r="N489" s="7">
        <f t="shared" si="95"/>
        <v>2.1089377326145904</v>
      </c>
      <c r="O489" s="7">
        <f t="shared" si="96"/>
        <v>10.958227848101266</v>
      </c>
      <c r="P489" s="7">
        <f t="shared" si="97"/>
        <v>2.2883463843764797</v>
      </c>
      <c r="Q489" s="7">
        <f t="shared" si="98"/>
        <v>0.43446236645517061</v>
      </c>
      <c r="R489" s="7">
        <f t="shared" si="99"/>
        <v>0.17489287075933599</v>
      </c>
      <c r="S489" s="7">
        <f t="shared" si="100"/>
        <v>0.44116036829688182</v>
      </c>
      <c r="T489" s="7">
        <f t="shared" si="101"/>
        <v>0.89224785453757616</v>
      </c>
      <c r="U489" s="7">
        <f t="shared" si="102"/>
        <v>0.48569086501224112</v>
      </c>
    </row>
    <row r="490" spans="1:21" x14ac:dyDescent="0.25">
      <c r="A490" s="1" t="s">
        <v>1674</v>
      </c>
      <c r="B490" s="1" t="s">
        <v>36</v>
      </c>
      <c r="C490" s="1">
        <v>33</v>
      </c>
      <c r="D490" s="1">
        <v>21</v>
      </c>
      <c r="E490" s="1">
        <v>10</v>
      </c>
      <c r="F490" s="1">
        <v>12</v>
      </c>
      <c r="G490" s="1">
        <v>76</v>
      </c>
      <c r="H490" s="7">
        <v>2.3038429433649137</v>
      </c>
      <c r="I490" s="7">
        <f t="shared" si="103"/>
        <v>22.694936708860759</v>
      </c>
      <c r="J490" s="7">
        <f t="shared" si="91"/>
        <v>5.3055534129377486</v>
      </c>
      <c r="K490" s="7">
        <f t="shared" si="92"/>
        <v>22.140506329113926</v>
      </c>
      <c r="L490" s="7">
        <f t="shared" si="93"/>
        <v>4.9144008395218908</v>
      </c>
      <c r="M490" s="7">
        <f t="shared" si="94"/>
        <v>10.069620253164556</v>
      </c>
      <c r="N490" s="7">
        <f t="shared" si="95"/>
        <v>2.1089377326145904</v>
      </c>
      <c r="O490" s="7">
        <f t="shared" si="96"/>
        <v>10.958227848101266</v>
      </c>
      <c r="P490" s="7">
        <f t="shared" si="97"/>
        <v>2.2883463843764797</v>
      </c>
      <c r="Q490" s="7">
        <f t="shared" si="98"/>
        <v>1.94231637853462</v>
      </c>
      <c r="R490" s="7">
        <f t="shared" si="99"/>
        <v>-0.23207433954957621</v>
      </c>
      <c r="S490" s="7">
        <f t="shared" si="100"/>
        <v>-3.3012000348745997E-2</v>
      </c>
      <c r="T490" s="7">
        <f t="shared" si="101"/>
        <v>0.45525107519183194</v>
      </c>
      <c r="U490" s="7">
        <f t="shared" si="102"/>
        <v>0.53312027845703247</v>
      </c>
    </row>
    <row r="491" spans="1:21" x14ac:dyDescent="0.25">
      <c r="A491" s="1" t="s">
        <v>1674</v>
      </c>
      <c r="B491" s="1" t="s">
        <v>36</v>
      </c>
      <c r="C491" s="1">
        <v>21</v>
      </c>
      <c r="D491" s="1">
        <v>24</v>
      </c>
      <c r="E491" s="1">
        <v>11</v>
      </c>
      <c r="F491" s="1">
        <v>11</v>
      </c>
      <c r="G491" s="1">
        <v>67</v>
      </c>
      <c r="H491" s="7">
        <v>1.6756169931378433</v>
      </c>
      <c r="I491" s="7">
        <f t="shared" si="103"/>
        <v>22.694936708860759</v>
      </c>
      <c r="J491" s="7">
        <f t="shared" si="91"/>
        <v>5.3055534129377486</v>
      </c>
      <c r="K491" s="7">
        <f t="shared" si="92"/>
        <v>22.140506329113926</v>
      </c>
      <c r="L491" s="7">
        <f t="shared" si="93"/>
        <v>4.9144008395218908</v>
      </c>
      <c r="M491" s="7">
        <f t="shared" si="94"/>
        <v>10.069620253164556</v>
      </c>
      <c r="N491" s="7">
        <f t="shared" si="95"/>
        <v>2.1089377326145904</v>
      </c>
      <c r="O491" s="7">
        <f t="shared" si="96"/>
        <v>10.958227848101266</v>
      </c>
      <c r="P491" s="7">
        <f t="shared" si="97"/>
        <v>2.2883463843764797</v>
      </c>
      <c r="Q491" s="7">
        <f t="shared" si="98"/>
        <v>-0.31946463958455407</v>
      </c>
      <c r="R491" s="7">
        <f t="shared" si="99"/>
        <v>0.37837647591379209</v>
      </c>
      <c r="S491" s="7">
        <f t="shared" si="100"/>
        <v>0.44116036829688182</v>
      </c>
      <c r="T491" s="7">
        <f t="shared" si="101"/>
        <v>1.8254295846087756E-2</v>
      </c>
      <c r="U491" s="7">
        <f t="shared" si="102"/>
        <v>0.12958162511805191</v>
      </c>
    </row>
    <row r="492" spans="1:21" x14ac:dyDescent="0.25">
      <c r="A492" s="1" t="s">
        <v>1674</v>
      </c>
      <c r="B492" s="1" t="s">
        <v>36</v>
      </c>
      <c r="C492" s="1">
        <v>28</v>
      </c>
      <c r="D492" s="1">
        <v>27</v>
      </c>
      <c r="E492" s="1">
        <v>12</v>
      </c>
      <c r="F492" s="1">
        <v>12</v>
      </c>
      <c r="G492" s="1">
        <v>79</v>
      </c>
      <c r="H492" s="7">
        <v>1.9774368283857793</v>
      </c>
      <c r="I492" s="7">
        <f t="shared" si="103"/>
        <v>22.694936708860759</v>
      </c>
      <c r="J492" s="7">
        <f t="shared" si="91"/>
        <v>5.3055534129377486</v>
      </c>
      <c r="K492" s="7">
        <f t="shared" si="92"/>
        <v>22.140506329113926</v>
      </c>
      <c r="L492" s="7">
        <f t="shared" si="93"/>
        <v>4.9144008395218908</v>
      </c>
      <c r="M492" s="7">
        <f t="shared" si="94"/>
        <v>10.069620253164556</v>
      </c>
      <c r="N492" s="7">
        <f t="shared" si="95"/>
        <v>2.1089377326145904</v>
      </c>
      <c r="O492" s="7">
        <f t="shared" si="96"/>
        <v>10.958227848101266</v>
      </c>
      <c r="P492" s="7">
        <f t="shared" si="97"/>
        <v>2.2883463843764797</v>
      </c>
      <c r="Q492" s="7">
        <f t="shared" si="98"/>
        <v>0.99990762098496411</v>
      </c>
      <c r="R492" s="7">
        <f t="shared" si="99"/>
        <v>0.98882729137716041</v>
      </c>
      <c r="S492" s="7">
        <f t="shared" si="100"/>
        <v>0.91533273694250961</v>
      </c>
      <c r="T492" s="7">
        <f t="shared" si="101"/>
        <v>0.45525107519183194</v>
      </c>
      <c r="U492" s="7">
        <f t="shared" si="102"/>
        <v>0.83982968112411649</v>
      </c>
    </row>
    <row r="493" spans="1:21" x14ac:dyDescent="0.25">
      <c r="A493" s="1" t="s">
        <v>1674</v>
      </c>
      <c r="B493" s="1" t="s">
        <v>36</v>
      </c>
      <c r="C493" s="1">
        <v>30</v>
      </c>
      <c r="D493" s="1">
        <v>29</v>
      </c>
      <c r="E493" s="1">
        <v>14</v>
      </c>
      <c r="F493" s="1">
        <v>11</v>
      </c>
      <c r="G493" s="1">
        <v>84</v>
      </c>
      <c r="H493" s="7">
        <v>2.3315011121372935</v>
      </c>
      <c r="I493" s="7">
        <f t="shared" si="103"/>
        <v>22.694936708860759</v>
      </c>
      <c r="J493" s="7">
        <f t="shared" si="91"/>
        <v>5.3055534129377486</v>
      </c>
      <c r="K493" s="7">
        <f t="shared" si="92"/>
        <v>22.140506329113926</v>
      </c>
      <c r="L493" s="7">
        <f t="shared" si="93"/>
        <v>4.9144008395218908</v>
      </c>
      <c r="M493" s="7">
        <f t="shared" si="94"/>
        <v>10.069620253164556</v>
      </c>
      <c r="N493" s="7">
        <f t="shared" si="95"/>
        <v>2.1089377326145904</v>
      </c>
      <c r="O493" s="7">
        <f t="shared" si="96"/>
        <v>10.958227848101266</v>
      </c>
      <c r="P493" s="7">
        <f t="shared" si="97"/>
        <v>2.2883463843764797</v>
      </c>
      <c r="Q493" s="7">
        <f t="shared" si="98"/>
        <v>1.3768711240048266</v>
      </c>
      <c r="R493" s="7">
        <f t="shared" si="99"/>
        <v>1.3957945016860727</v>
      </c>
      <c r="S493" s="7">
        <f t="shared" si="100"/>
        <v>1.8636774742337652</v>
      </c>
      <c r="T493" s="7">
        <f t="shared" si="101"/>
        <v>1.8254295846087756E-2</v>
      </c>
      <c r="U493" s="7">
        <f t="shared" si="102"/>
        <v>1.163649348942688</v>
      </c>
    </row>
    <row r="494" spans="1:21" x14ac:dyDescent="0.25">
      <c r="A494" s="1" t="s">
        <v>1675</v>
      </c>
      <c r="B494" s="1" t="s">
        <v>36</v>
      </c>
      <c r="C494" s="1">
        <v>19</v>
      </c>
      <c r="D494" s="1">
        <v>15</v>
      </c>
      <c r="E494" s="1">
        <v>9</v>
      </c>
      <c r="F494" s="1">
        <v>10</v>
      </c>
      <c r="G494" s="1">
        <v>53</v>
      </c>
      <c r="H494" s="7">
        <v>0.9540735874430285</v>
      </c>
      <c r="I494" s="7">
        <f t="shared" si="103"/>
        <v>22.694936708860759</v>
      </c>
      <c r="J494" s="7">
        <f t="shared" si="91"/>
        <v>5.3055534129377486</v>
      </c>
      <c r="K494" s="7">
        <f t="shared" si="92"/>
        <v>22.140506329113926</v>
      </c>
      <c r="L494" s="7">
        <f t="shared" si="93"/>
        <v>4.9144008395218908</v>
      </c>
      <c r="M494" s="7">
        <f t="shared" si="94"/>
        <v>10.069620253164556</v>
      </c>
      <c r="N494" s="7">
        <f t="shared" si="95"/>
        <v>2.1089377326145904</v>
      </c>
      <c r="O494" s="7">
        <f t="shared" si="96"/>
        <v>10.958227848101266</v>
      </c>
      <c r="P494" s="7">
        <f t="shared" si="97"/>
        <v>2.2883463843764797</v>
      </c>
      <c r="Q494" s="7">
        <f t="shared" si="98"/>
        <v>-0.69642814260441643</v>
      </c>
      <c r="R494" s="7">
        <f t="shared" si="99"/>
        <v>-1.4529759704763128</v>
      </c>
      <c r="S494" s="7">
        <f t="shared" si="100"/>
        <v>-0.5071843689943738</v>
      </c>
      <c r="T494" s="7">
        <f t="shared" si="101"/>
        <v>-0.41874248349965643</v>
      </c>
      <c r="U494" s="7">
        <f t="shared" si="102"/>
        <v>-0.76883274139368984</v>
      </c>
    </row>
    <row r="495" spans="1:21" x14ac:dyDescent="0.25">
      <c r="A495" s="1" t="s">
        <v>1675</v>
      </c>
      <c r="B495" s="1" t="s">
        <v>36</v>
      </c>
      <c r="C495" s="1">
        <v>27</v>
      </c>
      <c r="D495" s="1">
        <v>25</v>
      </c>
      <c r="E495" s="1">
        <v>13</v>
      </c>
      <c r="F495" s="1">
        <v>7</v>
      </c>
      <c r="G495" s="1">
        <v>72</v>
      </c>
      <c r="H495" s="7">
        <v>2.106157030208677</v>
      </c>
      <c r="I495" s="7">
        <f t="shared" si="103"/>
        <v>22.694936708860759</v>
      </c>
      <c r="J495" s="7">
        <f t="shared" si="91"/>
        <v>5.3055534129377486</v>
      </c>
      <c r="K495" s="7">
        <f t="shared" si="92"/>
        <v>22.140506329113926</v>
      </c>
      <c r="L495" s="7">
        <f t="shared" si="93"/>
        <v>4.9144008395218908</v>
      </c>
      <c r="M495" s="7">
        <f t="shared" si="94"/>
        <v>10.069620253164556</v>
      </c>
      <c r="N495" s="7">
        <f t="shared" si="95"/>
        <v>2.1089377326145904</v>
      </c>
      <c r="O495" s="7">
        <f t="shared" si="96"/>
        <v>10.958227848101266</v>
      </c>
      <c r="P495" s="7">
        <f t="shared" si="97"/>
        <v>2.2883463843764797</v>
      </c>
      <c r="Q495" s="7">
        <f t="shared" si="98"/>
        <v>0.81142586947503292</v>
      </c>
      <c r="R495" s="7">
        <f t="shared" si="99"/>
        <v>0.58186008106824816</v>
      </c>
      <c r="S495" s="7">
        <f t="shared" si="100"/>
        <v>1.3895051055881373</v>
      </c>
      <c r="T495" s="7">
        <f t="shared" si="101"/>
        <v>-1.729732821536889</v>
      </c>
      <c r="U495" s="7">
        <f t="shared" si="102"/>
        <v>0.2632645586486323</v>
      </c>
    </row>
    <row r="496" spans="1:21" x14ac:dyDescent="0.25">
      <c r="A496" s="1" t="s">
        <v>1675</v>
      </c>
      <c r="B496" s="1" t="s">
        <v>36</v>
      </c>
      <c r="C496" s="1">
        <v>25</v>
      </c>
      <c r="D496" s="1">
        <v>21</v>
      </c>
      <c r="E496" s="1">
        <v>12</v>
      </c>
      <c r="F496" s="1">
        <v>12</v>
      </c>
      <c r="G496" s="1">
        <v>70</v>
      </c>
      <c r="H496" s="7">
        <v>1.6602440351979153</v>
      </c>
      <c r="I496" s="7">
        <f t="shared" si="103"/>
        <v>22.694936708860759</v>
      </c>
      <c r="J496" s="7">
        <f t="shared" si="91"/>
        <v>5.3055534129377486</v>
      </c>
      <c r="K496" s="7">
        <f t="shared" si="92"/>
        <v>22.140506329113926</v>
      </c>
      <c r="L496" s="7">
        <f t="shared" si="93"/>
        <v>4.9144008395218908</v>
      </c>
      <c r="M496" s="7">
        <f t="shared" si="94"/>
        <v>10.069620253164556</v>
      </c>
      <c r="N496" s="7">
        <f t="shared" si="95"/>
        <v>2.1089377326145904</v>
      </c>
      <c r="O496" s="7">
        <f t="shared" si="96"/>
        <v>10.958227848101266</v>
      </c>
      <c r="P496" s="7">
        <f t="shared" si="97"/>
        <v>2.2883463843764797</v>
      </c>
      <c r="Q496" s="7">
        <f t="shared" si="98"/>
        <v>0.43446236645517061</v>
      </c>
      <c r="R496" s="7">
        <f t="shared" si="99"/>
        <v>-0.23207433954957621</v>
      </c>
      <c r="S496" s="7">
        <f t="shared" si="100"/>
        <v>0.91533273694250961</v>
      </c>
      <c r="T496" s="7">
        <f t="shared" si="101"/>
        <v>0.45525107519183194</v>
      </c>
      <c r="U496" s="7">
        <f t="shared" si="102"/>
        <v>0.39324295975998397</v>
      </c>
    </row>
    <row r="497" spans="1:21" x14ac:dyDescent="0.25">
      <c r="A497" s="1" t="s">
        <v>1675</v>
      </c>
      <c r="B497" s="1" t="s">
        <v>36</v>
      </c>
      <c r="C497" s="1">
        <v>29</v>
      </c>
      <c r="D497" s="1">
        <v>28</v>
      </c>
      <c r="E497" s="1">
        <v>12</v>
      </c>
      <c r="F497" s="1">
        <v>14</v>
      </c>
      <c r="G497" s="1">
        <v>83</v>
      </c>
      <c r="H497" s="7">
        <v>1.7097008285302209</v>
      </c>
      <c r="I497" s="7">
        <f t="shared" si="103"/>
        <v>22.694936708860759</v>
      </c>
      <c r="J497" s="7">
        <f t="shared" si="91"/>
        <v>5.3055534129377486</v>
      </c>
      <c r="K497" s="7">
        <f t="shared" si="92"/>
        <v>22.140506329113926</v>
      </c>
      <c r="L497" s="7">
        <f t="shared" si="93"/>
        <v>4.9144008395218908</v>
      </c>
      <c r="M497" s="7">
        <f t="shared" si="94"/>
        <v>10.069620253164556</v>
      </c>
      <c r="N497" s="7">
        <f t="shared" si="95"/>
        <v>2.1089377326145904</v>
      </c>
      <c r="O497" s="7">
        <f t="shared" si="96"/>
        <v>10.958227848101266</v>
      </c>
      <c r="P497" s="7">
        <f t="shared" si="97"/>
        <v>2.2883463843764797</v>
      </c>
      <c r="Q497" s="7">
        <f t="shared" si="98"/>
        <v>1.1883893724948953</v>
      </c>
      <c r="R497" s="7">
        <f t="shared" si="99"/>
        <v>1.1923108965316165</v>
      </c>
      <c r="S497" s="7">
        <f t="shared" si="100"/>
        <v>0.91533273694250961</v>
      </c>
      <c r="T497" s="7">
        <f t="shared" si="101"/>
        <v>1.3292446338833204</v>
      </c>
      <c r="U497" s="7">
        <f t="shared" si="102"/>
        <v>1.1563194099630854</v>
      </c>
    </row>
    <row r="498" spans="1:21" x14ac:dyDescent="0.25">
      <c r="A498" s="1" t="s">
        <v>1675</v>
      </c>
      <c r="B498" s="1" t="s">
        <v>36</v>
      </c>
      <c r="C498" s="1">
        <v>25</v>
      </c>
      <c r="D498" s="1">
        <v>23</v>
      </c>
      <c r="E498" s="1">
        <v>11</v>
      </c>
      <c r="F498" s="1">
        <v>14</v>
      </c>
      <c r="G498" s="1">
        <v>73</v>
      </c>
      <c r="H498" s="7">
        <v>1.1929278784054478</v>
      </c>
      <c r="I498" s="7">
        <f t="shared" si="103"/>
        <v>22.694936708860759</v>
      </c>
      <c r="J498" s="7">
        <f t="shared" si="91"/>
        <v>5.3055534129377486</v>
      </c>
      <c r="K498" s="7">
        <f t="shared" si="92"/>
        <v>22.140506329113926</v>
      </c>
      <c r="L498" s="7">
        <f t="shared" si="93"/>
        <v>4.9144008395218908</v>
      </c>
      <c r="M498" s="7">
        <f t="shared" si="94"/>
        <v>10.069620253164556</v>
      </c>
      <c r="N498" s="7">
        <f t="shared" si="95"/>
        <v>2.1089377326145904</v>
      </c>
      <c r="O498" s="7">
        <f t="shared" si="96"/>
        <v>10.958227848101266</v>
      </c>
      <c r="P498" s="7">
        <f t="shared" si="97"/>
        <v>2.2883463843764797</v>
      </c>
      <c r="Q498" s="7">
        <f t="shared" si="98"/>
        <v>0.43446236645517061</v>
      </c>
      <c r="R498" s="7">
        <f t="shared" si="99"/>
        <v>0.17489287075933599</v>
      </c>
      <c r="S498" s="7">
        <f t="shared" si="100"/>
        <v>0.44116036829688182</v>
      </c>
      <c r="T498" s="7">
        <f t="shared" si="101"/>
        <v>1.3292446338833204</v>
      </c>
      <c r="U498" s="7">
        <f t="shared" si="102"/>
        <v>0.59494005984867715</v>
      </c>
    </row>
    <row r="499" spans="1:21" x14ac:dyDescent="0.25">
      <c r="A499" s="1" t="s">
        <v>1675</v>
      </c>
      <c r="B499" s="1" t="s">
        <v>36</v>
      </c>
      <c r="C499" s="1">
        <v>27</v>
      </c>
      <c r="D499" s="1">
        <v>23</v>
      </c>
      <c r="E499" s="1">
        <v>10</v>
      </c>
      <c r="F499" s="1">
        <v>12</v>
      </c>
      <c r="G499" s="1">
        <v>72</v>
      </c>
      <c r="H499" s="7">
        <v>1.5063966175050874</v>
      </c>
      <c r="I499" s="7">
        <f t="shared" si="103"/>
        <v>22.694936708860759</v>
      </c>
      <c r="J499" s="7">
        <f t="shared" si="91"/>
        <v>5.3055534129377486</v>
      </c>
      <c r="K499" s="7">
        <f t="shared" si="92"/>
        <v>22.140506329113926</v>
      </c>
      <c r="L499" s="7">
        <f t="shared" si="93"/>
        <v>4.9144008395218908</v>
      </c>
      <c r="M499" s="7">
        <f t="shared" si="94"/>
        <v>10.069620253164556</v>
      </c>
      <c r="N499" s="7">
        <f t="shared" si="95"/>
        <v>2.1089377326145904</v>
      </c>
      <c r="O499" s="7">
        <f t="shared" si="96"/>
        <v>10.958227848101266</v>
      </c>
      <c r="P499" s="7">
        <f t="shared" si="97"/>
        <v>2.2883463843764797</v>
      </c>
      <c r="Q499" s="7">
        <f t="shared" si="98"/>
        <v>0.81142586947503292</v>
      </c>
      <c r="R499" s="7">
        <f t="shared" si="99"/>
        <v>0.17489287075933599</v>
      </c>
      <c r="S499" s="7">
        <f t="shared" si="100"/>
        <v>-3.3012000348745997E-2</v>
      </c>
      <c r="T499" s="7">
        <f t="shared" si="101"/>
        <v>0.45525107519183194</v>
      </c>
      <c r="U499" s="7">
        <f t="shared" si="102"/>
        <v>0.35213945376936373</v>
      </c>
    </row>
    <row r="500" spans="1:21" x14ac:dyDescent="0.25">
      <c r="A500" s="1" t="s">
        <v>1675</v>
      </c>
      <c r="B500" s="1" t="s">
        <v>36</v>
      </c>
      <c r="C500" s="1">
        <v>24</v>
      </c>
      <c r="D500" s="1">
        <v>18</v>
      </c>
      <c r="E500" s="1">
        <v>8</v>
      </c>
      <c r="F500" s="1">
        <v>10</v>
      </c>
      <c r="G500" s="1">
        <v>60</v>
      </c>
      <c r="H500" s="7">
        <v>1.3867504905630723</v>
      </c>
      <c r="I500" s="7">
        <f t="shared" si="103"/>
        <v>22.694936708860759</v>
      </c>
      <c r="J500" s="7">
        <f t="shared" si="91"/>
        <v>5.3055534129377486</v>
      </c>
      <c r="K500" s="7">
        <f t="shared" si="92"/>
        <v>22.140506329113926</v>
      </c>
      <c r="L500" s="7">
        <f t="shared" si="93"/>
        <v>4.9144008395218908</v>
      </c>
      <c r="M500" s="7">
        <f t="shared" si="94"/>
        <v>10.069620253164556</v>
      </c>
      <c r="N500" s="7">
        <f t="shared" si="95"/>
        <v>2.1089377326145904</v>
      </c>
      <c r="O500" s="7">
        <f t="shared" si="96"/>
        <v>10.958227848101266</v>
      </c>
      <c r="P500" s="7">
        <f t="shared" si="97"/>
        <v>2.2883463843764797</v>
      </c>
      <c r="Q500" s="7">
        <f t="shared" si="98"/>
        <v>0.24598061494523943</v>
      </c>
      <c r="R500" s="7">
        <f t="shared" si="99"/>
        <v>-0.84252515501294456</v>
      </c>
      <c r="S500" s="7">
        <f t="shared" si="100"/>
        <v>-0.98135673764000164</v>
      </c>
      <c r="T500" s="7">
        <f t="shared" si="101"/>
        <v>-0.41874248349965643</v>
      </c>
      <c r="U500" s="7">
        <f t="shared" si="102"/>
        <v>-0.49916094030184083</v>
      </c>
    </row>
    <row r="501" spans="1:21" x14ac:dyDescent="0.25">
      <c r="A501" s="1" t="s">
        <v>1675</v>
      </c>
      <c r="B501" s="1" t="s">
        <v>36</v>
      </c>
      <c r="C501" s="1">
        <v>21</v>
      </c>
      <c r="D501" s="1">
        <v>29</v>
      </c>
      <c r="E501" s="1">
        <v>11</v>
      </c>
      <c r="F501" s="1">
        <v>13</v>
      </c>
      <c r="G501" s="1">
        <v>74</v>
      </c>
      <c r="H501" s="7">
        <v>1.7504578155735611</v>
      </c>
      <c r="I501" s="7">
        <f t="shared" si="103"/>
        <v>22.694936708860759</v>
      </c>
      <c r="J501" s="7">
        <f t="shared" si="91"/>
        <v>5.3055534129377486</v>
      </c>
      <c r="K501" s="7">
        <f t="shared" si="92"/>
        <v>22.140506329113926</v>
      </c>
      <c r="L501" s="7">
        <f t="shared" si="93"/>
        <v>4.9144008395218908</v>
      </c>
      <c r="M501" s="7">
        <f t="shared" si="94"/>
        <v>10.069620253164556</v>
      </c>
      <c r="N501" s="7">
        <f t="shared" si="95"/>
        <v>2.1089377326145904</v>
      </c>
      <c r="O501" s="7">
        <f t="shared" si="96"/>
        <v>10.958227848101266</v>
      </c>
      <c r="P501" s="7">
        <f t="shared" si="97"/>
        <v>2.2883463843764797</v>
      </c>
      <c r="Q501" s="7">
        <f t="shared" si="98"/>
        <v>-0.31946463958455407</v>
      </c>
      <c r="R501" s="7">
        <f t="shared" si="99"/>
        <v>1.3957945016860727</v>
      </c>
      <c r="S501" s="7">
        <f t="shared" si="100"/>
        <v>0.44116036829688182</v>
      </c>
      <c r="T501" s="7">
        <f t="shared" si="101"/>
        <v>0.89224785453757616</v>
      </c>
      <c r="U501" s="7">
        <f t="shared" si="102"/>
        <v>0.6024345212339941</v>
      </c>
    </row>
    <row r="502" spans="1:21" x14ac:dyDescent="0.25">
      <c r="A502" s="1" t="s">
        <v>1675</v>
      </c>
      <c r="B502" s="1" t="s">
        <v>36</v>
      </c>
      <c r="C502" s="1">
        <v>19</v>
      </c>
      <c r="D502" s="1">
        <v>19</v>
      </c>
      <c r="E502" s="1">
        <v>8</v>
      </c>
      <c r="F502" s="1">
        <v>12</v>
      </c>
      <c r="G502" s="1">
        <v>58</v>
      </c>
      <c r="H502" s="7">
        <v>1.1266014242982161</v>
      </c>
      <c r="I502" s="7">
        <f t="shared" si="103"/>
        <v>22.694936708860759</v>
      </c>
      <c r="J502" s="7">
        <f t="shared" si="91"/>
        <v>5.3055534129377486</v>
      </c>
      <c r="K502" s="7">
        <f t="shared" si="92"/>
        <v>22.140506329113926</v>
      </c>
      <c r="L502" s="7">
        <f t="shared" si="93"/>
        <v>4.9144008395218908</v>
      </c>
      <c r="M502" s="7">
        <f t="shared" si="94"/>
        <v>10.069620253164556</v>
      </c>
      <c r="N502" s="7">
        <f t="shared" si="95"/>
        <v>2.1089377326145904</v>
      </c>
      <c r="O502" s="7">
        <f t="shared" si="96"/>
        <v>10.958227848101266</v>
      </c>
      <c r="P502" s="7">
        <f t="shared" si="97"/>
        <v>2.2883463843764797</v>
      </c>
      <c r="Q502" s="7">
        <f t="shared" si="98"/>
        <v>-0.69642814260441643</v>
      </c>
      <c r="R502" s="7">
        <f t="shared" si="99"/>
        <v>-0.63904154985848838</v>
      </c>
      <c r="S502" s="7">
        <f t="shared" si="100"/>
        <v>-0.98135673764000164</v>
      </c>
      <c r="T502" s="7">
        <f t="shared" si="101"/>
        <v>0.45525107519183194</v>
      </c>
      <c r="U502" s="7">
        <f t="shared" si="102"/>
        <v>-0.46539383872776863</v>
      </c>
    </row>
    <row r="503" spans="1:21" x14ac:dyDescent="0.25">
      <c r="A503" s="1" t="s">
        <v>1675</v>
      </c>
      <c r="B503" s="1" t="s">
        <v>36</v>
      </c>
      <c r="C503" s="1">
        <v>22</v>
      </c>
      <c r="D503" s="1">
        <v>19</v>
      </c>
      <c r="E503" s="1">
        <v>7</v>
      </c>
      <c r="F503" s="1">
        <v>10</v>
      </c>
      <c r="G503" s="1">
        <v>58</v>
      </c>
      <c r="H503" s="7">
        <v>1.6132464481796025</v>
      </c>
      <c r="I503" s="7">
        <f t="shared" si="103"/>
        <v>22.694936708860759</v>
      </c>
      <c r="J503" s="7">
        <f t="shared" si="91"/>
        <v>5.3055534129377486</v>
      </c>
      <c r="K503" s="7">
        <f t="shared" si="92"/>
        <v>22.140506329113926</v>
      </c>
      <c r="L503" s="7">
        <f t="shared" si="93"/>
        <v>4.9144008395218908</v>
      </c>
      <c r="M503" s="7">
        <f t="shared" si="94"/>
        <v>10.069620253164556</v>
      </c>
      <c r="N503" s="7">
        <f t="shared" si="95"/>
        <v>2.1089377326145904</v>
      </c>
      <c r="O503" s="7">
        <f t="shared" si="96"/>
        <v>10.958227848101266</v>
      </c>
      <c r="P503" s="7">
        <f t="shared" si="97"/>
        <v>2.2883463843764797</v>
      </c>
      <c r="Q503" s="7">
        <f t="shared" si="98"/>
        <v>-0.13098288807462291</v>
      </c>
      <c r="R503" s="7">
        <f t="shared" si="99"/>
        <v>-0.63904154985848838</v>
      </c>
      <c r="S503" s="7">
        <f t="shared" si="100"/>
        <v>-1.4555291062856295</v>
      </c>
      <c r="T503" s="7">
        <f t="shared" si="101"/>
        <v>-0.41874248349965643</v>
      </c>
      <c r="U503" s="7">
        <f t="shared" si="102"/>
        <v>-0.66107400692959928</v>
      </c>
    </row>
    <row r="504" spans="1:21" x14ac:dyDescent="0.25">
      <c r="A504" s="1" t="s">
        <v>1675</v>
      </c>
      <c r="B504" s="1" t="s">
        <v>36</v>
      </c>
      <c r="C504" s="1">
        <v>22</v>
      </c>
      <c r="D504" s="1">
        <v>25</v>
      </c>
      <c r="E504" s="1">
        <v>8</v>
      </c>
      <c r="F504" s="1">
        <v>6</v>
      </c>
      <c r="G504" s="1">
        <v>61</v>
      </c>
      <c r="H504" s="7">
        <v>2.3588350014578308</v>
      </c>
      <c r="I504" s="7">
        <f t="shared" si="103"/>
        <v>22.694936708860759</v>
      </c>
      <c r="J504" s="7">
        <f t="shared" si="91"/>
        <v>5.3055534129377486</v>
      </c>
      <c r="K504" s="7">
        <f t="shared" si="92"/>
        <v>22.140506329113926</v>
      </c>
      <c r="L504" s="7">
        <f t="shared" si="93"/>
        <v>4.9144008395218908</v>
      </c>
      <c r="M504" s="7">
        <f t="shared" si="94"/>
        <v>10.069620253164556</v>
      </c>
      <c r="N504" s="7">
        <f t="shared" si="95"/>
        <v>2.1089377326145904</v>
      </c>
      <c r="O504" s="7">
        <f t="shared" si="96"/>
        <v>10.958227848101266</v>
      </c>
      <c r="P504" s="7">
        <f t="shared" si="97"/>
        <v>2.2883463843764797</v>
      </c>
      <c r="Q504" s="7">
        <f t="shared" si="98"/>
        <v>-0.13098288807462291</v>
      </c>
      <c r="R504" s="7">
        <f t="shared" si="99"/>
        <v>0.58186008106824816</v>
      </c>
      <c r="S504" s="7">
        <f t="shared" si="100"/>
        <v>-0.98135673764000164</v>
      </c>
      <c r="T504" s="7">
        <f t="shared" si="101"/>
        <v>-2.1667296008826331</v>
      </c>
      <c r="U504" s="7">
        <f t="shared" si="102"/>
        <v>-0.67430228638225231</v>
      </c>
    </row>
    <row r="505" spans="1:21" x14ac:dyDescent="0.25">
      <c r="A505" s="1" t="s">
        <v>1675</v>
      </c>
      <c r="B505" s="1" t="s">
        <v>36</v>
      </c>
      <c r="C505" s="1">
        <v>26</v>
      </c>
      <c r="D505" s="1">
        <v>29</v>
      </c>
      <c r="E505" s="1">
        <v>14</v>
      </c>
      <c r="F505" s="1">
        <v>12</v>
      </c>
      <c r="G505" s="1">
        <v>81</v>
      </c>
      <c r="H505" s="7">
        <v>1.9644272343292224</v>
      </c>
      <c r="I505" s="7">
        <f t="shared" si="103"/>
        <v>22.694936708860759</v>
      </c>
      <c r="J505" s="7">
        <f t="shared" si="91"/>
        <v>5.3055534129377486</v>
      </c>
      <c r="K505" s="7">
        <f t="shared" si="92"/>
        <v>22.140506329113926</v>
      </c>
      <c r="L505" s="7">
        <f t="shared" si="93"/>
        <v>4.9144008395218908</v>
      </c>
      <c r="M505" s="7">
        <f t="shared" si="94"/>
        <v>10.069620253164556</v>
      </c>
      <c r="N505" s="7">
        <f t="shared" si="95"/>
        <v>2.1089377326145904</v>
      </c>
      <c r="O505" s="7">
        <f t="shared" si="96"/>
        <v>10.958227848101266</v>
      </c>
      <c r="P505" s="7">
        <f t="shared" si="97"/>
        <v>2.2883463843764797</v>
      </c>
      <c r="Q505" s="7">
        <f t="shared" si="98"/>
        <v>0.62294411796510174</v>
      </c>
      <c r="R505" s="7">
        <f t="shared" si="99"/>
        <v>1.3957945016860727</v>
      </c>
      <c r="S505" s="7">
        <f t="shared" si="100"/>
        <v>1.8636774742337652</v>
      </c>
      <c r="T505" s="7">
        <f t="shared" si="101"/>
        <v>0.45525107519183194</v>
      </c>
      <c r="U505" s="7">
        <f t="shared" si="102"/>
        <v>1.084416792269193</v>
      </c>
    </row>
    <row r="506" spans="1:21" x14ac:dyDescent="0.25">
      <c r="A506" s="1" t="s">
        <v>1675</v>
      </c>
      <c r="B506" s="1" t="s">
        <v>36</v>
      </c>
      <c r="C506" s="1">
        <v>16</v>
      </c>
      <c r="D506" s="1">
        <v>26</v>
      </c>
      <c r="E506" s="1">
        <v>11</v>
      </c>
      <c r="F506" s="1">
        <v>11</v>
      </c>
      <c r="G506" s="1">
        <v>64</v>
      </c>
      <c r="H506" s="7">
        <v>1.7059473644448735</v>
      </c>
      <c r="I506" s="7">
        <f t="shared" si="103"/>
        <v>22.694936708860759</v>
      </c>
      <c r="J506" s="7">
        <f t="shared" si="91"/>
        <v>5.3055534129377486</v>
      </c>
      <c r="K506" s="7">
        <f t="shared" si="92"/>
        <v>22.140506329113926</v>
      </c>
      <c r="L506" s="7">
        <f t="shared" si="93"/>
        <v>4.9144008395218908</v>
      </c>
      <c r="M506" s="7">
        <f t="shared" si="94"/>
        <v>10.069620253164556</v>
      </c>
      <c r="N506" s="7">
        <f t="shared" si="95"/>
        <v>2.1089377326145904</v>
      </c>
      <c r="O506" s="7">
        <f t="shared" si="96"/>
        <v>10.958227848101266</v>
      </c>
      <c r="P506" s="7">
        <f t="shared" si="97"/>
        <v>2.2883463843764797</v>
      </c>
      <c r="Q506" s="7">
        <f t="shared" si="98"/>
        <v>-1.26187339713421</v>
      </c>
      <c r="R506" s="7">
        <f t="shared" si="99"/>
        <v>0.78534368622270434</v>
      </c>
      <c r="S506" s="7">
        <f t="shared" si="100"/>
        <v>0.44116036829688182</v>
      </c>
      <c r="T506" s="7">
        <f t="shared" si="101"/>
        <v>1.8254295846087756E-2</v>
      </c>
      <c r="U506" s="7">
        <f t="shared" si="102"/>
        <v>-4.2787616921340166E-3</v>
      </c>
    </row>
    <row r="507" spans="1:21" x14ac:dyDescent="0.25">
      <c r="A507" s="1" t="s">
        <v>1675</v>
      </c>
      <c r="B507" s="1" t="s">
        <v>36</v>
      </c>
      <c r="C507" s="1">
        <v>27</v>
      </c>
      <c r="D507" s="1">
        <v>28</v>
      </c>
      <c r="E507" s="1">
        <v>11</v>
      </c>
      <c r="F507" s="1">
        <v>13</v>
      </c>
      <c r="G507" s="1">
        <v>79</v>
      </c>
      <c r="H507" s="7">
        <v>1.8912755158683456</v>
      </c>
      <c r="I507" s="7">
        <f t="shared" si="103"/>
        <v>22.694936708860759</v>
      </c>
      <c r="J507" s="7">
        <f t="shared" si="91"/>
        <v>5.3055534129377486</v>
      </c>
      <c r="K507" s="7">
        <f t="shared" si="92"/>
        <v>22.140506329113926</v>
      </c>
      <c r="L507" s="7">
        <f t="shared" si="93"/>
        <v>4.9144008395218908</v>
      </c>
      <c r="M507" s="7">
        <f t="shared" si="94"/>
        <v>10.069620253164556</v>
      </c>
      <c r="N507" s="7">
        <f t="shared" si="95"/>
        <v>2.1089377326145904</v>
      </c>
      <c r="O507" s="7">
        <f t="shared" si="96"/>
        <v>10.958227848101266</v>
      </c>
      <c r="P507" s="7">
        <f t="shared" si="97"/>
        <v>2.2883463843764797</v>
      </c>
      <c r="Q507" s="7">
        <f t="shared" si="98"/>
        <v>0.81142586947503292</v>
      </c>
      <c r="R507" s="7">
        <f t="shared" si="99"/>
        <v>1.1923108965316165</v>
      </c>
      <c r="S507" s="7">
        <f t="shared" si="100"/>
        <v>0.44116036829688182</v>
      </c>
      <c r="T507" s="7">
        <f t="shared" si="101"/>
        <v>0.89224785453757616</v>
      </c>
      <c r="U507" s="7">
        <f t="shared" si="102"/>
        <v>0.83428624721027678</v>
      </c>
    </row>
    <row r="508" spans="1:21" x14ac:dyDescent="0.25">
      <c r="A508" s="1" t="s">
        <v>1675</v>
      </c>
      <c r="B508" s="1" t="s">
        <v>36</v>
      </c>
      <c r="C508" s="1">
        <v>27</v>
      </c>
      <c r="D508" s="1">
        <v>23</v>
      </c>
      <c r="E508" s="1">
        <v>11</v>
      </c>
      <c r="F508" s="1">
        <v>9</v>
      </c>
      <c r="G508" s="1">
        <v>70</v>
      </c>
      <c r="H508" s="7">
        <v>1.9381460874790257</v>
      </c>
      <c r="I508" s="7">
        <f t="shared" si="103"/>
        <v>22.694936708860759</v>
      </c>
      <c r="J508" s="7">
        <f t="shared" si="91"/>
        <v>5.3055534129377486</v>
      </c>
      <c r="K508" s="7">
        <f t="shared" si="92"/>
        <v>22.140506329113926</v>
      </c>
      <c r="L508" s="7">
        <f t="shared" si="93"/>
        <v>4.9144008395218908</v>
      </c>
      <c r="M508" s="7">
        <f t="shared" si="94"/>
        <v>10.069620253164556</v>
      </c>
      <c r="N508" s="7">
        <f t="shared" si="95"/>
        <v>2.1089377326145904</v>
      </c>
      <c r="O508" s="7">
        <f t="shared" si="96"/>
        <v>10.958227848101266</v>
      </c>
      <c r="P508" s="7">
        <f t="shared" si="97"/>
        <v>2.2883463843764797</v>
      </c>
      <c r="Q508" s="7">
        <f t="shared" si="98"/>
        <v>0.81142586947503292</v>
      </c>
      <c r="R508" s="7">
        <f t="shared" si="99"/>
        <v>0.17489287075933599</v>
      </c>
      <c r="S508" s="7">
        <f t="shared" si="100"/>
        <v>0.44116036829688182</v>
      </c>
      <c r="T508" s="7">
        <f t="shared" si="101"/>
        <v>-0.85573926284540058</v>
      </c>
      <c r="U508" s="7">
        <f t="shared" si="102"/>
        <v>0.14293496142146256</v>
      </c>
    </row>
    <row r="509" spans="1:21" x14ac:dyDescent="0.25">
      <c r="A509" s="1" t="s">
        <v>1675</v>
      </c>
      <c r="B509" s="1" t="s">
        <v>36</v>
      </c>
      <c r="C509" s="1">
        <v>28</v>
      </c>
      <c r="D509" s="1">
        <v>24</v>
      </c>
      <c r="E509" s="1">
        <v>12</v>
      </c>
      <c r="F509" s="1">
        <v>9</v>
      </c>
      <c r="G509" s="1">
        <v>73</v>
      </c>
      <c r="H509" s="7">
        <v>2.063106942552968</v>
      </c>
      <c r="I509" s="7">
        <f t="shared" si="103"/>
        <v>22.694936708860759</v>
      </c>
      <c r="J509" s="7">
        <f t="shared" si="91"/>
        <v>5.3055534129377486</v>
      </c>
      <c r="K509" s="7">
        <f t="shared" si="92"/>
        <v>22.140506329113926</v>
      </c>
      <c r="L509" s="7">
        <f t="shared" si="93"/>
        <v>4.9144008395218908</v>
      </c>
      <c r="M509" s="7">
        <f t="shared" si="94"/>
        <v>10.069620253164556</v>
      </c>
      <c r="N509" s="7">
        <f t="shared" si="95"/>
        <v>2.1089377326145904</v>
      </c>
      <c r="O509" s="7">
        <f t="shared" si="96"/>
        <v>10.958227848101266</v>
      </c>
      <c r="P509" s="7">
        <f t="shared" si="97"/>
        <v>2.2883463843764797</v>
      </c>
      <c r="Q509" s="7">
        <f t="shared" si="98"/>
        <v>0.99990762098496411</v>
      </c>
      <c r="R509" s="7">
        <f t="shared" si="99"/>
        <v>0.37837647591379209</v>
      </c>
      <c r="S509" s="7">
        <f t="shared" si="100"/>
        <v>0.91533273694250961</v>
      </c>
      <c r="T509" s="7">
        <f t="shared" si="101"/>
        <v>-0.85573926284540058</v>
      </c>
      <c r="U509" s="7">
        <f t="shared" si="102"/>
        <v>0.35946939274896633</v>
      </c>
    </row>
    <row r="510" spans="1:21" x14ac:dyDescent="0.25">
      <c r="A510" s="1" t="s">
        <v>1675</v>
      </c>
      <c r="B510" s="1" t="s">
        <v>36</v>
      </c>
      <c r="C510" s="1">
        <v>28</v>
      </c>
      <c r="D510" s="1">
        <v>25</v>
      </c>
      <c r="E510" s="1">
        <v>12</v>
      </c>
      <c r="F510" s="1">
        <v>10</v>
      </c>
      <c r="G510" s="1">
        <v>75</v>
      </c>
      <c r="H510" s="7">
        <v>2.0878156908535672</v>
      </c>
      <c r="I510" s="7">
        <f t="shared" si="103"/>
        <v>22.694936708860759</v>
      </c>
      <c r="J510" s="7">
        <f t="shared" si="91"/>
        <v>5.3055534129377486</v>
      </c>
      <c r="K510" s="7">
        <f t="shared" si="92"/>
        <v>22.140506329113926</v>
      </c>
      <c r="L510" s="7">
        <f t="shared" si="93"/>
        <v>4.9144008395218908</v>
      </c>
      <c r="M510" s="7">
        <f t="shared" si="94"/>
        <v>10.069620253164556</v>
      </c>
      <c r="N510" s="7">
        <f t="shared" si="95"/>
        <v>2.1089377326145904</v>
      </c>
      <c r="O510" s="7">
        <f t="shared" si="96"/>
        <v>10.958227848101266</v>
      </c>
      <c r="P510" s="7">
        <f t="shared" si="97"/>
        <v>2.2883463843764797</v>
      </c>
      <c r="Q510" s="7">
        <f t="shared" si="98"/>
        <v>0.99990762098496411</v>
      </c>
      <c r="R510" s="7">
        <f t="shared" si="99"/>
        <v>0.58186008106824816</v>
      </c>
      <c r="S510" s="7">
        <f t="shared" si="100"/>
        <v>0.91533273694250961</v>
      </c>
      <c r="T510" s="7">
        <f t="shared" si="101"/>
        <v>-0.41874248349965643</v>
      </c>
      <c r="U510" s="7">
        <f t="shared" si="102"/>
        <v>0.51958948887401635</v>
      </c>
    </row>
    <row r="511" spans="1:21" x14ac:dyDescent="0.25">
      <c r="A511" s="1" t="s">
        <v>1675</v>
      </c>
      <c r="B511" s="1" t="s">
        <v>36</v>
      </c>
      <c r="C511" s="1">
        <v>20</v>
      </c>
      <c r="D511" s="1">
        <v>26</v>
      </c>
      <c r="E511" s="1">
        <v>11</v>
      </c>
      <c r="F511" s="1">
        <v>14</v>
      </c>
      <c r="G511" s="1">
        <v>71</v>
      </c>
      <c r="H511" s="7">
        <v>1.4500221041639687</v>
      </c>
      <c r="I511" s="7">
        <f t="shared" si="103"/>
        <v>22.694936708860759</v>
      </c>
      <c r="J511" s="7">
        <f t="shared" si="91"/>
        <v>5.3055534129377486</v>
      </c>
      <c r="K511" s="7">
        <f t="shared" si="92"/>
        <v>22.140506329113926</v>
      </c>
      <c r="L511" s="7">
        <f t="shared" si="93"/>
        <v>4.9144008395218908</v>
      </c>
      <c r="M511" s="7">
        <f t="shared" si="94"/>
        <v>10.069620253164556</v>
      </c>
      <c r="N511" s="7">
        <f t="shared" si="95"/>
        <v>2.1089377326145904</v>
      </c>
      <c r="O511" s="7">
        <f t="shared" si="96"/>
        <v>10.958227848101266</v>
      </c>
      <c r="P511" s="7">
        <f t="shared" si="97"/>
        <v>2.2883463843764797</v>
      </c>
      <c r="Q511" s="7">
        <f t="shared" si="98"/>
        <v>-0.50794639109448525</v>
      </c>
      <c r="R511" s="7">
        <f t="shared" si="99"/>
        <v>0.78534368622270434</v>
      </c>
      <c r="S511" s="7">
        <f t="shared" si="100"/>
        <v>0.44116036829688182</v>
      </c>
      <c r="T511" s="7">
        <f t="shared" si="101"/>
        <v>1.3292446338833204</v>
      </c>
      <c r="U511" s="7">
        <f t="shared" si="102"/>
        <v>0.51195057432710533</v>
      </c>
    </row>
    <row r="512" spans="1:21" x14ac:dyDescent="0.25">
      <c r="A512" s="1" t="s">
        <v>1675</v>
      </c>
      <c r="B512" s="1" t="s">
        <v>36</v>
      </c>
      <c r="C512" s="1">
        <v>23</v>
      </c>
      <c r="D512" s="1">
        <v>22</v>
      </c>
      <c r="E512" s="1">
        <v>11</v>
      </c>
      <c r="F512" s="1">
        <v>9</v>
      </c>
      <c r="G512" s="1">
        <v>65</v>
      </c>
      <c r="H512" s="7">
        <v>1.683250823060346</v>
      </c>
      <c r="I512" s="7">
        <f t="shared" si="103"/>
        <v>22.694936708860759</v>
      </c>
      <c r="J512" s="7">
        <f t="shared" si="91"/>
        <v>5.3055534129377486</v>
      </c>
      <c r="K512" s="7">
        <f t="shared" si="92"/>
        <v>22.140506329113926</v>
      </c>
      <c r="L512" s="7">
        <f t="shared" si="93"/>
        <v>4.9144008395218908</v>
      </c>
      <c r="M512" s="7">
        <f t="shared" si="94"/>
        <v>10.069620253164556</v>
      </c>
      <c r="N512" s="7">
        <f t="shared" si="95"/>
        <v>2.1089377326145904</v>
      </c>
      <c r="O512" s="7">
        <f t="shared" si="96"/>
        <v>10.958227848101266</v>
      </c>
      <c r="P512" s="7">
        <f t="shared" si="97"/>
        <v>2.2883463843764797</v>
      </c>
      <c r="Q512" s="7">
        <f t="shared" si="98"/>
        <v>5.7498863435308259E-2</v>
      </c>
      <c r="R512" s="7">
        <f t="shared" si="99"/>
        <v>-2.8590734395120113E-2</v>
      </c>
      <c r="S512" s="7">
        <f t="shared" si="100"/>
        <v>0.44116036829688182</v>
      </c>
      <c r="T512" s="7">
        <f t="shared" si="101"/>
        <v>-0.85573926284540058</v>
      </c>
      <c r="U512" s="7">
        <f t="shared" si="102"/>
        <v>-9.6417691377082657E-2</v>
      </c>
    </row>
    <row r="513" spans="1:21" x14ac:dyDescent="0.25">
      <c r="A513" s="1" t="s">
        <v>1675</v>
      </c>
      <c r="B513" s="1" t="s">
        <v>36</v>
      </c>
      <c r="C513" s="1">
        <v>29</v>
      </c>
      <c r="D513" s="1">
        <v>31</v>
      </c>
      <c r="E513" s="1">
        <v>13</v>
      </c>
      <c r="F513" s="1">
        <v>15</v>
      </c>
      <c r="G513" s="1">
        <v>88</v>
      </c>
      <c r="H513" s="7">
        <v>1.9215378456610457</v>
      </c>
      <c r="I513" s="7">
        <f t="shared" si="103"/>
        <v>22.694936708860759</v>
      </c>
      <c r="J513" s="7">
        <f t="shared" si="91"/>
        <v>5.3055534129377486</v>
      </c>
      <c r="K513" s="7">
        <f t="shared" si="92"/>
        <v>22.140506329113926</v>
      </c>
      <c r="L513" s="7">
        <f t="shared" si="93"/>
        <v>4.9144008395218908</v>
      </c>
      <c r="M513" s="7">
        <f t="shared" si="94"/>
        <v>10.069620253164556</v>
      </c>
      <c r="N513" s="7">
        <f t="shared" si="95"/>
        <v>2.1089377326145904</v>
      </c>
      <c r="O513" s="7">
        <f t="shared" si="96"/>
        <v>10.958227848101266</v>
      </c>
      <c r="P513" s="7">
        <f t="shared" si="97"/>
        <v>2.2883463843764797</v>
      </c>
      <c r="Q513" s="7">
        <f t="shared" si="98"/>
        <v>1.1883893724948953</v>
      </c>
      <c r="R513" s="7">
        <f t="shared" si="99"/>
        <v>1.8027617119949848</v>
      </c>
      <c r="S513" s="7">
        <f t="shared" si="100"/>
        <v>1.3895051055881373</v>
      </c>
      <c r="T513" s="7">
        <f t="shared" si="101"/>
        <v>1.7662414132290645</v>
      </c>
      <c r="U513" s="7">
        <f t="shared" si="102"/>
        <v>1.5367244008267704</v>
      </c>
    </row>
    <row r="514" spans="1:21" x14ac:dyDescent="0.25">
      <c r="A514" s="1" t="s">
        <v>1676</v>
      </c>
      <c r="B514" s="1" t="s">
        <v>36</v>
      </c>
      <c r="C514" s="1">
        <v>25</v>
      </c>
      <c r="D514" s="1">
        <v>24</v>
      </c>
      <c r="E514" s="1">
        <v>10</v>
      </c>
      <c r="F514" s="1">
        <v>12</v>
      </c>
      <c r="G514" s="1">
        <v>71</v>
      </c>
      <c r="H514" s="7">
        <v>1.6132464481796025</v>
      </c>
      <c r="I514" s="7">
        <f t="shared" si="103"/>
        <v>22.694936708860759</v>
      </c>
      <c r="J514" s="7">
        <f t="shared" si="91"/>
        <v>5.3055534129377486</v>
      </c>
      <c r="K514" s="7">
        <f t="shared" si="92"/>
        <v>22.140506329113926</v>
      </c>
      <c r="L514" s="7">
        <f t="shared" si="93"/>
        <v>4.9144008395218908</v>
      </c>
      <c r="M514" s="7">
        <f t="shared" si="94"/>
        <v>10.069620253164556</v>
      </c>
      <c r="N514" s="7">
        <f t="shared" si="95"/>
        <v>2.1089377326145904</v>
      </c>
      <c r="O514" s="7">
        <f t="shared" si="96"/>
        <v>10.958227848101266</v>
      </c>
      <c r="P514" s="7">
        <f t="shared" si="97"/>
        <v>2.2883463843764797</v>
      </c>
      <c r="Q514" s="7">
        <f t="shared" si="98"/>
        <v>0.43446236645517061</v>
      </c>
      <c r="R514" s="7">
        <f t="shared" si="99"/>
        <v>0.37837647591379209</v>
      </c>
      <c r="S514" s="7">
        <f t="shared" si="100"/>
        <v>-3.3012000348745997E-2</v>
      </c>
      <c r="T514" s="7">
        <f t="shared" si="101"/>
        <v>0.45525107519183194</v>
      </c>
      <c r="U514" s="7">
        <f t="shared" si="102"/>
        <v>0.30876947930301218</v>
      </c>
    </row>
    <row r="515" spans="1:21" x14ac:dyDescent="0.25">
      <c r="A515" s="1" t="s">
        <v>1676</v>
      </c>
      <c r="B515" s="1" t="s">
        <v>36</v>
      </c>
      <c r="C515" s="1">
        <v>26</v>
      </c>
      <c r="D515" s="1">
        <v>25</v>
      </c>
      <c r="E515" s="1">
        <v>11</v>
      </c>
      <c r="F515" s="1">
        <v>12</v>
      </c>
      <c r="G515" s="1">
        <v>74</v>
      </c>
      <c r="H515" s="7">
        <v>1.5483655567842813</v>
      </c>
      <c r="I515" s="7">
        <f t="shared" si="103"/>
        <v>22.694936708860759</v>
      </c>
      <c r="J515" s="7">
        <f t="shared" ref="J515:J578" si="104">_xlfn.STDEV.S(C:C)</f>
        <v>5.3055534129377486</v>
      </c>
      <c r="K515" s="7">
        <f t="shared" ref="K515:K578" si="105">AVERAGE(D:D)</f>
        <v>22.140506329113926</v>
      </c>
      <c r="L515" s="7">
        <f t="shared" ref="L515:L578" si="106">_xlfn.STDEV.S(D:D)</f>
        <v>4.9144008395218908</v>
      </c>
      <c r="M515" s="7">
        <f t="shared" ref="M515:M578" si="107">AVERAGE(E:E)</f>
        <v>10.069620253164556</v>
      </c>
      <c r="N515" s="7">
        <f t="shared" ref="N515:N578" si="108">_xlfn.STDEV.S(E:E)</f>
        <v>2.1089377326145904</v>
      </c>
      <c r="O515" s="7">
        <f t="shared" ref="O515:O578" si="109">AVERAGE(F:F)</f>
        <v>10.958227848101266</v>
      </c>
      <c r="P515" s="7">
        <f t="shared" ref="P515:P578" si="110">_xlfn.STDEV.S(F:F)</f>
        <v>2.2883463843764797</v>
      </c>
      <c r="Q515" s="7">
        <f t="shared" ref="Q515:Q578" si="111">STANDARDIZE(C515,I515,J515)</f>
        <v>0.62294411796510174</v>
      </c>
      <c r="R515" s="7">
        <f t="shared" ref="R515:R578" si="112">STANDARDIZE(D515,K515,L515)</f>
        <v>0.58186008106824816</v>
      </c>
      <c r="S515" s="7">
        <f t="shared" ref="S515:S578" si="113">STANDARDIZE(E515,M515,N515)</f>
        <v>0.44116036829688182</v>
      </c>
      <c r="T515" s="7">
        <f t="shared" ref="T515:T578" si="114">STANDARDIZE(F515,O515,P515)</f>
        <v>0.45525107519183194</v>
      </c>
      <c r="U515" s="7">
        <f t="shared" ref="U515:U578" si="115">AVERAGE(Q515:T515)</f>
        <v>0.52530391063051596</v>
      </c>
    </row>
    <row r="516" spans="1:21" x14ac:dyDescent="0.25">
      <c r="A516" s="1" t="s">
        <v>1676</v>
      </c>
      <c r="B516" s="1" t="s">
        <v>36</v>
      </c>
      <c r="C516" s="1">
        <v>20</v>
      </c>
      <c r="D516" s="1">
        <v>19</v>
      </c>
      <c r="E516" s="1">
        <v>8</v>
      </c>
      <c r="F516" s="1">
        <v>9</v>
      </c>
      <c r="G516" s="1">
        <v>56</v>
      </c>
      <c r="H516" s="7">
        <v>1.3774744634423892</v>
      </c>
      <c r="I516" s="7">
        <f t="shared" ref="I516:I579" si="116">AVERAGE(C:C)</f>
        <v>22.694936708860759</v>
      </c>
      <c r="J516" s="7">
        <f t="shared" si="104"/>
        <v>5.3055534129377486</v>
      </c>
      <c r="K516" s="7">
        <f t="shared" si="105"/>
        <v>22.140506329113926</v>
      </c>
      <c r="L516" s="7">
        <f t="shared" si="106"/>
        <v>4.9144008395218908</v>
      </c>
      <c r="M516" s="7">
        <f t="shared" si="107"/>
        <v>10.069620253164556</v>
      </c>
      <c r="N516" s="7">
        <f t="shared" si="108"/>
        <v>2.1089377326145904</v>
      </c>
      <c r="O516" s="7">
        <f t="shared" si="109"/>
        <v>10.958227848101266</v>
      </c>
      <c r="P516" s="7">
        <f t="shared" si="110"/>
        <v>2.2883463843764797</v>
      </c>
      <c r="Q516" s="7">
        <f t="shared" si="111"/>
        <v>-0.50794639109448525</v>
      </c>
      <c r="R516" s="7">
        <f t="shared" si="112"/>
        <v>-0.63904154985848838</v>
      </c>
      <c r="S516" s="7">
        <f t="shared" si="113"/>
        <v>-0.98135673764000164</v>
      </c>
      <c r="T516" s="7">
        <f t="shared" si="114"/>
        <v>-0.85573926284540058</v>
      </c>
      <c r="U516" s="7">
        <f t="shared" si="115"/>
        <v>-0.74602098535959382</v>
      </c>
    </row>
    <row r="517" spans="1:21" x14ac:dyDescent="0.25">
      <c r="A517" s="1" t="s">
        <v>1676</v>
      </c>
      <c r="B517" s="1" t="s">
        <v>36</v>
      </c>
      <c r="C517" s="1">
        <v>23</v>
      </c>
      <c r="D517" s="1">
        <v>20</v>
      </c>
      <c r="E517" s="1">
        <v>7</v>
      </c>
      <c r="F517" s="1">
        <v>12</v>
      </c>
      <c r="G517" s="1">
        <v>62</v>
      </c>
      <c r="H517" s="7">
        <v>1.4806443503784736</v>
      </c>
      <c r="I517" s="7">
        <f t="shared" si="116"/>
        <v>22.694936708860759</v>
      </c>
      <c r="J517" s="7">
        <f t="shared" si="104"/>
        <v>5.3055534129377486</v>
      </c>
      <c r="K517" s="7">
        <f t="shared" si="105"/>
        <v>22.140506329113926</v>
      </c>
      <c r="L517" s="7">
        <f t="shared" si="106"/>
        <v>4.9144008395218908</v>
      </c>
      <c r="M517" s="7">
        <f t="shared" si="107"/>
        <v>10.069620253164556</v>
      </c>
      <c r="N517" s="7">
        <f t="shared" si="108"/>
        <v>2.1089377326145904</v>
      </c>
      <c r="O517" s="7">
        <f t="shared" si="109"/>
        <v>10.958227848101266</v>
      </c>
      <c r="P517" s="7">
        <f t="shared" si="110"/>
        <v>2.2883463843764797</v>
      </c>
      <c r="Q517" s="7">
        <f t="shared" si="111"/>
        <v>5.7498863435308259E-2</v>
      </c>
      <c r="R517" s="7">
        <f t="shared" si="112"/>
        <v>-0.43555794470403231</v>
      </c>
      <c r="S517" s="7">
        <f t="shared" si="113"/>
        <v>-1.4555291062856295</v>
      </c>
      <c r="T517" s="7">
        <f t="shared" si="114"/>
        <v>0.45525107519183194</v>
      </c>
      <c r="U517" s="7">
        <f t="shared" si="115"/>
        <v>-0.34458427809063041</v>
      </c>
    </row>
    <row r="518" spans="1:21" x14ac:dyDescent="0.25">
      <c r="A518" s="1" t="s">
        <v>1676</v>
      </c>
      <c r="B518" s="1" t="s">
        <v>36</v>
      </c>
      <c r="C518" s="1">
        <v>27</v>
      </c>
      <c r="D518" s="1">
        <v>25</v>
      </c>
      <c r="E518" s="1">
        <v>11</v>
      </c>
      <c r="F518" s="1">
        <v>12</v>
      </c>
      <c r="G518" s="1">
        <v>75</v>
      </c>
      <c r="H518" s="7">
        <v>1.6408253082847339</v>
      </c>
      <c r="I518" s="7">
        <f t="shared" si="116"/>
        <v>22.694936708860759</v>
      </c>
      <c r="J518" s="7">
        <f t="shared" si="104"/>
        <v>5.3055534129377486</v>
      </c>
      <c r="K518" s="7">
        <f t="shared" si="105"/>
        <v>22.140506329113926</v>
      </c>
      <c r="L518" s="7">
        <f t="shared" si="106"/>
        <v>4.9144008395218908</v>
      </c>
      <c r="M518" s="7">
        <f t="shared" si="107"/>
        <v>10.069620253164556</v>
      </c>
      <c r="N518" s="7">
        <f t="shared" si="108"/>
        <v>2.1089377326145904</v>
      </c>
      <c r="O518" s="7">
        <f t="shared" si="109"/>
        <v>10.958227848101266</v>
      </c>
      <c r="P518" s="7">
        <f t="shared" si="110"/>
        <v>2.2883463843764797</v>
      </c>
      <c r="Q518" s="7">
        <f t="shared" si="111"/>
        <v>0.81142586947503292</v>
      </c>
      <c r="R518" s="7">
        <f t="shared" si="112"/>
        <v>0.58186008106824816</v>
      </c>
      <c r="S518" s="7">
        <f t="shared" si="113"/>
        <v>0.44116036829688182</v>
      </c>
      <c r="T518" s="7">
        <f t="shared" si="114"/>
        <v>0.45525107519183194</v>
      </c>
      <c r="U518" s="7">
        <f t="shared" si="115"/>
        <v>0.57242434850799873</v>
      </c>
    </row>
    <row r="519" spans="1:21" x14ac:dyDescent="0.25">
      <c r="A519" s="1" t="s">
        <v>1676</v>
      </c>
      <c r="B519" s="1" t="s">
        <v>36</v>
      </c>
      <c r="C519" s="1">
        <v>20</v>
      </c>
      <c r="D519" s="1">
        <v>22</v>
      </c>
      <c r="E519" s="1">
        <v>11</v>
      </c>
      <c r="F519" s="1">
        <v>12</v>
      </c>
      <c r="G519" s="1">
        <v>65</v>
      </c>
      <c r="H519" s="7">
        <v>1.4719601443879744</v>
      </c>
      <c r="I519" s="7">
        <f t="shared" si="116"/>
        <v>22.694936708860759</v>
      </c>
      <c r="J519" s="7">
        <f t="shared" si="104"/>
        <v>5.3055534129377486</v>
      </c>
      <c r="K519" s="7">
        <f t="shared" si="105"/>
        <v>22.140506329113926</v>
      </c>
      <c r="L519" s="7">
        <f t="shared" si="106"/>
        <v>4.9144008395218908</v>
      </c>
      <c r="M519" s="7">
        <f t="shared" si="107"/>
        <v>10.069620253164556</v>
      </c>
      <c r="N519" s="7">
        <f t="shared" si="108"/>
        <v>2.1089377326145904</v>
      </c>
      <c r="O519" s="7">
        <f t="shared" si="109"/>
        <v>10.958227848101266</v>
      </c>
      <c r="P519" s="7">
        <f t="shared" si="110"/>
        <v>2.2883463843764797</v>
      </c>
      <c r="Q519" s="7">
        <f t="shared" si="111"/>
        <v>-0.50794639109448525</v>
      </c>
      <c r="R519" s="7">
        <f t="shared" si="112"/>
        <v>-2.8590734395120113E-2</v>
      </c>
      <c r="S519" s="7">
        <f t="shared" si="113"/>
        <v>0.44116036829688182</v>
      </c>
      <c r="T519" s="7">
        <f t="shared" si="114"/>
        <v>0.45525107519183194</v>
      </c>
      <c r="U519" s="7">
        <f t="shared" si="115"/>
        <v>8.9968579499777088E-2</v>
      </c>
    </row>
    <row r="520" spans="1:21" x14ac:dyDescent="0.25">
      <c r="A520" s="1" t="s">
        <v>1676</v>
      </c>
      <c r="B520" s="1" t="s">
        <v>36</v>
      </c>
      <c r="C520" s="1">
        <v>20</v>
      </c>
      <c r="D520" s="1">
        <v>19</v>
      </c>
      <c r="E520" s="1">
        <v>9</v>
      </c>
      <c r="F520" s="1">
        <v>9</v>
      </c>
      <c r="G520" s="1">
        <v>57</v>
      </c>
      <c r="H520" s="7">
        <v>1.2608503439122305</v>
      </c>
      <c r="I520" s="7">
        <f t="shared" si="116"/>
        <v>22.694936708860759</v>
      </c>
      <c r="J520" s="7">
        <f t="shared" si="104"/>
        <v>5.3055534129377486</v>
      </c>
      <c r="K520" s="7">
        <f t="shared" si="105"/>
        <v>22.140506329113926</v>
      </c>
      <c r="L520" s="7">
        <f t="shared" si="106"/>
        <v>4.9144008395218908</v>
      </c>
      <c r="M520" s="7">
        <f t="shared" si="107"/>
        <v>10.069620253164556</v>
      </c>
      <c r="N520" s="7">
        <f t="shared" si="108"/>
        <v>2.1089377326145904</v>
      </c>
      <c r="O520" s="7">
        <f t="shared" si="109"/>
        <v>10.958227848101266</v>
      </c>
      <c r="P520" s="7">
        <f t="shared" si="110"/>
        <v>2.2883463843764797</v>
      </c>
      <c r="Q520" s="7">
        <f t="shared" si="111"/>
        <v>-0.50794639109448525</v>
      </c>
      <c r="R520" s="7">
        <f t="shared" si="112"/>
        <v>-0.63904154985848838</v>
      </c>
      <c r="S520" s="7">
        <f t="shared" si="113"/>
        <v>-0.5071843689943738</v>
      </c>
      <c r="T520" s="7">
        <f t="shared" si="114"/>
        <v>-0.85573926284540058</v>
      </c>
      <c r="U520" s="7">
        <f t="shared" si="115"/>
        <v>-0.62747789319818703</v>
      </c>
    </row>
    <row r="521" spans="1:21" x14ac:dyDescent="0.25">
      <c r="A521" s="1" t="s">
        <v>1676</v>
      </c>
      <c r="B521" s="1" t="s">
        <v>36</v>
      </c>
      <c r="C521" s="1">
        <v>24</v>
      </c>
      <c r="D521" s="1">
        <v>22</v>
      </c>
      <c r="E521" s="1">
        <v>11</v>
      </c>
      <c r="F521" s="1">
        <v>12</v>
      </c>
      <c r="G521" s="1">
        <v>69</v>
      </c>
      <c r="H521" s="7">
        <v>1.315587028960544</v>
      </c>
      <c r="I521" s="7">
        <f t="shared" si="116"/>
        <v>22.694936708860759</v>
      </c>
      <c r="J521" s="7">
        <f t="shared" si="104"/>
        <v>5.3055534129377486</v>
      </c>
      <c r="K521" s="7">
        <f t="shared" si="105"/>
        <v>22.140506329113926</v>
      </c>
      <c r="L521" s="7">
        <f t="shared" si="106"/>
        <v>4.9144008395218908</v>
      </c>
      <c r="M521" s="7">
        <f t="shared" si="107"/>
        <v>10.069620253164556</v>
      </c>
      <c r="N521" s="7">
        <f t="shared" si="108"/>
        <v>2.1089377326145904</v>
      </c>
      <c r="O521" s="7">
        <f t="shared" si="109"/>
        <v>10.958227848101266</v>
      </c>
      <c r="P521" s="7">
        <f t="shared" si="110"/>
        <v>2.2883463843764797</v>
      </c>
      <c r="Q521" s="7">
        <f t="shared" si="111"/>
        <v>0.24598061494523943</v>
      </c>
      <c r="R521" s="7">
        <f t="shared" si="112"/>
        <v>-2.8590734395120113E-2</v>
      </c>
      <c r="S521" s="7">
        <f t="shared" si="113"/>
        <v>0.44116036829688182</v>
      </c>
      <c r="T521" s="7">
        <f t="shared" si="114"/>
        <v>0.45525107519183194</v>
      </c>
      <c r="U521" s="7">
        <f t="shared" si="115"/>
        <v>0.27845033100970829</v>
      </c>
    </row>
    <row r="522" spans="1:21" x14ac:dyDescent="0.25">
      <c r="A522" s="1" t="s">
        <v>1676</v>
      </c>
      <c r="B522" s="1" t="s">
        <v>36</v>
      </c>
      <c r="C522" s="1">
        <v>19</v>
      </c>
      <c r="D522" s="1">
        <v>18</v>
      </c>
      <c r="E522" s="1">
        <v>9</v>
      </c>
      <c r="F522" s="1">
        <v>11</v>
      </c>
      <c r="G522" s="1">
        <v>57</v>
      </c>
      <c r="H522" s="7">
        <v>0.7679476477883046</v>
      </c>
      <c r="I522" s="7">
        <f t="shared" si="116"/>
        <v>22.694936708860759</v>
      </c>
      <c r="J522" s="7">
        <f t="shared" si="104"/>
        <v>5.3055534129377486</v>
      </c>
      <c r="K522" s="7">
        <f t="shared" si="105"/>
        <v>22.140506329113926</v>
      </c>
      <c r="L522" s="7">
        <f t="shared" si="106"/>
        <v>4.9144008395218908</v>
      </c>
      <c r="M522" s="7">
        <f t="shared" si="107"/>
        <v>10.069620253164556</v>
      </c>
      <c r="N522" s="7">
        <f t="shared" si="108"/>
        <v>2.1089377326145904</v>
      </c>
      <c r="O522" s="7">
        <f t="shared" si="109"/>
        <v>10.958227848101266</v>
      </c>
      <c r="P522" s="7">
        <f t="shared" si="110"/>
        <v>2.2883463843764797</v>
      </c>
      <c r="Q522" s="7">
        <f t="shared" si="111"/>
        <v>-0.69642814260441643</v>
      </c>
      <c r="R522" s="7">
        <f t="shared" si="112"/>
        <v>-0.84252515501294456</v>
      </c>
      <c r="S522" s="7">
        <f t="shared" si="113"/>
        <v>-0.5071843689943738</v>
      </c>
      <c r="T522" s="7">
        <f t="shared" si="114"/>
        <v>1.8254295846087756E-2</v>
      </c>
      <c r="U522" s="7">
        <f t="shared" si="115"/>
        <v>-0.50697084269141168</v>
      </c>
    </row>
    <row r="523" spans="1:21" x14ac:dyDescent="0.25">
      <c r="A523" s="1" t="s">
        <v>1676</v>
      </c>
      <c r="B523" s="1" t="s">
        <v>36</v>
      </c>
      <c r="C523" s="1">
        <v>18</v>
      </c>
      <c r="D523" s="1">
        <v>17</v>
      </c>
      <c r="E523" s="1">
        <v>9</v>
      </c>
      <c r="F523" s="1">
        <v>12</v>
      </c>
      <c r="G523" s="1">
        <v>56</v>
      </c>
      <c r="H523" s="7">
        <v>0.63042517195611536</v>
      </c>
      <c r="I523" s="7">
        <f t="shared" si="116"/>
        <v>22.694936708860759</v>
      </c>
      <c r="J523" s="7">
        <f t="shared" si="104"/>
        <v>5.3055534129377486</v>
      </c>
      <c r="K523" s="7">
        <f t="shared" si="105"/>
        <v>22.140506329113926</v>
      </c>
      <c r="L523" s="7">
        <f t="shared" si="106"/>
        <v>4.9144008395218908</v>
      </c>
      <c r="M523" s="7">
        <f t="shared" si="107"/>
        <v>10.069620253164556</v>
      </c>
      <c r="N523" s="7">
        <f t="shared" si="108"/>
        <v>2.1089377326145904</v>
      </c>
      <c r="O523" s="7">
        <f t="shared" si="109"/>
        <v>10.958227848101266</v>
      </c>
      <c r="P523" s="7">
        <f t="shared" si="110"/>
        <v>2.2883463843764797</v>
      </c>
      <c r="Q523" s="7">
        <f t="shared" si="111"/>
        <v>-0.88490989411434762</v>
      </c>
      <c r="R523" s="7">
        <f t="shared" si="112"/>
        <v>-1.0460087601674006</v>
      </c>
      <c r="S523" s="7">
        <f t="shared" si="113"/>
        <v>-0.5071843689943738</v>
      </c>
      <c r="T523" s="7">
        <f t="shared" si="114"/>
        <v>0.45525107519183194</v>
      </c>
      <c r="U523" s="7">
        <f t="shared" si="115"/>
        <v>-0.49571298702107258</v>
      </c>
    </row>
    <row r="524" spans="1:21" x14ac:dyDescent="0.25">
      <c r="A524" s="1" t="s">
        <v>1676</v>
      </c>
      <c r="B524" s="1" t="s">
        <v>36</v>
      </c>
      <c r="C524" s="1">
        <v>22</v>
      </c>
      <c r="D524" s="1">
        <v>20</v>
      </c>
      <c r="E524" s="1">
        <v>9</v>
      </c>
      <c r="F524" s="1">
        <v>12</v>
      </c>
      <c r="G524" s="1">
        <v>63</v>
      </c>
      <c r="H524" s="7">
        <v>1.1435437497937311</v>
      </c>
      <c r="I524" s="7">
        <f t="shared" si="116"/>
        <v>22.694936708860759</v>
      </c>
      <c r="J524" s="7">
        <f t="shared" si="104"/>
        <v>5.3055534129377486</v>
      </c>
      <c r="K524" s="7">
        <f t="shared" si="105"/>
        <v>22.140506329113926</v>
      </c>
      <c r="L524" s="7">
        <f t="shared" si="106"/>
        <v>4.9144008395218908</v>
      </c>
      <c r="M524" s="7">
        <f t="shared" si="107"/>
        <v>10.069620253164556</v>
      </c>
      <c r="N524" s="7">
        <f t="shared" si="108"/>
        <v>2.1089377326145904</v>
      </c>
      <c r="O524" s="7">
        <f t="shared" si="109"/>
        <v>10.958227848101266</v>
      </c>
      <c r="P524" s="7">
        <f t="shared" si="110"/>
        <v>2.2883463843764797</v>
      </c>
      <c r="Q524" s="7">
        <f t="shared" si="111"/>
        <v>-0.13098288807462291</v>
      </c>
      <c r="R524" s="7">
        <f t="shared" si="112"/>
        <v>-0.43555794470403231</v>
      </c>
      <c r="S524" s="7">
        <f t="shared" si="113"/>
        <v>-0.5071843689943738</v>
      </c>
      <c r="T524" s="7">
        <f t="shared" si="114"/>
        <v>0.45525107519183194</v>
      </c>
      <c r="U524" s="7">
        <f t="shared" si="115"/>
        <v>-0.15461853164529926</v>
      </c>
    </row>
    <row r="525" spans="1:21" x14ac:dyDescent="0.25">
      <c r="A525" s="1" t="s">
        <v>1676</v>
      </c>
      <c r="B525" s="1" t="s">
        <v>36</v>
      </c>
      <c r="C525" s="1">
        <v>25</v>
      </c>
      <c r="D525" s="1">
        <v>24</v>
      </c>
      <c r="E525" s="1">
        <v>10</v>
      </c>
      <c r="F525" s="1">
        <v>11</v>
      </c>
      <c r="G525" s="1">
        <v>70</v>
      </c>
      <c r="H525" s="7">
        <v>1.4455945454184549</v>
      </c>
      <c r="I525" s="7">
        <f t="shared" si="116"/>
        <v>22.694936708860759</v>
      </c>
      <c r="J525" s="7">
        <f t="shared" si="104"/>
        <v>5.3055534129377486</v>
      </c>
      <c r="K525" s="7">
        <f t="shared" si="105"/>
        <v>22.140506329113926</v>
      </c>
      <c r="L525" s="7">
        <f t="shared" si="106"/>
        <v>4.9144008395218908</v>
      </c>
      <c r="M525" s="7">
        <f t="shared" si="107"/>
        <v>10.069620253164556</v>
      </c>
      <c r="N525" s="7">
        <f t="shared" si="108"/>
        <v>2.1089377326145904</v>
      </c>
      <c r="O525" s="7">
        <f t="shared" si="109"/>
        <v>10.958227848101266</v>
      </c>
      <c r="P525" s="7">
        <f t="shared" si="110"/>
        <v>2.2883463843764797</v>
      </c>
      <c r="Q525" s="7">
        <f t="shared" si="111"/>
        <v>0.43446236645517061</v>
      </c>
      <c r="R525" s="7">
        <f t="shared" si="112"/>
        <v>0.37837647591379209</v>
      </c>
      <c r="S525" s="7">
        <f t="shared" si="113"/>
        <v>-3.3012000348745997E-2</v>
      </c>
      <c r="T525" s="7">
        <f t="shared" si="114"/>
        <v>1.8254295846087756E-2</v>
      </c>
      <c r="U525" s="7">
        <f t="shared" si="115"/>
        <v>0.19952028446657613</v>
      </c>
    </row>
    <row r="526" spans="1:21" x14ac:dyDescent="0.25">
      <c r="A526" s="1" t="s">
        <v>1676</v>
      </c>
      <c r="B526" s="1" t="s">
        <v>36</v>
      </c>
      <c r="C526" s="1">
        <v>21</v>
      </c>
      <c r="D526" s="1">
        <v>22</v>
      </c>
      <c r="E526" s="1">
        <v>9</v>
      </c>
      <c r="F526" s="1">
        <v>10</v>
      </c>
      <c r="G526" s="1">
        <v>62</v>
      </c>
      <c r="H526" s="7">
        <v>1.1657505560686465</v>
      </c>
      <c r="I526" s="7">
        <f t="shared" si="116"/>
        <v>22.694936708860759</v>
      </c>
      <c r="J526" s="7">
        <f t="shared" si="104"/>
        <v>5.3055534129377486</v>
      </c>
      <c r="K526" s="7">
        <f t="shared" si="105"/>
        <v>22.140506329113926</v>
      </c>
      <c r="L526" s="7">
        <f t="shared" si="106"/>
        <v>4.9144008395218908</v>
      </c>
      <c r="M526" s="7">
        <f t="shared" si="107"/>
        <v>10.069620253164556</v>
      </c>
      <c r="N526" s="7">
        <f t="shared" si="108"/>
        <v>2.1089377326145904</v>
      </c>
      <c r="O526" s="7">
        <f t="shared" si="109"/>
        <v>10.958227848101266</v>
      </c>
      <c r="P526" s="7">
        <f t="shared" si="110"/>
        <v>2.2883463843764797</v>
      </c>
      <c r="Q526" s="7">
        <f t="shared" si="111"/>
        <v>-0.31946463958455407</v>
      </c>
      <c r="R526" s="7">
        <f t="shared" si="112"/>
        <v>-2.8590734395120113E-2</v>
      </c>
      <c r="S526" s="7">
        <f t="shared" si="113"/>
        <v>-0.5071843689943738</v>
      </c>
      <c r="T526" s="7">
        <f t="shared" si="114"/>
        <v>-0.41874248349965643</v>
      </c>
      <c r="U526" s="7">
        <f t="shared" si="115"/>
        <v>-0.3184955566184261</v>
      </c>
    </row>
    <row r="527" spans="1:21" x14ac:dyDescent="0.25">
      <c r="A527" s="1" t="s">
        <v>1676</v>
      </c>
      <c r="B527" s="1" t="s">
        <v>36</v>
      </c>
      <c r="C527" s="1">
        <v>18</v>
      </c>
      <c r="D527" s="1">
        <v>18</v>
      </c>
      <c r="E527" s="1">
        <v>7</v>
      </c>
      <c r="F527" s="1">
        <v>10</v>
      </c>
      <c r="G527" s="1">
        <v>53</v>
      </c>
      <c r="H527" s="7">
        <v>1.0377490433255416</v>
      </c>
      <c r="I527" s="7">
        <f t="shared" si="116"/>
        <v>22.694936708860759</v>
      </c>
      <c r="J527" s="7">
        <f t="shared" si="104"/>
        <v>5.3055534129377486</v>
      </c>
      <c r="K527" s="7">
        <f t="shared" si="105"/>
        <v>22.140506329113926</v>
      </c>
      <c r="L527" s="7">
        <f t="shared" si="106"/>
        <v>4.9144008395218908</v>
      </c>
      <c r="M527" s="7">
        <f t="shared" si="107"/>
        <v>10.069620253164556</v>
      </c>
      <c r="N527" s="7">
        <f t="shared" si="108"/>
        <v>2.1089377326145904</v>
      </c>
      <c r="O527" s="7">
        <f t="shared" si="109"/>
        <v>10.958227848101266</v>
      </c>
      <c r="P527" s="7">
        <f t="shared" si="110"/>
        <v>2.2883463843764797</v>
      </c>
      <c r="Q527" s="7">
        <f t="shared" si="111"/>
        <v>-0.88490989411434762</v>
      </c>
      <c r="R527" s="7">
        <f t="shared" si="112"/>
        <v>-0.84252515501294456</v>
      </c>
      <c r="S527" s="7">
        <f t="shared" si="113"/>
        <v>-1.4555291062856295</v>
      </c>
      <c r="T527" s="7">
        <f t="shared" si="114"/>
        <v>-0.41874248349965643</v>
      </c>
      <c r="U527" s="7">
        <f t="shared" si="115"/>
        <v>-0.90042665972814451</v>
      </c>
    </row>
    <row r="528" spans="1:21" x14ac:dyDescent="0.25">
      <c r="A528" s="1" t="s">
        <v>1676</v>
      </c>
      <c r="B528" s="1" t="s">
        <v>36</v>
      </c>
      <c r="C528" s="1">
        <v>18</v>
      </c>
      <c r="D528" s="1">
        <v>19</v>
      </c>
      <c r="E528" s="1">
        <v>8</v>
      </c>
      <c r="F528" s="1">
        <v>10</v>
      </c>
      <c r="G528" s="1">
        <v>55</v>
      </c>
      <c r="H528" s="7">
        <v>1.0127393670836664</v>
      </c>
      <c r="I528" s="7">
        <f t="shared" si="116"/>
        <v>22.694936708860759</v>
      </c>
      <c r="J528" s="7">
        <f t="shared" si="104"/>
        <v>5.3055534129377486</v>
      </c>
      <c r="K528" s="7">
        <f t="shared" si="105"/>
        <v>22.140506329113926</v>
      </c>
      <c r="L528" s="7">
        <f t="shared" si="106"/>
        <v>4.9144008395218908</v>
      </c>
      <c r="M528" s="7">
        <f t="shared" si="107"/>
        <v>10.069620253164556</v>
      </c>
      <c r="N528" s="7">
        <f t="shared" si="108"/>
        <v>2.1089377326145904</v>
      </c>
      <c r="O528" s="7">
        <f t="shared" si="109"/>
        <v>10.958227848101266</v>
      </c>
      <c r="P528" s="7">
        <f t="shared" si="110"/>
        <v>2.2883463843764797</v>
      </c>
      <c r="Q528" s="7">
        <f t="shared" si="111"/>
        <v>-0.88490989411434762</v>
      </c>
      <c r="R528" s="7">
        <f t="shared" si="112"/>
        <v>-0.63904154985848838</v>
      </c>
      <c r="S528" s="7">
        <f t="shared" si="113"/>
        <v>-0.98135673764000164</v>
      </c>
      <c r="T528" s="7">
        <f t="shared" si="114"/>
        <v>-0.41874248349965643</v>
      </c>
      <c r="U528" s="7">
        <f t="shared" si="115"/>
        <v>-0.73101266627812356</v>
      </c>
    </row>
    <row r="529" spans="1:21" x14ac:dyDescent="0.25">
      <c r="A529" s="1" t="s">
        <v>1676</v>
      </c>
      <c r="B529" s="1" t="s">
        <v>36</v>
      </c>
      <c r="C529" s="1">
        <v>23</v>
      </c>
      <c r="D529" s="1">
        <v>24</v>
      </c>
      <c r="E529" s="1">
        <v>9</v>
      </c>
      <c r="F529" s="1">
        <v>12</v>
      </c>
      <c r="G529" s="1">
        <v>68</v>
      </c>
      <c r="H529" s="7">
        <v>1.3008872711759818</v>
      </c>
      <c r="I529" s="7">
        <f t="shared" si="116"/>
        <v>22.694936708860759</v>
      </c>
      <c r="J529" s="7">
        <f t="shared" si="104"/>
        <v>5.3055534129377486</v>
      </c>
      <c r="K529" s="7">
        <f t="shared" si="105"/>
        <v>22.140506329113926</v>
      </c>
      <c r="L529" s="7">
        <f t="shared" si="106"/>
        <v>4.9144008395218908</v>
      </c>
      <c r="M529" s="7">
        <f t="shared" si="107"/>
        <v>10.069620253164556</v>
      </c>
      <c r="N529" s="7">
        <f t="shared" si="108"/>
        <v>2.1089377326145904</v>
      </c>
      <c r="O529" s="7">
        <f t="shared" si="109"/>
        <v>10.958227848101266</v>
      </c>
      <c r="P529" s="7">
        <f t="shared" si="110"/>
        <v>2.2883463843764797</v>
      </c>
      <c r="Q529" s="7">
        <f t="shared" si="111"/>
        <v>5.7498863435308259E-2</v>
      </c>
      <c r="R529" s="7">
        <f t="shared" si="112"/>
        <v>0.37837647591379209</v>
      </c>
      <c r="S529" s="7">
        <f t="shared" si="113"/>
        <v>-0.5071843689943738</v>
      </c>
      <c r="T529" s="7">
        <f t="shared" si="114"/>
        <v>0.45525107519183194</v>
      </c>
      <c r="U529" s="7">
        <f t="shared" si="115"/>
        <v>9.5985511386639619E-2</v>
      </c>
    </row>
    <row r="530" spans="1:21" x14ac:dyDescent="0.25">
      <c r="A530" s="1" t="s">
        <v>1676</v>
      </c>
      <c r="B530" s="1" t="s">
        <v>36</v>
      </c>
      <c r="C530" s="1">
        <v>19</v>
      </c>
      <c r="D530" s="1">
        <v>21</v>
      </c>
      <c r="E530" s="1">
        <v>10</v>
      </c>
      <c r="F530" s="1">
        <v>10</v>
      </c>
      <c r="G530" s="1">
        <v>60</v>
      </c>
      <c r="H530" s="7">
        <v>1.386750490563073</v>
      </c>
      <c r="I530" s="7">
        <f t="shared" si="116"/>
        <v>22.694936708860759</v>
      </c>
      <c r="J530" s="7">
        <f t="shared" si="104"/>
        <v>5.3055534129377486</v>
      </c>
      <c r="K530" s="7">
        <f t="shared" si="105"/>
        <v>22.140506329113926</v>
      </c>
      <c r="L530" s="7">
        <f t="shared" si="106"/>
        <v>4.9144008395218908</v>
      </c>
      <c r="M530" s="7">
        <f t="shared" si="107"/>
        <v>10.069620253164556</v>
      </c>
      <c r="N530" s="7">
        <f t="shared" si="108"/>
        <v>2.1089377326145904</v>
      </c>
      <c r="O530" s="7">
        <f t="shared" si="109"/>
        <v>10.958227848101266</v>
      </c>
      <c r="P530" s="7">
        <f t="shared" si="110"/>
        <v>2.2883463843764797</v>
      </c>
      <c r="Q530" s="7">
        <f t="shared" si="111"/>
        <v>-0.69642814260441643</v>
      </c>
      <c r="R530" s="7">
        <f t="shared" si="112"/>
        <v>-0.23207433954957621</v>
      </c>
      <c r="S530" s="7">
        <f t="shared" si="113"/>
        <v>-3.3012000348745997E-2</v>
      </c>
      <c r="T530" s="7">
        <f t="shared" si="114"/>
        <v>-0.41874248349965643</v>
      </c>
      <c r="U530" s="7">
        <f t="shared" si="115"/>
        <v>-0.34506424150059878</v>
      </c>
    </row>
    <row r="531" spans="1:21" x14ac:dyDescent="0.25">
      <c r="A531" s="1" t="s">
        <v>1676</v>
      </c>
      <c r="B531" s="1" t="s">
        <v>36</v>
      </c>
      <c r="C531" s="1">
        <v>23</v>
      </c>
      <c r="D531" s="1">
        <v>19</v>
      </c>
      <c r="E531" s="1">
        <v>9</v>
      </c>
      <c r="F531" s="1">
        <v>10</v>
      </c>
      <c r="G531" s="1">
        <v>61</v>
      </c>
      <c r="H531" s="7">
        <v>1.3155870289605436</v>
      </c>
      <c r="I531" s="7">
        <f t="shared" si="116"/>
        <v>22.694936708860759</v>
      </c>
      <c r="J531" s="7">
        <f t="shared" si="104"/>
        <v>5.3055534129377486</v>
      </c>
      <c r="K531" s="7">
        <f t="shared" si="105"/>
        <v>22.140506329113926</v>
      </c>
      <c r="L531" s="7">
        <f t="shared" si="106"/>
        <v>4.9144008395218908</v>
      </c>
      <c r="M531" s="7">
        <f t="shared" si="107"/>
        <v>10.069620253164556</v>
      </c>
      <c r="N531" s="7">
        <f t="shared" si="108"/>
        <v>2.1089377326145904</v>
      </c>
      <c r="O531" s="7">
        <f t="shared" si="109"/>
        <v>10.958227848101266</v>
      </c>
      <c r="P531" s="7">
        <f t="shared" si="110"/>
        <v>2.2883463843764797</v>
      </c>
      <c r="Q531" s="7">
        <f t="shared" si="111"/>
        <v>5.7498863435308259E-2</v>
      </c>
      <c r="R531" s="7">
        <f t="shared" si="112"/>
        <v>-0.63904154985848838</v>
      </c>
      <c r="S531" s="7">
        <f t="shared" si="113"/>
        <v>-0.5071843689943738</v>
      </c>
      <c r="T531" s="7">
        <f t="shared" si="114"/>
        <v>-0.41874248349965643</v>
      </c>
      <c r="U531" s="7">
        <f t="shared" si="115"/>
        <v>-0.37686738472930259</v>
      </c>
    </row>
    <row r="532" spans="1:21" x14ac:dyDescent="0.25">
      <c r="A532" s="1" t="s">
        <v>1676</v>
      </c>
      <c r="B532" s="1" t="s">
        <v>36</v>
      </c>
      <c r="C532" s="1">
        <v>24</v>
      </c>
      <c r="D532" s="1">
        <v>20</v>
      </c>
      <c r="E532" s="1">
        <v>9</v>
      </c>
      <c r="F532" s="1">
        <v>9</v>
      </c>
      <c r="G532" s="1">
        <v>62</v>
      </c>
      <c r="H532" s="7">
        <v>1.535895295576609</v>
      </c>
      <c r="I532" s="7">
        <f t="shared" si="116"/>
        <v>22.694936708860759</v>
      </c>
      <c r="J532" s="7">
        <f t="shared" si="104"/>
        <v>5.3055534129377486</v>
      </c>
      <c r="K532" s="7">
        <f t="shared" si="105"/>
        <v>22.140506329113926</v>
      </c>
      <c r="L532" s="7">
        <f t="shared" si="106"/>
        <v>4.9144008395218908</v>
      </c>
      <c r="M532" s="7">
        <f t="shared" si="107"/>
        <v>10.069620253164556</v>
      </c>
      <c r="N532" s="7">
        <f t="shared" si="108"/>
        <v>2.1089377326145904</v>
      </c>
      <c r="O532" s="7">
        <f t="shared" si="109"/>
        <v>10.958227848101266</v>
      </c>
      <c r="P532" s="7">
        <f t="shared" si="110"/>
        <v>2.2883463843764797</v>
      </c>
      <c r="Q532" s="7">
        <f t="shared" si="111"/>
        <v>0.24598061494523943</v>
      </c>
      <c r="R532" s="7">
        <f t="shared" si="112"/>
        <v>-0.43555794470403231</v>
      </c>
      <c r="S532" s="7">
        <f t="shared" si="113"/>
        <v>-0.5071843689943738</v>
      </c>
      <c r="T532" s="7">
        <f t="shared" si="114"/>
        <v>-0.85573926284540058</v>
      </c>
      <c r="U532" s="7">
        <f t="shared" si="115"/>
        <v>-0.3881252403996418</v>
      </c>
    </row>
    <row r="533" spans="1:21" x14ac:dyDescent="0.25">
      <c r="A533" s="1" t="s">
        <v>1676</v>
      </c>
      <c r="B533" s="1" t="s">
        <v>36</v>
      </c>
      <c r="C533" s="1">
        <v>22</v>
      </c>
      <c r="D533" s="1">
        <v>19</v>
      </c>
      <c r="E533" s="1">
        <v>8</v>
      </c>
      <c r="F533" s="1">
        <v>11</v>
      </c>
      <c r="G533" s="1">
        <v>60</v>
      </c>
      <c r="H533" s="7">
        <v>1.192927878405448</v>
      </c>
      <c r="I533" s="7">
        <f t="shared" si="116"/>
        <v>22.694936708860759</v>
      </c>
      <c r="J533" s="7">
        <f t="shared" si="104"/>
        <v>5.3055534129377486</v>
      </c>
      <c r="K533" s="7">
        <f t="shared" si="105"/>
        <v>22.140506329113926</v>
      </c>
      <c r="L533" s="7">
        <f t="shared" si="106"/>
        <v>4.9144008395218908</v>
      </c>
      <c r="M533" s="7">
        <f t="shared" si="107"/>
        <v>10.069620253164556</v>
      </c>
      <c r="N533" s="7">
        <f t="shared" si="108"/>
        <v>2.1089377326145904</v>
      </c>
      <c r="O533" s="7">
        <f t="shared" si="109"/>
        <v>10.958227848101266</v>
      </c>
      <c r="P533" s="7">
        <f t="shared" si="110"/>
        <v>2.2883463843764797</v>
      </c>
      <c r="Q533" s="7">
        <f t="shared" si="111"/>
        <v>-0.13098288807462291</v>
      </c>
      <c r="R533" s="7">
        <f t="shared" si="112"/>
        <v>-0.63904154985848838</v>
      </c>
      <c r="S533" s="7">
        <f t="shared" si="113"/>
        <v>-0.98135673764000164</v>
      </c>
      <c r="T533" s="7">
        <f t="shared" si="114"/>
        <v>1.8254295846087756E-2</v>
      </c>
      <c r="U533" s="7">
        <f t="shared" si="115"/>
        <v>-0.43328171993175624</v>
      </c>
    </row>
    <row r="534" spans="1:21" x14ac:dyDescent="0.25">
      <c r="A534" s="1" t="s">
        <v>1676</v>
      </c>
      <c r="B534" s="1" t="s">
        <v>36</v>
      </c>
      <c r="C534" s="1">
        <v>23</v>
      </c>
      <c r="D534" s="1">
        <v>20</v>
      </c>
      <c r="E534" s="1">
        <v>8</v>
      </c>
      <c r="F534" s="1">
        <v>10</v>
      </c>
      <c r="G534" s="1">
        <v>61</v>
      </c>
      <c r="H534" s="7">
        <v>1.5483655567842813</v>
      </c>
      <c r="I534" s="7">
        <f t="shared" si="116"/>
        <v>22.694936708860759</v>
      </c>
      <c r="J534" s="7">
        <f t="shared" si="104"/>
        <v>5.3055534129377486</v>
      </c>
      <c r="K534" s="7">
        <f t="shared" si="105"/>
        <v>22.140506329113926</v>
      </c>
      <c r="L534" s="7">
        <f t="shared" si="106"/>
        <v>4.9144008395218908</v>
      </c>
      <c r="M534" s="7">
        <f t="shared" si="107"/>
        <v>10.069620253164556</v>
      </c>
      <c r="N534" s="7">
        <f t="shared" si="108"/>
        <v>2.1089377326145904</v>
      </c>
      <c r="O534" s="7">
        <f t="shared" si="109"/>
        <v>10.958227848101266</v>
      </c>
      <c r="P534" s="7">
        <f t="shared" si="110"/>
        <v>2.2883463843764797</v>
      </c>
      <c r="Q534" s="7">
        <f t="shared" si="111"/>
        <v>5.7498863435308259E-2</v>
      </c>
      <c r="R534" s="7">
        <f t="shared" si="112"/>
        <v>-0.43555794470403231</v>
      </c>
      <c r="S534" s="7">
        <f t="shared" si="113"/>
        <v>-0.98135673764000164</v>
      </c>
      <c r="T534" s="7">
        <f t="shared" si="114"/>
        <v>-0.41874248349965643</v>
      </c>
      <c r="U534" s="7">
        <f t="shared" si="115"/>
        <v>-0.44453957560209556</v>
      </c>
    </row>
    <row r="535" spans="1:21" x14ac:dyDescent="0.25">
      <c r="A535" s="1" t="s">
        <v>1676</v>
      </c>
      <c r="B535" s="1" t="s">
        <v>36</v>
      </c>
      <c r="C535" s="1">
        <v>24</v>
      </c>
      <c r="D535" s="1">
        <v>22</v>
      </c>
      <c r="E535" s="1">
        <v>9</v>
      </c>
      <c r="F535" s="1">
        <v>11</v>
      </c>
      <c r="G535" s="1">
        <v>66</v>
      </c>
      <c r="H535" s="7">
        <v>1.5525000516123695</v>
      </c>
      <c r="I535" s="7">
        <f t="shared" si="116"/>
        <v>22.694936708860759</v>
      </c>
      <c r="J535" s="7">
        <f t="shared" si="104"/>
        <v>5.3055534129377486</v>
      </c>
      <c r="K535" s="7">
        <f t="shared" si="105"/>
        <v>22.140506329113926</v>
      </c>
      <c r="L535" s="7">
        <f t="shared" si="106"/>
        <v>4.9144008395218908</v>
      </c>
      <c r="M535" s="7">
        <f t="shared" si="107"/>
        <v>10.069620253164556</v>
      </c>
      <c r="N535" s="7">
        <f t="shared" si="108"/>
        <v>2.1089377326145904</v>
      </c>
      <c r="O535" s="7">
        <f t="shared" si="109"/>
        <v>10.958227848101266</v>
      </c>
      <c r="P535" s="7">
        <f t="shared" si="110"/>
        <v>2.2883463843764797</v>
      </c>
      <c r="Q535" s="7">
        <f t="shared" si="111"/>
        <v>0.24598061494523943</v>
      </c>
      <c r="R535" s="7">
        <f t="shared" si="112"/>
        <v>-2.8590734395120113E-2</v>
      </c>
      <c r="S535" s="7">
        <f t="shared" si="113"/>
        <v>-0.5071843689943738</v>
      </c>
      <c r="T535" s="7">
        <f t="shared" si="114"/>
        <v>1.8254295846087756E-2</v>
      </c>
      <c r="U535" s="7">
        <f t="shared" si="115"/>
        <v>-6.7885048149541688E-2</v>
      </c>
    </row>
    <row r="536" spans="1:21" x14ac:dyDescent="0.25">
      <c r="A536" s="1" t="s">
        <v>1676</v>
      </c>
      <c r="B536" s="1" t="s">
        <v>36</v>
      </c>
      <c r="C536" s="1">
        <v>22</v>
      </c>
      <c r="D536" s="1">
        <v>21</v>
      </c>
      <c r="E536" s="1">
        <v>9</v>
      </c>
      <c r="F536" s="1">
        <v>10</v>
      </c>
      <c r="G536" s="1">
        <v>62</v>
      </c>
      <c r="H536" s="7">
        <v>1.3634420996046579</v>
      </c>
      <c r="I536" s="7">
        <f t="shared" si="116"/>
        <v>22.694936708860759</v>
      </c>
      <c r="J536" s="7">
        <f t="shared" si="104"/>
        <v>5.3055534129377486</v>
      </c>
      <c r="K536" s="7">
        <f t="shared" si="105"/>
        <v>22.140506329113926</v>
      </c>
      <c r="L536" s="7">
        <f t="shared" si="106"/>
        <v>4.9144008395218908</v>
      </c>
      <c r="M536" s="7">
        <f t="shared" si="107"/>
        <v>10.069620253164556</v>
      </c>
      <c r="N536" s="7">
        <f t="shared" si="108"/>
        <v>2.1089377326145904</v>
      </c>
      <c r="O536" s="7">
        <f t="shared" si="109"/>
        <v>10.958227848101266</v>
      </c>
      <c r="P536" s="7">
        <f t="shared" si="110"/>
        <v>2.2883463843764797</v>
      </c>
      <c r="Q536" s="7">
        <f t="shared" si="111"/>
        <v>-0.13098288807462291</v>
      </c>
      <c r="R536" s="7">
        <f t="shared" si="112"/>
        <v>-0.23207433954957621</v>
      </c>
      <c r="S536" s="7">
        <f t="shared" si="113"/>
        <v>-0.5071843689943738</v>
      </c>
      <c r="T536" s="7">
        <f t="shared" si="114"/>
        <v>-0.41874248349965643</v>
      </c>
      <c r="U536" s="7">
        <f t="shared" si="115"/>
        <v>-0.32224602002955732</v>
      </c>
    </row>
    <row r="537" spans="1:21" x14ac:dyDescent="0.25">
      <c r="A537" s="1" t="s">
        <v>1676</v>
      </c>
      <c r="B537" s="1" t="s">
        <v>36</v>
      </c>
      <c r="C537" s="1">
        <v>26</v>
      </c>
      <c r="D537" s="1">
        <v>24</v>
      </c>
      <c r="E537" s="1">
        <v>11</v>
      </c>
      <c r="F537" s="1">
        <v>12</v>
      </c>
      <c r="G537" s="1">
        <v>73</v>
      </c>
      <c r="H537" s="7">
        <v>1.6092680291808414</v>
      </c>
      <c r="I537" s="7">
        <f t="shared" si="116"/>
        <v>22.694936708860759</v>
      </c>
      <c r="J537" s="7">
        <f t="shared" si="104"/>
        <v>5.3055534129377486</v>
      </c>
      <c r="K537" s="7">
        <f t="shared" si="105"/>
        <v>22.140506329113926</v>
      </c>
      <c r="L537" s="7">
        <f t="shared" si="106"/>
        <v>4.9144008395218908</v>
      </c>
      <c r="M537" s="7">
        <f t="shared" si="107"/>
        <v>10.069620253164556</v>
      </c>
      <c r="N537" s="7">
        <f t="shared" si="108"/>
        <v>2.1089377326145904</v>
      </c>
      <c r="O537" s="7">
        <f t="shared" si="109"/>
        <v>10.958227848101266</v>
      </c>
      <c r="P537" s="7">
        <f t="shared" si="110"/>
        <v>2.2883463843764797</v>
      </c>
      <c r="Q537" s="7">
        <f t="shared" si="111"/>
        <v>0.62294411796510174</v>
      </c>
      <c r="R537" s="7">
        <f t="shared" si="112"/>
        <v>0.37837647591379209</v>
      </c>
      <c r="S537" s="7">
        <f t="shared" si="113"/>
        <v>0.44116036829688182</v>
      </c>
      <c r="T537" s="7">
        <f t="shared" si="114"/>
        <v>0.45525107519183194</v>
      </c>
      <c r="U537" s="7">
        <f t="shared" si="115"/>
        <v>0.47443300934190191</v>
      </c>
    </row>
    <row r="538" spans="1:21" x14ac:dyDescent="0.25">
      <c r="A538" s="1" t="s">
        <v>1676</v>
      </c>
      <c r="B538" s="1" t="s">
        <v>36</v>
      </c>
      <c r="C538" s="1">
        <v>27</v>
      </c>
      <c r="D538" s="1">
        <v>24</v>
      </c>
      <c r="E538" s="1">
        <v>11</v>
      </c>
      <c r="F538" s="1">
        <v>10</v>
      </c>
      <c r="G538" s="1">
        <v>72</v>
      </c>
      <c r="H538" s="7">
        <v>1.7614096918559581</v>
      </c>
      <c r="I538" s="7">
        <f t="shared" si="116"/>
        <v>22.694936708860759</v>
      </c>
      <c r="J538" s="7">
        <f t="shared" si="104"/>
        <v>5.3055534129377486</v>
      </c>
      <c r="K538" s="7">
        <f t="shared" si="105"/>
        <v>22.140506329113926</v>
      </c>
      <c r="L538" s="7">
        <f t="shared" si="106"/>
        <v>4.9144008395218908</v>
      </c>
      <c r="M538" s="7">
        <f t="shared" si="107"/>
        <v>10.069620253164556</v>
      </c>
      <c r="N538" s="7">
        <f t="shared" si="108"/>
        <v>2.1089377326145904</v>
      </c>
      <c r="O538" s="7">
        <f t="shared" si="109"/>
        <v>10.958227848101266</v>
      </c>
      <c r="P538" s="7">
        <f t="shared" si="110"/>
        <v>2.2883463843764797</v>
      </c>
      <c r="Q538" s="7">
        <f t="shared" si="111"/>
        <v>0.81142586947503292</v>
      </c>
      <c r="R538" s="7">
        <f t="shared" si="112"/>
        <v>0.37837647591379209</v>
      </c>
      <c r="S538" s="7">
        <f t="shared" si="113"/>
        <v>0.44116036829688182</v>
      </c>
      <c r="T538" s="7">
        <f t="shared" si="114"/>
        <v>-0.41874248349965643</v>
      </c>
      <c r="U538" s="7">
        <f t="shared" si="115"/>
        <v>0.30305505754651257</v>
      </c>
    </row>
    <row r="539" spans="1:21" x14ac:dyDescent="0.25">
      <c r="A539" s="1" t="s">
        <v>1676</v>
      </c>
      <c r="B539" s="1" t="s">
        <v>36</v>
      </c>
      <c r="C539" s="1">
        <v>20</v>
      </c>
      <c r="D539" s="1">
        <v>22</v>
      </c>
      <c r="E539" s="1">
        <v>10</v>
      </c>
      <c r="F539" s="1">
        <v>11</v>
      </c>
      <c r="G539" s="1">
        <v>63</v>
      </c>
      <c r="H539" s="7">
        <v>1.2142318453899048</v>
      </c>
      <c r="I539" s="7">
        <f t="shared" si="116"/>
        <v>22.694936708860759</v>
      </c>
      <c r="J539" s="7">
        <f t="shared" si="104"/>
        <v>5.3055534129377486</v>
      </c>
      <c r="K539" s="7">
        <f t="shared" si="105"/>
        <v>22.140506329113926</v>
      </c>
      <c r="L539" s="7">
        <f t="shared" si="106"/>
        <v>4.9144008395218908</v>
      </c>
      <c r="M539" s="7">
        <f t="shared" si="107"/>
        <v>10.069620253164556</v>
      </c>
      <c r="N539" s="7">
        <f t="shared" si="108"/>
        <v>2.1089377326145904</v>
      </c>
      <c r="O539" s="7">
        <f t="shared" si="109"/>
        <v>10.958227848101266</v>
      </c>
      <c r="P539" s="7">
        <f t="shared" si="110"/>
        <v>2.2883463843764797</v>
      </c>
      <c r="Q539" s="7">
        <f t="shared" si="111"/>
        <v>-0.50794639109448525</v>
      </c>
      <c r="R539" s="7">
        <f t="shared" si="112"/>
        <v>-2.8590734395120113E-2</v>
      </c>
      <c r="S539" s="7">
        <f t="shared" si="113"/>
        <v>-3.3012000348745997E-2</v>
      </c>
      <c r="T539" s="7">
        <f t="shared" si="114"/>
        <v>1.8254295846087756E-2</v>
      </c>
      <c r="U539" s="7">
        <f t="shared" si="115"/>
        <v>-0.13782370749806591</v>
      </c>
    </row>
    <row r="540" spans="1:21" x14ac:dyDescent="0.25">
      <c r="A540" s="1" t="s">
        <v>1676</v>
      </c>
      <c r="B540" s="1" t="s">
        <v>36</v>
      </c>
      <c r="C540" s="1">
        <v>20</v>
      </c>
      <c r="D540" s="1">
        <v>18</v>
      </c>
      <c r="E540" s="1">
        <v>9</v>
      </c>
      <c r="F540" s="1">
        <v>9</v>
      </c>
      <c r="G540" s="1">
        <v>56</v>
      </c>
      <c r="H540" s="7">
        <v>1.1821319289469758</v>
      </c>
      <c r="I540" s="7">
        <f t="shared" si="116"/>
        <v>22.694936708860759</v>
      </c>
      <c r="J540" s="7">
        <f t="shared" si="104"/>
        <v>5.3055534129377486</v>
      </c>
      <c r="K540" s="7">
        <f t="shared" si="105"/>
        <v>22.140506329113926</v>
      </c>
      <c r="L540" s="7">
        <f t="shared" si="106"/>
        <v>4.9144008395218908</v>
      </c>
      <c r="M540" s="7">
        <f t="shared" si="107"/>
        <v>10.069620253164556</v>
      </c>
      <c r="N540" s="7">
        <f t="shared" si="108"/>
        <v>2.1089377326145904</v>
      </c>
      <c r="O540" s="7">
        <f t="shared" si="109"/>
        <v>10.958227848101266</v>
      </c>
      <c r="P540" s="7">
        <f t="shared" si="110"/>
        <v>2.2883463843764797</v>
      </c>
      <c r="Q540" s="7">
        <f t="shared" si="111"/>
        <v>-0.50794639109448525</v>
      </c>
      <c r="R540" s="7">
        <f t="shared" si="112"/>
        <v>-0.84252515501294456</v>
      </c>
      <c r="S540" s="7">
        <f t="shared" si="113"/>
        <v>-0.5071843689943738</v>
      </c>
      <c r="T540" s="7">
        <f t="shared" si="114"/>
        <v>-0.85573926284540058</v>
      </c>
      <c r="U540" s="7">
        <f t="shared" si="115"/>
        <v>-0.67834879448680097</v>
      </c>
    </row>
    <row r="541" spans="1:21" x14ac:dyDescent="0.25">
      <c r="A541" s="1" t="s">
        <v>1676</v>
      </c>
      <c r="B541" s="1" t="s">
        <v>36</v>
      </c>
      <c r="C541" s="1">
        <v>19</v>
      </c>
      <c r="D541" s="1">
        <v>19</v>
      </c>
      <c r="E541" s="1">
        <v>8</v>
      </c>
      <c r="F541" s="1">
        <v>9</v>
      </c>
      <c r="G541" s="1">
        <v>55</v>
      </c>
      <c r="H541" s="7">
        <v>1.2351684199496948</v>
      </c>
      <c r="I541" s="7">
        <f t="shared" si="116"/>
        <v>22.694936708860759</v>
      </c>
      <c r="J541" s="7">
        <f t="shared" si="104"/>
        <v>5.3055534129377486</v>
      </c>
      <c r="K541" s="7">
        <f t="shared" si="105"/>
        <v>22.140506329113926</v>
      </c>
      <c r="L541" s="7">
        <f t="shared" si="106"/>
        <v>4.9144008395218908</v>
      </c>
      <c r="M541" s="7">
        <f t="shared" si="107"/>
        <v>10.069620253164556</v>
      </c>
      <c r="N541" s="7">
        <f t="shared" si="108"/>
        <v>2.1089377326145904</v>
      </c>
      <c r="O541" s="7">
        <f t="shared" si="109"/>
        <v>10.958227848101266</v>
      </c>
      <c r="P541" s="7">
        <f t="shared" si="110"/>
        <v>2.2883463843764797</v>
      </c>
      <c r="Q541" s="7">
        <f t="shared" si="111"/>
        <v>-0.69642814260441643</v>
      </c>
      <c r="R541" s="7">
        <f t="shared" si="112"/>
        <v>-0.63904154985848838</v>
      </c>
      <c r="S541" s="7">
        <f t="shared" si="113"/>
        <v>-0.98135673764000164</v>
      </c>
      <c r="T541" s="7">
        <f t="shared" si="114"/>
        <v>-0.85573926284540058</v>
      </c>
      <c r="U541" s="7">
        <f t="shared" si="115"/>
        <v>-0.79314142323707681</v>
      </c>
    </row>
    <row r="542" spans="1:21" x14ac:dyDescent="0.25">
      <c r="A542" s="1" t="s">
        <v>1676</v>
      </c>
      <c r="B542" s="1" t="s">
        <v>36</v>
      </c>
      <c r="C542" s="1">
        <v>27</v>
      </c>
      <c r="D542" s="1">
        <v>25</v>
      </c>
      <c r="E542" s="1">
        <v>10</v>
      </c>
      <c r="F542" s="1">
        <v>12</v>
      </c>
      <c r="G542" s="1">
        <v>74</v>
      </c>
      <c r="H542" s="7">
        <v>1.7504578155735613</v>
      </c>
      <c r="I542" s="7">
        <f t="shared" si="116"/>
        <v>22.694936708860759</v>
      </c>
      <c r="J542" s="7">
        <f t="shared" si="104"/>
        <v>5.3055534129377486</v>
      </c>
      <c r="K542" s="7">
        <f t="shared" si="105"/>
        <v>22.140506329113926</v>
      </c>
      <c r="L542" s="7">
        <f t="shared" si="106"/>
        <v>4.9144008395218908</v>
      </c>
      <c r="M542" s="7">
        <f t="shared" si="107"/>
        <v>10.069620253164556</v>
      </c>
      <c r="N542" s="7">
        <f t="shared" si="108"/>
        <v>2.1089377326145904</v>
      </c>
      <c r="O542" s="7">
        <f t="shared" si="109"/>
        <v>10.958227848101266</v>
      </c>
      <c r="P542" s="7">
        <f t="shared" si="110"/>
        <v>2.2883463843764797</v>
      </c>
      <c r="Q542" s="7">
        <f t="shared" si="111"/>
        <v>0.81142586947503292</v>
      </c>
      <c r="R542" s="7">
        <f t="shared" si="112"/>
        <v>0.58186008106824816</v>
      </c>
      <c r="S542" s="7">
        <f t="shared" si="113"/>
        <v>-3.3012000348745997E-2</v>
      </c>
      <c r="T542" s="7">
        <f t="shared" si="114"/>
        <v>0.45525107519183194</v>
      </c>
      <c r="U542" s="7">
        <f t="shared" si="115"/>
        <v>0.45388125634659177</v>
      </c>
    </row>
    <row r="543" spans="1:21" x14ac:dyDescent="0.25">
      <c r="A543" s="1" t="s">
        <v>1676</v>
      </c>
      <c r="B543" s="1" t="s">
        <v>36</v>
      </c>
      <c r="C543" s="1">
        <v>19</v>
      </c>
      <c r="D543" s="1">
        <v>19</v>
      </c>
      <c r="E543" s="1">
        <v>9</v>
      </c>
      <c r="F543" s="1">
        <v>10</v>
      </c>
      <c r="G543" s="1">
        <v>57</v>
      </c>
      <c r="H543" s="7">
        <v>1.1208970766356099</v>
      </c>
      <c r="I543" s="7">
        <f t="shared" si="116"/>
        <v>22.694936708860759</v>
      </c>
      <c r="J543" s="7">
        <f t="shared" si="104"/>
        <v>5.3055534129377486</v>
      </c>
      <c r="K543" s="7">
        <f t="shared" si="105"/>
        <v>22.140506329113926</v>
      </c>
      <c r="L543" s="7">
        <f t="shared" si="106"/>
        <v>4.9144008395218908</v>
      </c>
      <c r="M543" s="7">
        <f t="shared" si="107"/>
        <v>10.069620253164556</v>
      </c>
      <c r="N543" s="7">
        <f t="shared" si="108"/>
        <v>2.1089377326145904</v>
      </c>
      <c r="O543" s="7">
        <f t="shared" si="109"/>
        <v>10.958227848101266</v>
      </c>
      <c r="P543" s="7">
        <f t="shared" si="110"/>
        <v>2.2883463843764797</v>
      </c>
      <c r="Q543" s="7">
        <f t="shared" si="111"/>
        <v>-0.69642814260441643</v>
      </c>
      <c r="R543" s="7">
        <f t="shared" si="112"/>
        <v>-0.63904154985848838</v>
      </c>
      <c r="S543" s="7">
        <f t="shared" si="113"/>
        <v>-0.5071843689943738</v>
      </c>
      <c r="T543" s="7">
        <f t="shared" si="114"/>
        <v>-0.41874248349965643</v>
      </c>
      <c r="U543" s="7">
        <f t="shared" si="115"/>
        <v>-0.56534913623923377</v>
      </c>
    </row>
    <row r="544" spans="1:21" x14ac:dyDescent="0.25">
      <c r="A544" s="1" t="s">
        <v>1678</v>
      </c>
      <c r="B544" s="1" t="s">
        <v>36</v>
      </c>
      <c r="C544" s="1">
        <v>31</v>
      </c>
      <c r="D544" s="1">
        <v>26</v>
      </c>
      <c r="E544" s="1">
        <v>13</v>
      </c>
      <c r="F544" s="1">
        <v>12</v>
      </c>
      <c r="G544" s="1">
        <v>82</v>
      </c>
      <c r="H544" s="7">
        <v>1.887883090687176</v>
      </c>
      <c r="I544" s="7">
        <f t="shared" si="116"/>
        <v>22.694936708860759</v>
      </c>
      <c r="J544" s="7">
        <f t="shared" si="104"/>
        <v>5.3055534129377486</v>
      </c>
      <c r="K544" s="7">
        <f t="shared" si="105"/>
        <v>22.140506329113926</v>
      </c>
      <c r="L544" s="7">
        <f t="shared" si="106"/>
        <v>4.9144008395218908</v>
      </c>
      <c r="M544" s="7">
        <f t="shared" si="107"/>
        <v>10.069620253164556</v>
      </c>
      <c r="N544" s="7">
        <f t="shared" si="108"/>
        <v>2.1089377326145904</v>
      </c>
      <c r="O544" s="7">
        <f t="shared" si="109"/>
        <v>10.958227848101266</v>
      </c>
      <c r="P544" s="7">
        <f t="shared" si="110"/>
        <v>2.2883463843764797</v>
      </c>
      <c r="Q544" s="7">
        <f t="shared" si="111"/>
        <v>1.5653528755147577</v>
      </c>
      <c r="R544" s="7">
        <f t="shared" si="112"/>
        <v>0.78534368622270434</v>
      </c>
      <c r="S544" s="7">
        <f t="shared" si="113"/>
        <v>1.3895051055881373</v>
      </c>
      <c r="T544" s="7">
        <f t="shared" si="114"/>
        <v>0.45525107519183194</v>
      </c>
      <c r="U544" s="7">
        <f t="shared" si="115"/>
        <v>1.0488631856293578</v>
      </c>
    </row>
    <row r="545" spans="1:21" x14ac:dyDescent="0.25">
      <c r="A545" s="1" t="s">
        <v>1678</v>
      </c>
      <c r="B545" s="1" t="s">
        <v>36</v>
      </c>
      <c r="C545" s="1">
        <v>27</v>
      </c>
      <c r="D545" s="1">
        <v>21</v>
      </c>
      <c r="E545" s="1">
        <v>10</v>
      </c>
      <c r="F545" s="1">
        <v>10</v>
      </c>
      <c r="G545" s="1">
        <v>68</v>
      </c>
      <c r="H545" s="7">
        <v>1.7394369852458085</v>
      </c>
      <c r="I545" s="7">
        <f t="shared" si="116"/>
        <v>22.694936708860759</v>
      </c>
      <c r="J545" s="7">
        <f t="shared" si="104"/>
        <v>5.3055534129377486</v>
      </c>
      <c r="K545" s="7">
        <f t="shared" si="105"/>
        <v>22.140506329113926</v>
      </c>
      <c r="L545" s="7">
        <f t="shared" si="106"/>
        <v>4.9144008395218908</v>
      </c>
      <c r="M545" s="7">
        <f t="shared" si="107"/>
        <v>10.069620253164556</v>
      </c>
      <c r="N545" s="7">
        <f t="shared" si="108"/>
        <v>2.1089377326145904</v>
      </c>
      <c r="O545" s="7">
        <f t="shared" si="109"/>
        <v>10.958227848101266</v>
      </c>
      <c r="P545" s="7">
        <f t="shared" si="110"/>
        <v>2.2883463843764797</v>
      </c>
      <c r="Q545" s="7">
        <f t="shared" si="111"/>
        <v>0.81142586947503292</v>
      </c>
      <c r="R545" s="7">
        <f t="shared" si="112"/>
        <v>-0.23207433954957621</v>
      </c>
      <c r="S545" s="7">
        <f t="shared" si="113"/>
        <v>-3.3012000348745997E-2</v>
      </c>
      <c r="T545" s="7">
        <f t="shared" si="114"/>
        <v>-0.41874248349965643</v>
      </c>
      <c r="U545" s="7">
        <f t="shared" si="115"/>
        <v>3.1899261519263575E-2</v>
      </c>
    </row>
    <row r="546" spans="1:21" x14ac:dyDescent="0.25">
      <c r="A546" s="1" t="s">
        <v>1678</v>
      </c>
      <c r="B546" s="1" t="s">
        <v>36</v>
      </c>
      <c r="C546" s="1">
        <v>32</v>
      </c>
      <c r="D546" s="1">
        <v>18</v>
      </c>
      <c r="E546" s="1">
        <v>10</v>
      </c>
      <c r="F546" s="1">
        <v>9</v>
      </c>
      <c r="G546" s="1">
        <v>69</v>
      </c>
      <c r="H546" s="7">
        <v>2.3232382351872349</v>
      </c>
      <c r="I546" s="7">
        <f t="shared" si="116"/>
        <v>22.694936708860759</v>
      </c>
      <c r="J546" s="7">
        <f t="shared" si="104"/>
        <v>5.3055534129377486</v>
      </c>
      <c r="K546" s="7">
        <f t="shared" si="105"/>
        <v>22.140506329113926</v>
      </c>
      <c r="L546" s="7">
        <f t="shared" si="106"/>
        <v>4.9144008395218908</v>
      </c>
      <c r="M546" s="7">
        <f t="shared" si="107"/>
        <v>10.069620253164556</v>
      </c>
      <c r="N546" s="7">
        <f t="shared" si="108"/>
        <v>2.1089377326145904</v>
      </c>
      <c r="O546" s="7">
        <f t="shared" si="109"/>
        <v>10.958227848101266</v>
      </c>
      <c r="P546" s="7">
        <f t="shared" si="110"/>
        <v>2.2883463843764797</v>
      </c>
      <c r="Q546" s="7">
        <f t="shared" si="111"/>
        <v>1.7538346270246887</v>
      </c>
      <c r="R546" s="7">
        <f t="shared" si="112"/>
        <v>-0.84252515501294456</v>
      </c>
      <c r="S546" s="7">
        <f t="shared" si="113"/>
        <v>-3.3012000348745997E-2</v>
      </c>
      <c r="T546" s="7">
        <f t="shared" si="114"/>
        <v>-0.85573926284540058</v>
      </c>
      <c r="U546" s="7">
        <f t="shared" si="115"/>
        <v>5.6395522043994062E-3</v>
      </c>
    </row>
    <row r="547" spans="1:21" x14ac:dyDescent="0.25">
      <c r="A547" s="1" t="s">
        <v>1678</v>
      </c>
      <c r="B547" s="1" t="s">
        <v>36</v>
      </c>
      <c r="C547" s="1">
        <v>31</v>
      </c>
      <c r="D547" s="1">
        <v>29</v>
      </c>
      <c r="E547" s="1">
        <v>13</v>
      </c>
      <c r="F547" s="1">
        <v>13</v>
      </c>
      <c r="G547" s="1">
        <v>86</v>
      </c>
      <c r="H547" s="7">
        <v>2.1031112483834331</v>
      </c>
      <c r="I547" s="7">
        <f t="shared" si="116"/>
        <v>22.694936708860759</v>
      </c>
      <c r="J547" s="7">
        <f t="shared" si="104"/>
        <v>5.3055534129377486</v>
      </c>
      <c r="K547" s="7">
        <f t="shared" si="105"/>
        <v>22.140506329113926</v>
      </c>
      <c r="L547" s="7">
        <f t="shared" si="106"/>
        <v>4.9144008395218908</v>
      </c>
      <c r="M547" s="7">
        <f t="shared" si="107"/>
        <v>10.069620253164556</v>
      </c>
      <c r="N547" s="7">
        <f t="shared" si="108"/>
        <v>2.1089377326145904</v>
      </c>
      <c r="O547" s="7">
        <f t="shared" si="109"/>
        <v>10.958227848101266</v>
      </c>
      <c r="P547" s="7">
        <f t="shared" si="110"/>
        <v>2.2883463843764797</v>
      </c>
      <c r="Q547" s="7">
        <f t="shared" si="111"/>
        <v>1.5653528755147577</v>
      </c>
      <c r="R547" s="7">
        <f t="shared" si="112"/>
        <v>1.3957945016860727</v>
      </c>
      <c r="S547" s="7">
        <f t="shared" si="113"/>
        <v>1.3895051055881373</v>
      </c>
      <c r="T547" s="7">
        <f t="shared" si="114"/>
        <v>0.89224785453757616</v>
      </c>
      <c r="U547" s="7">
        <f t="shared" si="115"/>
        <v>1.3107250843316358</v>
      </c>
    </row>
    <row r="548" spans="1:21" x14ac:dyDescent="0.25">
      <c r="A548" s="1" t="s">
        <v>1678</v>
      </c>
      <c r="B548" s="1" t="s">
        <v>36</v>
      </c>
      <c r="C548" s="1">
        <v>32</v>
      </c>
      <c r="D548" s="1">
        <v>29</v>
      </c>
      <c r="E548" s="1">
        <v>12</v>
      </c>
      <c r="F548" s="1">
        <v>10</v>
      </c>
      <c r="G548" s="1">
        <v>83</v>
      </c>
      <c r="H548" s="7">
        <v>2.3992520201950978</v>
      </c>
      <c r="I548" s="7">
        <f t="shared" si="116"/>
        <v>22.694936708860759</v>
      </c>
      <c r="J548" s="7">
        <f t="shared" si="104"/>
        <v>5.3055534129377486</v>
      </c>
      <c r="K548" s="7">
        <f t="shared" si="105"/>
        <v>22.140506329113926</v>
      </c>
      <c r="L548" s="7">
        <f t="shared" si="106"/>
        <v>4.9144008395218908</v>
      </c>
      <c r="M548" s="7">
        <f t="shared" si="107"/>
        <v>10.069620253164556</v>
      </c>
      <c r="N548" s="7">
        <f t="shared" si="108"/>
        <v>2.1089377326145904</v>
      </c>
      <c r="O548" s="7">
        <f t="shared" si="109"/>
        <v>10.958227848101266</v>
      </c>
      <c r="P548" s="7">
        <f t="shared" si="110"/>
        <v>2.2883463843764797</v>
      </c>
      <c r="Q548" s="7">
        <f t="shared" si="111"/>
        <v>1.7538346270246887</v>
      </c>
      <c r="R548" s="7">
        <f t="shared" si="112"/>
        <v>1.3957945016860727</v>
      </c>
      <c r="S548" s="7">
        <f t="shared" si="113"/>
        <v>0.91533273694250961</v>
      </c>
      <c r="T548" s="7">
        <f t="shared" si="114"/>
        <v>-0.41874248349965643</v>
      </c>
      <c r="U548" s="7">
        <f t="shared" si="115"/>
        <v>0.91155484553840371</v>
      </c>
    </row>
    <row r="549" spans="1:21" x14ac:dyDescent="0.25">
      <c r="A549" s="1" t="s">
        <v>1678</v>
      </c>
      <c r="B549" s="1" t="s">
        <v>36</v>
      </c>
      <c r="C549" s="1">
        <v>28</v>
      </c>
      <c r="D549" s="1">
        <v>25</v>
      </c>
      <c r="E549" s="1">
        <v>10</v>
      </c>
      <c r="F549" s="1">
        <v>9</v>
      </c>
      <c r="G549" s="1">
        <v>72</v>
      </c>
      <c r="H549" s="7">
        <v>2.0662116951635836</v>
      </c>
      <c r="I549" s="7">
        <f t="shared" si="116"/>
        <v>22.694936708860759</v>
      </c>
      <c r="J549" s="7">
        <f t="shared" si="104"/>
        <v>5.3055534129377486</v>
      </c>
      <c r="K549" s="7">
        <f t="shared" si="105"/>
        <v>22.140506329113926</v>
      </c>
      <c r="L549" s="7">
        <f t="shared" si="106"/>
        <v>4.9144008395218908</v>
      </c>
      <c r="M549" s="7">
        <f t="shared" si="107"/>
        <v>10.069620253164556</v>
      </c>
      <c r="N549" s="7">
        <f t="shared" si="108"/>
        <v>2.1089377326145904</v>
      </c>
      <c r="O549" s="7">
        <f t="shared" si="109"/>
        <v>10.958227848101266</v>
      </c>
      <c r="P549" s="7">
        <f t="shared" si="110"/>
        <v>2.2883463843764797</v>
      </c>
      <c r="Q549" s="7">
        <f t="shared" si="111"/>
        <v>0.99990762098496411</v>
      </c>
      <c r="R549" s="7">
        <f t="shared" si="112"/>
        <v>0.58186008106824816</v>
      </c>
      <c r="S549" s="7">
        <f t="shared" si="113"/>
        <v>-3.3012000348745997E-2</v>
      </c>
      <c r="T549" s="7">
        <f t="shared" si="114"/>
        <v>-0.85573926284540058</v>
      </c>
      <c r="U549" s="7">
        <f t="shared" si="115"/>
        <v>0.1732541097147664</v>
      </c>
    </row>
    <row r="550" spans="1:21" x14ac:dyDescent="0.25">
      <c r="A550" s="1" t="s">
        <v>1678</v>
      </c>
      <c r="B550" s="1" t="s">
        <v>36</v>
      </c>
      <c r="C550" s="1">
        <v>28</v>
      </c>
      <c r="D550" s="1">
        <v>22</v>
      </c>
      <c r="E550" s="1">
        <v>10</v>
      </c>
      <c r="F550" s="1">
        <v>9</v>
      </c>
      <c r="G550" s="1">
        <v>69</v>
      </c>
      <c r="H550" s="7">
        <v>2.1750331562459526</v>
      </c>
      <c r="I550" s="7">
        <f t="shared" si="116"/>
        <v>22.694936708860759</v>
      </c>
      <c r="J550" s="7">
        <f t="shared" si="104"/>
        <v>5.3055534129377486</v>
      </c>
      <c r="K550" s="7">
        <f t="shared" si="105"/>
        <v>22.140506329113926</v>
      </c>
      <c r="L550" s="7">
        <f t="shared" si="106"/>
        <v>4.9144008395218908</v>
      </c>
      <c r="M550" s="7">
        <f t="shared" si="107"/>
        <v>10.069620253164556</v>
      </c>
      <c r="N550" s="7">
        <f t="shared" si="108"/>
        <v>2.1089377326145904</v>
      </c>
      <c r="O550" s="7">
        <f t="shared" si="109"/>
        <v>10.958227848101266</v>
      </c>
      <c r="P550" s="7">
        <f t="shared" si="110"/>
        <v>2.2883463843764797</v>
      </c>
      <c r="Q550" s="7">
        <f t="shared" si="111"/>
        <v>0.99990762098496411</v>
      </c>
      <c r="R550" s="7">
        <f t="shared" si="112"/>
        <v>-2.8590734395120113E-2</v>
      </c>
      <c r="S550" s="7">
        <f t="shared" si="113"/>
        <v>-3.3012000348745997E-2</v>
      </c>
      <c r="T550" s="7">
        <f t="shared" si="114"/>
        <v>-0.85573926284540058</v>
      </c>
      <c r="U550" s="7">
        <f t="shared" si="115"/>
        <v>2.0641405848924349E-2</v>
      </c>
    </row>
    <row r="551" spans="1:21" x14ac:dyDescent="0.25">
      <c r="A551" s="1" t="s">
        <v>1678</v>
      </c>
      <c r="B551" s="1" t="s">
        <v>36</v>
      </c>
      <c r="C551" s="1">
        <v>28</v>
      </c>
      <c r="D551" s="1">
        <v>21</v>
      </c>
      <c r="E551" s="1">
        <v>9</v>
      </c>
      <c r="F551" s="1">
        <v>9</v>
      </c>
      <c r="G551" s="1">
        <v>67</v>
      </c>
      <c r="H551" s="7">
        <v>2.0754980866510828</v>
      </c>
      <c r="I551" s="7">
        <f t="shared" si="116"/>
        <v>22.694936708860759</v>
      </c>
      <c r="J551" s="7">
        <f t="shared" si="104"/>
        <v>5.3055534129377486</v>
      </c>
      <c r="K551" s="7">
        <f t="shared" si="105"/>
        <v>22.140506329113926</v>
      </c>
      <c r="L551" s="7">
        <f t="shared" si="106"/>
        <v>4.9144008395218908</v>
      </c>
      <c r="M551" s="7">
        <f t="shared" si="107"/>
        <v>10.069620253164556</v>
      </c>
      <c r="N551" s="7">
        <f t="shared" si="108"/>
        <v>2.1089377326145904</v>
      </c>
      <c r="O551" s="7">
        <f t="shared" si="109"/>
        <v>10.958227848101266</v>
      </c>
      <c r="P551" s="7">
        <f t="shared" si="110"/>
        <v>2.2883463843764797</v>
      </c>
      <c r="Q551" s="7">
        <f t="shared" si="111"/>
        <v>0.99990762098496411</v>
      </c>
      <c r="R551" s="7">
        <f t="shared" si="112"/>
        <v>-0.23207433954957621</v>
      </c>
      <c r="S551" s="7">
        <f t="shared" si="113"/>
        <v>-0.5071843689943738</v>
      </c>
      <c r="T551" s="7">
        <f t="shared" si="114"/>
        <v>-0.85573926284540058</v>
      </c>
      <c r="U551" s="7">
        <f t="shared" si="115"/>
        <v>-0.14877258760109663</v>
      </c>
    </row>
    <row r="552" spans="1:21" x14ac:dyDescent="0.25">
      <c r="A552" s="1" t="s">
        <v>1678</v>
      </c>
      <c r="B552" s="1" t="s">
        <v>36</v>
      </c>
      <c r="C552" s="1">
        <v>21</v>
      </c>
      <c r="D552" s="1">
        <v>19</v>
      </c>
      <c r="E552" s="1">
        <v>10</v>
      </c>
      <c r="F552" s="1">
        <v>9</v>
      </c>
      <c r="G552" s="1">
        <v>59</v>
      </c>
      <c r="H552" s="7">
        <v>1.3913653136029502</v>
      </c>
      <c r="I552" s="7">
        <f t="shared" si="116"/>
        <v>22.694936708860759</v>
      </c>
      <c r="J552" s="7">
        <f t="shared" si="104"/>
        <v>5.3055534129377486</v>
      </c>
      <c r="K552" s="7">
        <f t="shared" si="105"/>
        <v>22.140506329113926</v>
      </c>
      <c r="L552" s="7">
        <f t="shared" si="106"/>
        <v>4.9144008395218908</v>
      </c>
      <c r="M552" s="7">
        <f t="shared" si="107"/>
        <v>10.069620253164556</v>
      </c>
      <c r="N552" s="7">
        <f t="shared" si="108"/>
        <v>2.1089377326145904</v>
      </c>
      <c r="O552" s="7">
        <f t="shared" si="109"/>
        <v>10.958227848101266</v>
      </c>
      <c r="P552" s="7">
        <f t="shared" si="110"/>
        <v>2.2883463843764797</v>
      </c>
      <c r="Q552" s="7">
        <f t="shared" si="111"/>
        <v>-0.31946463958455407</v>
      </c>
      <c r="R552" s="7">
        <f t="shared" si="112"/>
        <v>-0.63904154985848838</v>
      </c>
      <c r="S552" s="7">
        <f t="shared" si="113"/>
        <v>-3.3012000348745997E-2</v>
      </c>
      <c r="T552" s="7">
        <f t="shared" si="114"/>
        <v>-0.85573926284540058</v>
      </c>
      <c r="U552" s="7">
        <f t="shared" si="115"/>
        <v>-0.46181436315929725</v>
      </c>
    </row>
    <row r="553" spans="1:21" x14ac:dyDescent="0.25">
      <c r="A553" s="1" t="s">
        <v>1678</v>
      </c>
      <c r="B553" s="1" t="s">
        <v>36</v>
      </c>
      <c r="C553" s="1">
        <v>18</v>
      </c>
      <c r="D553" s="1">
        <v>19</v>
      </c>
      <c r="E553" s="1">
        <v>9</v>
      </c>
      <c r="F553" s="1">
        <v>11</v>
      </c>
      <c r="G553" s="1">
        <v>57</v>
      </c>
      <c r="H553" s="7">
        <v>0.76794764778830438</v>
      </c>
      <c r="I553" s="7">
        <f t="shared" si="116"/>
        <v>22.694936708860759</v>
      </c>
      <c r="J553" s="7">
        <f t="shared" si="104"/>
        <v>5.3055534129377486</v>
      </c>
      <c r="K553" s="7">
        <f t="shared" si="105"/>
        <v>22.140506329113926</v>
      </c>
      <c r="L553" s="7">
        <f t="shared" si="106"/>
        <v>4.9144008395218908</v>
      </c>
      <c r="M553" s="7">
        <f t="shared" si="107"/>
        <v>10.069620253164556</v>
      </c>
      <c r="N553" s="7">
        <f t="shared" si="108"/>
        <v>2.1089377326145904</v>
      </c>
      <c r="O553" s="7">
        <f t="shared" si="109"/>
        <v>10.958227848101266</v>
      </c>
      <c r="P553" s="7">
        <f t="shared" si="110"/>
        <v>2.2883463843764797</v>
      </c>
      <c r="Q553" s="7">
        <f t="shared" si="111"/>
        <v>-0.88490989411434762</v>
      </c>
      <c r="R553" s="7">
        <f t="shared" si="112"/>
        <v>-0.63904154985848838</v>
      </c>
      <c r="S553" s="7">
        <f t="shared" si="113"/>
        <v>-0.5071843689943738</v>
      </c>
      <c r="T553" s="7">
        <f t="shared" si="114"/>
        <v>1.8254295846087756E-2</v>
      </c>
      <c r="U553" s="7">
        <f t="shared" si="115"/>
        <v>-0.50322037928028052</v>
      </c>
    </row>
    <row r="554" spans="1:21" x14ac:dyDescent="0.25">
      <c r="A554" s="1" t="s">
        <v>1678</v>
      </c>
      <c r="B554" s="1" t="s">
        <v>36</v>
      </c>
      <c r="C554" s="1">
        <v>31</v>
      </c>
      <c r="D554" s="1">
        <v>21</v>
      </c>
      <c r="E554" s="1">
        <v>13</v>
      </c>
      <c r="F554" s="1">
        <v>15</v>
      </c>
      <c r="G554" s="1">
        <v>80</v>
      </c>
      <c r="H554" s="7">
        <v>1.6756169931378435</v>
      </c>
      <c r="I554" s="7">
        <f t="shared" si="116"/>
        <v>22.694936708860759</v>
      </c>
      <c r="J554" s="7">
        <f t="shared" si="104"/>
        <v>5.3055534129377486</v>
      </c>
      <c r="K554" s="7">
        <f t="shared" si="105"/>
        <v>22.140506329113926</v>
      </c>
      <c r="L554" s="7">
        <f t="shared" si="106"/>
        <v>4.9144008395218908</v>
      </c>
      <c r="M554" s="7">
        <f t="shared" si="107"/>
        <v>10.069620253164556</v>
      </c>
      <c r="N554" s="7">
        <f t="shared" si="108"/>
        <v>2.1089377326145904</v>
      </c>
      <c r="O554" s="7">
        <f t="shared" si="109"/>
        <v>10.958227848101266</v>
      </c>
      <c r="P554" s="7">
        <f t="shared" si="110"/>
        <v>2.2883463843764797</v>
      </c>
      <c r="Q554" s="7">
        <f t="shared" si="111"/>
        <v>1.5653528755147577</v>
      </c>
      <c r="R554" s="7">
        <f t="shared" si="112"/>
        <v>-0.23207433954957621</v>
      </c>
      <c r="S554" s="7">
        <f t="shared" si="113"/>
        <v>1.3895051055881373</v>
      </c>
      <c r="T554" s="7">
        <f t="shared" si="114"/>
        <v>1.7662414132290645</v>
      </c>
      <c r="U554" s="7">
        <f t="shared" si="115"/>
        <v>1.1222562636955957</v>
      </c>
    </row>
    <row r="555" spans="1:21" x14ac:dyDescent="0.25">
      <c r="A555" s="1" t="s">
        <v>1678</v>
      </c>
      <c r="B555" s="1" t="s">
        <v>36</v>
      </c>
      <c r="C555" s="1">
        <v>31</v>
      </c>
      <c r="D555" s="1">
        <v>22</v>
      </c>
      <c r="E555" s="1">
        <v>14</v>
      </c>
      <c r="F555" s="1">
        <v>15</v>
      </c>
      <c r="G555" s="1">
        <v>82</v>
      </c>
      <c r="H555" s="7">
        <v>1.7504578155735613</v>
      </c>
      <c r="I555" s="7">
        <f t="shared" si="116"/>
        <v>22.694936708860759</v>
      </c>
      <c r="J555" s="7">
        <f t="shared" si="104"/>
        <v>5.3055534129377486</v>
      </c>
      <c r="K555" s="7">
        <f t="shared" si="105"/>
        <v>22.140506329113926</v>
      </c>
      <c r="L555" s="7">
        <f t="shared" si="106"/>
        <v>4.9144008395218908</v>
      </c>
      <c r="M555" s="7">
        <f t="shared" si="107"/>
        <v>10.069620253164556</v>
      </c>
      <c r="N555" s="7">
        <f t="shared" si="108"/>
        <v>2.1089377326145904</v>
      </c>
      <c r="O555" s="7">
        <f t="shared" si="109"/>
        <v>10.958227848101266</v>
      </c>
      <c r="P555" s="7">
        <f t="shared" si="110"/>
        <v>2.2883463843764797</v>
      </c>
      <c r="Q555" s="7">
        <f t="shared" si="111"/>
        <v>1.5653528755147577</v>
      </c>
      <c r="R555" s="7">
        <f t="shared" si="112"/>
        <v>-2.8590734395120113E-2</v>
      </c>
      <c r="S555" s="7">
        <f t="shared" si="113"/>
        <v>1.8636774742337652</v>
      </c>
      <c r="T555" s="7">
        <f t="shared" si="114"/>
        <v>1.7662414132290645</v>
      </c>
      <c r="U555" s="7">
        <f t="shared" si="115"/>
        <v>1.2916702571456167</v>
      </c>
    </row>
    <row r="556" spans="1:21" x14ac:dyDescent="0.25">
      <c r="A556" s="1" t="s">
        <v>1678</v>
      </c>
      <c r="B556" s="1" t="s">
        <v>36</v>
      </c>
      <c r="C556" s="1">
        <v>32</v>
      </c>
      <c r="D556" s="1">
        <v>18</v>
      </c>
      <c r="E556" s="1">
        <v>14</v>
      </c>
      <c r="F556" s="1">
        <v>12</v>
      </c>
      <c r="G556" s="1">
        <v>76</v>
      </c>
      <c r="H556" s="7">
        <v>2.2673829938997163</v>
      </c>
      <c r="I556" s="7">
        <f t="shared" si="116"/>
        <v>22.694936708860759</v>
      </c>
      <c r="J556" s="7">
        <f t="shared" si="104"/>
        <v>5.3055534129377486</v>
      </c>
      <c r="K556" s="7">
        <f t="shared" si="105"/>
        <v>22.140506329113926</v>
      </c>
      <c r="L556" s="7">
        <f t="shared" si="106"/>
        <v>4.9144008395218908</v>
      </c>
      <c r="M556" s="7">
        <f t="shared" si="107"/>
        <v>10.069620253164556</v>
      </c>
      <c r="N556" s="7">
        <f t="shared" si="108"/>
        <v>2.1089377326145904</v>
      </c>
      <c r="O556" s="7">
        <f t="shared" si="109"/>
        <v>10.958227848101266</v>
      </c>
      <c r="P556" s="7">
        <f t="shared" si="110"/>
        <v>2.2883463843764797</v>
      </c>
      <c r="Q556" s="7">
        <f t="shared" si="111"/>
        <v>1.7538346270246887</v>
      </c>
      <c r="R556" s="7">
        <f t="shared" si="112"/>
        <v>-0.84252515501294456</v>
      </c>
      <c r="S556" s="7">
        <f t="shared" si="113"/>
        <v>1.8636774742337652</v>
      </c>
      <c r="T556" s="7">
        <f t="shared" si="114"/>
        <v>0.45525107519183194</v>
      </c>
      <c r="U556" s="7">
        <f t="shared" si="115"/>
        <v>0.80755950535933529</v>
      </c>
    </row>
    <row r="557" spans="1:21" x14ac:dyDescent="0.25">
      <c r="A557" s="1" t="s">
        <v>1678</v>
      </c>
      <c r="B557" s="1" t="s">
        <v>36</v>
      </c>
      <c r="C557" s="1">
        <v>28</v>
      </c>
      <c r="D557" s="1">
        <v>20</v>
      </c>
      <c r="E557" s="1">
        <v>10</v>
      </c>
      <c r="F557" s="1">
        <v>9</v>
      </c>
      <c r="G557" s="1">
        <v>67</v>
      </c>
      <c r="H557" s="7">
        <v>2.0349510168614966</v>
      </c>
      <c r="I557" s="7">
        <f t="shared" si="116"/>
        <v>22.694936708860759</v>
      </c>
      <c r="J557" s="7">
        <f t="shared" si="104"/>
        <v>5.3055534129377486</v>
      </c>
      <c r="K557" s="7">
        <f t="shared" si="105"/>
        <v>22.140506329113926</v>
      </c>
      <c r="L557" s="7">
        <f t="shared" si="106"/>
        <v>4.9144008395218908</v>
      </c>
      <c r="M557" s="7">
        <f t="shared" si="107"/>
        <v>10.069620253164556</v>
      </c>
      <c r="N557" s="7">
        <f t="shared" si="108"/>
        <v>2.1089377326145904</v>
      </c>
      <c r="O557" s="7">
        <f t="shared" si="109"/>
        <v>10.958227848101266</v>
      </c>
      <c r="P557" s="7">
        <f t="shared" si="110"/>
        <v>2.2883463843764797</v>
      </c>
      <c r="Q557" s="7">
        <f t="shared" si="111"/>
        <v>0.99990762098496411</v>
      </c>
      <c r="R557" s="7">
        <f t="shared" si="112"/>
        <v>-0.43555794470403231</v>
      </c>
      <c r="S557" s="7">
        <f t="shared" si="113"/>
        <v>-3.3012000348745997E-2</v>
      </c>
      <c r="T557" s="7">
        <f t="shared" si="114"/>
        <v>-0.85573926284540058</v>
      </c>
      <c r="U557" s="7">
        <f t="shared" si="115"/>
        <v>-8.1100396728303686E-2</v>
      </c>
    </row>
    <row r="558" spans="1:21" x14ac:dyDescent="0.25">
      <c r="A558" s="1" t="s">
        <v>1678</v>
      </c>
      <c r="B558" s="1" t="s">
        <v>36</v>
      </c>
      <c r="C558" s="1">
        <v>33</v>
      </c>
      <c r="D558" s="1">
        <v>26</v>
      </c>
      <c r="E558" s="1">
        <v>14</v>
      </c>
      <c r="F558" s="1">
        <v>15</v>
      </c>
      <c r="G558" s="1">
        <v>88</v>
      </c>
      <c r="H558" s="7">
        <v>1.9215378456610455</v>
      </c>
      <c r="I558" s="7">
        <f t="shared" si="116"/>
        <v>22.694936708860759</v>
      </c>
      <c r="J558" s="7">
        <f t="shared" si="104"/>
        <v>5.3055534129377486</v>
      </c>
      <c r="K558" s="7">
        <f t="shared" si="105"/>
        <v>22.140506329113926</v>
      </c>
      <c r="L558" s="7">
        <f t="shared" si="106"/>
        <v>4.9144008395218908</v>
      </c>
      <c r="M558" s="7">
        <f t="shared" si="107"/>
        <v>10.069620253164556</v>
      </c>
      <c r="N558" s="7">
        <f t="shared" si="108"/>
        <v>2.1089377326145904</v>
      </c>
      <c r="O558" s="7">
        <f t="shared" si="109"/>
        <v>10.958227848101266</v>
      </c>
      <c r="P558" s="7">
        <f t="shared" si="110"/>
        <v>2.2883463843764797</v>
      </c>
      <c r="Q558" s="7">
        <f t="shared" si="111"/>
        <v>1.94231637853462</v>
      </c>
      <c r="R558" s="7">
        <f t="shared" si="112"/>
        <v>0.78534368622270434</v>
      </c>
      <c r="S558" s="7">
        <f t="shared" si="113"/>
        <v>1.8636774742337652</v>
      </c>
      <c r="T558" s="7">
        <f t="shared" si="114"/>
        <v>1.7662414132290645</v>
      </c>
      <c r="U558" s="7">
        <f t="shared" si="115"/>
        <v>1.5893947380550384</v>
      </c>
    </row>
    <row r="559" spans="1:21" x14ac:dyDescent="0.25">
      <c r="A559" s="1" t="s">
        <v>1679</v>
      </c>
      <c r="B559" s="1" t="s">
        <v>36</v>
      </c>
      <c r="C559" s="1">
        <v>17</v>
      </c>
      <c r="D559" s="1">
        <v>23</v>
      </c>
      <c r="E559" s="1">
        <v>9</v>
      </c>
      <c r="F559" s="1">
        <v>9</v>
      </c>
      <c r="G559" s="1">
        <v>58</v>
      </c>
      <c r="H559" s="7">
        <v>1.6641005886756872</v>
      </c>
      <c r="I559" s="7">
        <f t="shared" si="116"/>
        <v>22.694936708860759</v>
      </c>
      <c r="J559" s="7">
        <f t="shared" si="104"/>
        <v>5.3055534129377486</v>
      </c>
      <c r="K559" s="7">
        <f t="shared" si="105"/>
        <v>22.140506329113926</v>
      </c>
      <c r="L559" s="7">
        <f t="shared" si="106"/>
        <v>4.9144008395218908</v>
      </c>
      <c r="M559" s="7">
        <f t="shared" si="107"/>
        <v>10.069620253164556</v>
      </c>
      <c r="N559" s="7">
        <f t="shared" si="108"/>
        <v>2.1089377326145904</v>
      </c>
      <c r="O559" s="7">
        <f t="shared" si="109"/>
        <v>10.958227848101266</v>
      </c>
      <c r="P559" s="7">
        <f t="shared" si="110"/>
        <v>2.2883463843764797</v>
      </c>
      <c r="Q559" s="7">
        <f t="shared" si="111"/>
        <v>-1.0733916456242787</v>
      </c>
      <c r="R559" s="7">
        <f t="shared" si="112"/>
        <v>0.17489287075933599</v>
      </c>
      <c r="S559" s="7">
        <f t="shared" si="113"/>
        <v>-0.5071843689943738</v>
      </c>
      <c r="T559" s="7">
        <f t="shared" si="114"/>
        <v>-0.85573926284540058</v>
      </c>
      <c r="U559" s="7">
        <f t="shared" si="115"/>
        <v>-0.56535560167617926</v>
      </c>
    </row>
    <row r="560" spans="1:21" x14ac:dyDescent="0.25">
      <c r="A560" s="1" t="s">
        <v>1679</v>
      </c>
      <c r="B560" s="1" t="s">
        <v>36</v>
      </c>
      <c r="C560" s="1">
        <v>24</v>
      </c>
      <c r="D560" s="1">
        <v>24</v>
      </c>
      <c r="E560" s="1">
        <v>7</v>
      </c>
      <c r="F560" s="1">
        <v>10</v>
      </c>
      <c r="G560" s="1">
        <v>65</v>
      </c>
      <c r="H560" s="7">
        <v>2.0816659994661326</v>
      </c>
      <c r="I560" s="7">
        <f t="shared" si="116"/>
        <v>22.694936708860759</v>
      </c>
      <c r="J560" s="7">
        <f t="shared" si="104"/>
        <v>5.3055534129377486</v>
      </c>
      <c r="K560" s="7">
        <f t="shared" si="105"/>
        <v>22.140506329113926</v>
      </c>
      <c r="L560" s="7">
        <f t="shared" si="106"/>
        <v>4.9144008395218908</v>
      </c>
      <c r="M560" s="7">
        <f t="shared" si="107"/>
        <v>10.069620253164556</v>
      </c>
      <c r="N560" s="7">
        <f t="shared" si="108"/>
        <v>2.1089377326145904</v>
      </c>
      <c r="O560" s="7">
        <f t="shared" si="109"/>
        <v>10.958227848101266</v>
      </c>
      <c r="P560" s="7">
        <f t="shared" si="110"/>
        <v>2.2883463843764797</v>
      </c>
      <c r="Q560" s="7">
        <f t="shared" si="111"/>
        <v>0.24598061494523943</v>
      </c>
      <c r="R560" s="7">
        <f t="shared" si="112"/>
        <v>0.37837647591379209</v>
      </c>
      <c r="S560" s="7">
        <f t="shared" si="113"/>
        <v>-1.4555291062856295</v>
      </c>
      <c r="T560" s="7">
        <f t="shared" si="114"/>
        <v>-0.41874248349965643</v>
      </c>
      <c r="U560" s="7">
        <f t="shared" si="115"/>
        <v>-0.31247862473156363</v>
      </c>
    </row>
    <row r="561" spans="1:21" x14ac:dyDescent="0.25">
      <c r="A561" s="1" t="s">
        <v>1679</v>
      </c>
      <c r="B561" s="1" t="s">
        <v>36</v>
      </c>
      <c r="C561" s="1">
        <v>6</v>
      </c>
      <c r="D561" s="1">
        <v>17</v>
      </c>
      <c r="E561" s="1">
        <v>7</v>
      </c>
      <c r="F561" s="1">
        <v>7</v>
      </c>
      <c r="G561" s="1">
        <v>37</v>
      </c>
      <c r="H561" s="7">
        <v>1.5730095277394138</v>
      </c>
      <c r="I561" s="7">
        <f t="shared" si="116"/>
        <v>22.694936708860759</v>
      </c>
      <c r="J561" s="7">
        <f t="shared" si="104"/>
        <v>5.3055534129377486</v>
      </c>
      <c r="K561" s="7">
        <f t="shared" si="105"/>
        <v>22.140506329113926</v>
      </c>
      <c r="L561" s="7">
        <f t="shared" si="106"/>
        <v>4.9144008395218908</v>
      </c>
      <c r="M561" s="7">
        <f t="shared" si="107"/>
        <v>10.069620253164556</v>
      </c>
      <c r="N561" s="7">
        <f t="shared" si="108"/>
        <v>2.1089377326145904</v>
      </c>
      <c r="O561" s="7">
        <f t="shared" si="109"/>
        <v>10.958227848101266</v>
      </c>
      <c r="P561" s="7">
        <f t="shared" si="110"/>
        <v>2.2883463843764797</v>
      </c>
      <c r="Q561" s="7">
        <f t="shared" si="111"/>
        <v>-3.1466909122335216</v>
      </c>
      <c r="R561" s="7">
        <f t="shared" si="112"/>
        <v>-1.0460087601674006</v>
      </c>
      <c r="S561" s="7">
        <f t="shared" si="113"/>
        <v>-1.4555291062856295</v>
      </c>
      <c r="T561" s="7">
        <f t="shared" si="114"/>
        <v>-1.729732821536889</v>
      </c>
      <c r="U561" s="7">
        <f t="shared" si="115"/>
        <v>-1.84449040005586</v>
      </c>
    </row>
    <row r="562" spans="1:21" x14ac:dyDescent="0.25">
      <c r="A562" s="1" t="s">
        <v>1679</v>
      </c>
      <c r="B562" s="1" t="s">
        <v>36</v>
      </c>
      <c r="C562" s="1">
        <v>33</v>
      </c>
      <c r="D562" s="1">
        <v>31</v>
      </c>
      <c r="E562" s="1">
        <v>13</v>
      </c>
      <c r="F562" s="1">
        <v>9</v>
      </c>
      <c r="G562" s="1">
        <v>86</v>
      </c>
      <c r="H562" s="7">
        <v>2.8147960713126134</v>
      </c>
      <c r="I562" s="7">
        <f t="shared" si="116"/>
        <v>22.694936708860759</v>
      </c>
      <c r="J562" s="7">
        <f t="shared" si="104"/>
        <v>5.3055534129377486</v>
      </c>
      <c r="K562" s="7">
        <f t="shared" si="105"/>
        <v>22.140506329113926</v>
      </c>
      <c r="L562" s="7">
        <f t="shared" si="106"/>
        <v>4.9144008395218908</v>
      </c>
      <c r="M562" s="7">
        <f t="shared" si="107"/>
        <v>10.069620253164556</v>
      </c>
      <c r="N562" s="7">
        <f t="shared" si="108"/>
        <v>2.1089377326145904</v>
      </c>
      <c r="O562" s="7">
        <f t="shared" si="109"/>
        <v>10.958227848101266</v>
      </c>
      <c r="P562" s="7">
        <f t="shared" si="110"/>
        <v>2.2883463843764797</v>
      </c>
      <c r="Q562" s="7">
        <f t="shared" si="111"/>
        <v>1.94231637853462</v>
      </c>
      <c r="R562" s="7">
        <f t="shared" si="112"/>
        <v>1.8027617119949848</v>
      </c>
      <c r="S562" s="7">
        <f t="shared" si="113"/>
        <v>1.3895051055881373</v>
      </c>
      <c r="T562" s="7">
        <f t="shared" si="114"/>
        <v>-0.85573926284540058</v>
      </c>
      <c r="U562" s="7">
        <f t="shared" si="115"/>
        <v>1.0697109833180853</v>
      </c>
    </row>
    <row r="563" spans="1:21" x14ac:dyDescent="0.25">
      <c r="A563" s="1" t="s">
        <v>1679</v>
      </c>
      <c r="B563" s="1" t="s">
        <v>36</v>
      </c>
      <c r="C563" s="1">
        <v>22</v>
      </c>
      <c r="D563" s="1">
        <v>21</v>
      </c>
      <c r="E563" s="1">
        <v>9</v>
      </c>
      <c r="F563" s="1">
        <v>5</v>
      </c>
      <c r="G563" s="1">
        <v>57</v>
      </c>
      <c r="H563" s="7">
        <v>1.9806758753205735</v>
      </c>
      <c r="I563" s="7">
        <f t="shared" si="116"/>
        <v>22.694936708860759</v>
      </c>
      <c r="J563" s="7">
        <f t="shared" si="104"/>
        <v>5.3055534129377486</v>
      </c>
      <c r="K563" s="7">
        <f t="shared" si="105"/>
        <v>22.140506329113926</v>
      </c>
      <c r="L563" s="7">
        <f t="shared" si="106"/>
        <v>4.9144008395218908</v>
      </c>
      <c r="M563" s="7">
        <f t="shared" si="107"/>
        <v>10.069620253164556</v>
      </c>
      <c r="N563" s="7">
        <f t="shared" si="108"/>
        <v>2.1089377326145904</v>
      </c>
      <c r="O563" s="7">
        <f t="shared" si="109"/>
        <v>10.958227848101266</v>
      </c>
      <c r="P563" s="7">
        <f t="shared" si="110"/>
        <v>2.2883463843764797</v>
      </c>
      <c r="Q563" s="7">
        <f t="shared" si="111"/>
        <v>-0.13098288807462291</v>
      </c>
      <c r="R563" s="7">
        <f t="shared" si="112"/>
        <v>-0.23207433954957621</v>
      </c>
      <c r="S563" s="7">
        <f t="shared" si="113"/>
        <v>-0.5071843689943738</v>
      </c>
      <c r="T563" s="7">
        <f t="shared" si="114"/>
        <v>-2.6037263802283772</v>
      </c>
      <c r="U563" s="7">
        <f t="shared" si="115"/>
        <v>-0.86849199421173751</v>
      </c>
    </row>
    <row r="564" spans="1:21" x14ac:dyDescent="0.25">
      <c r="A564" s="1" t="s">
        <v>1679</v>
      </c>
      <c r="B564" s="1" t="s">
        <v>36</v>
      </c>
      <c r="C564" s="1">
        <v>30</v>
      </c>
      <c r="D564" s="1">
        <v>33</v>
      </c>
      <c r="E564" s="1">
        <v>14</v>
      </c>
      <c r="F564" s="1">
        <v>12</v>
      </c>
      <c r="G564" s="1">
        <v>89</v>
      </c>
      <c r="H564" s="7">
        <v>2.4781092875467863</v>
      </c>
      <c r="I564" s="7">
        <f t="shared" si="116"/>
        <v>22.694936708860759</v>
      </c>
      <c r="J564" s="7">
        <f t="shared" si="104"/>
        <v>5.3055534129377486</v>
      </c>
      <c r="K564" s="7">
        <f t="shared" si="105"/>
        <v>22.140506329113926</v>
      </c>
      <c r="L564" s="7">
        <f t="shared" si="106"/>
        <v>4.9144008395218908</v>
      </c>
      <c r="M564" s="7">
        <f t="shared" si="107"/>
        <v>10.069620253164556</v>
      </c>
      <c r="N564" s="7">
        <f t="shared" si="108"/>
        <v>2.1089377326145904</v>
      </c>
      <c r="O564" s="7">
        <f t="shared" si="109"/>
        <v>10.958227848101266</v>
      </c>
      <c r="P564" s="7">
        <f t="shared" si="110"/>
        <v>2.2883463843764797</v>
      </c>
      <c r="Q564" s="7">
        <f t="shared" si="111"/>
        <v>1.3768711240048266</v>
      </c>
      <c r="R564" s="7">
        <f t="shared" si="112"/>
        <v>2.2097289223038969</v>
      </c>
      <c r="S564" s="7">
        <f t="shared" si="113"/>
        <v>1.8636774742337652</v>
      </c>
      <c r="T564" s="7">
        <f t="shared" si="114"/>
        <v>0.45525107519183194</v>
      </c>
      <c r="U564" s="7">
        <f t="shared" si="115"/>
        <v>1.4763821489335802</v>
      </c>
    </row>
    <row r="565" spans="1:21" x14ac:dyDescent="0.25">
      <c r="A565" s="1" t="s">
        <v>1679</v>
      </c>
      <c r="B565" s="1" t="s">
        <v>36</v>
      </c>
      <c r="C565" s="1">
        <v>10</v>
      </c>
      <c r="D565" s="1">
        <v>16</v>
      </c>
      <c r="E565" s="1">
        <v>6</v>
      </c>
      <c r="F565" s="1">
        <v>5</v>
      </c>
      <c r="G565" s="1">
        <v>37</v>
      </c>
      <c r="H565" s="7">
        <v>1.3445044840729641</v>
      </c>
      <c r="I565" s="7">
        <f t="shared" si="116"/>
        <v>22.694936708860759</v>
      </c>
      <c r="J565" s="7">
        <f t="shared" si="104"/>
        <v>5.3055534129377486</v>
      </c>
      <c r="K565" s="7">
        <f t="shared" si="105"/>
        <v>22.140506329113926</v>
      </c>
      <c r="L565" s="7">
        <f t="shared" si="106"/>
        <v>4.9144008395218908</v>
      </c>
      <c r="M565" s="7">
        <f t="shared" si="107"/>
        <v>10.069620253164556</v>
      </c>
      <c r="N565" s="7">
        <f t="shared" si="108"/>
        <v>2.1089377326145904</v>
      </c>
      <c r="O565" s="7">
        <f t="shared" si="109"/>
        <v>10.958227848101266</v>
      </c>
      <c r="P565" s="7">
        <f t="shared" si="110"/>
        <v>2.2883463843764797</v>
      </c>
      <c r="Q565" s="7">
        <f t="shared" si="111"/>
        <v>-2.3927639061937969</v>
      </c>
      <c r="R565" s="7">
        <f t="shared" si="112"/>
        <v>-1.2494923653218568</v>
      </c>
      <c r="S565" s="7">
        <f t="shared" si="113"/>
        <v>-1.9297014749312573</v>
      </c>
      <c r="T565" s="7">
        <f t="shared" si="114"/>
        <v>-2.6037263802283772</v>
      </c>
      <c r="U565" s="7">
        <f t="shared" si="115"/>
        <v>-2.0439210316688219</v>
      </c>
    </row>
    <row r="566" spans="1:21" x14ac:dyDescent="0.25">
      <c r="A566" s="1" t="s">
        <v>1679</v>
      </c>
      <c r="B566" s="1" t="s">
        <v>36</v>
      </c>
      <c r="C566" s="1">
        <v>24</v>
      </c>
      <c r="D566" s="1">
        <v>20</v>
      </c>
      <c r="E566" s="1">
        <v>9</v>
      </c>
      <c r="F566" s="1">
        <v>9</v>
      </c>
      <c r="G566" s="1">
        <v>62</v>
      </c>
      <c r="H566" s="7">
        <v>1.7394369852458076</v>
      </c>
      <c r="I566" s="7">
        <f t="shared" si="116"/>
        <v>22.694936708860759</v>
      </c>
      <c r="J566" s="7">
        <f t="shared" si="104"/>
        <v>5.3055534129377486</v>
      </c>
      <c r="K566" s="7">
        <f t="shared" si="105"/>
        <v>22.140506329113926</v>
      </c>
      <c r="L566" s="7">
        <f t="shared" si="106"/>
        <v>4.9144008395218908</v>
      </c>
      <c r="M566" s="7">
        <f t="shared" si="107"/>
        <v>10.069620253164556</v>
      </c>
      <c r="N566" s="7">
        <f t="shared" si="108"/>
        <v>2.1089377326145904</v>
      </c>
      <c r="O566" s="7">
        <f t="shared" si="109"/>
        <v>10.958227848101266</v>
      </c>
      <c r="P566" s="7">
        <f t="shared" si="110"/>
        <v>2.2883463843764797</v>
      </c>
      <c r="Q566" s="7">
        <f t="shared" si="111"/>
        <v>0.24598061494523943</v>
      </c>
      <c r="R566" s="7">
        <f t="shared" si="112"/>
        <v>-0.43555794470403231</v>
      </c>
      <c r="S566" s="7">
        <f t="shared" si="113"/>
        <v>-0.5071843689943738</v>
      </c>
      <c r="T566" s="7">
        <f t="shared" si="114"/>
        <v>-0.85573926284540058</v>
      </c>
      <c r="U566" s="7">
        <f t="shared" si="115"/>
        <v>-0.3881252403996418</v>
      </c>
    </row>
    <row r="567" spans="1:21" x14ac:dyDescent="0.25">
      <c r="A567" s="1" t="s">
        <v>1679</v>
      </c>
      <c r="B567" s="1" t="s">
        <v>36</v>
      </c>
      <c r="C567" s="1">
        <v>22</v>
      </c>
      <c r="D567" s="1">
        <v>21</v>
      </c>
      <c r="E567" s="1">
        <v>11</v>
      </c>
      <c r="F567" s="1">
        <v>11</v>
      </c>
      <c r="G567" s="1">
        <v>65</v>
      </c>
      <c r="H567" s="7">
        <v>1.4142135623730949</v>
      </c>
      <c r="I567" s="7">
        <f t="shared" si="116"/>
        <v>22.694936708860759</v>
      </c>
      <c r="J567" s="7">
        <f t="shared" si="104"/>
        <v>5.3055534129377486</v>
      </c>
      <c r="K567" s="7">
        <f t="shared" si="105"/>
        <v>22.140506329113926</v>
      </c>
      <c r="L567" s="7">
        <f t="shared" si="106"/>
        <v>4.9144008395218908</v>
      </c>
      <c r="M567" s="7">
        <f t="shared" si="107"/>
        <v>10.069620253164556</v>
      </c>
      <c r="N567" s="7">
        <f t="shared" si="108"/>
        <v>2.1089377326145904</v>
      </c>
      <c r="O567" s="7">
        <f t="shared" si="109"/>
        <v>10.958227848101266</v>
      </c>
      <c r="P567" s="7">
        <f t="shared" si="110"/>
        <v>2.2883463843764797</v>
      </c>
      <c r="Q567" s="7">
        <f t="shared" si="111"/>
        <v>-0.13098288807462291</v>
      </c>
      <c r="R567" s="7">
        <f t="shared" si="112"/>
        <v>-0.23207433954957621</v>
      </c>
      <c r="S567" s="7">
        <f t="shared" si="113"/>
        <v>0.44116036829688182</v>
      </c>
      <c r="T567" s="7">
        <f t="shared" si="114"/>
        <v>1.8254295846087756E-2</v>
      </c>
      <c r="U567" s="7">
        <f t="shared" si="115"/>
        <v>2.4089359129692615E-2</v>
      </c>
    </row>
    <row r="568" spans="1:21" x14ac:dyDescent="0.25">
      <c r="A568" s="1" t="s">
        <v>1679</v>
      </c>
      <c r="B568" s="1" t="s">
        <v>36</v>
      </c>
      <c r="C568" s="1">
        <v>18</v>
      </c>
      <c r="D568" s="1">
        <v>17</v>
      </c>
      <c r="E568" s="1">
        <v>9</v>
      </c>
      <c r="F568" s="1">
        <v>7</v>
      </c>
      <c r="G568" s="1">
        <v>51</v>
      </c>
      <c r="H568" s="7">
        <v>1.1875421719907091</v>
      </c>
      <c r="I568" s="7">
        <f t="shared" si="116"/>
        <v>22.694936708860759</v>
      </c>
      <c r="J568" s="7">
        <f t="shared" si="104"/>
        <v>5.3055534129377486</v>
      </c>
      <c r="K568" s="7">
        <f t="shared" si="105"/>
        <v>22.140506329113926</v>
      </c>
      <c r="L568" s="7">
        <f t="shared" si="106"/>
        <v>4.9144008395218908</v>
      </c>
      <c r="M568" s="7">
        <f t="shared" si="107"/>
        <v>10.069620253164556</v>
      </c>
      <c r="N568" s="7">
        <f t="shared" si="108"/>
        <v>2.1089377326145904</v>
      </c>
      <c r="O568" s="7">
        <f t="shared" si="109"/>
        <v>10.958227848101266</v>
      </c>
      <c r="P568" s="7">
        <f t="shared" si="110"/>
        <v>2.2883463843764797</v>
      </c>
      <c r="Q568" s="7">
        <f t="shared" si="111"/>
        <v>-0.88490989411434762</v>
      </c>
      <c r="R568" s="7">
        <f t="shared" si="112"/>
        <v>-1.0460087601674006</v>
      </c>
      <c r="S568" s="7">
        <f t="shared" si="113"/>
        <v>-0.5071843689943738</v>
      </c>
      <c r="T568" s="7">
        <f t="shared" si="114"/>
        <v>-1.729732821536889</v>
      </c>
      <c r="U568" s="7">
        <f t="shared" si="115"/>
        <v>-1.0419589612032527</v>
      </c>
    </row>
    <row r="569" spans="1:21" x14ac:dyDescent="0.25">
      <c r="A569" s="1" t="s">
        <v>1679</v>
      </c>
      <c r="B569" s="1" t="s">
        <v>36</v>
      </c>
      <c r="C569" s="1">
        <v>21</v>
      </c>
      <c r="D569" s="1">
        <v>26</v>
      </c>
      <c r="E569" s="1">
        <v>10</v>
      </c>
      <c r="F569" s="1">
        <v>10</v>
      </c>
      <c r="G569" s="1">
        <v>67</v>
      </c>
      <c r="H569" s="7">
        <v>1.6251232694862388</v>
      </c>
      <c r="I569" s="7">
        <f t="shared" si="116"/>
        <v>22.694936708860759</v>
      </c>
      <c r="J569" s="7">
        <f t="shared" si="104"/>
        <v>5.3055534129377486</v>
      </c>
      <c r="K569" s="7">
        <f t="shared" si="105"/>
        <v>22.140506329113926</v>
      </c>
      <c r="L569" s="7">
        <f t="shared" si="106"/>
        <v>4.9144008395218908</v>
      </c>
      <c r="M569" s="7">
        <f t="shared" si="107"/>
        <v>10.069620253164556</v>
      </c>
      <c r="N569" s="7">
        <f t="shared" si="108"/>
        <v>2.1089377326145904</v>
      </c>
      <c r="O569" s="7">
        <f t="shared" si="109"/>
        <v>10.958227848101266</v>
      </c>
      <c r="P569" s="7">
        <f t="shared" si="110"/>
        <v>2.2883463843764797</v>
      </c>
      <c r="Q569" s="7">
        <f t="shared" si="111"/>
        <v>-0.31946463958455407</v>
      </c>
      <c r="R569" s="7">
        <f t="shared" si="112"/>
        <v>0.78534368622270434</v>
      </c>
      <c r="S569" s="7">
        <f t="shared" si="113"/>
        <v>-3.3012000348745997E-2</v>
      </c>
      <c r="T569" s="7">
        <f t="shared" si="114"/>
        <v>-0.41874248349965643</v>
      </c>
      <c r="U569" s="7">
        <f t="shared" si="115"/>
        <v>3.5311406974369575E-3</v>
      </c>
    </row>
    <row r="570" spans="1:21" x14ac:dyDescent="0.25">
      <c r="A570" s="1" t="s">
        <v>1679</v>
      </c>
      <c r="B570" s="1" t="s">
        <v>36</v>
      </c>
      <c r="C570" s="1">
        <v>23</v>
      </c>
      <c r="D570" s="1">
        <v>22</v>
      </c>
      <c r="E570" s="1">
        <v>11</v>
      </c>
      <c r="F570" s="1">
        <v>11</v>
      </c>
      <c r="G570" s="1">
        <v>67</v>
      </c>
      <c r="H570" s="7">
        <v>1.6756169931378435</v>
      </c>
      <c r="I570" s="7">
        <f t="shared" si="116"/>
        <v>22.694936708860759</v>
      </c>
      <c r="J570" s="7">
        <f t="shared" si="104"/>
        <v>5.3055534129377486</v>
      </c>
      <c r="K570" s="7">
        <f t="shared" si="105"/>
        <v>22.140506329113926</v>
      </c>
      <c r="L570" s="7">
        <f t="shared" si="106"/>
        <v>4.9144008395218908</v>
      </c>
      <c r="M570" s="7">
        <f t="shared" si="107"/>
        <v>10.069620253164556</v>
      </c>
      <c r="N570" s="7">
        <f t="shared" si="108"/>
        <v>2.1089377326145904</v>
      </c>
      <c r="O570" s="7">
        <f t="shared" si="109"/>
        <v>10.958227848101266</v>
      </c>
      <c r="P570" s="7">
        <f t="shared" si="110"/>
        <v>2.2883463843764797</v>
      </c>
      <c r="Q570" s="7">
        <f t="shared" si="111"/>
        <v>5.7498863435308259E-2</v>
      </c>
      <c r="R570" s="7">
        <f t="shared" si="112"/>
        <v>-2.8590734395120113E-2</v>
      </c>
      <c r="S570" s="7">
        <f t="shared" si="113"/>
        <v>0.44116036829688182</v>
      </c>
      <c r="T570" s="7">
        <f t="shared" si="114"/>
        <v>1.8254295846087756E-2</v>
      </c>
      <c r="U570" s="7">
        <f t="shared" si="115"/>
        <v>0.12208069829578942</v>
      </c>
    </row>
    <row r="571" spans="1:21" x14ac:dyDescent="0.25">
      <c r="A571" s="1" t="s">
        <v>1679</v>
      </c>
      <c r="B571" s="1" t="s">
        <v>36</v>
      </c>
      <c r="C571" s="1">
        <v>23</v>
      </c>
      <c r="D571" s="1">
        <v>22</v>
      </c>
      <c r="E571" s="1">
        <v>10</v>
      </c>
      <c r="F571" s="1">
        <v>8</v>
      </c>
      <c r="G571" s="1">
        <v>63</v>
      </c>
      <c r="H571" s="7">
        <v>1.863963243832607</v>
      </c>
      <c r="I571" s="7">
        <f t="shared" si="116"/>
        <v>22.694936708860759</v>
      </c>
      <c r="J571" s="7">
        <f t="shared" si="104"/>
        <v>5.3055534129377486</v>
      </c>
      <c r="K571" s="7">
        <f t="shared" si="105"/>
        <v>22.140506329113926</v>
      </c>
      <c r="L571" s="7">
        <f t="shared" si="106"/>
        <v>4.9144008395218908</v>
      </c>
      <c r="M571" s="7">
        <f t="shared" si="107"/>
        <v>10.069620253164556</v>
      </c>
      <c r="N571" s="7">
        <f t="shared" si="108"/>
        <v>2.1089377326145904</v>
      </c>
      <c r="O571" s="7">
        <f t="shared" si="109"/>
        <v>10.958227848101266</v>
      </c>
      <c r="P571" s="7">
        <f t="shared" si="110"/>
        <v>2.2883463843764797</v>
      </c>
      <c r="Q571" s="7">
        <f t="shared" si="111"/>
        <v>5.7498863435308259E-2</v>
      </c>
      <c r="R571" s="7">
        <f t="shared" si="112"/>
        <v>-2.8590734395120113E-2</v>
      </c>
      <c r="S571" s="7">
        <f t="shared" si="113"/>
        <v>-3.3012000348745997E-2</v>
      </c>
      <c r="T571" s="7">
        <f t="shared" si="114"/>
        <v>-1.2927360421911447</v>
      </c>
      <c r="U571" s="7">
        <f t="shared" si="115"/>
        <v>-0.32420997837492566</v>
      </c>
    </row>
    <row r="572" spans="1:21" x14ac:dyDescent="0.25">
      <c r="A572" s="1" t="s">
        <v>1679</v>
      </c>
      <c r="B572" s="1" t="s">
        <v>36</v>
      </c>
      <c r="C572" s="1">
        <v>14</v>
      </c>
      <c r="D572" s="1">
        <v>18</v>
      </c>
      <c r="E572" s="1">
        <v>8</v>
      </c>
      <c r="F572" s="1">
        <v>9</v>
      </c>
      <c r="G572" s="1">
        <v>49</v>
      </c>
      <c r="H572" s="7">
        <v>1.4806443503784736</v>
      </c>
      <c r="I572" s="7">
        <f t="shared" si="116"/>
        <v>22.694936708860759</v>
      </c>
      <c r="J572" s="7">
        <f t="shared" si="104"/>
        <v>5.3055534129377486</v>
      </c>
      <c r="K572" s="7">
        <f t="shared" si="105"/>
        <v>22.140506329113926</v>
      </c>
      <c r="L572" s="7">
        <f t="shared" si="106"/>
        <v>4.9144008395218908</v>
      </c>
      <c r="M572" s="7">
        <f t="shared" si="107"/>
        <v>10.069620253164556</v>
      </c>
      <c r="N572" s="7">
        <f t="shared" si="108"/>
        <v>2.1089377326145904</v>
      </c>
      <c r="O572" s="7">
        <f t="shared" si="109"/>
        <v>10.958227848101266</v>
      </c>
      <c r="P572" s="7">
        <f t="shared" si="110"/>
        <v>2.2883463843764797</v>
      </c>
      <c r="Q572" s="7">
        <f t="shared" si="111"/>
        <v>-1.6388369001540724</v>
      </c>
      <c r="R572" s="7">
        <f t="shared" si="112"/>
        <v>-0.84252515501294456</v>
      </c>
      <c r="S572" s="7">
        <f t="shared" si="113"/>
        <v>-0.98135673764000164</v>
      </c>
      <c r="T572" s="7">
        <f t="shared" si="114"/>
        <v>-0.85573926284540058</v>
      </c>
      <c r="U572" s="7">
        <f t="shared" si="115"/>
        <v>-1.0796145139131048</v>
      </c>
    </row>
    <row r="573" spans="1:21" x14ac:dyDescent="0.25">
      <c r="A573" s="1" t="s">
        <v>1679</v>
      </c>
      <c r="B573" s="1" t="s">
        <v>36</v>
      </c>
      <c r="C573" s="1">
        <v>14</v>
      </c>
      <c r="D573" s="1">
        <v>24</v>
      </c>
      <c r="E573" s="1">
        <v>11</v>
      </c>
      <c r="F573" s="1">
        <v>7</v>
      </c>
      <c r="G573" s="1">
        <v>56</v>
      </c>
      <c r="H573" s="7">
        <v>1.9315199276138029</v>
      </c>
      <c r="I573" s="7">
        <f t="shared" si="116"/>
        <v>22.694936708860759</v>
      </c>
      <c r="J573" s="7">
        <f t="shared" si="104"/>
        <v>5.3055534129377486</v>
      </c>
      <c r="K573" s="7">
        <f t="shared" si="105"/>
        <v>22.140506329113926</v>
      </c>
      <c r="L573" s="7">
        <f t="shared" si="106"/>
        <v>4.9144008395218908</v>
      </c>
      <c r="M573" s="7">
        <f t="shared" si="107"/>
        <v>10.069620253164556</v>
      </c>
      <c r="N573" s="7">
        <f t="shared" si="108"/>
        <v>2.1089377326145904</v>
      </c>
      <c r="O573" s="7">
        <f t="shared" si="109"/>
        <v>10.958227848101266</v>
      </c>
      <c r="P573" s="7">
        <f t="shared" si="110"/>
        <v>2.2883463843764797</v>
      </c>
      <c r="Q573" s="7">
        <f t="shared" si="111"/>
        <v>-1.6388369001540724</v>
      </c>
      <c r="R573" s="7">
        <f t="shared" si="112"/>
        <v>0.37837647591379209</v>
      </c>
      <c r="S573" s="7">
        <f t="shared" si="113"/>
        <v>0.44116036829688182</v>
      </c>
      <c r="T573" s="7">
        <f t="shared" si="114"/>
        <v>-1.729732821536889</v>
      </c>
      <c r="U573" s="7">
        <f t="shared" si="115"/>
        <v>-0.63725821937007188</v>
      </c>
    </row>
    <row r="574" spans="1:21" x14ac:dyDescent="0.25">
      <c r="A574" s="1" t="s">
        <v>1679</v>
      </c>
      <c r="B574" s="1" t="s">
        <v>36</v>
      </c>
      <c r="C574" s="1">
        <v>22</v>
      </c>
      <c r="D574" s="1">
        <v>24</v>
      </c>
      <c r="E574" s="1">
        <v>9</v>
      </c>
      <c r="F574" s="1">
        <v>12</v>
      </c>
      <c r="G574" s="1">
        <v>67</v>
      </c>
      <c r="H574" s="7">
        <v>1.5191090506255001</v>
      </c>
      <c r="I574" s="7">
        <f t="shared" si="116"/>
        <v>22.694936708860759</v>
      </c>
      <c r="J574" s="7">
        <f t="shared" si="104"/>
        <v>5.3055534129377486</v>
      </c>
      <c r="K574" s="7">
        <f t="shared" si="105"/>
        <v>22.140506329113926</v>
      </c>
      <c r="L574" s="7">
        <f t="shared" si="106"/>
        <v>4.9144008395218908</v>
      </c>
      <c r="M574" s="7">
        <f t="shared" si="107"/>
        <v>10.069620253164556</v>
      </c>
      <c r="N574" s="7">
        <f t="shared" si="108"/>
        <v>2.1089377326145904</v>
      </c>
      <c r="O574" s="7">
        <f t="shared" si="109"/>
        <v>10.958227848101266</v>
      </c>
      <c r="P574" s="7">
        <f t="shared" si="110"/>
        <v>2.2883463843764797</v>
      </c>
      <c r="Q574" s="7">
        <f t="shared" si="111"/>
        <v>-0.13098288807462291</v>
      </c>
      <c r="R574" s="7">
        <f t="shared" si="112"/>
        <v>0.37837647591379209</v>
      </c>
      <c r="S574" s="7">
        <f t="shared" si="113"/>
        <v>-0.5071843689943738</v>
      </c>
      <c r="T574" s="7">
        <f t="shared" si="114"/>
        <v>0.45525107519183194</v>
      </c>
      <c r="U574" s="7">
        <f t="shared" si="115"/>
        <v>4.8865073509156837E-2</v>
      </c>
    </row>
    <row r="575" spans="1:21" x14ac:dyDescent="0.25">
      <c r="A575" s="1" t="s">
        <v>1679</v>
      </c>
      <c r="B575" s="1" t="s">
        <v>36</v>
      </c>
      <c r="C575" s="1">
        <v>18</v>
      </c>
      <c r="D575" s="1">
        <v>20</v>
      </c>
      <c r="E575" s="1">
        <v>10</v>
      </c>
      <c r="F575" s="1">
        <v>6</v>
      </c>
      <c r="G575" s="1">
        <v>54</v>
      </c>
      <c r="H575" s="7">
        <v>1.7246329970051526</v>
      </c>
      <c r="I575" s="7">
        <f t="shared" si="116"/>
        <v>22.694936708860759</v>
      </c>
      <c r="J575" s="7">
        <f t="shared" si="104"/>
        <v>5.3055534129377486</v>
      </c>
      <c r="K575" s="7">
        <f t="shared" si="105"/>
        <v>22.140506329113926</v>
      </c>
      <c r="L575" s="7">
        <f t="shared" si="106"/>
        <v>4.9144008395218908</v>
      </c>
      <c r="M575" s="7">
        <f t="shared" si="107"/>
        <v>10.069620253164556</v>
      </c>
      <c r="N575" s="7">
        <f t="shared" si="108"/>
        <v>2.1089377326145904</v>
      </c>
      <c r="O575" s="7">
        <f t="shared" si="109"/>
        <v>10.958227848101266</v>
      </c>
      <c r="P575" s="7">
        <f t="shared" si="110"/>
        <v>2.2883463843764797</v>
      </c>
      <c r="Q575" s="7">
        <f t="shared" si="111"/>
        <v>-0.88490989411434762</v>
      </c>
      <c r="R575" s="7">
        <f t="shared" si="112"/>
        <v>-0.43555794470403231</v>
      </c>
      <c r="S575" s="7">
        <f t="shared" si="113"/>
        <v>-3.3012000348745997E-2</v>
      </c>
      <c r="T575" s="7">
        <f t="shared" si="114"/>
        <v>-2.1667296008826331</v>
      </c>
      <c r="U575" s="7">
        <f t="shared" si="115"/>
        <v>-0.88005236001243969</v>
      </c>
    </row>
    <row r="576" spans="1:21" x14ac:dyDescent="0.25">
      <c r="A576" s="1" t="s">
        <v>1679</v>
      </c>
      <c r="B576" s="1" t="s">
        <v>36</v>
      </c>
      <c r="C576" s="1">
        <v>20</v>
      </c>
      <c r="D576" s="1">
        <v>25</v>
      </c>
      <c r="E576" s="1">
        <v>11</v>
      </c>
      <c r="F576" s="1">
        <v>10</v>
      </c>
      <c r="G576" s="1">
        <v>66</v>
      </c>
      <c r="H576" s="7">
        <v>1.8009968749527976</v>
      </c>
      <c r="I576" s="7">
        <f t="shared" si="116"/>
        <v>22.694936708860759</v>
      </c>
      <c r="J576" s="7">
        <f t="shared" si="104"/>
        <v>5.3055534129377486</v>
      </c>
      <c r="K576" s="7">
        <f t="shared" si="105"/>
        <v>22.140506329113926</v>
      </c>
      <c r="L576" s="7">
        <f t="shared" si="106"/>
        <v>4.9144008395218908</v>
      </c>
      <c r="M576" s="7">
        <f t="shared" si="107"/>
        <v>10.069620253164556</v>
      </c>
      <c r="N576" s="7">
        <f t="shared" si="108"/>
        <v>2.1089377326145904</v>
      </c>
      <c r="O576" s="7">
        <f t="shared" si="109"/>
        <v>10.958227848101266</v>
      </c>
      <c r="P576" s="7">
        <f t="shared" si="110"/>
        <v>2.2883463843764797</v>
      </c>
      <c r="Q576" s="7">
        <f t="shared" si="111"/>
        <v>-0.50794639109448525</v>
      </c>
      <c r="R576" s="7">
        <f t="shared" si="112"/>
        <v>0.58186008106824816</v>
      </c>
      <c r="S576" s="7">
        <f t="shared" si="113"/>
        <v>0.44116036829688182</v>
      </c>
      <c r="T576" s="7">
        <f t="shared" si="114"/>
        <v>-0.41874248349965643</v>
      </c>
      <c r="U576" s="7">
        <f t="shared" si="115"/>
        <v>2.408289369274709E-2</v>
      </c>
    </row>
    <row r="577" spans="1:21" x14ac:dyDescent="0.25">
      <c r="A577" s="1" t="s">
        <v>1679</v>
      </c>
      <c r="B577" s="1" t="s">
        <v>36</v>
      </c>
      <c r="C577" s="1">
        <v>20</v>
      </c>
      <c r="D577" s="1">
        <v>16</v>
      </c>
      <c r="E577" s="1">
        <v>7</v>
      </c>
      <c r="F577" s="1">
        <v>11</v>
      </c>
      <c r="G577" s="1">
        <v>54</v>
      </c>
      <c r="H577" s="7">
        <v>1.3445044840729641</v>
      </c>
      <c r="I577" s="7">
        <f t="shared" si="116"/>
        <v>22.694936708860759</v>
      </c>
      <c r="J577" s="7">
        <f t="shared" si="104"/>
        <v>5.3055534129377486</v>
      </c>
      <c r="K577" s="7">
        <f t="shared" si="105"/>
        <v>22.140506329113926</v>
      </c>
      <c r="L577" s="7">
        <f t="shared" si="106"/>
        <v>4.9144008395218908</v>
      </c>
      <c r="M577" s="7">
        <f t="shared" si="107"/>
        <v>10.069620253164556</v>
      </c>
      <c r="N577" s="7">
        <f t="shared" si="108"/>
        <v>2.1089377326145904</v>
      </c>
      <c r="O577" s="7">
        <f t="shared" si="109"/>
        <v>10.958227848101266</v>
      </c>
      <c r="P577" s="7">
        <f t="shared" si="110"/>
        <v>2.2883463843764797</v>
      </c>
      <c r="Q577" s="7">
        <f t="shared" si="111"/>
        <v>-0.50794639109448525</v>
      </c>
      <c r="R577" s="7">
        <f t="shared" si="112"/>
        <v>-1.2494923653218568</v>
      </c>
      <c r="S577" s="7">
        <f t="shared" si="113"/>
        <v>-1.4555291062856295</v>
      </c>
      <c r="T577" s="7">
        <f t="shared" si="114"/>
        <v>1.8254295846087756E-2</v>
      </c>
      <c r="U577" s="7">
        <f t="shared" si="115"/>
        <v>-0.79867839171397093</v>
      </c>
    </row>
    <row r="578" spans="1:21" x14ac:dyDescent="0.25">
      <c r="A578" s="1" t="s">
        <v>1679</v>
      </c>
      <c r="B578" s="1" t="s">
        <v>36</v>
      </c>
      <c r="C578" s="1">
        <v>28</v>
      </c>
      <c r="D578" s="1">
        <v>27</v>
      </c>
      <c r="E578" s="1">
        <v>11</v>
      </c>
      <c r="F578" s="1">
        <v>13</v>
      </c>
      <c r="G578" s="1">
        <v>79</v>
      </c>
      <c r="H578" s="7">
        <v>1.9348358440936906</v>
      </c>
      <c r="I578" s="7">
        <f t="shared" si="116"/>
        <v>22.694936708860759</v>
      </c>
      <c r="J578" s="7">
        <f t="shared" si="104"/>
        <v>5.3055534129377486</v>
      </c>
      <c r="K578" s="7">
        <f t="shared" si="105"/>
        <v>22.140506329113926</v>
      </c>
      <c r="L578" s="7">
        <f t="shared" si="106"/>
        <v>4.9144008395218908</v>
      </c>
      <c r="M578" s="7">
        <f t="shared" si="107"/>
        <v>10.069620253164556</v>
      </c>
      <c r="N578" s="7">
        <f t="shared" si="108"/>
        <v>2.1089377326145904</v>
      </c>
      <c r="O578" s="7">
        <f t="shared" si="109"/>
        <v>10.958227848101266</v>
      </c>
      <c r="P578" s="7">
        <f t="shared" si="110"/>
        <v>2.2883463843764797</v>
      </c>
      <c r="Q578" s="7">
        <f t="shared" si="111"/>
        <v>0.99990762098496411</v>
      </c>
      <c r="R578" s="7">
        <f t="shared" si="112"/>
        <v>0.98882729137716041</v>
      </c>
      <c r="S578" s="7">
        <f t="shared" si="113"/>
        <v>0.44116036829688182</v>
      </c>
      <c r="T578" s="7">
        <f t="shared" si="114"/>
        <v>0.89224785453757616</v>
      </c>
      <c r="U578" s="7">
        <f t="shared" si="115"/>
        <v>0.83053578379914561</v>
      </c>
    </row>
    <row r="579" spans="1:21" x14ac:dyDescent="0.25">
      <c r="A579" s="1" t="s">
        <v>1679</v>
      </c>
      <c r="B579" s="1" t="s">
        <v>36</v>
      </c>
      <c r="C579" s="1">
        <v>26</v>
      </c>
      <c r="D579" s="1">
        <v>19</v>
      </c>
      <c r="E579" s="1">
        <v>9</v>
      </c>
      <c r="F579" s="1">
        <v>11</v>
      </c>
      <c r="G579" s="1">
        <v>65</v>
      </c>
      <c r="H579" s="7">
        <v>1.8257418583505538</v>
      </c>
      <c r="I579" s="7">
        <f t="shared" si="116"/>
        <v>22.694936708860759</v>
      </c>
      <c r="J579" s="7">
        <f t="shared" ref="J579:J642" si="117">_xlfn.STDEV.S(C:C)</f>
        <v>5.3055534129377486</v>
      </c>
      <c r="K579" s="7">
        <f t="shared" ref="K579:K642" si="118">AVERAGE(D:D)</f>
        <v>22.140506329113926</v>
      </c>
      <c r="L579" s="7">
        <f t="shared" ref="L579:L642" si="119">_xlfn.STDEV.S(D:D)</f>
        <v>4.9144008395218908</v>
      </c>
      <c r="M579" s="7">
        <f t="shared" ref="M579:M642" si="120">AVERAGE(E:E)</f>
        <v>10.069620253164556</v>
      </c>
      <c r="N579" s="7">
        <f t="shared" ref="N579:N642" si="121">_xlfn.STDEV.S(E:E)</f>
        <v>2.1089377326145904</v>
      </c>
      <c r="O579" s="7">
        <f t="shared" ref="O579:O642" si="122">AVERAGE(F:F)</f>
        <v>10.958227848101266</v>
      </c>
      <c r="P579" s="7">
        <f t="shared" ref="P579:P642" si="123">_xlfn.STDEV.S(F:F)</f>
        <v>2.2883463843764797</v>
      </c>
      <c r="Q579" s="7">
        <f t="shared" ref="Q579:Q642" si="124">STANDARDIZE(C579,I579,J579)</f>
        <v>0.62294411796510174</v>
      </c>
      <c r="R579" s="7">
        <f t="shared" ref="R579:R642" si="125">STANDARDIZE(D579,K579,L579)</f>
        <v>-0.63904154985848838</v>
      </c>
      <c r="S579" s="7">
        <f t="shared" ref="S579:S642" si="126">STANDARDIZE(E579,M579,N579)</f>
        <v>-0.5071843689943738</v>
      </c>
      <c r="T579" s="7">
        <f t="shared" ref="T579:T642" si="127">STANDARDIZE(F579,O579,P579)</f>
        <v>1.8254295846087756E-2</v>
      </c>
      <c r="U579" s="7">
        <f t="shared" ref="U579:U642" si="128">AVERAGE(Q579:T579)</f>
        <v>-0.12625687626041818</v>
      </c>
    </row>
    <row r="580" spans="1:21" x14ac:dyDescent="0.25">
      <c r="A580" s="1" t="s">
        <v>1679</v>
      </c>
      <c r="B580" s="1" t="s">
        <v>36</v>
      </c>
      <c r="C580" s="1">
        <v>24</v>
      </c>
      <c r="D580" s="1">
        <v>25</v>
      </c>
      <c r="E580" s="1">
        <v>10</v>
      </c>
      <c r="F580" s="1">
        <v>12</v>
      </c>
      <c r="G580" s="1">
        <v>71</v>
      </c>
      <c r="H580" s="7">
        <v>1.6641005886756874</v>
      </c>
      <c r="I580" s="7">
        <f t="shared" ref="I580:I643" si="129">AVERAGE(C:C)</f>
        <v>22.694936708860759</v>
      </c>
      <c r="J580" s="7">
        <f t="shared" si="117"/>
        <v>5.3055534129377486</v>
      </c>
      <c r="K580" s="7">
        <f t="shared" si="118"/>
        <v>22.140506329113926</v>
      </c>
      <c r="L580" s="7">
        <f t="shared" si="119"/>
        <v>4.9144008395218908</v>
      </c>
      <c r="M580" s="7">
        <f t="shared" si="120"/>
        <v>10.069620253164556</v>
      </c>
      <c r="N580" s="7">
        <f t="shared" si="121"/>
        <v>2.1089377326145904</v>
      </c>
      <c r="O580" s="7">
        <f t="shared" si="122"/>
        <v>10.958227848101266</v>
      </c>
      <c r="P580" s="7">
        <f t="shared" si="123"/>
        <v>2.2883463843764797</v>
      </c>
      <c r="Q580" s="7">
        <f t="shared" si="124"/>
        <v>0.24598061494523943</v>
      </c>
      <c r="R580" s="7">
        <f t="shared" si="125"/>
        <v>0.58186008106824816</v>
      </c>
      <c r="S580" s="7">
        <f t="shared" si="126"/>
        <v>-3.3012000348745997E-2</v>
      </c>
      <c r="T580" s="7">
        <f t="shared" si="127"/>
        <v>0.45525107519183194</v>
      </c>
      <c r="U580" s="7">
        <f t="shared" si="128"/>
        <v>0.31251994271414341</v>
      </c>
    </row>
    <row r="581" spans="1:21" x14ac:dyDescent="0.25">
      <c r="A581" s="1" t="s">
        <v>1679</v>
      </c>
      <c r="B581" s="1" t="s">
        <v>36</v>
      </c>
      <c r="C581" s="1">
        <v>30</v>
      </c>
      <c r="D581" s="1">
        <v>30</v>
      </c>
      <c r="E581" s="1">
        <v>10</v>
      </c>
      <c r="F581" s="1">
        <v>15</v>
      </c>
      <c r="G581" s="1">
        <v>85</v>
      </c>
      <c r="H581" s="7">
        <v>2.2588855886396955</v>
      </c>
      <c r="I581" s="7">
        <f t="shared" si="129"/>
        <v>22.694936708860759</v>
      </c>
      <c r="J581" s="7">
        <f t="shared" si="117"/>
        <v>5.3055534129377486</v>
      </c>
      <c r="K581" s="7">
        <f t="shared" si="118"/>
        <v>22.140506329113926</v>
      </c>
      <c r="L581" s="7">
        <f t="shared" si="119"/>
        <v>4.9144008395218908</v>
      </c>
      <c r="M581" s="7">
        <f t="shared" si="120"/>
        <v>10.069620253164556</v>
      </c>
      <c r="N581" s="7">
        <f t="shared" si="121"/>
        <v>2.1089377326145904</v>
      </c>
      <c r="O581" s="7">
        <f t="shared" si="122"/>
        <v>10.958227848101266</v>
      </c>
      <c r="P581" s="7">
        <f t="shared" si="123"/>
        <v>2.2883463843764797</v>
      </c>
      <c r="Q581" s="7">
        <f t="shared" si="124"/>
        <v>1.3768711240048266</v>
      </c>
      <c r="R581" s="7">
        <f t="shared" si="125"/>
        <v>1.5992781068405286</v>
      </c>
      <c r="S581" s="7">
        <f t="shared" si="126"/>
        <v>-3.3012000348745997E-2</v>
      </c>
      <c r="T581" s="7">
        <f t="shared" si="127"/>
        <v>1.7662414132290645</v>
      </c>
      <c r="U581" s="7">
        <f t="shared" si="128"/>
        <v>1.1773446609314184</v>
      </c>
    </row>
    <row r="582" spans="1:21" x14ac:dyDescent="0.25">
      <c r="A582" s="1" t="s">
        <v>1679</v>
      </c>
      <c r="B582" s="1" t="s">
        <v>36</v>
      </c>
      <c r="C582" s="1">
        <v>25</v>
      </c>
      <c r="D582" s="1">
        <v>21</v>
      </c>
      <c r="E582" s="1">
        <v>11</v>
      </c>
      <c r="F582" s="1">
        <v>10</v>
      </c>
      <c r="G582" s="1">
        <v>67</v>
      </c>
      <c r="H582" s="7">
        <v>1.7246329970051526</v>
      </c>
      <c r="I582" s="7">
        <f t="shared" si="129"/>
        <v>22.694936708860759</v>
      </c>
      <c r="J582" s="7">
        <f t="shared" si="117"/>
        <v>5.3055534129377486</v>
      </c>
      <c r="K582" s="7">
        <f t="shared" si="118"/>
        <v>22.140506329113926</v>
      </c>
      <c r="L582" s="7">
        <f t="shared" si="119"/>
        <v>4.9144008395218908</v>
      </c>
      <c r="M582" s="7">
        <f t="shared" si="120"/>
        <v>10.069620253164556</v>
      </c>
      <c r="N582" s="7">
        <f t="shared" si="121"/>
        <v>2.1089377326145904</v>
      </c>
      <c r="O582" s="7">
        <f t="shared" si="122"/>
        <v>10.958227848101266</v>
      </c>
      <c r="P582" s="7">
        <f t="shared" si="123"/>
        <v>2.2883463843764797</v>
      </c>
      <c r="Q582" s="7">
        <f t="shared" si="124"/>
        <v>0.43446236645517061</v>
      </c>
      <c r="R582" s="7">
        <f t="shared" si="125"/>
        <v>-0.23207433954957621</v>
      </c>
      <c r="S582" s="7">
        <f t="shared" si="126"/>
        <v>0.44116036829688182</v>
      </c>
      <c r="T582" s="7">
        <f t="shared" si="127"/>
        <v>-0.41874248349965643</v>
      </c>
      <c r="U582" s="7">
        <f t="shared" si="128"/>
        <v>5.6201477925704943E-2</v>
      </c>
    </row>
    <row r="583" spans="1:21" x14ac:dyDescent="0.25">
      <c r="A583" s="1" t="s">
        <v>1679</v>
      </c>
      <c r="B583" s="1" t="s">
        <v>36</v>
      </c>
      <c r="C583" s="1">
        <v>25</v>
      </c>
      <c r="D583" s="1">
        <v>21</v>
      </c>
      <c r="E583" s="1">
        <v>11</v>
      </c>
      <c r="F583" s="1">
        <v>7</v>
      </c>
      <c r="G583" s="1">
        <v>64</v>
      </c>
      <c r="H583" s="7">
        <v>1.9774368283857795</v>
      </c>
      <c r="I583" s="7">
        <f t="shared" si="129"/>
        <v>22.694936708860759</v>
      </c>
      <c r="J583" s="7">
        <f t="shared" si="117"/>
        <v>5.3055534129377486</v>
      </c>
      <c r="K583" s="7">
        <f t="shared" si="118"/>
        <v>22.140506329113926</v>
      </c>
      <c r="L583" s="7">
        <f t="shared" si="119"/>
        <v>4.9144008395218908</v>
      </c>
      <c r="M583" s="7">
        <f t="shared" si="120"/>
        <v>10.069620253164556</v>
      </c>
      <c r="N583" s="7">
        <f t="shared" si="121"/>
        <v>2.1089377326145904</v>
      </c>
      <c r="O583" s="7">
        <f t="shared" si="122"/>
        <v>10.958227848101266</v>
      </c>
      <c r="P583" s="7">
        <f t="shared" si="123"/>
        <v>2.2883463843764797</v>
      </c>
      <c r="Q583" s="7">
        <f t="shared" si="124"/>
        <v>0.43446236645517061</v>
      </c>
      <c r="R583" s="7">
        <f t="shared" si="125"/>
        <v>-0.23207433954957621</v>
      </c>
      <c r="S583" s="7">
        <f t="shared" si="126"/>
        <v>0.44116036829688182</v>
      </c>
      <c r="T583" s="7">
        <f t="shared" si="127"/>
        <v>-1.729732821536889</v>
      </c>
      <c r="U583" s="7">
        <f t="shared" si="128"/>
        <v>-0.27154610658360323</v>
      </c>
    </row>
    <row r="584" spans="1:21" x14ac:dyDescent="0.25">
      <c r="A584" s="1" t="s">
        <v>1679</v>
      </c>
      <c r="B584" s="1" t="s">
        <v>36</v>
      </c>
      <c r="C584" s="1">
        <v>25</v>
      </c>
      <c r="D584" s="1">
        <v>22</v>
      </c>
      <c r="E584" s="1">
        <v>10</v>
      </c>
      <c r="F584" s="1">
        <v>12</v>
      </c>
      <c r="G584" s="1">
        <v>69</v>
      </c>
      <c r="H584" s="7">
        <v>1.7504578155735617</v>
      </c>
      <c r="I584" s="7">
        <f t="shared" si="129"/>
        <v>22.694936708860759</v>
      </c>
      <c r="J584" s="7">
        <f t="shared" si="117"/>
        <v>5.3055534129377486</v>
      </c>
      <c r="K584" s="7">
        <f t="shared" si="118"/>
        <v>22.140506329113926</v>
      </c>
      <c r="L584" s="7">
        <f t="shared" si="119"/>
        <v>4.9144008395218908</v>
      </c>
      <c r="M584" s="7">
        <f t="shared" si="120"/>
        <v>10.069620253164556</v>
      </c>
      <c r="N584" s="7">
        <f t="shared" si="121"/>
        <v>2.1089377326145904</v>
      </c>
      <c r="O584" s="7">
        <f t="shared" si="122"/>
        <v>10.958227848101266</v>
      </c>
      <c r="P584" s="7">
        <f t="shared" si="123"/>
        <v>2.2883463843764797</v>
      </c>
      <c r="Q584" s="7">
        <f t="shared" si="124"/>
        <v>0.43446236645517061</v>
      </c>
      <c r="R584" s="7">
        <f t="shared" si="125"/>
        <v>-2.8590734395120113E-2</v>
      </c>
      <c r="S584" s="7">
        <f t="shared" si="126"/>
        <v>-3.3012000348745997E-2</v>
      </c>
      <c r="T584" s="7">
        <f t="shared" si="127"/>
        <v>0.45525107519183194</v>
      </c>
      <c r="U584" s="7">
        <f t="shared" si="128"/>
        <v>0.20702767672578409</v>
      </c>
    </row>
    <row r="585" spans="1:21" x14ac:dyDescent="0.25">
      <c r="A585" s="1" t="s">
        <v>1679</v>
      </c>
      <c r="B585" s="1" t="s">
        <v>36</v>
      </c>
      <c r="C585" s="1">
        <v>25</v>
      </c>
      <c r="D585" s="1">
        <v>29</v>
      </c>
      <c r="E585" s="1">
        <v>13</v>
      </c>
      <c r="F585" s="1">
        <v>13</v>
      </c>
      <c r="G585" s="1">
        <v>80</v>
      </c>
      <c r="H585" s="7">
        <v>2.2303271003059115</v>
      </c>
      <c r="I585" s="7">
        <f t="shared" si="129"/>
        <v>22.694936708860759</v>
      </c>
      <c r="J585" s="7">
        <f t="shared" si="117"/>
        <v>5.3055534129377486</v>
      </c>
      <c r="K585" s="7">
        <f t="shared" si="118"/>
        <v>22.140506329113926</v>
      </c>
      <c r="L585" s="7">
        <f t="shared" si="119"/>
        <v>4.9144008395218908</v>
      </c>
      <c r="M585" s="7">
        <f t="shared" si="120"/>
        <v>10.069620253164556</v>
      </c>
      <c r="N585" s="7">
        <f t="shared" si="121"/>
        <v>2.1089377326145904</v>
      </c>
      <c r="O585" s="7">
        <f t="shared" si="122"/>
        <v>10.958227848101266</v>
      </c>
      <c r="P585" s="7">
        <f t="shared" si="123"/>
        <v>2.2883463843764797</v>
      </c>
      <c r="Q585" s="7">
        <f t="shared" si="124"/>
        <v>0.43446236645517061</v>
      </c>
      <c r="R585" s="7">
        <f t="shared" si="125"/>
        <v>1.3957945016860727</v>
      </c>
      <c r="S585" s="7">
        <f t="shared" si="126"/>
        <v>1.3895051055881373</v>
      </c>
      <c r="T585" s="7">
        <f t="shared" si="127"/>
        <v>0.89224785453757616</v>
      </c>
      <c r="U585" s="7">
        <f t="shared" si="128"/>
        <v>1.0280024570667392</v>
      </c>
    </row>
    <row r="586" spans="1:21" x14ac:dyDescent="0.25">
      <c r="A586" s="1" t="s">
        <v>1679</v>
      </c>
      <c r="B586" s="1" t="s">
        <v>36</v>
      </c>
      <c r="C586" s="1">
        <v>23</v>
      </c>
      <c r="D586" s="1">
        <v>24</v>
      </c>
      <c r="E586" s="1">
        <v>12</v>
      </c>
      <c r="F586" s="1">
        <v>11</v>
      </c>
      <c r="G586" s="1">
        <v>70</v>
      </c>
      <c r="H586" s="7">
        <v>1.7577666482623879</v>
      </c>
      <c r="I586" s="7">
        <f t="shared" si="129"/>
        <v>22.694936708860759</v>
      </c>
      <c r="J586" s="7">
        <f t="shared" si="117"/>
        <v>5.3055534129377486</v>
      </c>
      <c r="K586" s="7">
        <f t="shared" si="118"/>
        <v>22.140506329113926</v>
      </c>
      <c r="L586" s="7">
        <f t="shared" si="119"/>
        <v>4.9144008395218908</v>
      </c>
      <c r="M586" s="7">
        <f t="shared" si="120"/>
        <v>10.069620253164556</v>
      </c>
      <c r="N586" s="7">
        <f t="shared" si="121"/>
        <v>2.1089377326145904</v>
      </c>
      <c r="O586" s="7">
        <f t="shared" si="122"/>
        <v>10.958227848101266</v>
      </c>
      <c r="P586" s="7">
        <f t="shared" si="123"/>
        <v>2.2883463843764797</v>
      </c>
      <c r="Q586" s="7">
        <f t="shared" si="124"/>
        <v>5.7498863435308259E-2</v>
      </c>
      <c r="R586" s="7">
        <f t="shared" si="125"/>
        <v>0.37837647591379209</v>
      </c>
      <c r="S586" s="7">
        <f t="shared" si="126"/>
        <v>0.91533273694250961</v>
      </c>
      <c r="T586" s="7">
        <f t="shared" si="127"/>
        <v>1.8254295846087756E-2</v>
      </c>
      <c r="U586" s="7">
        <f t="shared" si="128"/>
        <v>0.34236559303442443</v>
      </c>
    </row>
    <row r="587" spans="1:21" x14ac:dyDescent="0.25">
      <c r="A587" s="1" t="s">
        <v>1679</v>
      </c>
      <c r="B587" s="1" t="s">
        <v>36</v>
      </c>
      <c r="C587" s="1">
        <v>27</v>
      </c>
      <c r="D587" s="1">
        <v>26</v>
      </c>
      <c r="E587" s="1">
        <v>11</v>
      </c>
      <c r="F587" s="1">
        <v>13</v>
      </c>
      <c r="G587" s="1">
        <v>77</v>
      </c>
      <c r="H587" s="7">
        <v>1.7541160386140584</v>
      </c>
      <c r="I587" s="7">
        <f t="shared" si="129"/>
        <v>22.694936708860759</v>
      </c>
      <c r="J587" s="7">
        <f t="shared" si="117"/>
        <v>5.3055534129377486</v>
      </c>
      <c r="K587" s="7">
        <f t="shared" si="118"/>
        <v>22.140506329113926</v>
      </c>
      <c r="L587" s="7">
        <f t="shared" si="119"/>
        <v>4.9144008395218908</v>
      </c>
      <c r="M587" s="7">
        <f t="shared" si="120"/>
        <v>10.069620253164556</v>
      </c>
      <c r="N587" s="7">
        <f t="shared" si="121"/>
        <v>2.1089377326145904</v>
      </c>
      <c r="O587" s="7">
        <f t="shared" si="122"/>
        <v>10.958227848101266</v>
      </c>
      <c r="P587" s="7">
        <f t="shared" si="123"/>
        <v>2.2883463843764797</v>
      </c>
      <c r="Q587" s="7">
        <f t="shared" si="124"/>
        <v>0.81142586947503292</v>
      </c>
      <c r="R587" s="7">
        <f t="shared" si="125"/>
        <v>0.78534368622270434</v>
      </c>
      <c r="S587" s="7">
        <f t="shared" si="126"/>
        <v>0.44116036829688182</v>
      </c>
      <c r="T587" s="7">
        <f t="shared" si="127"/>
        <v>0.89224785453757616</v>
      </c>
      <c r="U587" s="7">
        <f t="shared" si="128"/>
        <v>0.7325444446330488</v>
      </c>
    </row>
    <row r="588" spans="1:21" x14ac:dyDescent="0.25">
      <c r="A588" s="1" t="s">
        <v>1680</v>
      </c>
      <c r="B588" s="1" t="s">
        <v>36</v>
      </c>
      <c r="C588" s="1">
        <v>22</v>
      </c>
      <c r="D588" s="1">
        <v>21</v>
      </c>
      <c r="E588" s="1">
        <v>9</v>
      </c>
      <c r="F588" s="1">
        <v>9</v>
      </c>
      <c r="G588" s="1">
        <v>61</v>
      </c>
      <c r="H588" s="7">
        <v>1.1094003924504579</v>
      </c>
      <c r="I588" s="7">
        <f t="shared" si="129"/>
        <v>22.694936708860759</v>
      </c>
      <c r="J588" s="7">
        <f t="shared" si="117"/>
        <v>5.3055534129377486</v>
      </c>
      <c r="K588" s="7">
        <f t="shared" si="118"/>
        <v>22.140506329113926</v>
      </c>
      <c r="L588" s="7">
        <f t="shared" si="119"/>
        <v>4.9144008395218908</v>
      </c>
      <c r="M588" s="7">
        <f t="shared" si="120"/>
        <v>10.069620253164556</v>
      </c>
      <c r="N588" s="7">
        <f t="shared" si="121"/>
        <v>2.1089377326145904</v>
      </c>
      <c r="O588" s="7">
        <f t="shared" si="122"/>
        <v>10.958227848101266</v>
      </c>
      <c r="P588" s="7">
        <f t="shared" si="123"/>
        <v>2.2883463843764797</v>
      </c>
      <c r="Q588" s="7">
        <f t="shared" si="124"/>
        <v>-0.13098288807462291</v>
      </c>
      <c r="R588" s="7">
        <f t="shared" si="125"/>
        <v>-0.23207433954957621</v>
      </c>
      <c r="S588" s="7">
        <f t="shared" si="126"/>
        <v>-0.5071843689943738</v>
      </c>
      <c r="T588" s="7">
        <f t="shared" si="127"/>
        <v>-0.85573926284540058</v>
      </c>
      <c r="U588" s="7">
        <f t="shared" si="128"/>
        <v>-0.4314952148659934</v>
      </c>
    </row>
    <row r="589" spans="1:21" x14ac:dyDescent="0.25">
      <c r="A589" s="1" t="s">
        <v>1680</v>
      </c>
      <c r="B589" s="1" t="s">
        <v>36</v>
      </c>
      <c r="C589" s="1">
        <v>24</v>
      </c>
      <c r="D589" s="1">
        <v>23</v>
      </c>
      <c r="E589" s="1">
        <v>11</v>
      </c>
      <c r="F589" s="1">
        <v>10</v>
      </c>
      <c r="G589" s="1">
        <v>68</v>
      </c>
      <c r="H589" s="7">
        <v>1.300887271175982</v>
      </c>
      <c r="I589" s="7">
        <f t="shared" si="129"/>
        <v>22.694936708860759</v>
      </c>
      <c r="J589" s="7">
        <f t="shared" si="117"/>
        <v>5.3055534129377486</v>
      </c>
      <c r="K589" s="7">
        <f t="shared" si="118"/>
        <v>22.140506329113926</v>
      </c>
      <c r="L589" s="7">
        <f t="shared" si="119"/>
        <v>4.9144008395218908</v>
      </c>
      <c r="M589" s="7">
        <f t="shared" si="120"/>
        <v>10.069620253164556</v>
      </c>
      <c r="N589" s="7">
        <f t="shared" si="121"/>
        <v>2.1089377326145904</v>
      </c>
      <c r="O589" s="7">
        <f t="shared" si="122"/>
        <v>10.958227848101266</v>
      </c>
      <c r="P589" s="7">
        <f t="shared" si="123"/>
        <v>2.2883463843764797</v>
      </c>
      <c r="Q589" s="7">
        <f t="shared" si="124"/>
        <v>0.24598061494523943</v>
      </c>
      <c r="R589" s="7">
        <f t="shared" si="125"/>
        <v>0.17489287075933599</v>
      </c>
      <c r="S589" s="7">
        <f t="shared" si="126"/>
        <v>0.44116036829688182</v>
      </c>
      <c r="T589" s="7">
        <f t="shared" si="127"/>
        <v>-0.41874248349965643</v>
      </c>
      <c r="U589" s="7">
        <f t="shared" si="128"/>
        <v>0.11082284262545018</v>
      </c>
    </row>
    <row r="590" spans="1:21" x14ac:dyDescent="0.25">
      <c r="A590" s="1" t="s">
        <v>1680</v>
      </c>
      <c r="B590" s="1" t="s">
        <v>36</v>
      </c>
      <c r="C590" s="1">
        <v>23</v>
      </c>
      <c r="D590" s="1">
        <v>22</v>
      </c>
      <c r="E590" s="1">
        <v>9</v>
      </c>
      <c r="F590" s="1">
        <v>9</v>
      </c>
      <c r="G590" s="1">
        <v>63</v>
      </c>
      <c r="H590" s="7">
        <v>1.2142318453899044</v>
      </c>
      <c r="I590" s="7">
        <f t="shared" si="129"/>
        <v>22.694936708860759</v>
      </c>
      <c r="J590" s="7">
        <f t="shared" si="117"/>
        <v>5.3055534129377486</v>
      </c>
      <c r="K590" s="7">
        <f t="shared" si="118"/>
        <v>22.140506329113926</v>
      </c>
      <c r="L590" s="7">
        <f t="shared" si="119"/>
        <v>4.9144008395218908</v>
      </c>
      <c r="M590" s="7">
        <f t="shared" si="120"/>
        <v>10.069620253164556</v>
      </c>
      <c r="N590" s="7">
        <f t="shared" si="121"/>
        <v>2.1089377326145904</v>
      </c>
      <c r="O590" s="7">
        <f t="shared" si="122"/>
        <v>10.958227848101266</v>
      </c>
      <c r="P590" s="7">
        <f t="shared" si="123"/>
        <v>2.2883463843764797</v>
      </c>
      <c r="Q590" s="7">
        <f t="shared" si="124"/>
        <v>5.7498863435308259E-2</v>
      </c>
      <c r="R590" s="7">
        <f t="shared" si="125"/>
        <v>-2.8590734395120113E-2</v>
      </c>
      <c r="S590" s="7">
        <f t="shared" si="126"/>
        <v>-0.5071843689943738</v>
      </c>
      <c r="T590" s="7">
        <f t="shared" si="127"/>
        <v>-0.85573926284540058</v>
      </c>
      <c r="U590" s="7">
        <f t="shared" si="128"/>
        <v>-0.33350387569989659</v>
      </c>
    </row>
    <row r="591" spans="1:21" x14ac:dyDescent="0.25">
      <c r="A591" s="1" t="s">
        <v>1680</v>
      </c>
      <c r="B591" s="1" t="s">
        <v>36</v>
      </c>
      <c r="C591" s="1">
        <v>22</v>
      </c>
      <c r="D591" s="1">
        <v>21</v>
      </c>
      <c r="E591" s="1">
        <v>10</v>
      </c>
      <c r="F591" s="1">
        <v>10</v>
      </c>
      <c r="G591" s="1">
        <v>63</v>
      </c>
      <c r="H591" s="7">
        <v>1.2142318453899046</v>
      </c>
      <c r="I591" s="7">
        <f t="shared" si="129"/>
        <v>22.694936708860759</v>
      </c>
      <c r="J591" s="7">
        <f t="shared" si="117"/>
        <v>5.3055534129377486</v>
      </c>
      <c r="K591" s="7">
        <f t="shared" si="118"/>
        <v>22.140506329113926</v>
      </c>
      <c r="L591" s="7">
        <f t="shared" si="119"/>
        <v>4.9144008395218908</v>
      </c>
      <c r="M591" s="7">
        <f t="shared" si="120"/>
        <v>10.069620253164556</v>
      </c>
      <c r="N591" s="7">
        <f t="shared" si="121"/>
        <v>2.1089377326145904</v>
      </c>
      <c r="O591" s="7">
        <f t="shared" si="122"/>
        <v>10.958227848101266</v>
      </c>
      <c r="P591" s="7">
        <f t="shared" si="123"/>
        <v>2.2883463843764797</v>
      </c>
      <c r="Q591" s="7">
        <f t="shared" si="124"/>
        <v>-0.13098288807462291</v>
      </c>
      <c r="R591" s="7">
        <f t="shared" si="125"/>
        <v>-0.23207433954957621</v>
      </c>
      <c r="S591" s="7">
        <f t="shared" si="126"/>
        <v>-3.3012000348745997E-2</v>
      </c>
      <c r="T591" s="7">
        <f t="shared" si="127"/>
        <v>-0.41874248349965643</v>
      </c>
      <c r="U591" s="7">
        <f t="shared" si="128"/>
        <v>-0.20370292786815039</v>
      </c>
    </row>
    <row r="592" spans="1:21" x14ac:dyDescent="0.25">
      <c r="A592" s="1" t="s">
        <v>1680</v>
      </c>
      <c r="B592" s="1" t="s">
        <v>36</v>
      </c>
      <c r="C592" s="1">
        <v>22</v>
      </c>
      <c r="D592" s="1">
        <v>22</v>
      </c>
      <c r="E592" s="1">
        <v>8</v>
      </c>
      <c r="F592" s="1">
        <v>10</v>
      </c>
      <c r="G592" s="1">
        <v>62</v>
      </c>
      <c r="H592" s="7">
        <v>1.2351684199496948</v>
      </c>
      <c r="I592" s="7">
        <f t="shared" si="129"/>
        <v>22.694936708860759</v>
      </c>
      <c r="J592" s="7">
        <f t="shared" si="117"/>
        <v>5.3055534129377486</v>
      </c>
      <c r="K592" s="7">
        <f t="shared" si="118"/>
        <v>22.140506329113926</v>
      </c>
      <c r="L592" s="7">
        <f t="shared" si="119"/>
        <v>4.9144008395218908</v>
      </c>
      <c r="M592" s="7">
        <f t="shared" si="120"/>
        <v>10.069620253164556</v>
      </c>
      <c r="N592" s="7">
        <f t="shared" si="121"/>
        <v>2.1089377326145904</v>
      </c>
      <c r="O592" s="7">
        <f t="shared" si="122"/>
        <v>10.958227848101266</v>
      </c>
      <c r="P592" s="7">
        <f t="shared" si="123"/>
        <v>2.2883463843764797</v>
      </c>
      <c r="Q592" s="7">
        <f t="shared" si="124"/>
        <v>-0.13098288807462291</v>
      </c>
      <c r="R592" s="7">
        <f t="shared" si="125"/>
        <v>-2.8590734395120113E-2</v>
      </c>
      <c r="S592" s="7">
        <f t="shared" si="126"/>
        <v>-0.98135673764000164</v>
      </c>
      <c r="T592" s="7">
        <f t="shared" si="127"/>
        <v>-0.41874248349965643</v>
      </c>
      <c r="U592" s="7">
        <f t="shared" si="128"/>
        <v>-0.38991821090235029</v>
      </c>
    </row>
    <row r="593" spans="1:21" x14ac:dyDescent="0.25">
      <c r="A593" s="1" t="s">
        <v>1680</v>
      </c>
      <c r="B593" s="1" t="s">
        <v>36</v>
      </c>
      <c r="C593" s="1">
        <v>24</v>
      </c>
      <c r="D593" s="1">
        <v>23</v>
      </c>
      <c r="E593" s="1">
        <v>10</v>
      </c>
      <c r="F593" s="1">
        <v>10</v>
      </c>
      <c r="G593" s="1">
        <v>67</v>
      </c>
      <c r="H593" s="7">
        <v>1.2810252304406973</v>
      </c>
      <c r="I593" s="7">
        <f t="shared" si="129"/>
        <v>22.694936708860759</v>
      </c>
      <c r="J593" s="7">
        <f t="shared" si="117"/>
        <v>5.3055534129377486</v>
      </c>
      <c r="K593" s="7">
        <f t="shared" si="118"/>
        <v>22.140506329113926</v>
      </c>
      <c r="L593" s="7">
        <f t="shared" si="119"/>
        <v>4.9144008395218908</v>
      </c>
      <c r="M593" s="7">
        <f t="shared" si="120"/>
        <v>10.069620253164556</v>
      </c>
      <c r="N593" s="7">
        <f t="shared" si="121"/>
        <v>2.1089377326145904</v>
      </c>
      <c r="O593" s="7">
        <f t="shared" si="122"/>
        <v>10.958227848101266</v>
      </c>
      <c r="P593" s="7">
        <f t="shared" si="123"/>
        <v>2.2883463843764797</v>
      </c>
      <c r="Q593" s="7">
        <f t="shared" si="124"/>
        <v>0.24598061494523943</v>
      </c>
      <c r="R593" s="7">
        <f t="shared" si="125"/>
        <v>0.17489287075933599</v>
      </c>
      <c r="S593" s="7">
        <f t="shared" si="126"/>
        <v>-3.3012000348745997E-2</v>
      </c>
      <c r="T593" s="7">
        <f t="shared" si="127"/>
        <v>-0.41874248349965643</v>
      </c>
      <c r="U593" s="7">
        <f t="shared" si="128"/>
        <v>-7.7202495359567636E-3</v>
      </c>
    </row>
    <row r="594" spans="1:21" x14ac:dyDescent="0.25">
      <c r="A594" s="1" t="s">
        <v>1680</v>
      </c>
      <c r="B594" s="1" t="s">
        <v>36</v>
      </c>
      <c r="C594" s="1">
        <v>25</v>
      </c>
      <c r="D594" s="1">
        <v>21</v>
      </c>
      <c r="E594" s="1">
        <v>9</v>
      </c>
      <c r="F594" s="1">
        <v>10</v>
      </c>
      <c r="G594" s="1">
        <v>65</v>
      </c>
      <c r="H594" s="7">
        <v>1.2909944487358054</v>
      </c>
      <c r="I594" s="7">
        <f t="shared" si="129"/>
        <v>22.694936708860759</v>
      </c>
      <c r="J594" s="7">
        <f t="shared" si="117"/>
        <v>5.3055534129377486</v>
      </c>
      <c r="K594" s="7">
        <f t="shared" si="118"/>
        <v>22.140506329113926</v>
      </c>
      <c r="L594" s="7">
        <f t="shared" si="119"/>
        <v>4.9144008395218908</v>
      </c>
      <c r="M594" s="7">
        <f t="shared" si="120"/>
        <v>10.069620253164556</v>
      </c>
      <c r="N594" s="7">
        <f t="shared" si="121"/>
        <v>2.1089377326145904</v>
      </c>
      <c r="O594" s="7">
        <f t="shared" si="122"/>
        <v>10.958227848101266</v>
      </c>
      <c r="P594" s="7">
        <f t="shared" si="123"/>
        <v>2.2883463843764797</v>
      </c>
      <c r="Q594" s="7">
        <f t="shared" si="124"/>
        <v>0.43446236645517061</v>
      </c>
      <c r="R594" s="7">
        <f t="shared" si="125"/>
        <v>-0.23207433954957621</v>
      </c>
      <c r="S594" s="7">
        <f t="shared" si="126"/>
        <v>-0.5071843689943738</v>
      </c>
      <c r="T594" s="7">
        <f t="shared" si="127"/>
        <v>-0.41874248349965643</v>
      </c>
      <c r="U594" s="7">
        <f t="shared" si="128"/>
        <v>-0.18088470639710896</v>
      </c>
    </row>
    <row r="595" spans="1:21" x14ac:dyDescent="0.25">
      <c r="A595" s="1" t="s">
        <v>1680</v>
      </c>
      <c r="B595" s="1" t="s">
        <v>36</v>
      </c>
      <c r="C595" s="1">
        <v>23</v>
      </c>
      <c r="D595" s="1">
        <v>21</v>
      </c>
      <c r="E595" s="1">
        <v>9</v>
      </c>
      <c r="F595" s="1">
        <v>10</v>
      </c>
      <c r="G595" s="1">
        <v>63</v>
      </c>
      <c r="H595" s="7">
        <v>1.0681880176381127</v>
      </c>
      <c r="I595" s="7">
        <f t="shared" si="129"/>
        <v>22.694936708860759</v>
      </c>
      <c r="J595" s="7">
        <f t="shared" si="117"/>
        <v>5.3055534129377486</v>
      </c>
      <c r="K595" s="7">
        <f t="shared" si="118"/>
        <v>22.140506329113926</v>
      </c>
      <c r="L595" s="7">
        <f t="shared" si="119"/>
        <v>4.9144008395218908</v>
      </c>
      <c r="M595" s="7">
        <f t="shared" si="120"/>
        <v>10.069620253164556</v>
      </c>
      <c r="N595" s="7">
        <f t="shared" si="121"/>
        <v>2.1089377326145904</v>
      </c>
      <c r="O595" s="7">
        <f t="shared" si="122"/>
        <v>10.958227848101266</v>
      </c>
      <c r="P595" s="7">
        <f t="shared" si="123"/>
        <v>2.2883463843764797</v>
      </c>
      <c r="Q595" s="7">
        <f t="shared" si="124"/>
        <v>5.7498863435308259E-2</v>
      </c>
      <c r="R595" s="7">
        <f t="shared" si="125"/>
        <v>-0.23207433954957621</v>
      </c>
      <c r="S595" s="7">
        <f t="shared" si="126"/>
        <v>-0.5071843689943738</v>
      </c>
      <c r="T595" s="7">
        <f t="shared" si="127"/>
        <v>-0.41874248349965643</v>
      </c>
      <c r="U595" s="7">
        <f t="shared" si="128"/>
        <v>-0.27512558215207455</v>
      </c>
    </row>
    <row r="596" spans="1:21" x14ac:dyDescent="0.25">
      <c r="A596" s="1" t="s">
        <v>1680</v>
      </c>
      <c r="B596" s="1" t="s">
        <v>36</v>
      </c>
      <c r="C596" s="1">
        <v>21</v>
      </c>
      <c r="D596" s="1">
        <v>19</v>
      </c>
      <c r="E596" s="1">
        <v>10</v>
      </c>
      <c r="F596" s="1">
        <v>10</v>
      </c>
      <c r="G596" s="1">
        <v>60</v>
      </c>
      <c r="H596" s="7">
        <v>1.1208970766356099</v>
      </c>
      <c r="I596" s="7">
        <f t="shared" si="129"/>
        <v>22.694936708860759</v>
      </c>
      <c r="J596" s="7">
        <f t="shared" si="117"/>
        <v>5.3055534129377486</v>
      </c>
      <c r="K596" s="7">
        <f t="shared" si="118"/>
        <v>22.140506329113926</v>
      </c>
      <c r="L596" s="7">
        <f t="shared" si="119"/>
        <v>4.9144008395218908</v>
      </c>
      <c r="M596" s="7">
        <f t="shared" si="120"/>
        <v>10.069620253164556</v>
      </c>
      <c r="N596" s="7">
        <f t="shared" si="121"/>
        <v>2.1089377326145904</v>
      </c>
      <c r="O596" s="7">
        <f t="shared" si="122"/>
        <v>10.958227848101266</v>
      </c>
      <c r="P596" s="7">
        <f t="shared" si="123"/>
        <v>2.2883463843764797</v>
      </c>
      <c r="Q596" s="7">
        <f t="shared" si="124"/>
        <v>-0.31946463958455407</v>
      </c>
      <c r="R596" s="7">
        <f t="shared" si="125"/>
        <v>-0.63904154985848838</v>
      </c>
      <c r="S596" s="7">
        <f t="shared" si="126"/>
        <v>-3.3012000348745997E-2</v>
      </c>
      <c r="T596" s="7">
        <f t="shared" si="127"/>
        <v>-0.41874248349965643</v>
      </c>
      <c r="U596" s="7">
        <f t="shared" si="128"/>
        <v>-0.35256516832286122</v>
      </c>
    </row>
    <row r="597" spans="1:21" x14ac:dyDescent="0.25">
      <c r="A597" s="1" t="s">
        <v>1680</v>
      </c>
      <c r="B597" s="1" t="s">
        <v>36</v>
      </c>
      <c r="C597" s="1">
        <v>20</v>
      </c>
      <c r="D597" s="1">
        <v>17</v>
      </c>
      <c r="E597" s="1">
        <v>10</v>
      </c>
      <c r="F597" s="1">
        <v>11</v>
      </c>
      <c r="G597" s="1">
        <v>58</v>
      </c>
      <c r="H597" s="7">
        <v>0.8770580193070292</v>
      </c>
      <c r="I597" s="7">
        <f t="shared" si="129"/>
        <v>22.694936708860759</v>
      </c>
      <c r="J597" s="7">
        <f t="shared" si="117"/>
        <v>5.3055534129377486</v>
      </c>
      <c r="K597" s="7">
        <f t="shared" si="118"/>
        <v>22.140506329113926</v>
      </c>
      <c r="L597" s="7">
        <f t="shared" si="119"/>
        <v>4.9144008395218908</v>
      </c>
      <c r="M597" s="7">
        <f t="shared" si="120"/>
        <v>10.069620253164556</v>
      </c>
      <c r="N597" s="7">
        <f t="shared" si="121"/>
        <v>2.1089377326145904</v>
      </c>
      <c r="O597" s="7">
        <f t="shared" si="122"/>
        <v>10.958227848101266</v>
      </c>
      <c r="P597" s="7">
        <f t="shared" si="123"/>
        <v>2.2883463843764797</v>
      </c>
      <c r="Q597" s="7">
        <f t="shared" si="124"/>
        <v>-0.50794639109448525</v>
      </c>
      <c r="R597" s="7">
        <f t="shared" si="125"/>
        <v>-1.0460087601674006</v>
      </c>
      <c r="S597" s="7">
        <f t="shared" si="126"/>
        <v>-3.3012000348745997E-2</v>
      </c>
      <c r="T597" s="7">
        <f t="shared" si="127"/>
        <v>1.8254295846087756E-2</v>
      </c>
      <c r="U597" s="7">
        <f t="shared" si="128"/>
        <v>-0.392178213941136</v>
      </c>
    </row>
    <row r="598" spans="1:21" x14ac:dyDescent="0.25">
      <c r="A598" s="1" t="s">
        <v>1680</v>
      </c>
      <c r="B598" s="1" t="s">
        <v>36</v>
      </c>
      <c r="C598" s="1">
        <v>23</v>
      </c>
      <c r="D598" s="1">
        <v>23</v>
      </c>
      <c r="E598" s="1">
        <v>11</v>
      </c>
      <c r="F598" s="1">
        <v>10</v>
      </c>
      <c r="G598" s="1">
        <v>67</v>
      </c>
      <c r="H598" s="7">
        <v>1.2810252304406973</v>
      </c>
      <c r="I598" s="7">
        <f t="shared" si="129"/>
        <v>22.694936708860759</v>
      </c>
      <c r="J598" s="7">
        <f t="shared" si="117"/>
        <v>5.3055534129377486</v>
      </c>
      <c r="K598" s="7">
        <f t="shared" si="118"/>
        <v>22.140506329113926</v>
      </c>
      <c r="L598" s="7">
        <f t="shared" si="119"/>
        <v>4.9144008395218908</v>
      </c>
      <c r="M598" s="7">
        <f t="shared" si="120"/>
        <v>10.069620253164556</v>
      </c>
      <c r="N598" s="7">
        <f t="shared" si="121"/>
        <v>2.1089377326145904</v>
      </c>
      <c r="O598" s="7">
        <f t="shared" si="122"/>
        <v>10.958227848101266</v>
      </c>
      <c r="P598" s="7">
        <f t="shared" si="123"/>
        <v>2.2883463843764797</v>
      </c>
      <c r="Q598" s="7">
        <f t="shared" si="124"/>
        <v>5.7498863435308259E-2</v>
      </c>
      <c r="R598" s="7">
        <f t="shared" si="125"/>
        <v>0.17489287075933599</v>
      </c>
      <c r="S598" s="7">
        <f t="shared" si="126"/>
        <v>0.44116036829688182</v>
      </c>
      <c r="T598" s="7">
        <f t="shared" si="127"/>
        <v>-0.41874248349965643</v>
      </c>
      <c r="U598" s="7">
        <f t="shared" si="128"/>
        <v>6.3702404747967414E-2</v>
      </c>
    </row>
    <row r="599" spans="1:21" x14ac:dyDescent="0.25">
      <c r="A599" s="1" t="s">
        <v>1680</v>
      </c>
      <c r="B599" s="1" t="s">
        <v>36</v>
      </c>
      <c r="C599" s="1">
        <v>22</v>
      </c>
      <c r="D599" s="1">
        <v>20</v>
      </c>
      <c r="E599" s="1">
        <v>10</v>
      </c>
      <c r="F599" s="1">
        <v>10</v>
      </c>
      <c r="G599" s="1">
        <v>62</v>
      </c>
      <c r="H599" s="7">
        <v>0.92680869599629889</v>
      </c>
      <c r="I599" s="7">
        <f t="shared" si="129"/>
        <v>22.694936708860759</v>
      </c>
      <c r="J599" s="7">
        <f t="shared" si="117"/>
        <v>5.3055534129377486</v>
      </c>
      <c r="K599" s="7">
        <f t="shared" si="118"/>
        <v>22.140506329113926</v>
      </c>
      <c r="L599" s="7">
        <f t="shared" si="119"/>
        <v>4.9144008395218908</v>
      </c>
      <c r="M599" s="7">
        <f t="shared" si="120"/>
        <v>10.069620253164556</v>
      </c>
      <c r="N599" s="7">
        <f t="shared" si="121"/>
        <v>2.1089377326145904</v>
      </c>
      <c r="O599" s="7">
        <f t="shared" si="122"/>
        <v>10.958227848101266</v>
      </c>
      <c r="P599" s="7">
        <f t="shared" si="123"/>
        <v>2.2883463843764797</v>
      </c>
      <c r="Q599" s="7">
        <f t="shared" si="124"/>
        <v>-0.13098288807462291</v>
      </c>
      <c r="R599" s="7">
        <f t="shared" si="125"/>
        <v>-0.43555794470403231</v>
      </c>
      <c r="S599" s="7">
        <f t="shared" si="126"/>
        <v>-3.3012000348745997E-2</v>
      </c>
      <c r="T599" s="7">
        <f t="shared" si="127"/>
        <v>-0.41874248349965643</v>
      </c>
      <c r="U599" s="7">
        <f t="shared" si="128"/>
        <v>-0.25457382915676441</v>
      </c>
    </row>
    <row r="600" spans="1:21" x14ac:dyDescent="0.25">
      <c r="A600" s="1" t="s">
        <v>1680</v>
      </c>
      <c r="B600" s="1" t="s">
        <v>36</v>
      </c>
      <c r="C600" s="1">
        <v>25</v>
      </c>
      <c r="D600" s="1">
        <v>24</v>
      </c>
      <c r="E600" s="1">
        <v>11</v>
      </c>
      <c r="F600" s="1">
        <v>14</v>
      </c>
      <c r="G600" s="1">
        <v>74</v>
      </c>
      <c r="H600" s="7">
        <v>0.947330933431342</v>
      </c>
      <c r="I600" s="7">
        <f t="shared" si="129"/>
        <v>22.694936708860759</v>
      </c>
      <c r="J600" s="7">
        <f t="shared" si="117"/>
        <v>5.3055534129377486</v>
      </c>
      <c r="K600" s="7">
        <f t="shared" si="118"/>
        <v>22.140506329113926</v>
      </c>
      <c r="L600" s="7">
        <f t="shared" si="119"/>
        <v>4.9144008395218908</v>
      </c>
      <c r="M600" s="7">
        <f t="shared" si="120"/>
        <v>10.069620253164556</v>
      </c>
      <c r="N600" s="7">
        <f t="shared" si="121"/>
        <v>2.1089377326145904</v>
      </c>
      <c r="O600" s="7">
        <f t="shared" si="122"/>
        <v>10.958227848101266</v>
      </c>
      <c r="P600" s="7">
        <f t="shared" si="123"/>
        <v>2.2883463843764797</v>
      </c>
      <c r="Q600" s="7">
        <f t="shared" si="124"/>
        <v>0.43446236645517061</v>
      </c>
      <c r="R600" s="7">
        <f t="shared" si="125"/>
        <v>0.37837647591379209</v>
      </c>
      <c r="S600" s="7">
        <f t="shared" si="126"/>
        <v>0.44116036829688182</v>
      </c>
      <c r="T600" s="7">
        <f t="shared" si="127"/>
        <v>1.3292446338833204</v>
      </c>
      <c r="U600" s="7">
        <f t="shared" si="128"/>
        <v>0.64581096113729131</v>
      </c>
    </row>
    <row r="601" spans="1:21" x14ac:dyDescent="0.25">
      <c r="A601" s="1" t="s">
        <v>1680</v>
      </c>
      <c r="B601" s="1" t="s">
        <v>36</v>
      </c>
      <c r="C601" s="1">
        <v>24</v>
      </c>
      <c r="D601" s="1">
        <v>22</v>
      </c>
      <c r="E601" s="1">
        <v>10</v>
      </c>
      <c r="F601" s="1">
        <v>13</v>
      </c>
      <c r="G601" s="1">
        <v>69</v>
      </c>
      <c r="H601" s="7">
        <v>0.947330933431342</v>
      </c>
      <c r="I601" s="7">
        <f t="shared" si="129"/>
        <v>22.694936708860759</v>
      </c>
      <c r="J601" s="7">
        <f t="shared" si="117"/>
        <v>5.3055534129377486</v>
      </c>
      <c r="K601" s="7">
        <f t="shared" si="118"/>
        <v>22.140506329113926</v>
      </c>
      <c r="L601" s="7">
        <f t="shared" si="119"/>
        <v>4.9144008395218908</v>
      </c>
      <c r="M601" s="7">
        <f t="shared" si="120"/>
        <v>10.069620253164556</v>
      </c>
      <c r="N601" s="7">
        <f t="shared" si="121"/>
        <v>2.1089377326145904</v>
      </c>
      <c r="O601" s="7">
        <f t="shared" si="122"/>
        <v>10.958227848101266</v>
      </c>
      <c r="P601" s="7">
        <f t="shared" si="123"/>
        <v>2.2883463843764797</v>
      </c>
      <c r="Q601" s="7">
        <f t="shared" si="124"/>
        <v>0.24598061494523943</v>
      </c>
      <c r="R601" s="7">
        <f t="shared" si="125"/>
        <v>-2.8590734395120113E-2</v>
      </c>
      <c r="S601" s="7">
        <f t="shared" si="126"/>
        <v>-3.3012000348745997E-2</v>
      </c>
      <c r="T601" s="7">
        <f t="shared" si="127"/>
        <v>0.89224785453757616</v>
      </c>
      <c r="U601" s="7">
        <f t="shared" si="128"/>
        <v>0.26915643368473735</v>
      </c>
    </row>
    <row r="602" spans="1:21" x14ac:dyDescent="0.25">
      <c r="A602" s="1" t="s">
        <v>1680</v>
      </c>
      <c r="B602" s="1" t="s">
        <v>36</v>
      </c>
      <c r="C602" s="1">
        <v>23</v>
      </c>
      <c r="D602" s="1">
        <v>25</v>
      </c>
      <c r="E602" s="1">
        <v>11</v>
      </c>
      <c r="F602" s="1">
        <v>14</v>
      </c>
      <c r="G602" s="1">
        <v>73</v>
      </c>
      <c r="H602" s="7">
        <v>0.96076892283052284</v>
      </c>
      <c r="I602" s="7">
        <f t="shared" si="129"/>
        <v>22.694936708860759</v>
      </c>
      <c r="J602" s="7">
        <f t="shared" si="117"/>
        <v>5.3055534129377486</v>
      </c>
      <c r="K602" s="7">
        <f t="shared" si="118"/>
        <v>22.140506329113926</v>
      </c>
      <c r="L602" s="7">
        <f t="shared" si="119"/>
        <v>4.9144008395218908</v>
      </c>
      <c r="M602" s="7">
        <f t="shared" si="120"/>
        <v>10.069620253164556</v>
      </c>
      <c r="N602" s="7">
        <f t="shared" si="121"/>
        <v>2.1089377326145904</v>
      </c>
      <c r="O602" s="7">
        <f t="shared" si="122"/>
        <v>10.958227848101266</v>
      </c>
      <c r="P602" s="7">
        <f t="shared" si="123"/>
        <v>2.2883463843764797</v>
      </c>
      <c r="Q602" s="7">
        <f t="shared" si="124"/>
        <v>5.7498863435308259E-2</v>
      </c>
      <c r="R602" s="7">
        <f t="shared" si="125"/>
        <v>0.58186008106824816</v>
      </c>
      <c r="S602" s="7">
        <f t="shared" si="126"/>
        <v>0.44116036829688182</v>
      </c>
      <c r="T602" s="7">
        <f t="shared" si="127"/>
        <v>1.3292446338833204</v>
      </c>
      <c r="U602" s="7">
        <f t="shared" si="128"/>
        <v>0.6024409866709397</v>
      </c>
    </row>
    <row r="603" spans="1:21" x14ac:dyDescent="0.25">
      <c r="A603" s="1" t="s">
        <v>1680</v>
      </c>
      <c r="B603" s="1" t="s">
        <v>36</v>
      </c>
      <c r="C603" s="1">
        <v>22</v>
      </c>
      <c r="D603" s="1">
        <v>21</v>
      </c>
      <c r="E603" s="1">
        <v>10</v>
      </c>
      <c r="F603" s="1">
        <v>14</v>
      </c>
      <c r="G603" s="1">
        <v>67</v>
      </c>
      <c r="H603" s="7">
        <v>0.68873723172119439</v>
      </c>
      <c r="I603" s="7">
        <f t="shared" si="129"/>
        <v>22.694936708860759</v>
      </c>
      <c r="J603" s="7">
        <f t="shared" si="117"/>
        <v>5.3055534129377486</v>
      </c>
      <c r="K603" s="7">
        <f t="shared" si="118"/>
        <v>22.140506329113926</v>
      </c>
      <c r="L603" s="7">
        <f t="shared" si="119"/>
        <v>4.9144008395218908</v>
      </c>
      <c r="M603" s="7">
        <f t="shared" si="120"/>
        <v>10.069620253164556</v>
      </c>
      <c r="N603" s="7">
        <f t="shared" si="121"/>
        <v>2.1089377326145904</v>
      </c>
      <c r="O603" s="7">
        <f t="shared" si="122"/>
        <v>10.958227848101266</v>
      </c>
      <c r="P603" s="7">
        <f t="shared" si="123"/>
        <v>2.2883463843764797</v>
      </c>
      <c r="Q603" s="7">
        <f t="shared" si="124"/>
        <v>-0.13098288807462291</v>
      </c>
      <c r="R603" s="7">
        <f t="shared" si="125"/>
        <v>-0.23207433954957621</v>
      </c>
      <c r="S603" s="7">
        <f t="shared" si="126"/>
        <v>-3.3012000348745997E-2</v>
      </c>
      <c r="T603" s="7">
        <f t="shared" si="127"/>
        <v>1.3292446338833204</v>
      </c>
      <c r="U603" s="7">
        <f t="shared" si="128"/>
        <v>0.23329385147759379</v>
      </c>
    </row>
    <row r="604" spans="1:21" x14ac:dyDescent="0.25">
      <c r="A604" s="1" t="s">
        <v>1680</v>
      </c>
      <c r="B604" s="1" t="s">
        <v>36</v>
      </c>
      <c r="C604" s="1">
        <v>20</v>
      </c>
      <c r="D604" s="1">
        <v>18</v>
      </c>
      <c r="E604" s="1">
        <v>9</v>
      </c>
      <c r="F604" s="1">
        <v>10</v>
      </c>
      <c r="G604" s="1">
        <v>57</v>
      </c>
      <c r="H604" s="7">
        <v>0.86971849262290402</v>
      </c>
      <c r="I604" s="7">
        <f t="shared" si="129"/>
        <v>22.694936708860759</v>
      </c>
      <c r="J604" s="7">
        <f t="shared" si="117"/>
        <v>5.3055534129377486</v>
      </c>
      <c r="K604" s="7">
        <f t="shared" si="118"/>
        <v>22.140506329113926</v>
      </c>
      <c r="L604" s="7">
        <f t="shared" si="119"/>
        <v>4.9144008395218908</v>
      </c>
      <c r="M604" s="7">
        <f t="shared" si="120"/>
        <v>10.069620253164556</v>
      </c>
      <c r="N604" s="7">
        <f t="shared" si="121"/>
        <v>2.1089377326145904</v>
      </c>
      <c r="O604" s="7">
        <f t="shared" si="122"/>
        <v>10.958227848101266</v>
      </c>
      <c r="P604" s="7">
        <f t="shared" si="123"/>
        <v>2.2883463843764797</v>
      </c>
      <c r="Q604" s="7">
        <f t="shared" si="124"/>
        <v>-0.50794639109448525</v>
      </c>
      <c r="R604" s="7">
        <f t="shared" si="125"/>
        <v>-0.84252515501294456</v>
      </c>
      <c r="S604" s="7">
        <f t="shared" si="126"/>
        <v>-0.5071843689943738</v>
      </c>
      <c r="T604" s="7">
        <f t="shared" si="127"/>
        <v>-0.41874248349965643</v>
      </c>
      <c r="U604" s="7">
        <f t="shared" si="128"/>
        <v>-0.56909959965036494</v>
      </c>
    </row>
    <row r="605" spans="1:21" x14ac:dyDescent="0.25">
      <c r="A605" s="1" t="s">
        <v>1680</v>
      </c>
      <c r="B605" s="1" t="s">
        <v>36</v>
      </c>
      <c r="C605" s="1">
        <v>20</v>
      </c>
      <c r="D605" s="1">
        <v>19</v>
      </c>
      <c r="E605" s="1">
        <v>10</v>
      </c>
      <c r="F605" s="1">
        <v>14</v>
      </c>
      <c r="G605" s="1">
        <v>63</v>
      </c>
      <c r="H605" s="7">
        <v>0.68873723172119439</v>
      </c>
      <c r="I605" s="7">
        <f t="shared" si="129"/>
        <v>22.694936708860759</v>
      </c>
      <c r="J605" s="7">
        <f t="shared" si="117"/>
        <v>5.3055534129377486</v>
      </c>
      <c r="K605" s="7">
        <f t="shared" si="118"/>
        <v>22.140506329113926</v>
      </c>
      <c r="L605" s="7">
        <f t="shared" si="119"/>
        <v>4.9144008395218908</v>
      </c>
      <c r="M605" s="7">
        <f t="shared" si="120"/>
        <v>10.069620253164556</v>
      </c>
      <c r="N605" s="7">
        <f t="shared" si="121"/>
        <v>2.1089377326145904</v>
      </c>
      <c r="O605" s="7">
        <f t="shared" si="122"/>
        <v>10.958227848101266</v>
      </c>
      <c r="P605" s="7">
        <f t="shared" si="123"/>
        <v>2.2883463843764797</v>
      </c>
      <c r="Q605" s="7">
        <f t="shared" si="124"/>
        <v>-0.50794639109448525</v>
      </c>
      <c r="R605" s="7">
        <f t="shared" si="125"/>
        <v>-0.63904154985848838</v>
      </c>
      <c r="S605" s="7">
        <f t="shared" si="126"/>
        <v>-3.3012000348745997E-2</v>
      </c>
      <c r="T605" s="7">
        <f t="shared" si="127"/>
        <v>1.3292446338833204</v>
      </c>
      <c r="U605" s="7">
        <f t="shared" si="128"/>
        <v>3.7311173145400223E-2</v>
      </c>
    </row>
    <row r="606" spans="1:21" x14ac:dyDescent="0.25">
      <c r="A606" s="1" t="s">
        <v>1680</v>
      </c>
      <c r="B606" s="1" t="s">
        <v>36</v>
      </c>
      <c r="C606" s="1">
        <v>20</v>
      </c>
      <c r="D606" s="1">
        <v>17</v>
      </c>
      <c r="E606" s="1">
        <v>11</v>
      </c>
      <c r="F606" s="1">
        <v>13</v>
      </c>
      <c r="G606" s="1">
        <v>61</v>
      </c>
      <c r="H606" s="7">
        <v>0.75106761619881079</v>
      </c>
      <c r="I606" s="7">
        <f t="shared" si="129"/>
        <v>22.694936708860759</v>
      </c>
      <c r="J606" s="7">
        <f t="shared" si="117"/>
        <v>5.3055534129377486</v>
      </c>
      <c r="K606" s="7">
        <f t="shared" si="118"/>
        <v>22.140506329113926</v>
      </c>
      <c r="L606" s="7">
        <f t="shared" si="119"/>
        <v>4.9144008395218908</v>
      </c>
      <c r="M606" s="7">
        <f t="shared" si="120"/>
        <v>10.069620253164556</v>
      </c>
      <c r="N606" s="7">
        <f t="shared" si="121"/>
        <v>2.1089377326145904</v>
      </c>
      <c r="O606" s="7">
        <f t="shared" si="122"/>
        <v>10.958227848101266</v>
      </c>
      <c r="P606" s="7">
        <f t="shared" si="123"/>
        <v>2.2883463843764797</v>
      </c>
      <c r="Q606" s="7">
        <f t="shared" si="124"/>
        <v>-0.50794639109448525</v>
      </c>
      <c r="R606" s="7">
        <f t="shared" si="125"/>
        <v>-1.0460087601674006</v>
      </c>
      <c r="S606" s="7">
        <f t="shared" si="126"/>
        <v>0.44116036829688182</v>
      </c>
      <c r="T606" s="7">
        <f t="shared" si="127"/>
        <v>0.89224785453757616</v>
      </c>
      <c r="U606" s="7">
        <f t="shared" si="128"/>
        <v>-5.5136732106856962E-2</v>
      </c>
    </row>
    <row r="607" spans="1:21" x14ac:dyDescent="0.25">
      <c r="A607" s="1" t="s">
        <v>1680</v>
      </c>
      <c r="B607" s="1" t="s">
        <v>36</v>
      </c>
      <c r="C607" s="1">
        <v>24</v>
      </c>
      <c r="D607" s="1">
        <v>20</v>
      </c>
      <c r="E607" s="1">
        <v>10</v>
      </c>
      <c r="F607" s="1">
        <v>14</v>
      </c>
      <c r="G607" s="1">
        <v>68</v>
      </c>
      <c r="H607" s="7">
        <v>0.72501105208198424</v>
      </c>
      <c r="I607" s="7">
        <f t="shared" si="129"/>
        <v>22.694936708860759</v>
      </c>
      <c r="J607" s="7">
        <f t="shared" si="117"/>
        <v>5.3055534129377486</v>
      </c>
      <c r="K607" s="7">
        <f t="shared" si="118"/>
        <v>22.140506329113926</v>
      </c>
      <c r="L607" s="7">
        <f t="shared" si="119"/>
        <v>4.9144008395218908</v>
      </c>
      <c r="M607" s="7">
        <f t="shared" si="120"/>
        <v>10.069620253164556</v>
      </c>
      <c r="N607" s="7">
        <f t="shared" si="121"/>
        <v>2.1089377326145904</v>
      </c>
      <c r="O607" s="7">
        <f t="shared" si="122"/>
        <v>10.958227848101266</v>
      </c>
      <c r="P607" s="7">
        <f t="shared" si="123"/>
        <v>2.2883463843764797</v>
      </c>
      <c r="Q607" s="7">
        <f t="shared" si="124"/>
        <v>0.24598061494523943</v>
      </c>
      <c r="R607" s="7">
        <f t="shared" si="125"/>
        <v>-0.43555794470403231</v>
      </c>
      <c r="S607" s="7">
        <f t="shared" si="126"/>
        <v>-3.3012000348745997E-2</v>
      </c>
      <c r="T607" s="7">
        <f t="shared" si="127"/>
        <v>1.3292446338833204</v>
      </c>
      <c r="U607" s="7">
        <f t="shared" si="128"/>
        <v>0.2766638259439454</v>
      </c>
    </row>
    <row r="608" spans="1:21" x14ac:dyDescent="0.25">
      <c r="A608" s="1" t="s">
        <v>1680</v>
      </c>
      <c r="B608" s="1" t="s">
        <v>36</v>
      </c>
      <c r="C608" s="1">
        <v>24</v>
      </c>
      <c r="D608" s="1">
        <v>20</v>
      </c>
      <c r="E608" s="1">
        <v>10</v>
      </c>
      <c r="F608" s="1">
        <v>14</v>
      </c>
      <c r="G608" s="1">
        <v>68</v>
      </c>
      <c r="H608" s="7">
        <v>0.72501105208198424</v>
      </c>
      <c r="I608" s="7">
        <f t="shared" si="129"/>
        <v>22.694936708860759</v>
      </c>
      <c r="J608" s="7">
        <f t="shared" si="117"/>
        <v>5.3055534129377486</v>
      </c>
      <c r="K608" s="7">
        <f t="shared" si="118"/>
        <v>22.140506329113926</v>
      </c>
      <c r="L608" s="7">
        <f t="shared" si="119"/>
        <v>4.9144008395218908</v>
      </c>
      <c r="M608" s="7">
        <f t="shared" si="120"/>
        <v>10.069620253164556</v>
      </c>
      <c r="N608" s="7">
        <f t="shared" si="121"/>
        <v>2.1089377326145904</v>
      </c>
      <c r="O608" s="7">
        <f t="shared" si="122"/>
        <v>10.958227848101266</v>
      </c>
      <c r="P608" s="7">
        <f t="shared" si="123"/>
        <v>2.2883463843764797</v>
      </c>
      <c r="Q608" s="7">
        <f t="shared" si="124"/>
        <v>0.24598061494523943</v>
      </c>
      <c r="R608" s="7">
        <f t="shared" si="125"/>
        <v>-0.43555794470403231</v>
      </c>
      <c r="S608" s="7">
        <f t="shared" si="126"/>
        <v>-3.3012000348745997E-2</v>
      </c>
      <c r="T608" s="7">
        <f t="shared" si="127"/>
        <v>1.3292446338833204</v>
      </c>
      <c r="U608" s="7">
        <f t="shared" si="128"/>
        <v>0.2766638259439454</v>
      </c>
    </row>
    <row r="609" spans="1:21" x14ac:dyDescent="0.25">
      <c r="A609" s="1" t="s">
        <v>1680</v>
      </c>
      <c r="B609" s="1" t="s">
        <v>36</v>
      </c>
      <c r="C609" s="1">
        <v>25</v>
      </c>
      <c r="D609" s="1">
        <v>23</v>
      </c>
      <c r="E609" s="1">
        <v>10</v>
      </c>
      <c r="F609" s="1">
        <v>14</v>
      </c>
      <c r="G609" s="1">
        <v>72</v>
      </c>
      <c r="H609" s="7">
        <v>0.87705801930702953</v>
      </c>
      <c r="I609" s="7">
        <f t="shared" si="129"/>
        <v>22.694936708860759</v>
      </c>
      <c r="J609" s="7">
        <f t="shared" si="117"/>
        <v>5.3055534129377486</v>
      </c>
      <c r="K609" s="7">
        <f t="shared" si="118"/>
        <v>22.140506329113926</v>
      </c>
      <c r="L609" s="7">
        <f t="shared" si="119"/>
        <v>4.9144008395218908</v>
      </c>
      <c r="M609" s="7">
        <f t="shared" si="120"/>
        <v>10.069620253164556</v>
      </c>
      <c r="N609" s="7">
        <f t="shared" si="121"/>
        <v>2.1089377326145904</v>
      </c>
      <c r="O609" s="7">
        <f t="shared" si="122"/>
        <v>10.958227848101266</v>
      </c>
      <c r="P609" s="7">
        <f t="shared" si="123"/>
        <v>2.2883463843764797</v>
      </c>
      <c r="Q609" s="7">
        <f t="shared" si="124"/>
        <v>0.43446236645517061</v>
      </c>
      <c r="R609" s="7">
        <f t="shared" si="125"/>
        <v>0.17489287075933599</v>
      </c>
      <c r="S609" s="7">
        <f t="shared" si="126"/>
        <v>-3.3012000348745997E-2</v>
      </c>
      <c r="T609" s="7">
        <f t="shared" si="127"/>
        <v>1.3292446338833204</v>
      </c>
      <c r="U609" s="7">
        <f t="shared" si="128"/>
        <v>0.47639696768727025</v>
      </c>
    </row>
    <row r="610" spans="1:21" x14ac:dyDescent="0.25">
      <c r="A610" s="1" t="s">
        <v>1680</v>
      </c>
      <c r="B610" s="1" t="s">
        <v>36</v>
      </c>
      <c r="C610" s="1">
        <v>25</v>
      </c>
      <c r="D610" s="1">
        <v>23</v>
      </c>
      <c r="E610" s="1">
        <v>11</v>
      </c>
      <c r="F610" s="1">
        <v>15</v>
      </c>
      <c r="G610" s="1">
        <v>74</v>
      </c>
      <c r="H610" s="7">
        <v>0.75106761619881079</v>
      </c>
      <c r="I610" s="7">
        <f t="shared" si="129"/>
        <v>22.694936708860759</v>
      </c>
      <c r="J610" s="7">
        <f t="shared" si="117"/>
        <v>5.3055534129377486</v>
      </c>
      <c r="K610" s="7">
        <f t="shared" si="118"/>
        <v>22.140506329113926</v>
      </c>
      <c r="L610" s="7">
        <f t="shared" si="119"/>
        <v>4.9144008395218908</v>
      </c>
      <c r="M610" s="7">
        <f t="shared" si="120"/>
        <v>10.069620253164556</v>
      </c>
      <c r="N610" s="7">
        <f t="shared" si="121"/>
        <v>2.1089377326145904</v>
      </c>
      <c r="O610" s="7">
        <f t="shared" si="122"/>
        <v>10.958227848101266</v>
      </c>
      <c r="P610" s="7">
        <f t="shared" si="123"/>
        <v>2.2883463843764797</v>
      </c>
      <c r="Q610" s="7">
        <f t="shared" si="124"/>
        <v>0.43446236645517061</v>
      </c>
      <c r="R610" s="7">
        <f t="shared" si="125"/>
        <v>0.17489287075933599</v>
      </c>
      <c r="S610" s="7">
        <f t="shared" si="126"/>
        <v>0.44116036829688182</v>
      </c>
      <c r="T610" s="7">
        <f t="shared" si="127"/>
        <v>1.7662414132290645</v>
      </c>
      <c r="U610" s="7">
        <f t="shared" si="128"/>
        <v>0.70418925468511318</v>
      </c>
    </row>
    <row r="611" spans="1:21" x14ac:dyDescent="0.25">
      <c r="A611" s="1" t="s">
        <v>1680</v>
      </c>
      <c r="B611" s="1" t="s">
        <v>36</v>
      </c>
      <c r="C611" s="1">
        <v>22</v>
      </c>
      <c r="D611" s="1">
        <v>20</v>
      </c>
      <c r="E611" s="1">
        <v>9</v>
      </c>
      <c r="F611" s="1">
        <v>14</v>
      </c>
      <c r="G611" s="1">
        <v>65</v>
      </c>
      <c r="H611" s="7">
        <v>0.57735026918962618</v>
      </c>
      <c r="I611" s="7">
        <f t="shared" si="129"/>
        <v>22.694936708860759</v>
      </c>
      <c r="J611" s="7">
        <f t="shared" si="117"/>
        <v>5.3055534129377486</v>
      </c>
      <c r="K611" s="7">
        <f t="shared" si="118"/>
        <v>22.140506329113926</v>
      </c>
      <c r="L611" s="7">
        <f t="shared" si="119"/>
        <v>4.9144008395218908</v>
      </c>
      <c r="M611" s="7">
        <f t="shared" si="120"/>
        <v>10.069620253164556</v>
      </c>
      <c r="N611" s="7">
        <f t="shared" si="121"/>
        <v>2.1089377326145904</v>
      </c>
      <c r="O611" s="7">
        <f t="shared" si="122"/>
        <v>10.958227848101266</v>
      </c>
      <c r="P611" s="7">
        <f t="shared" si="123"/>
        <v>2.2883463843764797</v>
      </c>
      <c r="Q611" s="7">
        <f t="shared" si="124"/>
        <v>-0.13098288807462291</v>
      </c>
      <c r="R611" s="7">
        <f t="shared" si="125"/>
        <v>-0.43555794470403231</v>
      </c>
      <c r="S611" s="7">
        <f t="shared" si="126"/>
        <v>-0.5071843689943738</v>
      </c>
      <c r="T611" s="7">
        <f t="shared" si="127"/>
        <v>1.3292446338833204</v>
      </c>
      <c r="U611" s="7">
        <f t="shared" si="128"/>
        <v>6.3879858027572844E-2</v>
      </c>
    </row>
    <row r="612" spans="1:21" x14ac:dyDescent="0.25">
      <c r="A612" s="1" t="s">
        <v>1680</v>
      </c>
      <c r="B612" s="1" t="s">
        <v>36</v>
      </c>
      <c r="C612" s="1">
        <v>12</v>
      </c>
      <c r="D612" s="1">
        <v>15</v>
      </c>
      <c r="E612" s="1">
        <v>7</v>
      </c>
      <c r="F612" s="1">
        <v>9</v>
      </c>
      <c r="G612" s="1">
        <v>43</v>
      </c>
      <c r="H612" s="7">
        <v>0.48038446141526137</v>
      </c>
      <c r="I612" s="7">
        <f t="shared" si="129"/>
        <v>22.694936708860759</v>
      </c>
      <c r="J612" s="7">
        <f t="shared" si="117"/>
        <v>5.3055534129377486</v>
      </c>
      <c r="K612" s="7">
        <f t="shared" si="118"/>
        <v>22.140506329113926</v>
      </c>
      <c r="L612" s="7">
        <f t="shared" si="119"/>
        <v>4.9144008395218908</v>
      </c>
      <c r="M612" s="7">
        <f t="shared" si="120"/>
        <v>10.069620253164556</v>
      </c>
      <c r="N612" s="7">
        <f t="shared" si="121"/>
        <v>2.1089377326145904</v>
      </c>
      <c r="O612" s="7">
        <f t="shared" si="122"/>
        <v>10.958227848101266</v>
      </c>
      <c r="P612" s="7">
        <f t="shared" si="123"/>
        <v>2.2883463843764797</v>
      </c>
      <c r="Q612" s="7">
        <f t="shared" si="124"/>
        <v>-2.0158004031739347</v>
      </c>
      <c r="R612" s="7">
        <f t="shared" si="125"/>
        <v>-1.4529759704763128</v>
      </c>
      <c r="S612" s="7">
        <f t="shared" si="126"/>
        <v>-1.4555291062856295</v>
      </c>
      <c r="T612" s="7">
        <f t="shared" si="127"/>
        <v>-0.85573926284540058</v>
      </c>
      <c r="U612" s="7">
        <f t="shared" si="128"/>
        <v>-1.4450111856953194</v>
      </c>
    </row>
    <row r="613" spans="1:21" x14ac:dyDescent="0.25">
      <c r="A613" s="1" t="s">
        <v>1680</v>
      </c>
      <c r="B613" s="1" t="s">
        <v>36</v>
      </c>
      <c r="C613" s="1">
        <v>13</v>
      </c>
      <c r="D613" s="1">
        <v>19</v>
      </c>
      <c r="E613" s="1">
        <v>8</v>
      </c>
      <c r="F613" s="1">
        <v>10</v>
      </c>
      <c r="G613" s="1">
        <v>50</v>
      </c>
      <c r="H613" s="7">
        <v>0.89871703427291705</v>
      </c>
      <c r="I613" s="7">
        <f t="shared" si="129"/>
        <v>22.694936708860759</v>
      </c>
      <c r="J613" s="7">
        <f t="shared" si="117"/>
        <v>5.3055534129377486</v>
      </c>
      <c r="K613" s="7">
        <f t="shared" si="118"/>
        <v>22.140506329113926</v>
      </c>
      <c r="L613" s="7">
        <f t="shared" si="119"/>
        <v>4.9144008395218908</v>
      </c>
      <c r="M613" s="7">
        <f t="shared" si="120"/>
        <v>10.069620253164556</v>
      </c>
      <c r="N613" s="7">
        <f t="shared" si="121"/>
        <v>2.1089377326145904</v>
      </c>
      <c r="O613" s="7">
        <f t="shared" si="122"/>
        <v>10.958227848101266</v>
      </c>
      <c r="P613" s="7">
        <f t="shared" si="123"/>
        <v>2.2883463843764797</v>
      </c>
      <c r="Q613" s="7">
        <f t="shared" si="124"/>
        <v>-1.8273186516640034</v>
      </c>
      <c r="R613" s="7">
        <f t="shared" si="125"/>
        <v>-0.63904154985848838</v>
      </c>
      <c r="S613" s="7">
        <f t="shared" si="126"/>
        <v>-0.98135673764000164</v>
      </c>
      <c r="T613" s="7">
        <f t="shared" si="127"/>
        <v>-0.41874248349965643</v>
      </c>
      <c r="U613" s="7">
        <f t="shared" si="128"/>
        <v>-0.9666148556655374</v>
      </c>
    </row>
    <row r="614" spans="1:21" x14ac:dyDescent="0.25">
      <c r="A614" s="1" t="s">
        <v>1680</v>
      </c>
      <c r="B614" s="1" t="s">
        <v>36</v>
      </c>
      <c r="C614" s="1">
        <v>19</v>
      </c>
      <c r="D614" s="1">
        <v>19</v>
      </c>
      <c r="E614" s="1">
        <v>8</v>
      </c>
      <c r="F614" s="1">
        <v>10</v>
      </c>
      <c r="G614" s="1">
        <v>56</v>
      </c>
      <c r="H614" s="7">
        <v>0.85485041426511021</v>
      </c>
      <c r="I614" s="7">
        <f t="shared" si="129"/>
        <v>22.694936708860759</v>
      </c>
      <c r="J614" s="7">
        <f t="shared" si="117"/>
        <v>5.3055534129377486</v>
      </c>
      <c r="K614" s="7">
        <f t="shared" si="118"/>
        <v>22.140506329113926</v>
      </c>
      <c r="L614" s="7">
        <f t="shared" si="119"/>
        <v>4.9144008395218908</v>
      </c>
      <c r="M614" s="7">
        <f t="shared" si="120"/>
        <v>10.069620253164556</v>
      </c>
      <c r="N614" s="7">
        <f t="shared" si="121"/>
        <v>2.1089377326145904</v>
      </c>
      <c r="O614" s="7">
        <f t="shared" si="122"/>
        <v>10.958227848101266</v>
      </c>
      <c r="P614" s="7">
        <f t="shared" si="123"/>
        <v>2.2883463843764797</v>
      </c>
      <c r="Q614" s="7">
        <f t="shared" si="124"/>
        <v>-0.69642814260441643</v>
      </c>
      <c r="R614" s="7">
        <f t="shared" si="125"/>
        <v>-0.63904154985848838</v>
      </c>
      <c r="S614" s="7">
        <f t="shared" si="126"/>
        <v>-0.98135673764000164</v>
      </c>
      <c r="T614" s="7">
        <f t="shared" si="127"/>
        <v>-0.41874248349965643</v>
      </c>
      <c r="U614" s="7">
        <f t="shared" si="128"/>
        <v>-0.68389222840064068</v>
      </c>
    </row>
    <row r="615" spans="1:21" x14ac:dyDescent="0.25">
      <c r="A615" s="1" t="s">
        <v>1680</v>
      </c>
      <c r="B615" s="1" t="s">
        <v>36</v>
      </c>
      <c r="C615" s="1">
        <v>18</v>
      </c>
      <c r="D615" s="1">
        <v>17</v>
      </c>
      <c r="E615" s="1">
        <v>8</v>
      </c>
      <c r="F615" s="1">
        <v>8</v>
      </c>
      <c r="G615" s="1">
        <v>51</v>
      </c>
      <c r="H615" s="7">
        <v>0.9540735874430285</v>
      </c>
      <c r="I615" s="7">
        <f t="shared" si="129"/>
        <v>22.694936708860759</v>
      </c>
      <c r="J615" s="7">
        <f t="shared" si="117"/>
        <v>5.3055534129377486</v>
      </c>
      <c r="K615" s="7">
        <f t="shared" si="118"/>
        <v>22.140506329113926</v>
      </c>
      <c r="L615" s="7">
        <f t="shared" si="119"/>
        <v>4.9144008395218908</v>
      </c>
      <c r="M615" s="7">
        <f t="shared" si="120"/>
        <v>10.069620253164556</v>
      </c>
      <c r="N615" s="7">
        <f t="shared" si="121"/>
        <v>2.1089377326145904</v>
      </c>
      <c r="O615" s="7">
        <f t="shared" si="122"/>
        <v>10.958227848101266</v>
      </c>
      <c r="P615" s="7">
        <f t="shared" si="123"/>
        <v>2.2883463843764797</v>
      </c>
      <c r="Q615" s="7">
        <f t="shared" si="124"/>
        <v>-0.88490989411434762</v>
      </c>
      <c r="R615" s="7">
        <f t="shared" si="125"/>
        <v>-1.0460087601674006</v>
      </c>
      <c r="S615" s="7">
        <f t="shared" si="126"/>
        <v>-0.98135673764000164</v>
      </c>
      <c r="T615" s="7">
        <f t="shared" si="127"/>
        <v>-1.2927360421911447</v>
      </c>
      <c r="U615" s="7">
        <f t="shared" si="128"/>
        <v>-1.0512528585282237</v>
      </c>
    </row>
    <row r="616" spans="1:21" x14ac:dyDescent="0.25">
      <c r="A616" s="1" t="s">
        <v>1680</v>
      </c>
      <c r="B616" s="1" t="s">
        <v>36</v>
      </c>
      <c r="C616" s="1">
        <v>17</v>
      </c>
      <c r="D616" s="1">
        <v>14</v>
      </c>
      <c r="E616" s="1">
        <v>7</v>
      </c>
      <c r="F616" s="1">
        <v>8</v>
      </c>
      <c r="G616" s="1">
        <v>46</v>
      </c>
      <c r="H616" s="7">
        <v>0.77625002580618474</v>
      </c>
      <c r="I616" s="7">
        <f t="shared" si="129"/>
        <v>22.694936708860759</v>
      </c>
      <c r="J616" s="7">
        <f t="shared" si="117"/>
        <v>5.3055534129377486</v>
      </c>
      <c r="K616" s="7">
        <f t="shared" si="118"/>
        <v>22.140506329113926</v>
      </c>
      <c r="L616" s="7">
        <f t="shared" si="119"/>
        <v>4.9144008395218908</v>
      </c>
      <c r="M616" s="7">
        <f t="shared" si="120"/>
        <v>10.069620253164556</v>
      </c>
      <c r="N616" s="7">
        <f t="shared" si="121"/>
        <v>2.1089377326145904</v>
      </c>
      <c r="O616" s="7">
        <f t="shared" si="122"/>
        <v>10.958227848101266</v>
      </c>
      <c r="P616" s="7">
        <f t="shared" si="123"/>
        <v>2.2883463843764797</v>
      </c>
      <c r="Q616" s="7">
        <f t="shared" si="124"/>
        <v>-1.0733916456242787</v>
      </c>
      <c r="R616" s="7">
        <f t="shared" si="125"/>
        <v>-1.656459575630769</v>
      </c>
      <c r="S616" s="7">
        <f t="shared" si="126"/>
        <v>-1.4555291062856295</v>
      </c>
      <c r="T616" s="7">
        <f t="shared" si="127"/>
        <v>-1.2927360421911447</v>
      </c>
      <c r="U616" s="7">
        <f t="shared" si="128"/>
        <v>-1.3695290924329555</v>
      </c>
    </row>
    <row r="617" spans="1:21" x14ac:dyDescent="0.25">
      <c r="A617" s="1" t="s">
        <v>1680</v>
      </c>
      <c r="B617" s="1" t="s">
        <v>36</v>
      </c>
      <c r="C617" s="1">
        <v>22</v>
      </c>
      <c r="D617" s="1">
        <v>18</v>
      </c>
      <c r="E617" s="1">
        <v>9</v>
      </c>
      <c r="F617" s="1">
        <v>10</v>
      </c>
      <c r="G617" s="1">
        <v>59</v>
      </c>
      <c r="H617" s="7">
        <v>1.1266014242982163</v>
      </c>
      <c r="I617" s="7">
        <f t="shared" si="129"/>
        <v>22.694936708860759</v>
      </c>
      <c r="J617" s="7">
        <f t="shared" si="117"/>
        <v>5.3055534129377486</v>
      </c>
      <c r="K617" s="7">
        <f t="shared" si="118"/>
        <v>22.140506329113926</v>
      </c>
      <c r="L617" s="7">
        <f t="shared" si="119"/>
        <v>4.9144008395218908</v>
      </c>
      <c r="M617" s="7">
        <f t="shared" si="120"/>
        <v>10.069620253164556</v>
      </c>
      <c r="N617" s="7">
        <f t="shared" si="121"/>
        <v>2.1089377326145904</v>
      </c>
      <c r="O617" s="7">
        <f t="shared" si="122"/>
        <v>10.958227848101266</v>
      </c>
      <c r="P617" s="7">
        <f t="shared" si="123"/>
        <v>2.2883463843764797</v>
      </c>
      <c r="Q617" s="7">
        <f t="shared" si="124"/>
        <v>-0.13098288807462291</v>
      </c>
      <c r="R617" s="7">
        <f t="shared" si="125"/>
        <v>-0.84252515501294456</v>
      </c>
      <c r="S617" s="7">
        <f t="shared" si="126"/>
        <v>-0.5071843689943738</v>
      </c>
      <c r="T617" s="7">
        <f t="shared" si="127"/>
        <v>-0.41874248349965643</v>
      </c>
      <c r="U617" s="7">
        <f t="shared" si="128"/>
        <v>-0.47485872389539946</v>
      </c>
    </row>
    <row r="618" spans="1:21" x14ac:dyDescent="0.25">
      <c r="A618" s="1" t="s">
        <v>1680</v>
      </c>
      <c r="B618" s="1" t="s">
        <v>36</v>
      </c>
      <c r="C618" s="1">
        <v>26</v>
      </c>
      <c r="D618" s="1">
        <v>21</v>
      </c>
      <c r="E618" s="1">
        <v>10</v>
      </c>
      <c r="F618" s="1">
        <v>12</v>
      </c>
      <c r="G618" s="1">
        <v>69</v>
      </c>
      <c r="H618" s="7">
        <v>1.1821319289469758</v>
      </c>
      <c r="I618" s="7">
        <f t="shared" si="129"/>
        <v>22.694936708860759</v>
      </c>
      <c r="J618" s="7">
        <f t="shared" si="117"/>
        <v>5.3055534129377486</v>
      </c>
      <c r="K618" s="7">
        <f t="shared" si="118"/>
        <v>22.140506329113926</v>
      </c>
      <c r="L618" s="7">
        <f t="shared" si="119"/>
        <v>4.9144008395218908</v>
      </c>
      <c r="M618" s="7">
        <f t="shared" si="120"/>
        <v>10.069620253164556</v>
      </c>
      <c r="N618" s="7">
        <f t="shared" si="121"/>
        <v>2.1089377326145904</v>
      </c>
      <c r="O618" s="7">
        <f t="shared" si="122"/>
        <v>10.958227848101266</v>
      </c>
      <c r="P618" s="7">
        <f t="shared" si="123"/>
        <v>2.2883463843764797</v>
      </c>
      <c r="Q618" s="7">
        <f t="shared" si="124"/>
        <v>0.62294411796510174</v>
      </c>
      <c r="R618" s="7">
        <f t="shared" si="125"/>
        <v>-0.23207433954957621</v>
      </c>
      <c r="S618" s="7">
        <f t="shared" si="126"/>
        <v>-3.3012000348745997E-2</v>
      </c>
      <c r="T618" s="7">
        <f t="shared" si="127"/>
        <v>0.45525107519183194</v>
      </c>
      <c r="U618" s="7">
        <f t="shared" si="128"/>
        <v>0.20327721331465287</v>
      </c>
    </row>
    <row r="619" spans="1:21" x14ac:dyDescent="0.25">
      <c r="A619" s="1" t="s">
        <v>1680</v>
      </c>
      <c r="B619" s="1" t="s">
        <v>36</v>
      </c>
      <c r="C619" s="1">
        <v>22</v>
      </c>
      <c r="D619" s="1">
        <v>19</v>
      </c>
      <c r="E619" s="1">
        <v>10</v>
      </c>
      <c r="F619" s="1">
        <v>14</v>
      </c>
      <c r="G619" s="1">
        <v>65</v>
      </c>
      <c r="H619" s="7">
        <v>0.70710678118654779</v>
      </c>
      <c r="I619" s="7">
        <f t="shared" si="129"/>
        <v>22.694936708860759</v>
      </c>
      <c r="J619" s="7">
        <f t="shared" si="117"/>
        <v>5.3055534129377486</v>
      </c>
      <c r="K619" s="7">
        <f t="shared" si="118"/>
        <v>22.140506329113926</v>
      </c>
      <c r="L619" s="7">
        <f t="shared" si="119"/>
        <v>4.9144008395218908</v>
      </c>
      <c r="M619" s="7">
        <f t="shared" si="120"/>
        <v>10.069620253164556</v>
      </c>
      <c r="N619" s="7">
        <f t="shared" si="121"/>
        <v>2.1089377326145904</v>
      </c>
      <c r="O619" s="7">
        <f t="shared" si="122"/>
        <v>10.958227848101266</v>
      </c>
      <c r="P619" s="7">
        <f t="shared" si="123"/>
        <v>2.2883463843764797</v>
      </c>
      <c r="Q619" s="7">
        <f t="shared" si="124"/>
        <v>-0.13098288807462291</v>
      </c>
      <c r="R619" s="7">
        <f t="shared" si="125"/>
        <v>-0.63904154985848838</v>
      </c>
      <c r="S619" s="7">
        <f t="shared" si="126"/>
        <v>-3.3012000348745997E-2</v>
      </c>
      <c r="T619" s="7">
        <f t="shared" si="127"/>
        <v>1.3292446338833204</v>
      </c>
      <c r="U619" s="7">
        <f t="shared" si="128"/>
        <v>0.13155204890036579</v>
      </c>
    </row>
    <row r="620" spans="1:21" x14ac:dyDescent="0.25">
      <c r="A620" s="1" t="s">
        <v>1680</v>
      </c>
      <c r="B620" s="1" t="s">
        <v>36</v>
      </c>
      <c r="C620" s="1">
        <v>22</v>
      </c>
      <c r="D620" s="1">
        <v>20</v>
      </c>
      <c r="E620" s="1">
        <v>9</v>
      </c>
      <c r="F620" s="1">
        <v>12</v>
      </c>
      <c r="G620" s="1">
        <v>63</v>
      </c>
      <c r="H620" s="7">
        <v>0.89871703427291716</v>
      </c>
      <c r="I620" s="7">
        <f t="shared" si="129"/>
        <v>22.694936708860759</v>
      </c>
      <c r="J620" s="7">
        <f t="shared" si="117"/>
        <v>5.3055534129377486</v>
      </c>
      <c r="K620" s="7">
        <f t="shared" si="118"/>
        <v>22.140506329113926</v>
      </c>
      <c r="L620" s="7">
        <f t="shared" si="119"/>
        <v>4.9144008395218908</v>
      </c>
      <c r="M620" s="7">
        <f t="shared" si="120"/>
        <v>10.069620253164556</v>
      </c>
      <c r="N620" s="7">
        <f t="shared" si="121"/>
        <v>2.1089377326145904</v>
      </c>
      <c r="O620" s="7">
        <f t="shared" si="122"/>
        <v>10.958227848101266</v>
      </c>
      <c r="P620" s="7">
        <f t="shared" si="123"/>
        <v>2.2883463843764797</v>
      </c>
      <c r="Q620" s="7">
        <f t="shared" si="124"/>
        <v>-0.13098288807462291</v>
      </c>
      <c r="R620" s="7">
        <f t="shared" si="125"/>
        <v>-0.43555794470403231</v>
      </c>
      <c r="S620" s="7">
        <f t="shared" si="126"/>
        <v>-0.5071843689943738</v>
      </c>
      <c r="T620" s="7">
        <f t="shared" si="127"/>
        <v>0.45525107519183194</v>
      </c>
      <c r="U620" s="7">
        <f t="shared" si="128"/>
        <v>-0.15461853164529926</v>
      </c>
    </row>
    <row r="621" spans="1:21" x14ac:dyDescent="0.25">
      <c r="A621" s="1" t="s">
        <v>1680</v>
      </c>
      <c r="B621" s="1" t="s">
        <v>36</v>
      </c>
      <c r="C621" s="1">
        <v>25</v>
      </c>
      <c r="D621" s="1">
        <v>19</v>
      </c>
      <c r="E621" s="1">
        <v>10</v>
      </c>
      <c r="F621" s="1">
        <v>14</v>
      </c>
      <c r="G621" s="1">
        <v>68</v>
      </c>
      <c r="H621" s="7">
        <v>0.92680869599629845</v>
      </c>
      <c r="I621" s="7">
        <f t="shared" si="129"/>
        <v>22.694936708860759</v>
      </c>
      <c r="J621" s="7">
        <f t="shared" si="117"/>
        <v>5.3055534129377486</v>
      </c>
      <c r="K621" s="7">
        <f t="shared" si="118"/>
        <v>22.140506329113926</v>
      </c>
      <c r="L621" s="7">
        <f t="shared" si="119"/>
        <v>4.9144008395218908</v>
      </c>
      <c r="M621" s="7">
        <f t="shared" si="120"/>
        <v>10.069620253164556</v>
      </c>
      <c r="N621" s="7">
        <f t="shared" si="121"/>
        <v>2.1089377326145904</v>
      </c>
      <c r="O621" s="7">
        <f t="shared" si="122"/>
        <v>10.958227848101266</v>
      </c>
      <c r="P621" s="7">
        <f t="shared" si="123"/>
        <v>2.2883463843764797</v>
      </c>
      <c r="Q621" s="7">
        <f t="shared" si="124"/>
        <v>0.43446236645517061</v>
      </c>
      <c r="R621" s="7">
        <f t="shared" si="125"/>
        <v>-0.63904154985848838</v>
      </c>
      <c r="S621" s="7">
        <f t="shared" si="126"/>
        <v>-3.3012000348745997E-2</v>
      </c>
      <c r="T621" s="7">
        <f t="shared" si="127"/>
        <v>1.3292446338833204</v>
      </c>
      <c r="U621" s="7">
        <f t="shared" si="128"/>
        <v>0.27291336253281417</v>
      </c>
    </row>
    <row r="622" spans="1:21" x14ac:dyDescent="0.25">
      <c r="A622" s="1" t="s">
        <v>1680</v>
      </c>
      <c r="B622" s="1" t="s">
        <v>36</v>
      </c>
      <c r="C622" s="1">
        <v>24</v>
      </c>
      <c r="D622" s="1">
        <v>20</v>
      </c>
      <c r="E622" s="1">
        <v>9</v>
      </c>
      <c r="F622" s="1">
        <v>12</v>
      </c>
      <c r="G622" s="1">
        <v>65</v>
      </c>
      <c r="H622" s="7">
        <v>0.91287092917527668</v>
      </c>
      <c r="I622" s="7">
        <f t="shared" si="129"/>
        <v>22.694936708860759</v>
      </c>
      <c r="J622" s="7">
        <f t="shared" si="117"/>
        <v>5.3055534129377486</v>
      </c>
      <c r="K622" s="7">
        <f t="shared" si="118"/>
        <v>22.140506329113926</v>
      </c>
      <c r="L622" s="7">
        <f t="shared" si="119"/>
        <v>4.9144008395218908</v>
      </c>
      <c r="M622" s="7">
        <f t="shared" si="120"/>
        <v>10.069620253164556</v>
      </c>
      <c r="N622" s="7">
        <f t="shared" si="121"/>
        <v>2.1089377326145904</v>
      </c>
      <c r="O622" s="7">
        <f t="shared" si="122"/>
        <v>10.958227848101266</v>
      </c>
      <c r="P622" s="7">
        <f t="shared" si="123"/>
        <v>2.2883463843764797</v>
      </c>
      <c r="Q622" s="7">
        <f t="shared" si="124"/>
        <v>0.24598061494523943</v>
      </c>
      <c r="R622" s="7">
        <f t="shared" si="125"/>
        <v>-0.43555794470403231</v>
      </c>
      <c r="S622" s="7">
        <f t="shared" si="126"/>
        <v>-0.5071843689943738</v>
      </c>
      <c r="T622" s="7">
        <f t="shared" si="127"/>
        <v>0.45525107519183194</v>
      </c>
      <c r="U622" s="7">
        <f t="shared" si="128"/>
        <v>-6.037765589033367E-2</v>
      </c>
    </row>
    <row r="623" spans="1:21" x14ac:dyDescent="0.25">
      <c r="A623" s="1" t="s">
        <v>1680</v>
      </c>
      <c r="B623" s="1" t="s">
        <v>36</v>
      </c>
      <c r="C623" s="1">
        <v>25</v>
      </c>
      <c r="D623" s="1">
        <v>23</v>
      </c>
      <c r="E623" s="1">
        <v>11</v>
      </c>
      <c r="F623" s="1">
        <v>14</v>
      </c>
      <c r="G623" s="1">
        <v>73</v>
      </c>
      <c r="H623" s="7">
        <v>0.96076892283052273</v>
      </c>
      <c r="I623" s="7">
        <f t="shared" si="129"/>
        <v>22.694936708860759</v>
      </c>
      <c r="J623" s="7">
        <f t="shared" si="117"/>
        <v>5.3055534129377486</v>
      </c>
      <c r="K623" s="7">
        <f t="shared" si="118"/>
        <v>22.140506329113926</v>
      </c>
      <c r="L623" s="7">
        <f t="shared" si="119"/>
        <v>4.9144008395218908</v>
      </c>
      <c r="M623" s="7">
        <f t="shared" si="120"/>
        <v>10.069620253164556</v>
      </c>
      <c r="N623" s="7">
        <f t="shared" si="121"/>
        <v>2.1089377326145904</v>
      </c>
      <c r="O623" s="7">
        <f t="shared" si="122"/>
        <v>10.958227848101266</v>
      </c>
      <c r="P623" s="7">
        <f t="shared" si="123"/>
        <v>2.2883463843764797</v>
      </c>
      <c r="Q623" s="7">
        <f t="shared" si="124"/>
        <v>0.43446236645517061</v>
      </c>
      <c r="R623" s="7">
        <f t="shared" si="125"/>
        <v>0.17489287075933599</v>
      </c>
      <c r="S623" s="7">
        <f t="shared" si="126"/>
        <v>0.44116036829688182</v>
      </c>
      <c r="T623" s="7">
        <f t="shared" si="127"/>
        <v>1.3292446338833204</v>
      </c>
      <c r="U623" s="7">
        <f t="shared" si="128"/>
        <v>0.59494005984867715</v>
      </c>
    </row>
    <row r="624" spans="1:21" x14ac:dyDescent="0.25">
      <c r="A624" s="1" t="s">
        <v>1681</v>
      </c>
      <c r="B624" s="1" t="s">
        <v>36</v>
      </c>
      <c r="C624" s="1">
        <v>21</v>
      </c>
      <c r="D624" s="1">
        <v>25</v>
      </c>
      <c r="E624" s="1">
        <v>13</v>
      </c>
      <c r="F624" s="1">
        <v>8</v>
      </c>
      <c r="G624" s="1">
        <v>67</v>
      </c>
      <c r="H624" s="7">
        <v>1.8187062180825986</v>
      </c>
      <c r="I624" s="7">
        <f t="shared" si="129"/>
        <v>22.694936708860759</v>
      </c>
      <c r="J624" s="7">
        <f t="shared" si="117"/>
        <v>5.3055534129377486</v>
      </c>
      <c r="K624" s="7">
        <f t="shared" si="118"/>
        <v>22.140506329113926</v>
      </c>
      <c r="L624" s="7">
        <f t="shared" si="119"/>
        <v>4.9144008395218908</v>
      </c>
      <c r="M624" s="7">
        <f t="shared" si="120"/>
        <v>10.069620253164556</v>
      </c>
      <c r="N624" s="7">
        <f t="shared" si="121"/>
        <v>2.1089377326145904</v>
      </c>
      <c r="O624" s="7">
        <f t="shared" si="122"/>
        <v>10.958227848101266</v>
      </c>
      <c r="P624" s="7">
        <f t="shared" si="123"/>
        <v>2.2883463843764797</v>
      </c>
      <c r="Q624" s="7">
        <f t="shared" si="124"/>
        <v>-0.31946463958455407</v>
      </c>
      <c r="R624" s="7">
        <f t="shared" si="125"/>
        <v>0.58186008106824816</v>
      </c>
      <c r="S624" s="7">
        <f t="shared" si="126"/>
        <v>1.3895051055881373</v>
      </c>
      <c r="T624" s="7">
        <f t="shared" si="127"/>
        <v>-1.2927360421911447</v>
      </c>
      <c r="U624" s="7">
        <f t="shared" si="128"/>
        <v>8.9791126220171658E-2</v>
      </c>
    </row>
    <row r="625" spans="1:21" x14ac:dyDescent="0.25">
      <c r="A625" s="1" t="s">
        <v>1681</v>
      </c>
      <c r="B625" s="1" t="s">
        <v>36</v>
      </c>
      <c r="C625" s="1">
        <v>15</v>
      </c>
      <c r="D625" s="1">
        <v>17</v>
      </c>
      <c r="E625" s="1">
        <v>7</v>
      </c>
      <c r="F625" s="1">
        <v>10</v>
      </c>
      <c r="G625" s="1">
        <v>49</v>
      </c>
      <c r="H625" s="7">
        <v>1.0127393670836666</v>
      </c>
      <c r="I625" s="7">
        <f t="shared" si="129"/>
        <v>22.694936708860759</v>
      </c>
      <c r="J625" s="7">
        <f t="shared" si="117"/>
        <v>5.3055534129377486</v>
      </c>
      <c r="K625" s="7">
        <f t="shared" si="118"/>
        <v>22.140506329113926</v>
      </c>
      <c r="L625" s="7">
        <f t="shared" si="119"/>
        <v>4.9144008395218908</v>
      </c>
      <c r="M625" s="7">
        <f t="shared" si="120"/>
        <v>10.069620253164556</v>
      </c>
      <c r="N625" s="7">
        <f t="shared" si="121"/>
        <v>2.1089377326145904</v>
      </c>
      <c r="O625" s="7">
        <f t="shared" si="122"/>
        <v>10.958227848101266</v>
      </c>
      <c r="P625" s="7">
        <f t="shared" si="123"/>
        <v>2.2883463843764797</v>
      </c>
      <c r="Q625" s="7">
        <f t="shared" si="124"/>
        <v>-1.4503551486441411</v>
      </c>
      <c r="R625" s="7">
        <f t="shared" si="125"/>
        <v>-1.0460087601674006</v>
      </c>
      <c r="S625" s="7">
        <f t="shared" si="126"/>
        <v>-1.4555291062856295</v>
      </c>
      <c r="T625" s="7">
        <f t="shared" si="127"/>
        <v>-0.41874248349965643</v>
      </c>
      <c r="U625" s="7">
        <f t="shared" si="128"/>
        <v>-1.092658874649207</v>
      </c>
    </row>
    <row r="626" spans="1:21" x14ac:dyDescent="0.25">
      <c r="A626" s="1" t="s">
        <v>1681</v>
      </c>
      <c r="B626" s="1" t="s">
        <v>36</v>
      </c>
      <c r="C626" s="1">
        <v>25</v>
      </c>
      <c r="D626" s="1">
        <v>17</v>
      </c>
      <c r="E626" s="1">
        <v>9</v>
      </c>
      <c r="F626" s="1">
        <v>9</v>
      </c>
      <c r="G626" s="1">
        <v>60</v>
      </c>
      <c r="H626" s="7">
        <v>1.4455945454184549</v>
      </c>
      <c r="I626" s="7">
        <f t="shared" si="129"/>
        <v>22.694936708860759</v>
      </c>
      <c r="J626" s="7">
        <f t="shared" si="117"/>
        <v>5.3055534129377486</v>
      </c>
      <c r="K626" s="7">
        <f t="shared" si="118"/>
        <v>22.140506329113926</v>
      </c>
      <c r="L626" s="7">
        <f t="shared" si="119"/>
        <v>4.9144008395218908</v>
      </c>
      <c r="M626" s="7">
        <f t="shared" si="120"/>
        <v>10.069620253164556</v>
      </c>
      <c r="N626" s="7">
        <f t="shared" si="121"/>
        <v>2.1089377326145904</v>
      </c>
      <c r="O626" s="7">
        <f t="shared" si="122"/>
        <v>10.958227848101266</v>
      </c>
      <c r="P626" s="7">
        <f t="shared" si="123"/>
        <v>2.2883463843764797</v>
      </c>
      <c r="Q626" s="7">
        <f t="shared" si="124"/>
        <v>0.43446236645517061</v>
      </c>
      <c r="R626" s="7">
        <f t="shared" si="125"/>
        <v>-1.0460087601674006</v>
      </c>
      <c r="S626" s="7">
        <f t="shared" si="126"/>
        <v>-0.5071843689943738</v>
      </c>
      <c r="T626" s="7">
        <f t="shared" si="127"/>
        <v>-0.85573926284540058</v>
      </c>
      <c r="U626" s="7">
        <f t="shared" si="128"/>
        <v>-0.49361750638800111</v>
      </c>
    </row>
    <row r="627" spans="1:21" x14ac:dyDescent="0.25">
      <c r="A627" s="1" t="s">
        <v>1681</v>
      </c>
      <c r="B627" s="1" t="s">
        <v>36</v>
      </c>
      <c r="C627" s="1">
        <v>24</v>
      </c>
      <c r="D627" s="1">
        <v>20</v>
      </c>
      <c r="E627" s="1">
        <v>9</v>
      </c>
      <c r="F627" s="1">
        <v>8</v>
      </c>
      <c r="G627" s="1">
        <v>61</v>
      </c>
      <c r="H627" s="7">
        <v>1.5483655567842816</v>
      </c>
      <c r="I627" s="7">
        <f t="shared" si="129"/>
        <v>22.694936708860759</v>
      </c>
      <c r="J627" s="7">
        <f t="shared" si="117"/>
        <v>5.3055534129377486</v>
      </c>
      <c r="K627" s="7">
        <f t="shared" si="118"/>
        <v>22.140506329113926</v>
      </c>
      <c r="L627" s="7">
        <f t="shared" si="119"/>
        <v>4.9144008395218908</v>
      </c>
      <c r="M627" s="7">
        <f t="shared" si="120"/>
        <v>10.069620253164556</v>
      </c>
      <c r="N627" s="7">
        <f t="shared" si="121"/>
        <v>2.1089377326145904</v>
      </c>
      <c r="O627" s="7">
        <f t="shared" si="122"/>
        <v>10.958227848101266</v>
      </c>
      <c r="P627" s="7">
        <f t="shared" si="123"/>
        <v>2.2883463843764797</v>
      </c>
      <c r="Q627" s="7">
        <f t="shared" si="124"/>
        <v>0.24598061494523943</v>
      </c>
      <c r="R627" s="7">
        <f t="shared" si="125"/>
        <v>-0.43555794470403231</v>
      </c>
      <c r="S627" s="7">
        <f t="shared" si="126"/>
        <v>-0.5071843689943738</v>
      </c>
      <c r="T627" s="7">
        <f t="shared" si="127"/>
        <v>-1.2927360421911447</v>
      </c>
      <c r="U627" s="7">
        <f t="shared" si="128"/>
        <v>-0.49737443523607783</v>
      </c>
    </row>
    <row r="628" spans="1:21" x14ac:dyDescent="0.25">
      <c r="A628" s="1" t="s">
        <v>1681</v>
      </c>
      <c r="B628" s="1" t="s">
        <v>36</v>
      </c>
      <c r="C628" s="1">
        <v>24</v>
      </c>
      <c r="D628" s="1">
        <v>23</v>
      </c>
      <c r="E628" s="1">
        <v>13</v>
      </c>
      <c r="F628" s="1">
        <v>13</v>
      </c>
      <c r="G628" s="1">
        <v>73</v>
      </c>
      <c r="H628" s="7">
        <v>1.4455945454184551</v>
      </c>
      <c r="I628" s="7">
        <f t="shared" si="129"/>
        <v>22.694936708860759</v>
      </c>
      <c r="J628" s="7">
        <f t="shared" si="117"/>
        <v>5.3055534129377486</v>
      </c>
      <c r="K628" s="7">
        <f t="shared" si="118"/>
        <v>22.140506329113926</v>
      </c>
      <c r="L628" s="7">
        <f t="shared" si="119"/>
        <v>4.9144008395218908</v>
      </c>
      <c r="M628" s="7">
        <f t="shared" si="120"/>
        <v>10.069620253164556</v>
      </c>
      <c r="N628" s="7">
        <f t="shared" si="121"/>
        <v>2.1089377326145904</v>
      </c>
      <c r="O628" s="7">
        <f t="shared" si="122"/>
        <v>10.958227848101266</v>
      </c>
      <c r="P628" s="7">
        <f t="shared" si="123"/>
        <v>2.2883463843764797</v>
      </c>
      <c r="Q628" s="7">
        <f t="shared" si="124"/>
        <v>0.24598061494523943</v>
      </c>
      <c r="R628" s="7">
        <f t="shared" si="125"/>
        <v>0.17489287075933599</v>
      </c>
      <c r="S628" s="7">
        <f t="shared" si="126"/>
        <v>1.3895051055881373</v>
      </c>
      <c r="T628" s="7">
        <f t="shared" si="127"/>
        <v>0.89224785453757616</v>
      </c>
      <c r="U628" s="7">
        <f t="shared" si="128"/>
        <v>0.67565661145757216</v>
      </c>
    </row>
    <row r="629" spans="1:21" x14ac:dyDescent="0.25">
      <c r="A629" s="1" t="s">
        <v>1681</v>
      </c>
      <c r="B629" s="1" t="s">
        <v>36</v>
      </c>
      <c r="C629" s="1">
        <v>28</v>
      </c>
      <c r="D629" s="1">
        <v>17</v>
      </c>
      <c r="E629" s="1">
        <v>10</v>
      </c>
      <c r="F629" s="1">
        <v>9</v>
      </c>
      <c r="G629" s="1">
        <v>64</v>
      </c>
      <c r="H629" s="7">
        <v>1.8009968749527976</v>
      </c>
      <c r="I629" s="7">
        <f t="shared" si="129"/>
        <v>22.694936708860759</v>
      </c>
      <c r="J629" s="7">
        <f t="shared" si="117"/>
        <v>5.3055534129377486</v>
      </c>
      <c r="K629" s="7">
        <f t="shared" si="118"/>
        <v>22.140506329113926</v>
      </c>
      <c r="L629" s="7">
        <f t="shared" si="119"/>
        <v>4.9144008395218908</v>
      </c>
      <c r="M629" s="7">
        <f t="shared" si="120"/>
        <v>10.069620253164556</v>
      </c>
      <c r="N629" s="7">
        <f t="shared" si="121"/>
        <v>2.1089377326145904</v>
      </c>
      <c r="O629" s="7">
        <f t="shared" si="122"/>
        <v>10.958227848101266</v>
      </c>
      <c r="P629" s="7">
        <f t="shared" si="123"/>
        <v>2.2883463843764797</v>
      </c>
      <c r="Q629" s="7">
        <f t="shared" si="124"/>
        <v>0.99990762098496411</v>
      </c>
      <c r="R629" s="7">
        <f t="shared" si="125"/>
        <v>-1.0460087601674006</v>
      </c>
      <c r="S629" s="7">
        <f t="shared" si="126"/>
        <v>-3.3012000348745997E-2</v>
      </c>
      <c r="T629" s="7">
        <f t="shared" si="127"/>
        <v>-0.85573926284540058</v>
      </c>
      <c r="U629" s="7">
        <f t="shared" si="128"/>
        <v>-0.23371310059414577</v>
      </c>
    </row>
    <row r="630" spans="1:21" x14ac:dyDescent="0.25">
      <c r="A630" s="1" t="s">
        <v>1681</v>
      </c>
      <c r="B630" s="1" t="s">
        <v>36</v>
      </c>
      <c r="C630" s="1">
        <v>13</v>
      </c>
      <c r="D630" s="1">
        <v>13</v>
      </c>
      <c r="E630" s="1">
        <v>10</v>
      </c>
      <c r="F630" s="1">
        <v>4</v>
      </c>
      <c r="G630" s="1">
        <v>40</v>
      </c>
      <c r="H630" s="7">
        <v>1.497861723788195</v>
      </c>
      <c r="I630" s="7">
        <f t="shared" si="129"/>
        <v>22.694936708860759</v>
      </c>
      <c r="J630" s="7">
        <f t="shared" si="117"/>
        <v>5.3055534129377486</v>
      </c>
      <c r="K630" s="7">
        <f t="shared" si="118"/>
        <v>22.140506329113926</v>
      </c>
      <c r="L630" s="7">
        <f t="shared" si="119"/>
        <v>4.9144008395218908</v>
      </c>
      <c r="M630" s="7">
        <f t="shared" si="120"/>
        <v>10.069620253164556</v>
      </c>
      <c r="N630" s="7">
        <f t="shared" si="121"/>
        <v>2.1089377326145904</v>
      </c>
      <c r="O630" s="7">
        <f t="shared" si="122"/>
        <v>10.958227848101266</v>
      </c>
      <c r="P630" s="7">
        <f t="shared" si="123"/>
        <v>2.2883463843764797</v>
      </c>
      <c r="Q630" s="7">
        <f t="shared" si="124"/>
        <v>-1.8273186516640034</v>
      </c>
      <c r="R630" s="7">
        <f t="shared" si="125"/>
        <v>-1.8599431807852249</v>
      </c>
      <c r="S630" s="7">
        <f t="shared" si="126"/>
        <v>-3.3012000348745997E-2</v>
      </c>
      <c r="T630" s="7">
        <f t="shared" si="127"/>
        <v>-3.0407231595741213</v>
      </c>
      <c r="U630" s="7">
        <f t="shared" si="128"/>
        <v>-1.690249248093024</v>
      </c>
    </row>
    <row r="631" spans="1:21" x14ac:dyDescent="0.25">
      <c r="A631" s="1" t="s">
        <v>1681</v>
      </c>
      <c r="B631" s="1" t="s">
        <v>36</v>
      </c>
      <c r="C631" s="1">
        <v>26</v>
      </c>
      <c r="D631" s="1">
        <v>25</v>
      </c>
      <c r="E631" s="1">
        <v>9</v>
      </c>
      <c r="F631" s="1">
        <v>10</v>
      </c>
      <c r="G631" s="1">
        <v>70</v>
      </c>
      <c r="H631" s="7">
        <v>1.6602440351979153</v>
      </c>
      <c r="I631" s="7">
        <f t="shared" si="129"/>
        <v>22.694936708860759</v>
      </c>
      <c r="J631" s="7">
        <f t="shared" si="117"/>
        <v>5.3055534129377486</v>
      </c>
      <c r="K631" s="7">
        <f t="shared" si="118"/>
        <v>22.140506329113926</v>
      </c>
      <c r="L631" s="7">
        <f t="shared" si="119"/>
        <v>4.9144008395218908</v>
      </c>
      <c r="M631" s="7">
        <f t="shared" si="120"/>
        <v>10.069620253164556</v>
      </c>
      <c r="N631" s="7">
        <f t="shared" si="121"/>
        <v>2.1089377326145904</v>
      </c>
      <c r="O631" s="7">
        <f t="shared" si="122"/>
        <v>10.958227848101266</v>
      </c>
      <c r="P631" s="7">
        <f t="shared" si="123"/>
        <v>2.2883463843764797</v>
      </c>
      <c r="Q631" s="7">
        <f t="shared" si="124"/>
        <v>0.62294411796510174</v>
      </c>
      <c r="R631" s="7">
        <f t="shared" si="125"/>
        <v>0.58186008106824816</v>
      </c>
      <c r="S631" s="7">
        <f t="shared" si="126"/>
        <v>-0.5071843689943738</v>
      </c>
      <c r="T631" s="7">
        <f t="shared" si="127"/>
        <v>-0.41874248349965643</v>
      </c>
      <c r="U631" s="7">
        <f t="shared" si="128"/>
        <v>6.9719336634829945E-2</v>
      </c>
    </row>
    <row r="632" spans="1:21" x14ac:dyDescent="0.25">
      <c r="A632" s="1" t="s">
        <v>1682</v>
      </c>
      <c r="B632" s="1" t="s">
        <v>36</v>
      </c>
      <c r="C632" s="1">
        <v>19</v>
      </c>
      <c r="D632" s="1">
        <v>19</v>
      </c>
      <c r="E632" s="1">
        <v>9</v>
      </c>
      <c r="F632" s="1">
        <v>10</v>
      </c>
      <c r="G632" s="1">
        <v>57</v>
      </c>
      <c r="H632" s="7">
        <v>0.7679476477883046</v>
      </c>
      <c r="I632" s="7">
        <f t="shared" si="129"/>
        <v>22.694936708860759</v>
      </c>
      <c r="J632" s="7">
        <f t="shared" si="117"/>
        <v>5.3055534129377486</v>
      </c>
      <c r="K632" s="7">
        <f t="shared" si="118"/>
        <v>22.140506329113926</v>
      </c>
      <c r="L632" s="7">
        <f t="shared" si="119"/>
        <v>4.9144008395218908</v>
      </c>
      <c r="M632" s="7">
        <f t="shared" si="120"/>
        <v>10.069620253164556</v>
      </c>
      <c r="N632" s="7">
        <f t="shared" si="121"/>
        <v>2.1089377326145904</v>
      </c>
      <c r="O632" s="7">
        <f t="shared" si="122"/>
        <v>10.958227848101266</v>
      </c>
      <c r="P632" s="7">
        <f t="shared" si="123"/>
        <v>2.2883463843764797</v>
      </c>
      <c r="Q632" s="7">
        <f t="shared" si="124"/>
        <v>-0.69642814260441643</v>
      </c>
      <c r="R632" s="7">
        <f t="shared" si="125"/>
        <v>-0.63904154985848838</v>
      </c>
      <c r="S632" s="7">
        <f t="shared" si="126"/>
        <v>-0.5071843689943738</v>
      </c>
      <c r="T632" s="7">
        <f t="shared" si="127"/>
        <v>-0.41874248349965643</v>
      </c>
      <c r="U632" s="7">
        <f t="shared" si="128"/>
        <v>-0.56534913623923377</v>
      </c>
    </row>
    <row r="633" spans="1:21" x14ac:dyDescent="0.25">
      <c r="A633" s="1" t="s">
        <v>1682</v>
      </c>
      <c r="B633" s="1" t="s">
        <v>36</v>
      </c>
      <c r="C633" s="1">
        <v>14</v>
      </c>
      <c r="D633" s="1">
        <v>13</v>
      </c>
      <c r="E633" s="1">
        <v>6</v>
      </c>
      <c r="F633" s="1">
        <v>9</v>
      </c>
      <c r="G633" s="1">
        <v>42</v>
      </c>
      <c r="H633" s="7">
        <v>0.4385290096535146</v>
      </c>
      <c r="I633" s="7">
        <f t="shared" si="129"/>
        <v>22.694936708860759</v>
      </c>
      <c r="J633" s="7">
        <f t="shared" si="117"/>
        <v>5.3055534129377486</v>
      </c>
      <c r="K633" s="7">
        <f t="shared" si="118"/>
        <v>22.140506329113926</v>
      </c>
      <c r="L633" s="7">
        <f t="shared" si="119"/>
        <v>4.9144008395218908</v>
      </c>
      <c r="M633" s="7">
        <f t="shared" si="120"/>
        <v>10.069620253164556</v>
      </c>
      <c r="N633" s="7">
        <f t="shared" si="121"/>
        <v>2.1089377326145904</v>
      </c>
      <c r="O633" s="7">
        <f t="shared" si="122"/>
        <v>10.958227848101266</v>
      </c>
      <c r="P633" s="7">
        <f t="shared" si="123"/>
        <v>2.2883463843764797</v>
      </c>
      <c r="Q633" s="7">
        <f t="shared" si="124"/>
        <v>-1.6388369001540724</v>
      </c>
      <c r="R633" s="7">
        <f t="shared" si="125"/>
        <v>-1.8599431807852249</v>
      </c>
      <c r="S633" s="7">
        <f t="shared" si="126"/>
        <v>-1.9297014749312573</v>
      </c>
      <c r="T633" s="7">
        <f t="shared" si="127"/>
        <v>-0.85573926284540058</v>
      </c>
      <c r="U633" s="7">
        <f t="shared" si="128"/>
        <v>-1.5710552046789887</v>
      </c>
    </row>
    <row r="634" spans="1:21" x14ac:dyDescent="0.25">
      <c r="A634" s="1" t="s">
        <v>1682</v>
      </c>
      <c r="B634" s="1" t="s">
        <v>36</v>
      </c>
      <c r="C634" s="1">
        <v>20</v>
      </c>
      <c r="D634" s="1">
        <v>21</v>
      </c>
      <c r="E634" s="1">
        <v>11</v>
      </c>
      <c r="F634" s="1">
        <v>15</v>
      </c>
      <c r="G634" s="1">
        <v>67</v>
      </c>
      <c r="H634" s="7">
        <v>0.55470019622522904</v>
      </c>
      <c r="I634" s="7">
        <f t="shared" si="129"/>
        <v>22.694936708860759</v>
      </c>
      <c r="J634" s="7">
        <f t="shared" si="117"/>
        <v>5.3055534129377486</v>
      </c>
      <c r="K634" s="7">
        <f t="shared" si="118"/>
        <v>22.140506329113926</v>
      </c>
      <c r="L634" s="7">
        <f t="shared" si="119"/>
        <v>4.9144008395218908</v>
      </c>
      <c r="M634" s="7">
        <f t="shared" si="120"/>
        <v>10.069620253164556</v>
      </c>
      <c r="N634" s="7">
        <f t="shared" si="121"/>
        <v>2.1089377326145904</v>
      </c>
      <c r="O634" s="7">
        <f t="shared" si="122"/>
        <v>10.958227848101266</v>
      </c>
      <c r="P634" s="7">
        <f t="shared" si="123"/>
        <v>2.2883463843764797</v>
      </c>
      <c r="Q634" s="7">
        <f t="shared" si="124"/>
        <v>-0.50794639109448525</v>
      </c>
      <c r="R634" s="7">
        <f t="shared" si="125"/>
        <v>-0.23207433954957621</v>
      </c>
      <c r="S634" s="7">
        <f t="shared" si="126"/>
        <v>0.44116036829688182</v>
      </c>
      <c r="T634" s="7">
        <f t="shared" si="127"/>
        <v>1.7662414132290645</v>
      </c>
      <c r="U634" s="7">
        <f t="shared" si="128"/>
        <v>0.36684526272047119</v>
      </c>
    </row>
    <row r="635" spans="1:21" x14ac:dyDescent="0.25">
      <c r="A635" s="1" t="s">
        <v>1682</v>
      </c>
      <c r="B635" s="1" t="s">
        <v>36</v>
      </c>
      <c r="C635" s="1">
        <v>16</v>
      </c>
      <c r="D635" s="1">
        <v>19</v>
      </c>
      <c r="E635" s="1">
        <v>8</v>
      </c>
      <c r="F635" s="1">
        <v>10</v>
      </c>
      <c r="G635" s="1">
        <v>53</v>
      </c>
      <c r="H635" s="7">
        <v>0.75955452531274981</v>
      </c>
      <c r="I635" s="7">
        <f t="shared" si="129"/>
        <v>22.694936708860759</v>
      </c>
      <c r="J635" s="7">
        <f t="shared" si="117"/>
        <v>5.3055534129377486</v>
      </c>
      <c r="K635" s="7">
        <f t="shared" si="118"/>
        <v>22.140506329113926</v>
      </c>
      <c r="L635" s="7">
        <f t="shared" si="119"/>
        <v>4.9144008395218908</v>
      </c>
      <c r="M635" s="7">
        <f t="shared" si="120"/>
        <v>10.069620253164556</v>
      </c>
      <c r="N635" s="7">
        <f t="shared" si="121"/>
        <v>2.1089377326145904</v>
      </c>
      <c r="O635" s="7">
        <f t="shared" si="122"/>
        <v>10.958227848101266</v>
      </c>
      <c r="P635" s="7">
        <f t="shared" si="123"/>
        <v>2.2883463843764797</v>
      </c>
      <c r="Q635" s="7">
        <f t="shared" si="124"/>
        <v>-1.26187339713421</v>
      </c>
      <c r="R635" s="7">
        <f t="shared" si="125"/>
        <v>-0.63904154985848838</v>
      </c>
      <c r="S635" s="7">
        <f t="shared" si="126"/>
        <v>-0.98135673764000164</v>
      </c>
      <c r="T635" s="7">
        <f t="shared" si="127"/>
        <v>-0.41874248349965643</v>
      </c>
      <c r="U635" s="7">
        <f t="shared" si="128"/>
        <v>-0.82525354203308909</v>
      </c>
    </row>
    <row r="636" spans="1:21" x14ac:dyDescent="0.25">
      <c r="A636" s="1" t="s">
        <v>1682</v>
      </c>
      <c r="B636" s="1" t="s">
        <v>36</v>
      </c>
      <c r="C636" s="1">
        <v>16</v>
      </c>
      <c r="D636" s="1">
        <v>15</v>
      </c>
      <c r="E636" s="1">
        <v>6</v>
      </c>
      <c r="F636" s="1">
        <v>11</v>
      </c>
      <c r="G636" s="1">
        <v>48</v>
      </c>
      <c r="H636" s="7">
        <v>0.48038446141526137</v>
      </c>
      <c r="I636" s="7">
        <f t="shared" si="129"/>
        <v>22.694936708860759</v>
      </c>
      <c r="J636" s="7">
        <f t="shared" si="117"/>
        <v>5.3055534129377486</v>
      </c>
      <c r="K636" s="7">
        <f t="shared" si="118"/>
        <v>22.140506329113926</v>
      </c>
      <c r="L636" s="7">
        <f t="shared" si="119"/>
        <v>4.9144008395218908</v>
      </c>
      <c r="M636" s="7">
        <f t="shared" si="120"/>
        <v>10.069620253164556</v>
      </c>
      <c r="N636" s="7">
        <f t="shared" si="121"/>
        <v>2.1089377326145904</v>
      </c>
      <c r="O636" s="7">
        <f t="shared" si="122"/>
        <v>10.958227848101266</v>
      </c>
      <c r="P636" s="7">
        <f t="shared" si="123"/>
        <v>2.2883463843764797</v>
      </c>
      <c r="Q636" s="7">
        <f t="shared" si="124"/>
        <v>-1.26187339713421</v>
      </c>
      <c r="R636" s="7">
        <f t="shared" si="125"/>
        <v>-1.4529759704763128</v>
      </c>
      <c r="S636" s="7">
        <f t="shared" si="126"/>
        <v>-1.9297014749312573</v>
      </c>
      <c r="T636" s="7">
        <f t="shared" si="127"/>
        <v>1.8254295846087756E-2</v>
      </c>
      <c r="U636" s="7">
        <f t="shared" si="128"/>
        <v>-1.1565741366739231</v>
      </c>
    </row>
    <row r="637" spans="1:21" x14ac:dyDescent="0.25">
      <c r="A637" s="1" t="s">
        <v>1682</v>
      </c>
      <c r="B637" s="1" t="s">
        <v>36</v>
      </c>
      <c r="C637" s="1">
        <v>12</v>
      </c>
      <c r="D637" s="1">
        <v>13</v>
      </c>
      <c r="E637" s="1">
        <v>6</v>
      </c>
      <c r="F637" s="1">
        <v>9</v>
      </c>
      <c r="G637" s="1">
        <v>40</v>
      </c>
      <c r="H637" s="7">
        <v>0.27735009811261463</v>
      </c>
      <c r="I637" s="7">
        <f t="shared" si="129"/>
        <v>22.694936708860759</v>
      </c>
      <c r="J637" s="7">
        <f t="shared" si="117"/>
        <v>5.3055534129377486</v>
      </c>
      <c r="K637" s="7">
        <f t="shared" si="118"/>
        <v>22.140506329113926</v>
      </c>
      <c r="L637" s="7">
        <f t="shared" si="119"/>
        <v>4.9144008395218908</v>
      </c>
      <c r="M637" s="7">
        <f t="shared" si="120"/>
        <v>10.069620253164556</v>
      </c>
      <c r="N637" s="7">
        <f t="shared" si="121"/>
        <v>2.1089377326145904</v>
      </c>
      <c r="O637" s="7">
        <f t="shared" si="122"/>
        <v>10.958227848101266</v>
      </c>
      <c r="P637" s="7">
        <f t="shared" si="123"/>
        <v>2.2883463843764797</v>
      </c>
      <c r="Q637" s="7">
        <f t="shared" si="124"/>
        <v>-2.0158004031739347</v>
      </c>
      <c r="R637" s="7">
        <f t="shared" si="125"/>
        <v>-1.8599431807852249</v>
      </c>
      <c r="S637" s="7">
        <f t="shared" si="126"/>
        <v>-1.9297014749312573</v>
      </c>
      <c r="T637" s="7">
        <f t="shared" si="127"/>
        <v>-0.85573926284540058</v>
      </c>
      <c r="U637" s="7">
        <f t="shared" si="128"/>
        <v>-1.6652960804339543</v>
      </c>
    </row>
    <row r="638" spans="1:21" x14ac:dyDescent="0.25">
      <c r="A638" s="1" t="s">
        <v>1682</v>
      </c>
      <c r="B638" s="1" t="s">
        <v>36</v>
      </c>
      <c r="C638" s="1">
        <v>13</v>
      </c>
      <c r="D638" s="1">
        <v>12</v>
      </c>
      <c r="E638" s="1">
        <v>6</v>
      </c>
      <c r="F638" s="1">
        <v>7</v>
      </c>
      <c r="G638" s="1">
        <v>38</v>
      </c>
      <c r="H638" s="7">
        <v>0.49354811679282479</v>
      </c>
      <c r="I638" s="7">
        <f t="shared" si="129"/>
        <v>22.694936708860759</v>
      </c>
      <c r="J638" s="7">
        <f t="shared" si="117"/>
        <v>5.3055534129377486</v>
      </c>
      <c r="K638" s="7">
        <f t="shared" si="118"/>
        <v>22.140506329113926</v>
      </c>
      <c r="L638" s="7">
        <f t="shared" si="119"/>
        <v>4.9144008395218908</v>
      </c>
      <c r="M638" s="7">
        <f t="shared" si="120"/>
        <v>10.069620253164556</v>
      </c>
      <c r="N638" s="7">
        <f t="shared" si="121"/>
        <v>2.1089377326145904</v>
      </c>
      <c r="O638" s="7">
        <f t="shared" si="122"/>
        <v>10.958227848101266</v>
      </c>
      <c r="P638" s="7">
        <f t="shared" si="123"/>
        <v>2.2883463843764797</v>
      </c>
      <c r="Q638" s="7">
        <f t="shared" si="124"/>
        <v>-1.8273186516640034</v>
      </c>
      <c r="R638" s="7">
        <f t="shared" si="125"/>
        <v>-2.0634267859396811</v>
      </c>
      <c r="S638" s="7">
        <f t="shared" si="126"/>
        <v>-1.9297014749312573</v>
      </c>
      <c r="T638" s="7">
        <f t="shared" si="127"/>
        <v>-1.729732821536889</v>
      </c>
      <c r="U638" s="7">
        <f t="shared" si="128"/>
        <v>-1.8875449335179577</v>
      </c>
    </row>
    <row r="639" spans="1:21" x14ac:dyDescent="0.25">
      <c r="A639" s="1" t="s">
        <v>1682</v>
      </c>
      <c r="B639" s="1" t="s">
        <v>36</v>
      </c>
      <c r="C639" s="1">
        <v>19</v>
      </c>
      <c r="D639" s="1">
        <v>17</v>
      </c>
      <c r="E639" s="1">
        <v>8</v>
      </c>
      <c r="F639" s="1">
        <v>9</v>
      </c>
      <c r="G639" s="1">
        <v>53</v>
      </c>
      <c r="H639" s="7">
        <v>0.75955452531275014</v>
      </c>
      <c r="I639" s="7">
        <f t="shared" si="129"/>
        <v>22.694936708860759</v>
      </c>
      <c r="J639" s="7">
        <f t="shared" si="117"/>
        <v>5.3055534129377486</v>
      </c>
      <c r="K639" s="7">
        <f t="shared" si="118"/>
        <v>22.140506329113926</v>
      </c>
      <c r="L639" s="7">
        <f t="shared" si="119"/>
        <v>4.9144008395218908</v>
      </c>
      <c r="M639" s="7">
        <f t="shared" si="120"/>
        <v>10.069620253164556</v>
      </c>
      <c r="N639" s="7">
        <f t="shared" si="121"/>
        <v>2.1089377326145904</v>
      </c>
      <c r="O639" s="7">
        <f t="shared" si="122"/>
        <v>10.958227848101266</v>
      </c>
      <c r="P639" s="7">
        <f t="shared" si="123"/>
        <v>2.2883463843764797</v>
      </c>
      <c r="Q639" s="7">
        <f t="shared" si="124"/>
        <v>-0.69642814260441643</v>
      </c>
      <c r="R639" s="7">
        <f t="shared" si="125"/>
        <v>-1.0460087601674006</v>
      </c>
      <c r="S639" s="7">
        <f t="shared" si="126"/>
        <v>-0.98135673764000164</v>
      </c>
      <c r="T639" s="7">
        <f t="shared" si="127"/>
        <v>-0.85573926284540058</v>
      </c>
      <c r="U639" s="7">
        <f t="shared" si="128"/>
        <v>-0.89488322581430468</v>
      </c>
    </row>
    <row r="640" spans="1:21" x14ac:dyDescent="0.25">
      <c r="A640" s="1" t="s">
        <v>1682</v>
      </c>
      <c r="B640" s="1" t="s">
        <v>36</v>
      </c>
      <c r="C640" s="1">
        <v>19</v>
      </c>
      <c r="D640" s="1">
        <v>16</v>
      </c>
      <c r="E640" s="1">
        <v>9</v>
      </c>
      <c r="F640" s="1">
        <v>12</v>
      </c>
      <c r="G640" s="1">
        <v>56</v>
      </c>
      <c r="H640" s="7">
        <v>0.94733093343134178</v>
      </c>
      <c r="I640" s="7">
        <f t="shared" si="129"/>
        <v>22.694936708860759</v>
      </c>
      <c r="J640" s="7">
        <f t="shared" si="117"/>
        <v>5.3055534129377486</v>
      </c>
      <c r="K640" s="7">
        <f t="shared" si="118"/>
        <v>22.140506329113926</v>
      </c>
      <c r="L640" s="7">
        <f t="shared" si="119"/>
        <v>4.9144008395218908</v>
      </c>
      <c r="M640" s="7">
        <f t="shared" si="120"/>
        <v>10.069620253164556</v>
      </c>
      <c r="N640" s="7">
        <f t="shared" si="121"/>
        <v>2.1089377326145904</v>
      </c>
      <c r="O640" s="7">
        <f t="shared" si="122"/>
        <v>10.958227848101266</v>
      </c>
      <c r="P640" s="7">
        <f t="shared" si="123"/>
        <v>2.2883463843764797</v>
      </c>
      <c r="Q640" s="7">
        <f t="shared" si="124"/>
        <v>-0.69642814260441643</v>
      </c>
      <c r="R640" s="7">
        <f t="shared" si="125"/>
        <v>-1.2494923653218568</v>
      </c>
      <c r="S640" s="7">
        <f t="shared" si="126"/>
        <v>-0.5071843689943738</v>
      </c>
      <c r="T640" s="7">
        <f t="shared" si="127"/>
        <v>0.45525107519183194</v>
      </c>
      <c r="U640" s="7">
        <f t="shared" si="128"/>
        <v>-0.49946345043220375</v>
      </c>
    </row>
    <row r="641" spans="1:21" x14ac:dyDescent="0.25">
      <c r="A641" s="1" t="s">
        <v>1682</v>
      </c>
      <c r="B641" s="1" t="s">
        <v>36</v>
      </c>
      <c r="C641" s="1">
        <v>22</v>
      </c>
      <c r="D641" s="1">
        <v>19</v>
      </c>
      <c r="E641" s="1">
        <v>10</v>
      </c>
      <c r="F641" s="1">
        <v>9</v>
      </c>
      <c r="G641" s="1">
        <v>60</v>
      </c>
      <c r="H641" s="7">
        <v>1.2608503439122303</v>
      </c>
      <c r="I641" s="7">
        <f t="shared" si="129"/>
        <v>22.694936708860759</v>
      </c>
      <c r="J641" s="7">
        <f t="shared" si="117"/>
        <v>5.3055534129377486</v>
      </c>
      <c r="K641" s="7">
        <f t="shared" si="118"/>
        <v>22.140506329113926</v>
      </c>
      <c r="L641" s="7">
        <f t="shared" si="119"/>
        <v>4.9144008395218908</v>
      </c>
      <c r="M641" s="7">
        <f t="shared" si="120"/>
        <v>10.069620253164556</v>
      </c>
      <c r="N641" s="7">
        <f t="shared" si="121"/>
        <v>2.1089377326145904</v>
      </c>
      <c r="O641" s="7">
        <f t="shared" si="122"/>
        <v>10.958227848101266</v>
      </c>
      <c r="P641" s="7">
        <f t="shared" si="123"/>
        <v>2.2883463843764797</v>
      </c>
      <c r="Q641" s="7">
        <f t="shared" si="124"/>
        <v>-0.13098288807462291</v>
      </c>
      <c r="R641" s="7">
        <f t="shared" si="125"/>
        <v>-0.63904154985848838</v>
      </c>
      <c r="S641" s="7">
        <f t="shared" si="126"/>
        <v>-3.3012000348745997E-2</v>
      </c>
      <c r="T641" s="7">
        <f t="shared" si="127"/>
        <v>-0.85573926284540058</v>
      </c>
      <c r="U641" s="7">
        <f t="shared" si="128"/>
        <v>-0.41469392528181448</v>
      </c>
    </row>
    <row r="642" spans="1:21" x14ac:dyDescent="0.25">
      <c r="A642" s="1" t="s">
        <v>1682</v>
      </c>
      <c r="B642" s="1" t="s">
        <v>36</v>
      </c>
      <c r="C642" s="1">
        <v>23</v>
      </c>
      <c r="D642" s="1">
        <v>19</v>
      </c>
      <c r="E642" s="1">
        <v>10</v>
      </c>
      <c r="F642" s="1">
        <v>12</v>
      </c>
      <c r="G642" s="1">
        <v>64</v>
      </c>
      <c r="H642" s="7">
        <v>1.1151635501529555</v>
      </c>
      <c r="I642" s="7">
        <f t="shared" si="129"/>
        <v>22.694936708860759</v>
      </c>
      <c r="J642" s="7">
        <f t="shared" si="117"/>
        <v>5.3055534129377486</v>
      </c>
      <c r="K642" s="7">
        <f t="shared" si="118"/>
        <v>22.140506329113926</v>
      </c>
      <c r="L642" s="7">
        <f t="shared" si="119"/>
        <v>4.9144008395218908</v>
      </c>
      <c r="M642" s="7">
        <f t="shared" si="120"/>
        <v>10.069620253164556</v>
      </c>
      <c r="N642" s="7">
        <f t="shared" si="121"/>
        <v>2.1089377326145904</v>
      </c>
      <c r="O642" s="7">
        <f t="shared" si="122"/>
        <v>10.958227848101266</v>
      </c>
      <c r="P642" s="7">
        <f t="shared" si="123"/>
        <v>2.2883463843764797</v>
      </c>
      <c r="Q642" s="7">
        <f t="shared" si="124"/>
        <v>5.7498863435308259E-2</v>
      </c>
      <c r="R642" s="7">
        <f t="shared" si="125"/>
        <v>-0.63904154985848838</v>
      </c>
      <c r="S642" s="7">
        <f t="shared" si="126"/>
        <v>-3.3012000348745997E-2</v>
      </c>
      <c r="T642" s="7">
        <f t="shared" si="127"/>
        <v>0.45525107519183194</v>
      </c>
      <c r="U642" s="7">
        <f t="shared" si="128"/>
        <v>-3.9825902895023524E-2</v>
      </c>
    </row>
    <row r="643" spans="1:21" x14ac:dyDescent="0.25">
      <c r="A643" s="1" t="s">
        <v>1682</v>
      </c>
      <c r="B643" s="1" t="s">
        <v>36</v>
      </c>
      <c r="C643" s="1">
        <v>25</v>
      </c>
      <c r="D643" s="1">
        <v>23</v>
      </c>
      <c r="E643" s="1">
        <v>11</v>
      </c>
      <c r="F643" s="1">
        <v>15</v>
      </c>
      <c r="G643" s="1">
        <v>74</v>
      </c>
      <c r="H643" s="7">
        <v>1.1821319289469754</v>
      </c>
      <c r="I643" s="7">
        <f t="shared" si="129"/>
        <v>22.694936708860759</v>
      </c>
      <c r="J643" s="7">
        <f t="shared" ref="J643:J706" si="130">_xlfn.STDEV.S(C:C)</f>
        <v>5.3055534129377486</v>
      </c>
      <c r="K643" s="7">
        <f t="shared" ref="K643:K706" si="131">AVERAGE(D:D)</f>
        <v>22.140506329113926</v>
      </c>
      <c r="L643" s="7">
        <f t="shared" ref="L643:L706" si="132">_xlfn.STDEV.S(D:D)</f>
        <v>4.9144008395218908</v>
      </c>
      <c r="M643" s="7">
        <f t="shared" ref="M643:M706" si="133">AVERAGE(E:E)</f>
        <v>10.069620253164556</v>
      </c>
      <c r="N643" s="7">
        <f t="shared" ref="N643:N706" si="134">_xlfn.STDEV.S(E:E)</f>
        <v>2.1089377326145904</v>
      </c>
      <c r="O643" s="7">
        <f t="shared" ref="O643:O706" si="135">AVERAGE(F:F)</f>
        <v>10.958227848101266</v>
      </c>
      <c r="P643" s="7">
        <f t="shared" ref="P643:P706" si="136">_xlfn.STDEV.S(F:F)</f>
        <v>2.2883463843764797</v>
      </c>
      <c r="Q643" s="7">
        <f t="shared" ref="Q643:Q706" si="137">STANDARDIZE(C643,I643,J643)</f>
        <v>0.43446236645517061</v>
      </c>
      <c r="R643" s="7">
        <f t="shared" ref="R643:R706" si="138">STANDARDIZE(D643,K643,L643)</f>
        <v>0.17489287075933599</v>
      </c>
      <c r="S643" s="7">
        <f t="shared" ref="S643:S706" si="139">STANDARDIZE(E643,M643,N643)</f>
        <v>0.44116036829688182</v>
      </c>
      <c r="T643" s="7">
        <f t="shared" ref="T643:T706" si="140">STANDARDIZE(F643,O643,P643)</f>
        <v>1.7662414132290645</v>
      </c>
      <c r="U643" s="7">
        <f t="shared" ref="U643:U706" si="141">AVERAGE(Q643:T643)</f>
        <v>0.70418925468511318</v>
      </c>
    </row>
    <row r="644" spans="1:21" x14ac:dyDescent="0.25">
      <c r="A644" s="1" t="s">
        <v>1682</v>
      </c>
      <c r="B644" s="1" t="s">
        <v>36</v>
      </c>
      <c r="C644" s="1">
        <v>25</v>
      </c>
      <c r="D644" s="1">
        <v>23</v>
      </c>
      <c r="E644" s="1">
        <v>12</v>
      </c>
      <c r="F644" s="1">
        <v>13</v>
      </c>
      <c r="G644" s="1">
        <v>73</v>
      </c>
      <c r="H644" s="7">
        <v>1.1208970766356099</v>
      </c>
      <c r="I644" s="7">
        <f t="shared" ref="I644:I707" si="142">AVERAGE(C:C)</f>
        <v>22.694936708860759</v>
      </c>
      <c r="J644" s="7">
        <f t="shared" si="130"/>
        <v>5.3055534129377486</v>
      </c>
      <c r="K644" s="7">
        <f t="shared" si="131"/>
        <v>22.140506329113926</v>
      </c>
      <c r="L644" s="7">
        <f t="shared" si="132"/>
        <v>4.9144008395218908</v>
      </c>
      <c r="M644" s="7">
        <f t="shared" si="133"/>
        <v>10.069620253164556</v>
      </c>
      <c r="N644" s="7">
        <f t="shared" si="134"/>
        <v>2.1089377326145904</v>
      </c>
      <c r="O644" s="7">
        <f t="shared" si="135"/>
        <v>10.958227848101266</v>
      </c>
      <c r="P644" s="7">
        <f t="shared" si="136"/>
        <v>2.2883463843764797</v>
      </c>
      <c r="Q644" s="7">
        <f t="shared" si="137"/>
        <v>0.43446236645517061</v>
      </c>
      <c r="R644" s="7">
        <f t="shared" si="138"/>
        <v>0.17489287075933599</v>
      </c>
      <c r="S644" s="7">
        <f t="shared" si="139"/>
        <v>0.91533273694250961</v>
      </c>
      <c r="T644" s="7">
        <f t="shared" si="140"/>
        <v>0.89224785453757616</v>
      </c>
      <c r="U644" s="7">
        <f t="shared" si="141"/>
        <v>0.60423395717364803</v>
      </c>
    </row>
    <row r="645" spans="1:21" x14ac:dyDescent="0.25">
      <c r="A645" s="1" t="s">
        <v>1682</v>
      </c>
      <c r="B645" s="1" t="s">
        <v>36</v>
      </c>
      <c r="C645" s="1">
        <v>25</v>
      </c>
      <c r="D645" s="1">
        <v>21</v>
      </c>
      <c r="E645" s="1">
        <v>10</v>
      </c>
      <c r="F645" s="1">
        <v>12</v>
      </c>
      <c r="G645" s="1">
        <v>68</v>
      </c>
      <c r="H645" s="7">
        <v>1.1657505560686465</v>
      </c>
      <c r="I645" s="7">
        <f t="shared" si="142"/>
        <v>22.694936708860759</v>
      </c>
      <c r="J645" s="7">
        <f t="shared" si="130"/>
        <v>5.3055534129377486</v>
      </c>
      <c r="K645" s="7">
        <f t="shared" si="131"/>
        <v>22.140506329113926</v>
      </c>
      <c r="L645" s="7">
        <f t="shared" si="132"/>
        <v>4.9144008395218908</v>
      </c>
      <c r="M645" s="7">
        <f t="shared" si="133"/>
        <v>10.069620253164556</v>
      </c>
      <c r="N645" s="7">
        <f t="shared" si="134"/>
        <v>2.1089377326145904</v>
      </c>
      <c r="O645" s="7">
        <f t="shared" si="135"/>
        <v>10.958227848101266</v>
      </c>
      <c r="P645" s="7">
        <f t="shared" si="136"/>
        <v>2.2883463843764797</v>
      </c>
      <c r="Q645" s="7">
        <f t="shared" si="137"/>
        <v>0.43446236645517061</v>
      </c>
      <c r="R645" s="7">
        <f t="shared" si="138"/>
        <v>-0.23207433954957621</v>
      </c>
      <c r="S645" s="7">
        <f t="shared" si="139"/>
        <v>-3.3012000348745997E-2</v>
      </c>
      <c r="T645" s="7">
        <f t="shared" si="140"/>
        <v>0.45525107519183194</v>
      </c>
      <c r="U645" s="7">
        <f t="shared" si="141"/>
        <v>0.1561567754371701</v>
      </c>
    </row>
    <row r="646" spans="1:21" x14ac:dyDescent="0.25">
      <c r="A646" s="1" t="s">
        <v>1682</v>
      </c>
      <c r="B646" s="1" t="s">
        <v>36</v>
      </c>
      <c r="C646" s="1">
        <v>23</v>
      </c>
      <c r="D646" s="1">
        <v>22</v>
      </c>
      <c r="E646" s="1">
        <v>8</v>
      </c>
      <c r="F646" s="1">
        <v>10</v>
      </c>
      <c r="G646" s="1">
        <v>63</v>
      </c>
      <c r="H646" s="7">
        <v>1.3445044840729643</v>
      </c>
      <c r="I646" s="7">
        <f t="shared" si="142"/>
        <v>22.694936708860759</v>
      </c>
      <c r="J646" s="7">
        <f t="shared" si="130"/>
        <v>5.3055534129377486</v>
      </c>
      <c r="K646" s="7">
        <f t="shared" si="131"/>
        <v>22.140506329113926</v>
      </c>
      <c r="L646" s="7">
        <f t="shared" si="132"/>
        <v>4.9144008395218908</v>
      </c>
      <c r="M646" s="7">
        <f t="shared" si="133"/>
        <v>10.069620253164556</v>
      </c>
      <c r="N646" s="7">
        <f t="shared" si="134"/>
        <v>2.1089377326145904</v>
      </c>
      <c r="O646" s="7">
        <f t="shared" si="135"/>
        <v>10.958227848101266</v>
      </c>
      <c r="P646" s="7">
        <f t="shared" si="136"/>
        <v>2.2883463843764797</v>
      </c>
      <c r="Q646" s="7">
        <f t="shared" si="137"/>
        <v>5.7498863435308259E-2</v>
      </c>
      <c r="R646" s="7">
        <f t="shared" si="138"/>
        <v>-2.8590734395120113E-2</v>
      </c>
      <c r="S646" s="7">
        <f t="shared" si="139"/>
        <v>-0.98135673764000164</v>
      </c>
      <c r="T646" s="7">
        <f t="shared" si="140"/>
        <v>-0.41874248349965643</v>
      </c>
      <c r="U646" s="7">
        <f t="shared" si="141"/>
        <v>-0.34279777302486747</v>
      </c>
    </row>
    <row r="647" spans="1:21" x14ac:dyDescent="0.25">
      <c r="A647" s="1" t="s">
        <v>1682</v>
      </c>
      <c r="B647" s="1" t="s">
        <v>36</v>
      </c>
      <c r="C647" s="1">
        <v>21</v>
      </c>
      <c r="D647" s="1">
        <v>23</v>
      </c>
      <c r="E647" s="1">
        <v>10</v>
      </c>
      <c r="F647" s="1">
        <v>14</v>
      </c>
      <c r="G647" s="1">
        <v>68</v>
      </c>
      <c r="H647" s="7">
        <v>1.1657505560686465</v>
      </c>
      <c r="I647" s="7">
        <f t="shared" si="142"/>
        <v>22.694936708860759</v>
      </c>
      <c r="J647" s="7">
        <f t="shared" si="130"/>
        <v>5.3055534129377486</v>
      </c>
      <c r="K647" s="7">
        <f t="shared" si="131"/>
        <v>22.140506329113926</v>
      </c>
      <c r="L647" s="7">
        <f t="shared" si="132"/>
        <v>4.9144008395218908</v>
      </c>
      <c r="M647" s="7">
        <f t="shared" si="133"/>
        <v>10.069620253164556</v>
      </c>
      <c r="N647" s="7">
        <f t="shared" si="134"/>
        <v>2.1089377326145904</v>
      </c>
      <c r="O647" s="7">
        <f t="shared" si="135"/>
        <v>10.958227848101266</v>
      </c>
      <c r="P647" s="7">
        <f t="shared" si="136"/>
        <v>2.2883463843764797</v>
      </c>
      <c r="Q647" s="7">
        <f t="shared" si="137"/>
        <v>-0.31946463958455407</v>
      </c>
      <c r="R647" s="7">
        <f t="shared" si="138"/>
        <v>0.17489287075933599</v>
      </c>
      <c r="S647" s="7">
        <f t="shared" si="139"/>
        <v>-3.3012000348745997E-2</v>
      </c>
      <c r="T647" s="7">
        <f t="shared" si="140"/>
        <v>1.3292446338833204</v>
      </c>
      <c r="U647" s="7">
        <f t="shared" si="141"/>
        <v>0.28791521617733906</v>
      </c>
    </row>
    <row r="648" spans="1:21" x14ac:dyDescent="0.25">
      <c r="A648" s="1" t="s">
        <v>1682</v>
      </c>
      <c r="B648" s="1" t="s">
        <v>36</v>
      </c>
      <c r="C648" s="1">
        <v>15</v>
      </c>
      <c r="D648" s="1">
        <v>15</v>
      </c>
      <c r="E648" s="1">
        <v>7</v>
      </c>
      <c r="F648" s="1">
        <v>9</v>
      </c>
      <c r="G648" s="1">
        <v>46</v>
      </c>
      <c r="H648" s="7">
        <v>0.51887452166277059</v>
      </c>
      <c r="I648" s="7">
        <f t="shared" si="142"/>
        <v>22.694936708860759</v>
      </c>
      <c r="J648" s="7">
        <f t="shared" si="130"/>
        <v>5.3055534129377486</v>
      </c>
      <c r="K648" s="7">
        <f t="shared" si="131"/>
        <v>22.140506329113926</v>
      </c>
      <c r="L648" s="7">
        <f t="shared" si="132"/>
        <v>4.9144008395218908</v>
      </c>
      <c r="M648" s="7">
        <f t="shared" si="133"/>
        <v>10.069620253164556</v>
      </c>
      <c r="N648" s="7">
        <f t="shared" si="134"/>
        <v>2.1089377326145904</v>
      </c>
      <c r="O648" s="7">
        <f t="shared" si="135"/>
        <v>10.958227848101266</v>
      </c>
      <c r="P648" s="7">
        <f t="shared" si="136"/>
        <v>2.2883463843764797</v>
      </c>
      <c r="Q648" s="7">
        <f t="shared" si="137"/>
        <v>-1.4503551486441411</v>
      </c>
      <c r="R648" s="7">
        <f t="shared" si="138"/>
        <v>-1.4529759704763128</v>
      </c>
      <c r="S648" s="7">
        <f t="shared" si="139"/>
        <v>-1.4555291062856295</v>
      </c>
      <c r="T648" s="7">
        <f t="shared" si="140"/>
        <v>-0.85573926284540058</v>
      </c>
      <c r="U648" s="7">
        <f t="shared" si="141"/>
        <v>-1.3036498720628709</v>
      </c>
    </row>
    <row r="649" spans="1:21" x14ac:dyDescent="0.25">
      <c r="A649" s="1" t="s">
        <v>1682</v>
      </c>
      <c r="B649" s="1" t="s">
        <v>36</v>
      </c>
      <c r="C649" s="1">
        <v>18</v>
      </c>
      <c r="D649" s="1">
        <v>19</v>
      </c>
      <c r="E649" s="1">
        <v>9</v>
      </c>
      <c r="F649" s="1">
        <v>12</v>
      </c>
      <c r="G649" s="1">
        <v>58</v>
      </c>
      <c r="H649" s="7">
        <v>0.5188745216627707</v>
      </c>
      <c r="I649" s="7">
        <f t="shared" si="142"/>
        <v>22.694936708860759</v>
      </c>
      <c r="J649" s="7">
        <f t="shared" si="130"/>
        <v>5.3055534129377486</v>
      </c>
      <c r="K649" s="7">
        <f t="shared" si="131"/>
        <v>22.140506329113926</v>
      </c>
      <c r="L649" s="7">
        <f t="shared" si="132"/>
        <v>4.9144008395218908</v>
      </c>
      <c r="M649" s="7">
        <f t="shared" si="133"/>
        <v>10.069620253164556</v>
      </c>
      <c r="N649" s="7">
        <f t="shared" si="134"/>
        <v>2.1089377326145904</v>
      </c>
      <c r="O649" s="7">
        <f t="shared" si="135"/>
        <v>10.958227848101266</v>
      </c>
      <c r="P649" s="7">
        <f t="shared" si="136"/>
        <v>2.2883463843764797</v>
      </c>
      <c r="Q649" s="7">
        <f t="shared" si="137"/>
        <v>-0.88490989411434762</v>
      </c>
      <c r="R649" s="7">
        <f t="shared" si="138"/>
        <v>-0.63904154985848838</v>
      </c>
      <c r="S649" s="7">
        <f t="shared" si="139"/>
        <v>-0.5071843689943738</v>
      </c>
      <c r="T649" s="7">
        <f t="shared" si="140"/>
        <v>0.45525107519183194</v>
      </c>
      <c r="U649" s="7">
        <f t="shared" si="141"/>
        <v>-0.39397118444384449</v>
      </c>
    </row>
    <row r="650" spans="1:21" x14ac:dyDescent="0.25">
      <c r="A650" s="1" t="s">
        <v>1682</v>
      </c>
      <c r="B650" s="1" t="s">
        <v>36</v>
      </c>
      <c r="C650" s="1">
        <v>19</v>
      </c>
      <c r="D650" s="1">
        <v>19</v>
      </c>
      <c r="E650" s="1">
        <v>9</v>
      </c>
      <c r="F650" s="1">
        <v>13</v>
      </c>
      <c r="G650" s="1">
        <v>60</v>
      </c>
      <c r="H650" s="7">
        <v>0.50636968354183332</v>
      </c>
      <c r="I650" s="7">
        <f t="shared" si="142"/>
        <v>22.694936708860759</v>
      </c>
      <c r="J650" s="7">
        <f t="shared" si="130"/>
        <v>5.3055534129377486</v>
      </c>
      <c r="K650" s="7">
        <f t="shared" si="131"/>
        <v>22.140506329113926</v>
      </c>
      <c r="L650" s="7">
        <f t="shared" si="132"/>
        <v>4.9144008395218908</v>
      </c>
      <c r="M650" s="7">
        <f t="shared" si="133"/>
        <v>10.069620253164556</v>
      </c>
      <c r="N650" s="7">
        <f t="shared" si="134"/>
        <v>2.1089377326145904</v>
      </c>
      <c r="O650" s="7">
        <f t="shared" si="135"/>
        <v>10.958227848101266</v>
      </c>
      <c r="P650" s="7">
        <f t="shared" si="136"/>
        <v>2.2883463843764797</v>
      </c>
      <c r="Q650" s="7">
        <f t="shared" si="137"/>
        <v>-0.69642814260441643</v>
      </c>
      <c r="R650" s="7">
        <f t="shared" si="138"/>
        <v>-0.63904154985848838</v>
      </c>
      <c r="S650" s="7">
        <f t="shared" si="139"/>
        <v>-0.5071843689943738</v>
      </c>
      <c r="T650" s="7">
        <f t="shared" si="140"/>
        <v>0.89224785453757616</v>
      </c>
      <c r="U650" s="7">
        <f t="shared" si="141"/>
        <v>-0.23760155172992561</v>
      </c>
    </row>
    <row r="651" spans="1:21" x14ac:dyDescent="0.25">
      <c r="A651" s="1" t="s">
        <v>1682</v>
      </c>
      <c r="B651" s="1" t="s">
        <v>36</v>
      </c>
      <c r="C651" s="1">
        <v>17</v>
      </c>
      <c r="D651" s="1">
        <v>18</v>
      </c>
      <c r="E651" s="1">
        <v>9</v>
      </c>
      <c r="F651" s="1">
        <v>12</v>
      </c>
      <c r="G651" s="1">
        <v>56</v>
      </c>
      <c r="H651" s="7">
        <v>0.48038446141526153</v>
      </c>
      <c r="I651" s="7">
        <f t="shared" si="142"/>
        <v>22.694936708860759</v>
      </c>
      <c r="J651" s="7">
        <f t="shared" si="130"/>
        <v>5.3055534129377486</v>
      </c>
      <c r="K651" s="7">
        <f t="shared" si="131"/>
        <v>22.140506329113926</v>
      </c>
      <c r="L651" s="7">
        <f t="shared" si="132"/>
        <v>4.9144008395218908</v>
      </c>
      <c r="M651" s="7">
        <f t="shared" si="133"/>
        <v>10.069620253164556</v>
      </c>
      <c r="N651" s="7">
        <f t="shared" si="134"/>
        <v>2.1089377326145904</v>
      </c>
      <c r="O651" s="7">
        <f t="shared" si="135"/>
        <v>10.958227848101266</v>
      </c>
      <c r="P651" s="7">
        <f t="shared" si="136"/>
        <v>2.2883463843764797</v>
      </c>
      <c r="Q651" s="7">
        <f t="shared" si="137"/>
        <v>-1.0733916456242787</v>
      </c>
      <c r="R651" s="7">
        <f t="shared" si="138"/>
        <v>-0.84252515501294456</v>
      </c>
      <c r="S651" s="7">
        <f t="shared" si="139"/>
        <v>-0.5071843689943738</v>
      </c>
      <c r="T651" s="7">
        <f t="shared" si="140"/>
        <v>0.45525107519183194</v>
      </c>
      <c r="U651" s="7">
        <f t="shared" si="141"/>
        <v>-0.4919625236099413</v>
      </c>
    </row>
    <row r="652" spans="1:21" x14ac:dyDescent="0.25">
      <c r="A652" s="1" t="s">
        <v>1682</v>
      </c>
      <c r="B652" s="1" t="s">
        <v>36</v>
      </c>
      <c r="C652" s="1">
        <v>16</v>
      </c>
      <c r="D652" s="1">
        <v>15</v>
      </c>
      <c r="E652" s="1">
        <v>8</v>
      </c>
      <c r="F652" s="1">
        <v>9</v>
      </c>
      <c r="G652" s="1">
        <v>48</v>
      </c>
      <c r="H652" s="7">
        <v>0.48038446141526125</v>
      </c>
      <c r="I652" s="7">
        <f t="shared" si="142"/>
        <v>22.694936708860759</v>
      </c>
      <c r="J652" s="7">
        <f t="shared" si="130"/>
        <v>5.3055534129377486</v>
      </c>
      <c r="K652" s="7">
        <f t="shared" si="131"/>
        <v>22.140506329113926</v>
      </c>
      <c r="L652" s="7">
        <f t="shared" si="132"/>
        <v>4.9144008395218908</v>
      </c>
      <c r="M652" s="7">
        <f t="shared" si="133"/>
        <v>10.069620253164556</v>
      </c>
      <c r="N652" s="7">
        <f t="shared" si="134"/>
        <v>2.1089377326145904</v>
      </c>
      <c r="O652" s="7">
        <f t="shared" si="135"/>
        <v>10.958227848101266</v>
      </c>
      <c r="P652" s="7">
        <f t="shared" si="136"/>
        <v>2.2883463843764797</v>
      </c>
      <c r="Q652" s="7">
        <f t="shared" si="137"/>
        <v>-1.26187339713421</v>
      </c>
      <c r="R652" s="7">
        <f t="shared" si="138"/>
        <v>-1.4529759704763128</v>
      </c>
      <c r="S652" s="7">
        <f t="shared" si="139"/>
        <v>-0.98135673764000164</v>
      </c>
      <c r="T652" s="7">
        <f t="shared" si="140"/>
        <v>-0.85573926284540058</v>
      </c>
      <c r="U652" s="7">
        <f t="shared" si="141"/>
        <v>-1.1379863420239811</v>
      </c>
    </row>
    <row r="653" spans="1:21" x14ac:dyDescent="0.25">
      <c r="A653" s="1" t="s">
        <v>1682</v>
      </c>
      <c r="B653" s="1" t="s">
        <v>36</v>
      </c>
      <c r="C653" s="1">
        <v>19</v>
      </c>
      <c r="D653" s="1">
        <v>18</v>
      </c>
      <c r="E653" s="1">
        <v>7</v>
      </c>
      <c r="F653" s="1">
        <v>12</v>
      </c>
      <c r="G653" s="1">
        <v>56</v>
      </c>
      <c r="H653" s="7">
        <v>0.75106761619881079</v>
      </c>
      <c r="I653" s="7">
        <f t="shared" si="142"/>
        <v>22.694936708860759</v>
      </c>
      <c r="J653" s="7">
        <f t="shared" si="130"/>
        <v>5.3055534129377486</v>
      </c>
      <c r="K653" s="7">
        <f t="shared" si="131"/>
        <v>22.140506329113926</v>
      </c>
      <c r="L653" s="7">
        <f t="shared" si="132"/>
        <v>4.9144008395218908</v>
      </c>
      <c r="M653" s="7">
        <f t="shared" si="133"/>
        <v>10.069620253164556</v>
      </c>
      <c r="N653" s="7">
        <f t="shared" si="134"/>
        <v>2.1089377326145904</v>
      </c>
      <c r="O653" s="7">
        <f t="shared" si="135"/>
        <v>10.958227848101266</v>
      </c>
      <c r="P653" s="7">
        <f t="shared" si="136"/>
        <v>2.2883463843764797</v>
      </c>
      <c r="Q653" s="7">
        <f t="shared" si="137"/>
        <v>-0.69642814260441643</v>
      </c>
      <c r="R653" s="7">
        <f t="shared" si="138"/>
        <v>-0.84252515501294456</v>
      </c>
      <c r="S653" s="7">
        <f t="shared" si="139"/>
        <v>-1.4555291062856295</v>
      </c>
      <c r="T653" s="7">
        <f t="shared" si="140"/>
        <v>0.45525107519183194</v>
      </c>
      <c r="U653" s="7">
        <f t="shared" si="141"/>
        <v>-0.63480783217778969</v>
      </c>
    </row>
    <row r="654" spans="1:21" x14ac:dyDescent="0.25">
      <c r="A654" s="1" t="s">
        <v>1683</v>
      </c>
      <c r="B654" s="1" t="s">
        <v>36</v>
      </c>
      <c r="C654" s="1">
        <v>21</v>
      </c>
      <c r="D654" s="1">
        <v>22</v>
      </c>
      <c r="E654" s="1">
        <v>10</v>
      </c>
      <c r="F654" s="1">
        <v>13</v>
      </c>
      <c r="G654" s="1">
        <v>66</v>
      </c>
      <c r="H654" s="7">
        <v>1.3821202589704016</v>
      </c>
      <c r="I654" s="7">
        <f t="shared" si="142"/>
        <v>22.694936708860759</v>
      </c>
      <c r="J654" s="7">
        <f t="shared" si="130"/>
        <v>5.3055534129377486</v>
      </c>
      <c r="K654" s="7">
        <f t="shared" si="131"/>
        <v>22.140506329113926</v>
      </c>
      <c r="L654" s="7">
        <f t="shared" si="132"/>
        <v>4.9144008395218908</v>
      </c>
      <c r="M654" s="7">
        <f t="shared" si="133"/>
        <v>10.069620253164556</v>
      </c>
      <c r="N654" s="7">
        <f t="shared" si="134"/>
        <v>2.1089377326145904</v>
      </c>
      <c r="O654" s="7">
        <f t="shared" si="135"/>
        <v>10.958227848101266</v>
      </c>
      <c r="P654" s="7">
        <f t="shared" si="136"/>
        <v>2.2883463843764797</v>
      </c>
      <c r="Q654" s="7">
        <f t="shared" si="137"/>
        <v>-0.31946463958455407</v>
      </c>
      <c r="R654" s="7">
        <f t="shared" si="138"/>
        <v>-2.8590734395120113E-2</v>
      </c>
      <c r="S654" s="7">
        <f t="shared" si="139"/>
        <v>-3.3012000348745997E-2</v>
      </c>
      <c r="T654" s="7">
        <f t="shared" si="140"/>
        <v>0.89224785453757616</v>
      </c>
      <c r="U654" s="7">
        <f t="shared" si="141"/>
        <v>0.12779512005228899</v>
      </c>
    </row>
    <row r="655" spans="1:21" x14ac:dyDescent="0.25">
      <c r="A655" s="1" t="s">
        <v>1683</v>
      </c>
      <c r="B655" s="1" t="s">
        <v>36</v>
      </c>
      <c r="C655" s="1">
        <v>24</v>
      </c>
      <c r="D655" s="1">
        <v>24</v>
      </c>
      <c r="E655" s="1">
        <v>12</v>
      </c>
      <c r="F655" s="1">
        <v>13</v>
      </c>
      <c r="G655" s="1">
        <v>73</v>
      </c>
      <c r="H655" s="7">
        <v>1.5021352323976218</v>
      </c>
      <c r="I655" s="7">
        <f t="shared" si="142"/>
        <v>22.694936708860759</v>
      </c>
      <c r="J655" s="7">
        <f t="shared" si="130"/>
        <v>5.3055534129377486</v>
      </c>
      <c r="K655" s="7">
        <f t="shared" si="131"/>
        <v>22.140506329113926</v>
      </c>
      <c r="L655" s="7">
        <f t="shared" si="132"/>
        <v>4.9144008395218908</v>
      </c>
      <c r="M655" s="7">
        <f t="shared" si="133"/>
        <v>10.069620253164556</v>
      </c>
      <c r="N655" s="7">
        <f t="shared" si="134"/>
        <v>2.1089377326145904</v>
      </c>
      <c r="O655" s="7">
        <f t="shared" si="135"/>
        <v>10.958227848101266</v>
      </c>
      <c r="P655" s="7">
        <f t="shared" si="136"/>
        <v>2.2883463843764797</v>
      </c>
      <c r="Q655" s="7">
        <f t="shared" si="137"/>
        <v>0.24598061494523943</v>
      </c>
      <c r="R655" s="7">
        <f t="shared" si="138"/>
        <v>0.37837647591379209</v>
      </c>
      <c r="S655" s="7">
        <f t="shared" si="139"/>
        <v>0.91533273694250961</v>
      </c>
      <c r="T655" s="7">
        <f t="shared" si="140"/>
        <v>0.89224785453757616</v>
      </c>
      <c r="U655" s="7">
        <f t="shared" si="141"/>
        <v>0.60798442058477931</v>
      </c>
    </row>
    <row r="656" spans="1:21" x14ac:dyDescent="0.25">
      <c r="A656" s="1" t="s">
        <v>1683</v>
      </c>
      <c r="B656" s="1" t="s">
        <v>36</v>
      </c>
      <c r="C656" s="1">
        <v>8</v>
      </c>
      <c r="D656" s="1">
        <v>10</v>
      </c>
      <c r="E656" s="1">
        <v>8</v>
      </c>
      <c r="F656" s="1">
        <v>8</v>
      </c>
      <c r="G656" s="1">
        <v>34</v>
      </c>
      <c r="H656" s="7">
        <v>1.1208970766356099</v>
      </c>
      <c r="I656" s="7">
        <f t="shared" si="142"/>
        <v>22.694936708860759</v>
      </c>
      <c r="J656" s="7">
        <f t="shared" si="130"/>
        <v>5.3055534129377486</v>
      </c>
      <c r="K656" s="7">
        <f t="shared" si="131"/>
        <v>22.140506329113926</v>
      </c>
      <c r="L656" s="7">
        <f t="shared" si="132"/>
        <v>4.9144008395218908</v>
      </c>
      <c r="M656" s="7">
        <f t="shared" si="133"/>
        <v>10.069620253164556</v>
      </c>
      <c r="N656" s="7">
        <f t="shared" si="134"/>
        <v>2.1089377326145904</v>
      </c>
      <c r="O656" s="7">
        <f t="shared" si="135"/>
        <v>10.958227848101266</v>
      </c>
      <c r="P656" s="7">
        <f t="shared" si="136"/>
        <v>2.2883463843764797</v>
      </c>
      <c r="Q656" s="7">
        <f t="shared" si="137"/>
        <v>-2.7697274092136595</v>
      </c>
      <c r="R656" s="7">
        <f t="shared" si="138"/>
        <v>-2.4703939962485935</v>
      </c>
      <c r="S656" s="7">
        <f t="shared" si="139"/>
        <v>-0.98135673764000164</v>
      </c>
      <c r="T656" s="7">
        <f t="shared" si="140"/>
        <v>-1.2927360421911447</v>
      </c>
      <c r="U656" s="7">
        <f t="shared" si="141"/>
        <v>-1.8785535463233496</v>
      </c>
    </row>
    <row r="657" spans="1:21" x14ac:dyDescent="0.25">
      <c r="A657" s="1" t="s">
        <v>1683</v>
      </c>
      <c r="B657" s="1" t="s">
        <v>36</v>
      </c>
      <c r="C657" s="1">
        <v>28</v>
      </c>
      <c r="D657" s="1">
        <v>26</v>
      </c>
      <c r="E657" s="1">
        <v>12</v>
      </c>
      <c r="F657" s="1">
        <v>12</v>
      </c>
      <c r="G657" s="1">
        <v>78</v>
      </c>
      <c r="H657" s="7">
        <v>1.957890020745122</v>
      </c>
      <c r="I657" s="7">
        <f t="shared" si="142"/>
        <v>22.694936708860759</v>
      </c>
      <c r="J657" s="7">
        <f t="shared" si="130"/>
        <v>5.3055534129377486</v>
      </c>
      <c r="K657" s="7">
        <f t="shared" si="131"/>
        <v>22.140506329113926</v>
      </c>
      <c r="L657" s="7">
        <f t="shared" si="132"/>
        <v>4.9144008395218908</v>
      </c>
      <c r="M657" s="7">
        <f t="shared" si="133"/>
        <v>10.069620253164556</v>
      </c>
      <c r="N657" s="7">
        <f t="shared" si="134"/>
        <v>2.1089377326145904</v>
      </c>
      <c r="O657" s="7">
        <f t="shared" si="135"/>
        <v>10.958227848101266</v>
      </c>
      <c r="P657" s="7">
        <f t="shared" si="136"/>
        <v>2.2883463843764797</v>
      </c>
      <c r="Q657" s="7">
        <f t="shared" si="137"/>
        <v>0.99990762098496411</v>
      </c>
      <c r="R657" s="7">
        <f t="shared" si="138"/>
        <v>0.78534368622270434</v>
      </c>
      <c r="S657" s="7">
        <f t="shared" si="139"/>
        <v>0.91533273694250961</v>
      </c>
      <c r="T657" s="7">
        <f t="shared" si="140"/>
        <v>0.45525107519183194</v>
      </c>
      <c r="U657" s="7">
        <f t="shared" si="141"/>
        <v>0.78895877983550244</v>
      </c>
    </row>
    <row r="658" spans="1:21" x14ac:dyDescent="0.25">
      <c r="A658" s="1" t="s">
        <v>1683</v>
      </c>
      <c r="B658" s="1" t="s">
        <v>36</v>
      </c>
      <c r="C658" s="1">
        <v>21</v>
      </c>
      <c r="D658" s="1">
        <v>20</v>
      </c>
      <c r="E658" s="1">
        <v>12</v>
      </c>
      <c r="F658" s="1">
        <v>11</v>
      </c>
      <c r="G658" s="1">
        <v>64</v>
      </c>
      <c r="H658" s="7">
        <v>1.5525000516123695</v>
      </c>
      <c r="I658" s="7">
        <f t="shared" si="142"/>
        <v>22.694936708860759</v>
      </c>
      <c r="J658" s="7">
        <f t="shared" si="130"/>
        <v>5.3055534129377486</v>
      </c>
      <c r="K658" s="7">
        <f t="shared" si="131"/>
        <v>22.140506329113926</v>
      </c>
      <c r="L658" s="7">
        <f t="shared" si="132"/>
        <v>4.9144008395218908</v>
      </c>
      <c r="M658" s="7">
        <f t="shared" si="133"/>
        <v>10.069620253164556</v>
      </c>
      <c r="N658" s="7">
        <f t="shared" si="134"/>
        <v>2.1089377326145904</v>
      </c>
      <c r="O658" s="7">
        <f t="shared" si="135"/>
        <v>10.958227848101266</v>
      </c>
      <c r="P658" s="7">
        <f t="shared" si="136"/>
        <v>2.2883463843764797</v>
      </c>
      <c r="Q658" s="7">
        <f t="shared" si="137"/>
        <v>-0.31946463958455407</v>
      </c>
      <c r="R658" s="7">
        <f t="shared" si="138"/>
        <v>-0.43555794470403231</v>
      </c>
      <c r="S658" s="7">
        <f t="shared" si="139"/>
        <v>0.91533273694250961</v>
      </c>
      <c r="T658" s="7">
        <f t="shared" si="140"/>
        <v>1.8254295846087756E-2</v>
      </c>
      <c r="U658" s="7">
        <f t="shared" si="141"/>
        <v>4.4641112125002748E-2</v>
      </c>
    </row>
    <row r="659" spans="1:21" x14ac:dyDescent="0.25">
      <c r="A659" s="1" t="s">
        <v>1683</v>
      </c>
      <c r="B659" s="1" t="s">
        <v>36</v>
      </c>
      <c r="C659" s="1">
        <v>27</v>
      </c>
      <c r="D659" s="1">
        <v>28</v>
      </c>
      <c r="E659" s="1">
        <v>12</v>
      </c>
      <c r="F659" s="1">
        <v>12</v>
      </c>
      <c r="G659" s="1">
        <v>79</v>
      </c>
      <c r="H659" s="7">
        <v>1.7541160386140584</v>
      </c>
      <c r="I659" s="7">
        <f t="shared" si="142"/>
        <v>22.694936708860759</v>
      </c>
      <c r="J659" s="7">
        <f t="shared" si="130"/>
        <v>5.3055534129377486</v>
      </c>
      <c r="K659" s="7">
        <f t="shared" si="131"/>
        <v>22.140506329113926</v>
      </c>
      <c r="L659" s="7">
        <f t="shared" si="132"/>
        <v>4.9144008395218908</v>
      </c>
      <c r="M659" s="7">
        <f t="shared" si="133"/>
        <v>10.069620253164556</v>
      </c>
      <c r="N659" s="7">
        <f t="shared" si="134"/>
        <v>2.1089377326145904</v>
      </c>
      <c r="O659" s="7">
        <f t="shared" si="135"/>
        <v>10.958227848101266</v>
      </c>
      <c r="P659" s="7">
        <f t="shared" si="136"/>
        <v>2.2883463843764797</v>
      </c>
      <c r="Q659" s="7">
        <f t="shared" si="137"/>
        <v>0.81142586947503292</v>
      </c>
      <c r="R659" s="7">
        <f t="shared" si="138"/>
        <v>1.1923108965316165</v>
      </c>
      <c r="S659" s="7">
        <f t="shared" si="139"/>
        <v>0.91533273694250961</v>
      </c>
      <c r="T659" s="7">
        <f t="shared" si="140"/>
        <v>0.45525107519183194</v>
      </c>
      <c r="U659" s="7">
        <f t="shared" si="141"/>
        <v>0.84358014453524766</v>
      </c>
    </row>
    <row r="660" spans="1:21" x14ac:dyDescent="0.25">
      <c r="A660" s="1" t="s">
        <v>1683</v>
      </c>
      <c r="B660" s="1" t="s">
        <v>36</v>
      </c>
      <c r="C660" s="1">
        <v>12</v>
      </c>
      <c r="D660" s="1">
        <v>12</v>
      </c>
      <c r="E660" s="1">
        <v>7</v>
      </c>
      <c r="F660" s="1">
        <v>8</v>
      </c>
      <c r="G660" s="1">
        <v>39</v>
      </c>
      <c r="H660" s="7">
        <v>0.9128709291752769</v>
      </c>
      <c r="I660" s="7">
        <f t="shared" si="142"/>
        <v>22.694936708860759</v>
      </c>
      <c r="J660" s="7">
        <f t="shared" si="130"/>
        <v>5.3055534129377486</v>
      </c>
      <c r="K660" s="7">
        <f t="shared" si="131"/>
        <v>22.140506329113926</v>
      </c>
      <c r="L660" s="7">
        <f t="shared" si="132"/>
        <v>4.9144008395218908</v>
      </c>
      <c r="M660" s="7">
        <f t="shared" si="133"/>
        <v>10.069620253164556</v>
      </c>
      <c r="N660" s="7">
        <f t="shared" si="134"/>
        <v>2.1089377326145904</v>
      </c>
      <c r="O660" s="7">
        <f t="shared" si="135"/>
        <v>10.958227848101266</v>
      </c>
      <c r="P660" s="7">
        <f t="shared" si="136"/>
        <v>2.2883463843764797</v>
      </c>
      <c r="Q660" s="7">
        <f t="shared" si="137"/>
        <v>-2.0158004031739347</v>
      </c>
      <c r="R660" s="7">
        <f t="shared" si="138"/>
        <v>-2.0634267859396811</v>
      </c>
      <c r="S660" s="7">
        <f t="shared" si="139"/>
        <v>-1.4555291062856295</v>
      </c>
      <c r="T660" s="7">
        <f t="shared" si="140"/>
        <v>-1.2927360421911447</v>
      </c>
      <c r="U660" s="7">
        <f t="shared" si="141"/>
        <v>-1.7068730843975974</v>
      </c>
    </row>
    <row r="661" spans="1:21" x14ac:dyDescent="0.25">
      <c r="A661" s="1" t="s">
        <v>1683</v>
      </c>
      <c r="B661" s="1" t="s">
        <v>36</v>
      </c>
      <c r="C661" s="1">
        <v>26</v>
      </c>
      <c r="D661" s="1">
        <v>25</v>
      </c>
      <c r="E661" s="1">
        <v>9</v>
      </c>
      <c r="F661" s="1">
        <v>13</v>
      </c>
      <c r="G661" s="1">
        <v>73</v>
      </c>
      <c r="H661" s="7">
        <v>1.3867504905630723</v>
      </c>
      <c r="I661" s="7">
        <f t="shared" si="142"/>
        <v>22.694936708860759</v>
      </c>
      <c r="J661" s="7">
        <f t="shared" si="130"/>
        <v>5.3055534129377486</v>
      </c>
      <c r="K661" s="7">
        <f t="shared" si="131"/>
        <v>22.140506329113926</v>
      </c>
      <c r="L661" s="7">
        <f t="shared" si="132"/>
        <v>4.9144008395218908</v>
      </c>
      <c r="M661" s="7">
        <f t="shared" si="133"/>
        <v>10.069620253164556</v>
      </c>
      <c r="N661" s="7">
        <f t="shared" si="134"/>
        <v>2.1089377326145904</v>
      </c>
      <c r="O661" s="7">
        <f t="shared" si="135"/>
        <v>10.958227848101266</v>
      </c>
      <c r="P661" s="7">
        <f t="shared" si="136"/>
        <v>2.2883463843764797</v>
      </c>
      <c r="Q661" s="7">
        <f t="shared" si="137"/>
        <v>0.62294411796510174</v>
      </c>
      <c r="R661" s="7">
        <f t="shared" si="138"/>
        <v>0.58186008106824816</v>
      </c>
      <c r="S661" s="7">
        <f t="shared" si="139"/>
        <v>-0.5071843689943738</v>
      </c>
      <c r="T661" s="7">
        <f t="shared" si="140"/>
        <v>0.89224785453757616</v>
      </c>
      <c r="U661" s="7">
        <f t="shared" si="141"/>
        <v>0.39746692114413806</v>
      </c>
    </row>
    <row r="662" spans="1:21" x14ac:dyDescent="0.25">
      <c r="A662" s="1" t="s">
        <v>1683</v>
      </c>
      <c r="B662" s="1" t="s">
        <v>36</v>
      </c>
      <c r="C662" s="1">
        <v>21</v>
      </c>
      <c r="D662" s="1">
        <v>22</v>
      </c>
      <c r="E662" s="1">
        <v>9</v>
      </c>
      <c r="F662" s="1">
        <v>9</v>
      </c>
      <c r="G662" s="1">
        <v>61</v>
      </c>
      <c r="H662" s="7">
        <v>1.7504578155735611</v>
      </c>
      <c r="I662" s="7">
        <f t="shared" si="142"/>
        <v>22.694936708860759</v>
      </c>
      <c r="J662" s="7">
        <f t="shared" si="130"/>
        <v>5.3055534129377486</v>
      </c>
      <c r="K662" s="7">
        <f t="shared" si="131"/>
        <v>22.140506329113926</v>
      </c>
      <c r="L662" s="7">
        <f t="shared" si="132"/>
        <v>4.9144008395218908</v>
      </c>
      <c r="M662" s="7">
        <f t="shared" si="133"/>
        <v>10.069620253164556</v>
      </c>
      <c r="N662" s="7">
        <f t="shared" si="134"/>
        <v>2.1089377326145904</v>
      </c>
      <c r="O662" s="7">
        <f t="shared" si="135"/>
        <v>10.958227848101266</v>
      </c>
      <c r="P662" s="7">
        <f t="shared" si="136"/>
        <v>2.2883463843764797</v>
      </c>
      <c r="Q662" s="7">
        <f t="shared" si="137"/>
        <v>-0.31946463958455407</v>
      </c>
      <c r="R662" s="7">
        <f t="shared" si="138"/>
        <v>-2.8590734395120113E-2</v>
      </c>
      <c r="S662" s="7">
        <f t="shared" si="139"/>
        <v>-0.5071843689943738</v>
      </c>
      <c r="T662" s="7">
        <f t="shared" si="140"/>
        <v>-0.85573926284540058</v>
      </c>
      <c r="U662" s="7">
        <f t="shared" si="141"/>
        <v>-0.42774475145486213</v>
      </c>
    </row>
    <row r="663" spans="1:21" x14ac:dyDescent="0.25">
      <c r="A663" s="1" t="s">
        <v>1683</v>
      </c>
      <c r="B663" s="1" t="s">
        <v>36</v>
      </c>
      <c r="C663" s="1">
        <v>20</v>
      </c>
      <c r="D663" s="1">
        <v>19</v>
      </c>
      <c r="E663" s="1">
        <v>11</v>
      </c>
      <c r="F663" s="1">
        <v>12</v>
      </c>
      <c r="G663" s="1">
        <v>62</v>
      </c>
      <c r="H663" s="7">
        <v>1.2351684199496948</v>
      </c>
      <c r="I663" s="7">
        <f t="shared" si="142"/>
        <v>22.694936708860759</v>
      </c>
      <c r="J663" s="7">
        <f t="shared" si="130"/>
        <v>5.3055534129377486</v>
      </c>
      <c r="K663" s="7">
        <f t="shared" si="131"/>
        <v>22.140506329113926</v>
      </c>
      <c r="L663" s="7">
        <f t="shared" si="132"/>
        <v>4.9144008395218908</v>
      </c>
      <c r="M663" s="7">
        <f t="shared" si="133"/>
        <v>10.069620253164556</v>
      </c>
      <c r="N663" s="7">
        <f t="shared" si="134"/>
        <v>2.1089377326145904</v>
      </c>
      <c r="O663" s="7">
        <f t="shared" si="135"/>
        <v>10.958227848101266</v>
      </c>
      <c r="P663" s="7">
        <f t="shared" si="136"/>
        <v>2.2883463843764797</v>
      </c>
      <c r="Q663" s="7">
        <f t="shared" si="137"/>
        <v>-0.50794639109448525</v>
      </c>
      <c r="R663" s="7">
        <f t="shared" si="138"/>
        <v>-0.63904154985848838</v>
      </c>
      <c r="S663" s="7">
        <f t="shared" si="139"/>
        <v>0.44116036829688182</v>
      </c>
      <c r="T663" s="7">
        <f t="shared" si="140"/>
        <v>0.45525107519183194</v>
      </c>
      <c r="U663" s="7">
        <f t="shared" si="141"/>
        <v>-6.2644124366064924E-2</v>
      </c>
    </row>
    <row r="664" spans="1:21" x14ac:dyDescent="0.25">
      <c r="A664" s="1" t="s">
        <v>1683</v>
      </c>
      <c r="B664" s="1" t="s">
        <v>36</v>
      </c>
      <c r="C664" s="1">
        <v>25</v>
      </c>
      <c r="D664" s="1">
        <v>24</v>
      </c>
      <c r="E664" s="1">
        <v>13</v>
      </c>
      <c r="F664" s="1">
        <v>14</v>
      </c>
      <c r="G664" s="1">
        <v>76</v>
      </c>
      <c r="H664" s="7">
        <v>1.4051188470584877</v>
      </c>
      <c r="I664" s="7">
        <f t="shared" si="142"/>
        <v>22.694936708860759</v>
      </c>
      <c r="J664" s="7">
        <f t="shared" si="130"/>
        <v>5.3055534129377486</v>
      </c>
      <c r="K664" s="7">
        <f t="shared" si="131"/>
        <v>22.140506329113926</v>
      </c>
      <c r="L664" s="7">
        <f t="shared" si="132"/>
        <v>4.9144008395218908</v>
      </c>
      <c r="M664" s="7">
        <f t="shared" si="133"/>
        <v>10.069620253164556</v>
      </c>
      <c r="N664" s="7">
        <f t="shared" si="134"/>
        <v>2.1089377326145904</v>
      </c>
      <c r="O664" s="7">
        <f t="shared" si="135"/>
        <v>10.958227848101266</v>
      </c>
      <c r="P664" s="7">
        <f t="shared" si="136"/>
        <v>2.2883463843764797</v>
      </c>
      <c r="Q664" s="7">
        <f t="shared" si="137"/>
        <v>0.43446236645517061</v>
      </c>
      <c r="R664" s="7">
        <f t="shared" si="138"/>
        <v>0.37837647591379209</v>
      </c>
      <c r="S664" s="7">
        <f t="shared" si="139"/>
        <v>1.3895051055881373</v>
      </c>
      <c r="T664" s="7">
        <f t="shared" si="140"/>
        <v>1.3292446338833204</v>
      </c>
      <c r="U664" s="7">
        <f t="shared" si="141"/>
        <v>0.88289714546010511</v>
      </c>
    </row>
    <row r="665" spans="1:21" x14ac:dyDescent="0.25">
      <c r="A665" s="1" t="s">
        <v>1683</v>
      </c>
      <c r="B665" s="1" t="s">
        <v>36</v>
      </c>
      <c r="C665" s="1">
        <v>24</v>
      </c>
      <c r="D665" s="1">
        <v>24</v>
      </c>
      <c r="E665" s="1">
        <v>11</v>
      </c>
      <c r="F665" s="1">
        <v>11</v>
      </c>
      <c r="G665" s="1">
        <v>70</v>
      </c>
      <c r="H665" s="7">
        <v>1.7097008285302204</v>
      </c>
      <c r="I665" s="7">
        <f t="shared" si="142"/>
        <v>22.694936708860759</v>
      </c>
      <c r="J665" s="7">
        <f t="shared" si="130"/>
        <v>5.3055534129377486</v>
      </c>
      <c r="K665" s="7">
        <f t="shared" si="131"/>
        <v>22.140506329113926</v>
      </c>
      <c r="L665" s="7">
        <f t="shared" si="132"/>
        <v>4.9144008395218908</v>
      </c>
      <c r="M665" s="7">
        <f t="shared" si="133"/>
        <v>10.069620253164556</v>
      </c>
      <c r="N665" s="7">
        <f t="shared" si="134"/>
        <v>2.1089377326145904</v>
      </c>
      <c r="O665" s="7">
        <f t="shared" si="135"/>
        <v>10.958227848101266</v>
      </c>
      <c r="P665" s="7">
        <f t="shared" si="136"/>
        <v>2.2883463843764797</v>
      </c>
      <c r="Q665" s="7">
        <f t="shared" si="137"/>
        <v>0.24598061494523943</v>
      </c>
      <c r="R665" s="7">
        <f t="shared" si="138"/>
        <v>0.37837647591379209</v>
      </c>
      <c r="S665" s="7">
        <f t="shared" si="139"/>
        <v>0.44116036829688182</v>
      </c>
      <c r="T665" s="7">
        <f t="shared" si="140"/>
        <v>1.8254295846087756E-2</v>
      </c>
      <c r="U665" s="7">
        <f t="shared" si="141"/>
        <v>0.2709429387505003</v>
      </c>
    </row>
    <row r="666" spans="1:21" x14ac:dyDescent="0.25">
      <c r="A666" s="1" t="s">
        <v>1683</v>
      </c>
      <c r="B666" s="1" t="s">
        <v>36</v>
      </c>
      <c r="C666" s="1">
        <v>22</v>
      </c>
      <c r="D666" s="1">
        <v>23</v>
      </c>
      <c r="E666" s="1">
        <v>9</v>
      </c>
      <c r="F666" s="1">
        <v>10</v>
      </c>
      <c r="G666" s="1">
        <v>64</v>
      </c>
      <c r="H666" s="7">
        <v>1.6052797503622469</v>
      </c>
      <c r="I666" s="7">
        <f t="shared" si="142"/>
        <v>22.694936708860759</v>
      </c>
      <c r="J666" s="7">
        <f t="shared" si="130"/>
        <v>5.3055534129377486</v>
      </c>
      <c r="K666" s="7">
        <f t="shared" si="131"/>
        <v>22.140506329113926</v>
      </c>
      <c r="L666" s="7">
        <f t="shared" si="132"/>
        <v>4.9144008395218908</v>
      </c>
      <c r="M666" s="7">
        <f t="shared" si="133"/>
        <v>10.069620253164556</v>
      </c>
      <c r="N666" s="7">
        <f t="shared" si="134"/>
        <v>2.1089377326145904</v>
      </c>
      <c r="O666" s="7">
        <f t="shared" si="135"/>
        <v>10.958227848101266</v>
      </c>
      <c r="P666" s="7">
        <f t="shared" si="136"/>
        <v>2.2883463843764797</v>
      </c>
      <c r="Q666" s="7">
        <f t="shared" si="137"/>
        <v>-0.13098288807462291</v>
      </c>
      <c r="R666" s="7">
        <f t="shared" si="138"/>
        <v>0.17489287075933599</v>
      </c>
      <c r="S666" s="7">
        <f t="shared" si="139"/>
        <v>-0.5071843689943738</v>
      </c>
      <c r="T666" s="7">
        <f t="shared" si="140"/>
        <v>-0.41874248349965643</v>
      </c>
      <c r="U666" s="7">
        <f t="shared" si="141"/>
        <v>-0.22050421745232929</v>
      </c>
    </row>
    <row r="667" spans="1:21" x14ac:dyDescent="0.25">
      <c r="A667" s="1" t="s">
        <v>1683</v>
      </c>
      <c r="B667" s="1" t="s">
        <v>36</v>
      </c>
      <c r="C667" s="1">
        <v>22</v>
      </c>
      <c r="D667" s="1">
        <v>24</v>
      </c>
      <c r="E667" s="1">
        <v>7</v>
      </c>
      <c r="F667" s="1">
        <v>11</v>
      </c>
      <c r="G667" s="1">
        <v>64</v>
      </c>
      <c r="H667" s="7">
        <v>1.7059473644448735</v>
      </c>
      <c r="I667" s="7">
        <f t="shared" si="142"/>
        <v>22.694936708860759</v>
      </c>
      <c r="J667" s="7">
        <f t="shared" si="130"/>
        <v>5.3055534129377486</v>
      </c>
      <c r="K667" s="7">
        <f t="shared" si="131"/>
        <v>22.140506329113926</v>
      </c>
      <c r="L667" s="7">
        <f t="shared" si="132"/>
        <v>4.9144008395218908</v>
      </c>
      <c r="M667" s="7">
        <f t="shared" si="133"/>
        <v>10.069620253164556</v>
      </c>
      <c r="N667" s="7">
        <f t="shared" si="134"/>
        <v>2.1089377326145904</v>
      </c>
      <c r="O667" s="7">
        <f t="shared" si="135"/>
        <v>10.958227848101266</v>
      </c>
      <c r="P667" s="7">
        <f t="shared" si="136"/>
        <v>2.2883463843764797</v>
      </c>
      <c r="Q667" s="7">
        <f t="shared" si="137"/>
        <v>-0.13098288807462291</v>
      </c>
      <c r="R667" s="7">
        <f t="shared" si="138"/>
        <v>0.37837647591379209</v>
      </c>
      <c r="S667" s="7">
        <f t="shared" si="139"/>
        <v>-1.4555291062856295</v>
      </c>
      <c r="T667" s="7">
        <f t="shared" si="140"/>
        <v>1.8254295846087756E-2</v>
      </c>
      <c r="U667" s="7">
        <f t="shared" si="141"/>
        <v>-0.29747030565009314</v>
      </c>
    </row>
    <row r="668" spans="1:21" x14ac:dyDescent="0.25">
      <c r="A668" s="1" t="s">
        <v>1683</v>
      </c>
      <c r="B668" s="1" t="s">
        <v>36</v>
      </c>
      <c r="C668" s="1">
        <v>27</v>
      </c>
      <c r="D668" s="1">
        <v>22</v>
      </c>
      <c r="E668" s="1">
        <v>10</v>
      </c>
      <c r="F668" s="1">
        <v>10</v>
      </c>
      <c r="G668" s="1">
        <v>69</v>
      </c>
      <c r="H668" s="7">
        <v>1.7504578155735608</v>
      </c>
      <c r="I668" s="7">
        <f t="shared" si="142"/>
        <v>22.694936708860759</v>
      </c>
      <c r="J668" s="7">
        <f t="shared" si="130"/>
        <v>5.3055534129377486</v>
      </c>
      <c r="K668" s="7">
        <f t="shared" si="131"/>
        <v>22.140506329113926</v>
      </c>
      <c r="L668" s="7">
        <f t="shared" si="132"/>
        <v>4.9144008395218908</v>
      </c>
      <c r="M668" s="7">
        <f t="shared" si="133"/>
        <v>10.069620253164556</v>
      </c>
      <c r="N668" s="7">
        <f t="shared" si="134"/>
        <v>2.1089377326145904</v>
      </c>
      <c r="O668" s="7">
        <f t="shared" si="135"/>
        <v>10.958227848101266</v>
      </c>
      <c r="P668" s="7">
        <f t="shared" si="136"/>
        <v>2.2883463843764797</v>
      </c>
      <c r="Q668" s="7">
        <f t="shared" si="137"/>
        <v>0.81142586947503292</v>
      </c>
      <c r="R668" s="7">
        <f t="shared" si="138"/>
        <v>-2.8590734395120113E-2</v>
      </c>
      <c r="S668" s="7">
        <f t="shared" si="139"/>
        <v>-3.3012000348745997E-2</v>
      </c>
      <c r="T668" s="7">
        <f t="shared" si="140"/>
        <v>-0.41874248349965643</v>
      </c>
      <c r="U668" s="7">
        <f t="shared" si="141"/>
        <v>8.2770162807877593E-2</v>
      </c>
    </row>
    <row r="669" spans="1:21" x14ac:dyDescent="0.25">
      <c r="A669" s="1" t="s">
        <v>1683</v>
      </c>
      <c r="B669" s="1" t="s">
        <v>36</v>
      </c>
      <c r="C669" s="1">
        <v>20</v>
      </c>
      <c r="D669" s="1">
        <v>27</v>
      </c>
      <c r="E669" s="1">
        <v>9</v>
      </c>
      <c r="F669" s="1">
        <v>11</v>
      </c>
      <c r="G669" s="1">
        <v>67</v>
      </c>
      <c r="H669" s="7">
        <v>1.9081471748860575</v>
      </c>
      <c r="I669" s="7">
        <f t="shared" si="142"/>
        <v>22.694936708860759</v>
      </c>
      <c r="J669" s="7">
        <f t="shared" si="130"/>
        <v>5.3055534129377486</v>
      </c>
      <c r="K669" s="7">
        <f t="shared" si="131"/>
        <v>22.140506329113926</v>
      </c>
      <c r="L669" s="7">
        <f t="shared" si="132"/>
        <v>4.9144008395218908</v>
      </c>
      <c r="M669" s="7">
        <f t="shared" si="133"/>
        <v>10.069620253164556</v>
      </c>
      <c r="N669" s="7">
        <f t="shared" si="134"/>
        <v>2.1089377326145904</v>
      </c>
      <c r="O669" s="7">
        <f t="shared" si="135"/>
        <v>10.958227848101266</v>
      </c>
      <c r="P669" s="7">
        <f t="shared" si="136"/>
        <v>2.2883463843764797</v>
      </c>
      <c r="Q669" s="7">
        <f t="shared" si="137"/>
        <v>-0.50794639109448525</v>
      </c>
      <c r="R669" s="7">
        <f t="shared" si="138"/>
        <v>0.98882729137716041</v>
      </c>
      <c r="S669" s="7">
        <f t="shared" si="139"/>
        <v>-0.5071843689943738</v>
      </c>
      <c r="T669" s="7">
        <f t="shared" si="140"/>
        <v>1.8254295846087756E-2</v>
      </c>
      <c r="U669" s="7">
        <f t="shared" si="141"/>
        <v>-2.0122932164027213E-3</v>
      </c>
    </row>
    <row r="670" spans="1:21" x14ac:dyDescent="0.25">
      <c r="A670" s="1" t="s">
        <v>1683</v>
      </c>
      <c r="B670" s="1" t="s">
        <v>36</v>
      </c>
      <c r="C670" s="1">
        <v>15</v>
      </c>
      <c r="D670" s="1">
        <v>22</v>
      </c>
      <c r="E670" s="1">
        <v>9</v>
      </c>
      <c r="F670" s="1">
        <v>10</v>
      </c>
      <c r="G670" s="1">
        <v>56</v>
      </c>
      <c r="H670" s="7">
        <v>1.4366984945013912</v>
      </c>
      <c r="I670" s="7">
        <f t="shared" si="142"/>
        <v>22.694936708860759</v>
      </c>
      <c r="J670" s="7">
        <f t="shared" si="130"/>
        <v>5.3055534129377486</v>
      </c>
      <c r="K670" s="7">
        <f t="shared" si="131"/>
        <v>22.140506329113926</v>
      </c>
      <c r="L670" s="7">
        <f t="shared" si="132"/>
        <v>4.9144008395218908</v>
      </c>
      <c r="M670" s="7">
        <f t="shared" si="133"/>
        <v>10.069620253164556</v>
      </c>
      <c r="N670" s="7">
        <f t="shared" si="134"/>
        <v>2.1089377326145904</v>
      </c>
      <c r="O670" s="7">
        <f t="shared" si="135"/>
        <v>10.958227848101266</v>
      </c>
      <c r="P670" s="7">
        <f t="shared" si="136"/>
        <v>2.2883463843764797</v>
      </c>
      <c r="Q670" s="7">
        <f t="shared" si="137"/>
        <v>-1.4503551486441411</v>
      </c>
      <c r="R670" s="7">
        <f t="shared" si="138"/>
        <v>-2.8590734395120113E-2</v>
      </c>
      <c r="S670" s="7">
        <f t="shared" si="139"/>
        <v>-0.5071843689943738</v>
      </c>
      <c r="T670" s="7">
        <f t="shared" si="140"/>
        <v>-0.41874248349965643</v>
      </c>
      <c r="U670" s="7">
        <f t="shared" si="141"/>
        <v>-0.60121818388332282</v>
      </c>
    </row>
    <row r="671" spans="1:21" x14ac:dyDescent="0.25">
      <c r="A671" s="1" t="s">
        <v>1683</v>
      </c>
      <c r="B671" s="1" t="s">
        <v>36</v>
      </c>
      <c r="C671" s="1">
        <v>20</v>
      </c>
      <c r="D671" s="1">
        <v>21</v>
      </c>
      <c r="E671" s="1">
        <v>11</v>
      </c>
      <c r="F671" s="1">
        <v>12</v>
      </c>
      <c r="G671" s="1">
        <v>64</v>
      </c>
      <c r="H671" s="7">
        <v>1.3204505835470495</v>
      </c>
      <c r="I671" s="7">
        <f t="shared" si="142"/>
        <v>22.694936708860759</v>
      </c>
      <c r="J671" s="7">
        <f t="shared" si="130"/>
        <v>5.3055534129377486</v>
      </c>
      <c r="K671" s="7">
        <f t="shared" si="131"/>
        <v>22.140506329113926</v>
      </c>
      <c r="L671" s="7">
        <f t="shared" si="132"/>
        <v>4.9144008395218908</v>
      </c>
      <c r="M671" s="7">
        <f t="shared" si="133"/>
        <v>10.069620253164556</v>
      </c>
      <c r="N671" s="7">
        <f t="shared" si="134"/>
        <v>2.1089377326145904</v>
      </c>
      <c r="O671" s="7">
        <f t="shared" si="135"/>
        <v>10.958227848101266</v>
      </c>
      <c r="P671" s="7">
        <f t="shared" si="136"/>
        <v>2.2883463843764797</v>
      </c>
      <c r="Q671" s="7">
        <f t="shared" si="137"/>
        <v>-0.50794639109448525</v>
      </c>
      <c r="R671" s="7">
        <f t="shared" si="138"/>
        <v>-0.23207433954957621</v>
      </c>
      <c r="S671" s="7">
        <f t="shared" si="139"/>
        <v>0.44116036829688182</v>
      </c>
      <c r="T671" s="7">
        <f t="shared" si="140"/>
        <v>0.45525107519183194</v>
      </c>
      <c r="U671" s="7">
        <f t="shared" si="141"/>
        <v>3.909767821116307E-2</v>
      </c>
    </row>
    <row r="672" spans="1:21" x14ac:dyDescent="0.25">
      <c r="A672" s="1" t="s">
        <v>1683</v>
      </c>
      <c r="B672" s="1" t="s">
        <v>36</v>
      </c>
      <c r="C672" s="1">
        <v>25</v>
      </c>
      <c r="D672" s="1">
        <v>22</v>
      </c>
      <c r="E672" s="1">
        <v>10</v>
      </c>
      <c r="F672" s="1">
        <v>9</v>
      </c>
      <c r="G672" s="1">
        <v>66</v>
      </c>
      <c r="H672" s="7">
        <v>1.8912755158683463</v>
      </c>
      <c r="I672" s="7">
        <f t="shared" si="142"/>
        <v>22.694936708860759</v>
      </c>
      <c r="J672" s="7">
        <f t="shared" si="130"/>
        <v>5.3055534129377486</v>
      </c>
      <c r="K672" s="7">
        <f t="shared" si="131"/>
        <v>22.140506329113926</v>
      </c>
      <c r="L672" s="7">
        <f t="shared" si="132"/>
        <v>4.9144008395218908</v>
      </c>
      <c r="M672" s="7">
        <f t="shared" si="133"/>
        <v>10.069620253164556</v>
      </c>
      <c r="N672" s="7">
        <f t="shared" si="134"/>
        <v>2.1089377326145904</v>
      </c>
      <c r="O672" s="7">
        <f t="shared" si="135"/>
        <v>10.958227848101266</v>
      </c>
      <c r="P672" s="7">
        <f t="shared" si="136"/>
        <v>2.2883463843764797</v>
      </c>
      <c r="Q672" s="7">
        <f t="shared" si="137"/>
        <v>0.43446236645517061</v>
      </c>
      <c r="R672" s="7">
        <f t="shared" si="138"/>
        <v>-2.8590734395120113E-2</v>
      </c>
      <c r="S672" s="7">
        <f t="shared" si="139"/>
        <v>-3.3012000348745997E-2</v>
      </c>
      <c r="T672" s="7">
        <f t="shared" si="140"/>
        <v>-0.85573926284540058</v>
      </c>
      <c r="U672" s="7">
        <f t="shared" si="141"/>
        <v>-0.12071990778352402</v>
      </c>
    </row>
    <row r="673" spans="1:21" x14ac:dyDescent="0.25">
      <c r="A673" s="1" t="s">
        <v>1683</v>
      </c>
      <c r="B673" s="1" t="s">
        <v>36</v>
      </c>
      <c r="C673" s="1">
        <v>21</v>
      </c>
      <c r="D673" s="1">
        <v>21</v>
      </c>
      <c r="E673" s="1">
        <v>10</v>
      </c>
      <c r="F673" s="1">
        <v>10</v>
      </c>
      <c r="G673" s="1">
        <v>62</v>
      </c>
      <c r="H673" s="7">
        <v>1.3634420996046579</v>
      </c>
      <c r="I673" s="7">
        <f t="shared" si="142"/>
        <v>22.694936708860759</v>
      </c>
      <c r="J673" s="7">
        <f t="shared" si="130"/>
        <v>5.3055534129377486</v>
      </c>
      <c r="K673" s="7">
        <f t="shared" si="131"/>
        <v>22.140506329113926</v>
      </c>
      <c r="L673" s="7">
        <f t="shared" si="132"/>
        <v>4.9144008395218908</v>
      </c>
      <c r="M673" s="7">
        <f t="shared" si="133"/>
        <v>10.069620253164556</v>
      </c>
      <c r="N673" s="7">
        <f t="shared" si="134"/>
        <v>2.1089377326145904</v>
      </c>
      <c r="O673" s="7">
        <f t="shared" si="135"/>
        <v>10.958227848101266</v>
      </c>
      <c r="P673" s="7">
        <f t="shared" si="136"/>
        <v>2.2883463843764797</v>
      </c>
      <c r="Q673" s="7">
        <f t="shared" si="137"/>
        <v>-0.31946463958455407</v>
      </c>
      <c r="R673" s="7">
        <f t="shared" si="138"/>
        <v>-0.23207433954957621</v>
      </c>
      <c r="S673" s="7">
        <f t="shared" si="139"/>
        <v>-3.3012000348745997E-2</v>
      </c>
      <c r="T673" s="7">
        <f t="shared" si="140"/>
        <v>-0.41874248349965643</v>
      </c>
      <c r="U673" s="7">
        <f t="shared" si="141"/>
        <v>-0.25082336574563319</v>
      </c>
    </row>
    <row r="674" spans="1:21" x14ac:dyDescent="0.25">
      <c r="A674" s="1" t="s">
        <v>1683</v>
      </c>
      <c r="B674" s="1" t="s">
        <v>36</v>
      </c>
      <c r="C674" s="1">
        <v>23</v>
      </c>
      <c r="D674" s="1">
        <v>22</v>
      </c>
      <c r="E674" s="1">
        <v>12</v>
      </c>
      <c r="F674" s="1">
        <v>11</v>
      </c>
      <c r="G674" s="1">
        <v>68</v>
      </c>
      <c r="H674" s="7">
        <v>1.7867030229749128</v>
      </c>
      <c r="I674" s="7">
        <f t="shared" si="142"/>
        <v>22.694936708860759</v>
      </c>
      <c r="J674" s="7">
        <f t="shared" si="130"/>
        <v>5.3055534129377486</v>
      </c>
      <c r="K674" s="7">
        <f t="shared" si="131"/>
        <v>22.140506329113926</v>
      </c>
      <c r="L674" s="7">
        <f t="shared" si="132"/>
        <v>4.9144008395218908</v>
      </c>
      <c r="M674" s="7">
        <f t="shared" si="133"/>
        <v>10.069620253164556</v>
      </c>
      <c r="N674" s="7">
        <f t="shared" si="134"/>
        <v>2.1089377326145904</v>
      </c>
      <c r="O674" s="7">
        <f t="shared" si="135"/>
        <v>10.958227848101266</v>
      </c>
      <c r="P674" s="7">
        <f t="shared" si="136"/>
        <v>2.2883463843764797</v>
      </c>
      <c r="Q674" s="7">
        <f t="shared" si="137"/>
        <v>5.7498863435308259E-2</v>
      </c>
      <c r="R674" s="7">
        <f t="shared" si="138"/>
        <v>-2.8590734395120113E-2</v>
      </c>
      <c r="S674" s="7">
        <f t="shared" si="139"/>
        <v>0.91533273694250961</v>
      </c>
      <c r="T674" s="7">
        <f t="shared" si="140"/>
        <v>1.8254295846087756E-2</v>
      </c>
      <c r="U674" s="7">
        <f t="shared" si="141"/>
        <v>0.24062379045719637</v>
      </c>
    </row>
    <row r="675" spans="1:21" x14ac:dyDescent="0.25">
      <c r="A675" s="1" t="s">
        <v>1683</v>
      </c>
      <c r="B675" s="1" t="s">
        <v>36</v>
      </c>
      <c r="C675" s="1">
        <v>19</v>
      </c>
      <c r="D675" s="1">
        <v>17</v>
      </c>
      <c r="E675" s="1">
        <v>9</v>
      </c>
      <c r="F675" s="1">
        <v>10</v>
      </c>
      <c r="G675" s="1">
        <v>55</v>
      </c>
      <c r="H675" s="7">
        <v>1.1657505560686465</v>
      </c>
      <c r="I675" s="7">
        <f t="shared" si="142"/>
        <v>22.694936708860759</v>
      </c>
      <c r="J675" s="7">
        <f t="shared" si="130"/>
        <v>5.3055534129377486</v>
      </c>
      <c r="K675" s="7">
        <f t="shared" si="131"/>
        <v>22.140506329113926</v>
      </c>
      <c r="L675" s="7">
        <f t="shared" si="132"/>
        <v>4.9144008395218908</v>
      </c>
      <c r="M675" s="7">
        <f t="shared" si="133"/>
        <v>10.069620253164556</v>
      </c>
      <c r="N675" s="7">
        <f t="shared" si="134"/>
        <v>2.1089377326145904</v>
      </c>
      <c r="O675" s="7">
        <f t="shared" si="135"/>
        <v>10.958227848101266</v>
      </c>
      <c r="P675" s="7">
        <f t="shared" si="136"/>
        <v>2.2883463843764797</v>
      </c>
      <c r="Q675" s="7">
        <f t="shared" si="137"/>
        <v>-0.69642814260441643</v>
      </c>
      <c r="R675" s="7">
        <f t="shared" si="138"/>
        <v>-1.0460087601674006</v>
      </c>
      <c r="S675" s="7">
        <f t="shared" si="139"/>
        <v>-0.5071843689943738</v>
      </c>
      <c r="T675" s="7">
        <f t="shared" si="140"/>
        <v>-0.41874248349965643</v>
      </c>
      <c r="U675" s="7">
        <f t="shared" si="141"/>
        <v>-0.66709093881646175</v>
      </c>
    </row>
    <row r="676" spans="1:21" x14ac:dyDescent="0.25">
      <c r="A676" s="1" t="s">
        <v>1683</v>
      </c>
      <c r="B676" s="1" t="s">
        <v>36</v>
      </c>
      <c r="C676" s="1">
        <v>20</v>
      </c>
      <c r="D676" s="1">
        <v>22</v>
      </c>
      <c r="E676" s="1">
        <v>8</v>
      </c>
      <c r="F676" s="1">
        <v>9</v>
      </c>
      <c r="G676" s="1">
        <v>59</v>
      </c>
      <c r="H676" s="7">
        <v>1.6641005886756877</v>
      </c>
      <c r="I676" s="7">
        <f t="shared" si="142"/>
        <v>22.694936708860759</v>
      </c>
      <c r="J676" s="7">
        <f t="shared" si="130"/>
        <v>5.3055534129377486</v>
      </c>
      <c r="K676" s="7">
        <f t="shared" si="131"/>
        <v>22.140506329113926</v>
      </c>
      <c r="L676" s="7">
        <f t="shared" si="132"/>
        <v>4.9144008395218908</v>
      </c>
      <c r="M676" s="7">
        <f t="shared" si="133"/>
        <v>10.069620253164556</v>
      </c>
      <c r="N676" s="7">
        <f t="shared" si="134"/>
        <v>2.1089377326145904</v>
      </c>
      <c r="O676" s="7">
        <f t="shared" si="135"/>
        <v>10.958227848101266</v>
      </c>
      <c r="P676" s="7">
        <f t="shared" si="136"/>
        <v>2.2883463843764797</v>
      </c>
      <c r="Q676" s="7">
        <f t="shared" si="137"/>
        <v>-0.50794639109448525</v>
      </c>
      <c r="R676" s="7">
        <f t="shared" si="138"/>
        <v>-2.8590734395120113E-2</v>
      </c>
      <c r="S676" s="7">
        <f t="shared" si="139"/>
        <v>-0.98135673764000164</v>
      </c>
      <c r="T676" s="7">
        <f t="shared" si="140"/>
        <v>-0.85573926284540058</v>
      </c>
      <c r="U676" s="7">
        <f t="shared" si="141"/>
        <v>-0.59340828149375191</v>
      </c>
    </row>
    <row r="677" spans="1:21" x14ac:dyDescent="0.25">
      <c r="A677" s="1" t="s">
        <v>1683</v>
      </c>
      <c r="B677" s="1" t="s">
        <v>36</v>
      </c>
      <c r="C677" s="1">
        <v>24</v>
      </c>
      <c r="D677" s="1">
        <v>25</v>
      </c>
      <c r="E677" s="1">
        <v>12</v>
      </c>
      <c r="F677" s="1">
        <v>12</v>
      </c>
      <c r="G677" s="1">
        <v>73</v>
      </c>
      <c r="H677" s="7">
        <v>1.5021352323976216</v>
      </c>
      <c r="I677" s="7">
        <f t="shared" si="142"/>
        <v>22.694936708860759</v>
      </c>
      <c r="J677" s="7">
        <f t="shared" si="130"/>
        <v>5.3055534129377486</v>
      </c>
      <c r="K677" s="7">
        <f t="shared" si="131"/>
        <v>22.140506329113926</v>
      </c>
      <c r="L677" s="7">
        <f t="shared" si="132"/>
        <v>4.9144008395218908</v>
      </c>
      <c r="M677" s="7">
        <f t="shared" si="133"/>
        <v>10.069620253164556</v>
      </c>
      <c r="N677" s="7">
        <f t="shared" si="134"/>
        <v>2.1089377326145904</v>
      </c>
      <c r="O677" s="7">
        <f t="shared" si="135"/>
        <v>10.958227848101266</v>
      </c>
      <c r="P677" s="7">
        <f t="shared" si="136"/>
        <v>2.2883463843764797</v>
      </c>
      <c r="Q677" s="7">
        <f t="shared" si="137"/>
        <v>0.24598061494523943</v>
      </c>
      <c r="R677" s="7">
        <f t="shared" si="138"/>
        <v>0.58186008106824816</v>
      </c>
      <c r="S677" s="7">
        <f t="shared" si="139"/>
        <v>0.91533273694250961</v>
      </c>
      <c r="T677" s="7">
        <f t="shared" si="140"/>
        <v>0.45525107519183194</v>
      </c>
      <c r="U677" s="7">
        <f t="shared" si="141"/>
        <v>0.54960612703695733</v>
      </c>
    </row>
    <row r="678" spans="1:21" x14ac:dyDescent="0.25">
      <c r="A678" s="1" t="s">
        <v>1683</v>
      </c>
      <c r="B678" s="1" t="s">
        <v>36</v>
      </c>
      <c r="C678" s="1">
        <v>24</v>
      </c>
      <c r="D678" s="1">
        <v>21</v>
      </c>
      <c r="E678" s="1">
        <v>8</v>
      </c>
      <c r="F678" s="1">
        <v>11</v>
      </c>
      <c r="G678" s="1">
        <v>64</v>
      </c>
      <c r="H678" s="7">
        <v>1.3204505835470495</v>
      </c>
      <c r="I678" s="7">
        <f t="shared" si="142"/>
        <v>22.694936708860759</v>
      </c>
      <c r="J678" s="7">
        <f t="shared" si="130"/>
        <v>5.3055534129377486</v>
      </c>
      <c r="K678" s="7">
        <f t="shared" si="131"/>
        <v>22.140506329113926</v>
      </c>
      <c r="L678" s="7">
        <f t="shared" si="132"/>
        <v>4.9144008395218908</v>
      </c>
      <c r="M678" s="7">
        <f t="shared" si="133"/>
        <v>10.069620253164556</v>
      </c>
      <c r="N678" s="7">
        <f t="shared" si="134"/>
        <v>2.1089377326145904</v>
      </c>
      <c r="O678" s="7">
        <f t="shared" si="135"/>
        <v>10.958227848101266</v>
      </c>
      <c r="P678" s="7">
        <f t="shared" si="136"/>
        <v>2.2883463843764797</v>
      </c>
      <c r="Q678" s="7">
        <f t="shared" si="137"/>
        <v>0.24598061494523943</v>
      </c>
      <c r="R678" s="7">
        <f t="shared" si="138"/>
        <v>-0.23207433954957621</v>
      </c>
      <c r="S678" s="7">
        <f t="shared" si="139"/>
        <v>-0.98135673764000164</v>
      </c>
      <c r="T678" s="7">
        <f t="shared" si="140"/>
        <v>1.8254295846087756E-2</v>
      </c>
      <c r="U678" s="7">
        <f t="shared" si="141"/>
        <v>-0.23729904159956267</v>
      </c>
    </row>
    <row r="679" spans="1:21" x14ac:dyDescent="0.25">
      <c r="A679" s="1" t="s">
        <v>1683</v>
      </c>
      <c r="B679" s="1" t="s">
        <v>36</v>
      </c>
      <c r="C679" s="1">
        <v>22</v>
      </c>
      <c r="D679" s="1">
        <v>26</v>
      </c>
      <c r="E679" s="1">
        <v>11</v>
      </c>
      <c r="F679" s="1">
        <v>10</v>
      </c>
      <c r="G679" s="1">
        <v>69</v>
      </c>
      <c r="H679" s="7">
        <v>1.8432134703923733</v>
      </c>
      <c r="I679" s="7">
        <f t="shared" si="142"/>
        <v>22.694936708860759</v>
      </c>
      <c r="J679" s="7">
        <f t="shared" si="130"/>
        <v>5.3055534129377486</v>
      </c>
      <c r="K679" s="7">
        <f t="shared" si="131"/>
        <v>22.140506329113926</v>
      </c>
      <c r="L679" s="7">
        <f t="shared" si="132"/>
        <v>4.9144008395218908</v>
      </c>
      <c r="M679" s="7">
        <f t="shared" si="133"/>
        <v>10.069620253164556</v>
      </c>
      <c r="N679" s="7">
        <f t="shared" si="134"/>
        <v>2.1089377326145904</v>
      </c>
      <c r="O679" s="7">
        <f t="shared" si="135"/>
        <v>10.958227848101266</v>
      </c>
      <c r="P679" s="7">
        <f t="shared" si="136"/>
        <v>2.2883463843764797</v>
      </c>
      <c r="Q679" s="7">
        <f t="shared" si="137"/>
        <v>-0.13098288807462291</v>
      </c>
      <c r="R679" s="7">
        <f t="shared" si="138"/>
        <v>0.78534368622270434</v>
      </c>
      <c r="S679" s="7">
        <f t="shared" si="139"/>
        <v>0.44116036829688182</v>
      </c>
      <c r="T679" s="7">
        <f t="shared" si="140"/>
        <v>-0.41874248349965643</v>
      </c>
      <c r="U679" s="7">
        <f t="shared" si="141"/>
        <v>0.16919467073632671</v>
      </c>
    </row>
    <row r="680" spans="1:21" x14ac:dyDescent="0.25">
      <c r="A680" s="1" t="s">
        <v>1683</v>
      </c>
      <c r="B680" s="1" t="s">
        <v>36</v>
      </c>
      <c r="C680" s="1">
        <v>22</v>
      </c>
      <c r="D680" s="1">
        <v>23</v>
      </c>
      <c r="E680" s="1">
        <v>10</v>
      </c>
      <c r="F680" s="1">
        <v>12</v>
      </c>
      <c r="G680" s="1">
        <v>67</v>
      </c>
      <c r="H680" s="7">
        <v>1.1435437497937313</v>
      </c>
      <c r="I680" s="7">
        <f t="shared" si="142"/>
        <v>22.694936708860759</v>
      </c>
      <c r="J680" s="7">
        <f t="shared" si="130"/>
        <v>5.3055534129377486</v>
      </c>
      <c r="K680" s="7">
        <f t="shared" si="131"/>
        <v>22.140506329113926</v>
      </c>
      <c r="L680" s="7">
        <f t="shared" si="132"/>
        <v>4.9144008395218908</v>
      </c>
      <c r="M680" s="7">
        <f t="shared" si="133"/>
        <v>10.069620253164556</v>
      </c>
      <c r="N680" s="7">
        <f t="shared" si="134"/>
        <v>2.1089377326145904</v>
      </c>
      <c r="O680" s="7">
        <f t="shared" si="135"/>
        <v>10.958227848101266</v>
      </c>
      <c r="P680" s="7">
        <f t="shared" si="136"/>
        <v>2.2883463843764797</v>
      </c>
      <c r="Q680" s="7">
        <f t="shared" si="137"/>
        <v>-0.13098288807462291</v>
      </c>
      <c r="R680" s="7">
        <f t="shared" si="138"/>
        <v>0.17489287075933599</v>
      </c>
      <c r="S680" s="7">
        <f t="shared" si="139"/>
        <v>-3.3012000348745997E-2</v>
      </c>
      <c r="T680" s="7">
        <f t="shared" si="140"/>
        <v>0.45525107519183194</v>
      </c>
      <c r="U680" s="7">
        <f t="shared" si="141"/>
        <v>0.11653726438194975</v>
      </c>
    </row>
    <row r="681" spans="1:21" x14ac:dyDescent="0.25">
      <c r="A681" s="1" t="s">
        <v>1683</v>
      </c>
      <c r="B681" s="1" t="s">
        <v>36</v>
      </c>
      <c r="C681" s="1">
        <v>18</v>
      </c>
      <c r="D681" s="1">
        <v>22</v>
      </c>
      <c r="E681" s="1">
        <v>10</v>
      </c>
      <c r="F681" s="1">
        <v>10</v>
      </c>
      <c r="G681" s="1">
        <v>60</v>
      </c>
      <c r="H681" s="7">
        <v>1.3867504905630728</v>
      </c>
      <c r="I681" s="7">
        <f t="shared" si="142"/>
        <v>22.694936708860759</v>
      </c>
      <c r="J681" s="7">
        <f t="shared" si="130"/>
        <v>5.3055534129377486</v>
      </c>
      <c r="K681" s="7">
        <f t="shared" si="131"/>
        <v>22.140506329113926</v>
      </c>
      <c r="L681" s="7">
        <f t="shared" si="132"/>
        <v>4.9144008395218908</v>
      </c>
      <c r="M681" s="7">
        <f t="shared" si="133"/>
        <v>10.069620253164556</v>
      </c>
      <c r="N681" s="7">
        <f t="shared" si="134"/>
        <v>2.1089377326145904</v>
      </c>
      <c r="O681" s="7">
        <f t="shared" si="135"/>
        <v>10.958227848101266</v>
      </c>
      <c r="P681" s="7">
        <f t="shared" si="136"/>
        <v>2.2883463843764797</v>
      </c>
      <c r="Q681" s="7">
        <f t="shared" si="137"/>
        <v>-0.88490989411434762</v>
      </c>
      <c r="R681" s="7">
        <f t="shared" si="138"/>
        <v>-2.8590734395120113E-2</v>
      </c>
      <c r="S681" s="7">
        <f t="shared" si="139"/>
        <v>-3.3012000348745997E-2</v>
      </c>
      <c r="T681" s="7">
        <f t="shared" si="140"/>
        <v>-0.41874248349965643</v>
      </c>
      <c r="U681" s="7">
        <f t="shared" si="141"/>
        <v>-0.34131377808946756</v>
      </c>
    </row>
    <row r="682" spans="1:21" x14ac:dyDescent="0.25">
      <c r="A682" s="1" t="s">
        <v>1683</v>
      </c>
      <c r="B682" s="1" t="s">
        <v>36</v>
      </c>
      <c r="C682" s="1">
        <v>22</v>
      </c>
      <c r="D682" s="1">
        <v>20</v>
      </c>
      <c r="E682" s="1">
        <v>9</v>
      </c>
      <c r="F682" s="1">
        <v>10</v>
      </c>
      <c r="G682" s="1">
        <v>61</v>
      </c>
      <c r="H682" s="7">
        <v>1.2506408613597126</v>
      </c>
      <c r="I682" s="7">
        <f t="shared" si="142"/>
        <v>22.694936708860759</v>
      </c>
      <c r="J682" s="7">
        <f t="shared" si="130"/>
        <v>5.3055534129377486</v>
      </c>
      <c r="K682" s="7">
        <f t="shared" si="131"/>
        <v>22.140506329113926</v>
      </c>
      <c r="L682" s="7">
        <f t="shared" si="132"/>
        <v>4.9144008395218908</v>
      </c>
      <c r="M682" s="7">
        <f t="shared" si="133"/>
        <v>10.069620253164556</v>
      </c>
      <c r="N682" s="7">
        <f t="shared" si="134"/>
        <v>2.1089377326145904</v>
      </c>
      <c r="O682" s="7">
        <f t="shared" si="135"/>
        <v>10.958227848101266</v>
      </c>
      <c r="P682" s="7">
        <f t="shared" si="136"/>
        <v>2.2883463843764797</v>
      </c>
      <c r="Q682" s="7">
        <f t="shared" si="137"/>
        <v>-0.13098288807462291</v>
      </c>
      <c r="R682" s="7">
        <f t="shared" si="138"/>
        <v>-0.43555794470403231</v>
      </c>
      <c r="S682" s="7">
        <f t="shared" si="139"/>
        <v>-0.5071843689943738</v>
      </c>
      <c r="T682" s="7">
        <f t="shared" si="140"/>
        <v>-0.41874248349965643</v>
      </c>
      <c r="U682" s="7">
        <f t="shared" si="141"/>
        <v>-0.37311692131817137</v>
      </c>
    </row>
    <row r="683" spans="1:21" x14ac:dyDescent="0.25">
      <c r="A683" s="1" t="s">
        <v>1683</v>
      </c>
      <c r="B683" s="1" t="s">
        <v>36</v>
      </c>
      <c r="C683" s="1">
        <v>17</v>
      </c>
      <c r="D683" s="1">
        <v>19</v>
      </c>
      <c r="E683" s="1">
        <v>10</v>
      </c>
      <c r="F683" s="1">
        <v>10</v>
      </c>
      <c r="G683" s="1">
        <v>56</v>
      </c>
      <c r="H683" s="7">
        <v>1.0315534712764844</v>
      </c>
      <c r="I683" s="7">
        <f t="shared" si="142"/>
        <v>22.694936708860759</v>
      </c>
      <c r="J683" s="7">
        <f t="shared" si="130"/>
        <v>5.3055534129377486</v>
      </c>
      <c r="K683" s="7">
        <f t="shared" si="131"/>
        <v>22.140506329113926</v>
      </c>
      <c r="L683" s="7">
        <f t="shared" si="132"/>
        <v>4.9144008395218908</v>
      </c>
      <c r="M683" s="7">
        <f t="shared" si="133"/>
        <v>10.069620253164556</v>
      </c>
      <c r="N683" s="7">
        <f t="shared" si="134"/>
        <v>2.1089377326145904</v>
      </c>
      <c r="O683" s="7">
        <f t="shared" si="135"/>
        <v>10.958227848101266</v>
      </c>
      <c r="P683" s="7">
        <f t="shared" si="136"/>
        <v>2.2883463843764797</v>
      </c>
      <c r="Q683" s="7">
        <f t="shared" si="137"/>
        <v>-1.0733916456242787</v>
      </c>
      <c r="R683" s="7">
        <f t="shared" si="138"/>
        <v>-0.63904154985848838</v>
      </c>
      <c r="S683" s="7">
        <f t="shared" si="139"/>
        <v>-3.3012000348745997E-2</v>
      </c>
      <c r="T683" s="7">
        <f t="shared" si="140"/>
        <v>-0.41874248349965643</v>
      </c>
      <c r="U683" s="7">
        <f t="shared" si="141"/>
        <v>-0.54104691983279241</v>
      </c>
    </row>
    <row r="684" spans="1:21" x14ac:dyDescent="0.25">
      <c r="A684" s="1" t="s">
        <v>1683</v>
      </c>
      <c r="B684" s="1" t="s">
        <v>36</v>
      </c>
      <c r="C684" s="1">
        <v>28</v>
      </c>
      <c r="D684" s="1">
        <v>29</v>
      </c>
      <c r="E684" s="1">
        <v>12</v>
      </c>
      <c r="F684" s="1">
        <v>14</v>
      </c>
      <c r="G684" s="1">
        <v>83</v>
      </c>
      <c r="H684" s="7">
        <v>2.0631069425529689</v>
      </c>
      <c r="I684" s="7">
        <f t="shared" si="142"/>
        <v>22.694936708860759</v>
      </c>
      <c r="J684" s="7">
        <f t="shared" si="130"/>
        <v>5.3055534129377486</v>
      </c>
      <c r="K684" s="7">
        <f t="shared" si="131"/>
        <v>22.140506329113926</v>
      </c>
      <c r="L684" s="7">
        <f t="shared" si="132"/>
        <v>4.9144008395218908</v>
      </c>
      <c r="M684" s="7">
        <f t="shared" si="133"/>
        <v>10.069620253164556</v>
      </c>
      <c r="N684" s="7">
        <f t="shared" si="134"/>
        <v>2.1089377326145904</v>
      </c>
      <c r="O684" s="7">
        <f t="shared" si="135"/>
        <v>10.958227848101266</v>
      </c>
      <c r="P684" s="7">
        <f t="shared" si="136"/>
        <v>2.2883463843764797</v>
      </c>
      <c r="Q684" s="7">
        <f t="shared" si="137"/>
        <v>0.99990762098496411</v>
      </c>
      <c r="R684" s="7">
        <f t="shared" si="138"/>
        <v>1.3957945016860727</v>
      </c>
      <c r="S684" s="7">
        <f t="shared" si="139"/>
        <v>0.91533273694250961</v>
      </c>
      <c r="T684" s="7">
        <f t="shared" si="140"/>
        <v>1.3292446338833204</v>
      </c>
      <c r="U684" s="7">
        <f t="shared" si="141"/>
        <v>1.1600698733742167</v>
      </c>
    </row>
    <row r="685" spans="1:21" x14ac:dyDescent="0.25">
      <c r="A685" s="1" t="s">
        <v>1683</v>
      </c>
      <c r="B685" s="1" t="s">
        <v>36</v>
      </c>
      <c r="C685" s="1">
        <v>23</v>
      </c>
      <c r="D685" s="1">
        <v>22</v>
      </c>
      <c r="E685" s="1">
        <v>11</v>
      </c>
      <c r="F685" s="1">
        <v>10</v>
      </c>
      <c r="G685" s="1">
        <v>66</v>
      </c>
      <c r="H685" s="7">
        <v>1.7541160386140584</v>
      </c>
      <c r="I685" s="7">
        <f t="shared" si="142"/>
        <v>22.694936708860759</v>
      </c>
      <c r="J685" s="7">
        <f t="shared" si="130"/>
        <v>5.3055534129377486</v>
      </c>
      <c r="K685" s="7">
        <f t="shared" si="131"/>
        <v>22.140506329113926</v>
      </c>
      <c r="L685" s="7">
        <f t="shared" si="132"/>
        <v>4.9144008395218908</v>
      </c>
      <c r="M685" s="7">
        <f t="shared" si="133"/>
        <v>10.069620253164556</v>
      </c>
      <c r="N685" s="7">
        <f t="shared" si="134"/>
        <v>2.1089377326145904</v>
      </c>
      <c r="O685" s="7">
        <f t="shared" si="135"/>
        <v>10.958227848101266</v>
      </c>
      <c r="P685" s="7">
        <f t="shared" si="136"/>
        <v>2.2883463843764797</v>
      </c>
      <c r="Q685" s="7">
        <f t="shared" si="137"/>
        <v>5.7498863435308259E-2</v>
      </c>
      <c r="R685" s="7">
        <f t="shared" si="138"/>
        <v>-2.8590734395120113E-2</v>
      </c>
      <c r="S685" s="7">
        <f t="shared" si="139"/>
        <v>0.44116036829688182</v>
      </c>
      <c r="T685" s="7">
        <f t="shared" si="140"/>
        <v>-0.41874248349965643</v>
      </c>
      <c r="U685" s="7">
        <f t="shared" si="141"/>
        <v>1.2831503459353383E-2</v>
      </c>
    </row>
    <row r="686" spans="1:21" x14ac:dyDescent="0.25">
      <c r="A686" s="1" t="s">
        <v>1683</v>
      </c>
      <c r="B686" s="1" t="s">
        <v>36</v>
      </c>
      <c r="C686" s="1">
        <v>23</v>
      </c>
      <c r="D686" s="1">
        <v>20</v>
      </c>
      <c r="E686" s="1">
        <v>9</v>
      </c>
      <c r="F686" s="1">
        <v>7</v>
      </c>
      <c r="G686" s="1">
        <v>59</v>
      </c>
      <c r="H686" s="7">
        <v>1.7614096918559583</v>
      </c>
      <c r="I686" s="7">
        <f t="shared" si="142"/>
        <v>22.694936708860759</v>
      </c>
      <c r="J686" s="7">
        <f t="shared" si="130"/>
        <v>5.3055534129377486</v>
      </c>
      <c r="K686" s="7">
        <f t="shared" si="131"/>
        <v>22.140506329113926</v>
      </c>
      <c r="L686" s="7">
        <f t="shared" si="132"/>
        <v>4.9144008395218908</v>
      </c>
      <c r="M686" s="7">
        <f t="shared" si="133"/>
        <v>10.069620253164556</v>
      </c>
      <c r="N686" s="7">
        <f t="shared" si="134"/>
        <v>2.1089377326145904</v>
      </c>
      <c r="O686" s="7">
        <f t="shared" si="135"/>
        <v>10.958227848101266</v>
      </c>
      <c r="P686" s="7">
        <f t="shared" si="136"/>
        <v>2.2883463843764797</v>
      </c>
      <c r="Q686" s="7">
        <f t="shared" si="137"/>
        <v>5.7498863435308259E-2</v>
      </c>
      <c r="R686" s="7">
        <f t="shared" si="138"/>
        <v>-0.43555794470403231</v>
      </c>
      <c r="S686" s="7">
        <f t="shared" si="139"/>
        <v>-0.5071843689943738</v>
      </c>
      <c r="T686" s="7">
        <f t="shared" si="140"/>
        <v>-1.729732821536889</v>
      </c>
      <c r="U686" s="7">
        <f t="shared" si="141"/>
        <v>-0.65374406794999673</v>
      </c>
    </row>
    <row r="687" spans="1:21" x14ac:dyDescent="0.25">
      <c r="A687" s="1" t="s">
        <v>1683</v>
      </c>
      <c r="B687" s="1" t="s">
        <v>36</v>
      </c>
      <c r="C687" s="1">
        <v>24</v>
      </c>
      <c r="D687" s="1">
        <v>22</v>
      </c>
      <c r="E687" s="1">
        <v>9</v>
      </c>
      <c r="F687" s="1">
        <v>14</v>
      </c>
      <c r="G687" s="1">
        <v>69</v>
      </c>
      <c r="H687" s="7">
        <v>1.2506408613597126</v>
      </c>
      <c r="I687" s="7">
        <f t="shared" si="142"/>
        <v>22.694936708860759</v>
      </c>
      <c r="J687" s="7">
        <f t="shared" si="130"/>
        <v>5.3055534129377486</v>
      </c>
      <c r="K687" s="7">
        <f t="shared" si="131"/>
        <v>22.140506329113926</v>
      </c>
      <c r="L687" s="7">
        <f t="shared" si="132"/>
        <v>4.9144008395218908</v>
      </c>
      <c r="M687" s="7">
        <f t="shared" si="133"/>
        <v>10.069620253164556</v>
      </c>
      <c r="N687" s="7">
        <f t="shared" si="134"/>
        <v>2.1089377326145904</v>
      </c>
      <c r="O687" s="7">
        <f t="shared" si="135"/>
        <v>10.958227848101266</v>
      </c>
      <c r="P687" s="7">
        <f t="shared" si="136"/>
        <v>2.2883463843764797</v>
      </c>
      <c r="Q687" s="7">
        <f t="shared" si="137"/>
        <v>0.24598061494523943</v>
      </c>
      <c r="R687" s="7">
        <f t="shared" si="138"/>
        <v>-2.8590734395120113E-2</v>
      </c>
      <c r="S687" s="7">
        <f t="shared" si="139"/>
        <v>-0.5071843689943738</v>
      </c>
      <c r="T687" s="7">
        <f t="shared" si="140"/>
        <v>1.3292446338833204</v>
      </c>
      <c r="U687" s="7">
        <f t="shared" si="141"/>
        <v>0.25986253635976647</v>
      </c>
    </row>
    <row r="688" spans="1:21" x14ac:dyDescent="0.25">
      <c r="A688" s="1" t="s">
        <v>1683</v>
      </c>
      <c r="B688" s="1" t="s">
        <v>36</v>
      </c>
      <c r="C688" s="1">
        <v>25</v>
      </c>
      <c r="D688" s="1">
        <v>25</v>
      </c>
      <c r="E688" s="1">
        <v>11</v>
      </c>
      <c r="F688" s="1">
        <v>12</v>
      </c>
      <c r="G688" s="1">
        <v>73</v>
      </c>
      <c r="H688" s="7">
        <v>1.6092680291808414</v>
      </c>
      <c r="I688" s="7">
        <f t="shared" si="142"/>
        <v>22.694936708860759</v>
      </c>
      <c r="J688" s="7">
        <f t="shared" si="130"/>
        <v>5.3055534129377486</v>
      </c>
      <c r="K688" s="7">
        <f t="shared" si="131"/>
        <v>22.140506329113926</v>
      </c>
      <c r="L688" s="7">
        <f t="shared" si="132"/>
        <v>4.9144008395218908</v>
      </c>
      <c r="M688" s="7">
        <f t="shared" si="133"/>
        <v>10.069620253164556</v>
      </c>
      <c r="N688" s="7">
        <f t="shared" si="134"/>
        <v>2.1089377326145904</v>
      </c>
      <c r="O688" s="7">
        <f t="shared" si="135"/>
        <v>10.958227848101266</v>
      </c>
      <c r="P688" s="7">
        <f t="shared" si="136"/>
        <v>2.2883463843764797</v>
      </c>
      <c r="Q688" s="7">
        <f t="shared" si="137"/>
        <v>0.43446236645517061</v>
      </c>
      <c r="R688" s="7">
        <f t="shared" si="138"/>
        <v>0.58186008106824816</v>
      </c>
      <c r="S688" s="7">
        <f t="shared" si="139"/>
        <v>0.44116036829688182</v>
      </c>
      <c r="T688" s="7">
        <f t="shared" si="140"/>
        <v>0.45525107519183194</v>
      </c>
      <c r="U688" s="7">
        <f t="shared" si="141"/>
        <v>0.47818347275303313</v>
      </c>
    </row>
    <row r="689" spans="1:21" x14ac:dyDescent="0.25">
      <c r="A689" s="1" t="s">
        <v>1683</v>
      </c>
      <c r="B689" s="1" t="s">
        <v>36</v>
      </c>
      <c r="C689" s="1">
        <v>25</v>
      </c>
      <c r="D689" s="1">
        <v>26</v>
      </c>
      <c r="E689" s="1">
        <v>11</v>
      </c>
      <c r="F689" s="1">
        <v>12</v>
      </c>
      <c r="G689" s="1">
        <v>74</v>
      </c>
      <c r="H689" s="7">
        <v>1.7021856236720769</v>
      </c>
      <c r="I689" s="7">
        <f t="shared" si="142"/>
        <v>22.694936708860759</v>
      </c>
      <c r="J689" s="7">
        <f t="shared" si="130"/>
        <v>5.3055534129377486</v>
      </c>
      <c r="K689" s="7">
        <f t="shared" si="131"/>
        <v>22.140506329113926</v>
      </c>
      <c r="L689" s="7">
        <f t="shared" si="132"/>
        <v>4.9144008395218908</v>
      </c>
      <c r="M689" s="7">
        <f t="shared" si="133"/>
        <v>10.069620253164556</v>
      </c>
      <c r="N689" s="7">
        <f t="shared" si="134"/>
        <v>2.1089377326145904</v>
      </c>
      <c r="O689" s="7">
        <f t="shared" si="135"/>
        <v>10.958227848101266</v>
      </c>
      <c r="P689" s="7">
        <f t="shared" si="136"/>
        <v>2.2883463843764797</v>
      </c>
      <c r="Q689" s="7">
        <f t="shared" si="137"/>
        <v>0.43446236645517061</v>
      </c>
      <c r="R689" s="7">
        <f t="shared" si="138"/>
        <v>0.78534368622270434</v>
      </c>
      <c r="S689" s="7">
        <f t="shared" si="139"/>
        <v>0.44116036829688182</v>
      </c>
      <c r="T689" s="7">
        <f t="shared" si="140"/>
        <v>0.45525107519183194</v>
      </c>
      <c r="U689" s="7">
        <f t="shared" si="141"/>
        <v>0.52905437404164712</v>
      </c>
    </row>
    <row r="690" spans="1:21" x14ac:dyDescent="0.25">
      <c r="A690" s="1" t="s">
        <v>1683</v>
      </c>
      <c r="B690" s="1" t="s">
        <v>36</v>
      </c>
      <c r="C690" s="1">
        <v>25</v>
      </c>
      <c r="D690" s="1">
        <v>25</v>
      </c>
      <c r="E690" s="1">
        <v>11</v>
      </c>
      <c r="F690" s="1">
        <v>12</v>
      </c>
      <c r="G690" s="1">
        <v>73</v>
      </c>
      <c r="H690" s="7">
        <v>1.5566235649883124</v>
      </c>
      <c r="I690" s="7">
        <f t="shared" si="142"/>
        <v>22.694936708860759</v>
      </c>
      <c r="J690" s="7">
        <f t="shared" si="130"/>
        <v>5.3055534129377486</v>
      </c>
      <c r="K690" s="7">
        <f t="shared" si="131"/>
        <v>22.140506329113926</v>
      </c>
      <c r="L690" s="7">
        <f t="shared" si="132"/>
        <v>4.9144008395218908</v>
      </c>
      <c r="M690" s="7">
        <f t="shared" si="133"/>
        <v>10.069620253164556</v>
      </c>
      <c r="N690" s="7">
        <f t="shared" si="134"/>
        <v>2.1089377326145904</v>
      </c>
      <c r="O690" s="7">
        <f t="shared" si="135"/>
        <v>10.958227848101266</v>
      </c>
      <c r="P690" s="7">
        <f t="shared" si="136"/>
        <v>2.2883463843764797</v>
      </c>
      <c r="Q690" s="7">
        <f t="shared" si="137"/>
        <v>0.43446236645517061</v>
      </c>
      <c r="R690" s="7">
        <f t="shared" si="138"/>
        <v>0.58186008106824816</v>
      </c>
      <c r="S690" s="7">
        <f t="shared" si="139"/>
        <v>0.44116036829688182</v>
      </c>
      <c r="T690" s="7">
        <f t="shared" si="140"/>
        <v>0.45525107519183194</v>
      </c>
      <c r="U690" s="7">
        <f t="shared" si="141"/>
        <v>0.47818347275303313</v>
      </c>
    </row>
    <row r="691" spans="1:21" x14ac:dyDescent="0.25">
      <c r="A691" s="1" t="s">
        <v>1684</v>
      </c>
      <c r="B691" s="1" t="s">
        <v>36</v>
      </c>
      <c r="C691" s="1">
        <v>20</v>
      </c>
      <c r="D691" s="1">
        <v>23</v>
      </c>
      <c r="E691" s="1">
        <v>9</v>
      </c>
      <c r="F691" s="1">
        <v>10</v>
      </c>
      <c r="G691" s="1">
        <v>62</v>
      </c>
      <c r="H691" s="7">
        <v>1.2351684199496944</v>
      </c>
      <c r="I691" s="7">
        <f t="shared" si="142"/>
        <v>22.694936708860759</v>
      </c>
      <c r="J691" s="7">
        <f t="shared" si="130"/>
        <v>5.3055534129377486</v>
      </c>
      <c r="K691" s="7">
        <f t="shared" si="131"/>
        <v>22.140506329113926</v>
      </c>
      <c r="L691" s="7">
        <f t="shared" si="132"/>
        <v>4.9144008395218908</v>
      </c>
      <c r="M691" s="7">
        <f t="shared" si="133"/>
        <v>10.069620253164556</v>
      </c>
      <c r="N691" s="7">
        <f t="shared" si="134"/>
        <v>2.1089377326145904</v>
      </c>
      <c r="O691" s="7">
        <f t="shared" si="135"/>
        <v>10.958227848101266</v>
      </c>
      <c r="P691" s="7">
        <f t="shared" si="136"/>
        <v>2.2883463843764797</v>
      </c>
      <c r="Q691" s="7">
        <f t="shared" si="137"/>
        <v>-0.50794639109448525</v>
      </c>
      <c r="R691" s="7">
        <f t="shared" si="138"/>
        <v>0.17489287075933599</v>
      </c>
      <c r="S691" s="7">
        <f t="shared" si="139"/>
        <v>-0.5071843689943738</v>
      </c>
      <c r="T691" s="7">
        <f t="shared" si="140"/>
        <v>-0.41874248349965643</v>
      </c>
      <c r="U691" s="7">
        <f t="shared" si="141"/>
        <v>-0.31474509320729488</v>
      </c>
    </row>
    <row r="692" spans="1:21" x14ac:dyDescent="0.25">
      <c r="A692" s="1" t="s">
        <v>1684</v>
      </c>
      <c r="B692" s="1" t="s">
        <v>36</v>
      </c>
      <c r="C692" s="1">
        <v>19</v>
      </c>
      <c r="D692" s="1">
        <v>16</v>
      </c>
      <c r="E692" s="1">
        <v>9</v>
      </c>
      <c r="F692" s="1">
        <v>14</v>
      </c>
      <c r="G692" s="1">
        <v>58</v>
      </c>
      <c r="H692" s="7">
        <v>0.66022529177352485</v>
      </c>
      <c r="I692" s="7">
        <f t="shared" si="142"/>
        <v>22.694936708860759</v>
      </c>
      <c r="J692" s="7">
        <f t="shared" si="130"/>
        <v>5.3055534129377486</v>
      </c>
      <c r="K692" s="7">
        <f t="shared" si="131"/>
        <v>22.140506329113926</v>
      </c>
      <c r="L692" s="7">
        <f t="shared" si="132"/>
        <v>4.9144008395218908</v>
      </c>
      <c r="M692" s="7">
        <f t="shared" si="133"/>
        <v>10.069620253164556</v>
      </c>
      <c r="N692" s="7">
        <f t="shared" si="134"/>
        <v>2.1089377326145904</v>
      </c>
      <c r="O692" s="7">
        <f t="shared" si="135"/>
        <v>10.958227848101266</v>
      </c>
      <c r="P692" s="7">
        <f t="shared" si="136"/>
        <v>2.2883463843764797</v>
      </c>
      <c r="Q692" s="7">
        <f t="shared" si="137"/>
        <v>-0.69642814260441643</v>
      </c>
      <c r="R692" s="7">
        <f t="shared" si="138"/>
        <v>-1.2494923653218568</v>
      </c>
      <c r="S692" s="7">
        <f t="shared" si="139"/>
        <v>-0.5071843689943738</v>
      </c>
      <c r="T692" s="7">
        <f t="shared" si="140"/>
        <v>1.3292446338833204</v>
      </c>
      <c r="U692" s="7">
        <f t="shared" si="141"/>
        <v>-0.28096506075933164</v>
      </c>
    </row>
    <row r="693" spans="1:21" x14ac:dyDescent="0.25">
      <c r="A693" s="1" t="s">
        <v>1684</v>
      </c>
      <c r="B693" s="1" t="s">
        <v>36</v>
      </c>
      <c r="C693" s="1">
        <v>13</v>
      </c>
      <c r="D693" s="1">
        <v>14</v>
      </c>
      <c r="E693" s="1">
        <v>7</v>
      </c>
      <c r="F693" s="1">
        <v>13</v>
      </c>
      <c r="G693" s="1">
        <v>47</v>
      </c>
      <c r="H693" s="7">
        <v>0.65044363558799068</v>
      </c>
      <c r="I693" s="7">
        <f t="shared" si="142"/>
        <v>22.694936708860759</v>
      </c>
      <c r="J693" s="7">
        <f t="shared" si="130"/>
        <v>5.3055534129377486</v>
      </c>
      <c r="K693" s="7">
        <f t="shared" si="131"/>
        <v>22.140506329113926</v>
      </c>
      <c r="L693" s="7">
        <f t="shared" si="132"/>
        <v>4.9144008395218908</v>
      </c>
      <c r="M693" s="7">
        <f t="shared" si="133"/>
        <v>10.069620253164556</v>
      </c>
      <c r="N693" s="7">
        <f t="shared" si="134"/>
        <v>2.1089377326145904</v>
      </c>
      <c r="O693" s="7">
        <f t="shared" si="135"/>
        <v>10.958227848101266</v>
      </c>
      <c r="P693" s="7">
        <f t="shared" si="136"/>
        <v>2.2883463843764797</v>
      </c>
      <c r="Q693" s="7">
        <f t="shared" si="137"/>
        <v>-1.8273186516640034</v>
      </c>
      <c r="R693" s="7">
        <f t="shared" si="138"/>
        <v>-1.656459575630769</v>
      </c>
      <c r="S693" s="7">
        <f t="shared" si="139"/>
        <v>-1.4555291062856295</v>
      </c>
      <c r="T693" s="7">
        <f t="shared" si="140"/>
        <v>0.89224785453757616</v>
      </c>
      <c r="U693" s="7">
        <f t="shared" si="141"/>
        <v>-1.0117648697607065</v>
      </c>
    </row>
    <row r="694" spans="1:21" x14ac:dyDescent="0.25">
      <c r="A694" s="1" t="s">
        <v>1684</v>
      </c>
      <c r="B694" s="1" t="s">
        <v>36</v>
      </c>
      <c r="C694" s="1">
        <v>18</v>
      </c>
      <c r="D694" s="1">
        <v>24</v>
      </c>
      <c r="E694" s="1">
        <v>9</v>
      </c>
      <c r="F694" s="1">
        <v>12</v>
      </c>
      <c r="G694" s="1">
        <v>63</v>
      </c>
      <c r="H694" s="7">
        <v>1.214231845389905</v>
      </c>
      <c r="I694" s="7">
        <f t="shared" si="142"/>
        <v>22.694936708860759</v>
      </c>
      <c r="J694" s="7">
        <f t="shared" si="130"/>
        <v>5.3055534129377486</v>
      </c>
      <c r="K694" s="7">
        <f t="shared" si="131"/>
        <v>22.140506329113926</v>
      </c>
      <c r="L694" s="7">
        <f t="shared" si="132"/>
        <v>4.9144008395218908</v>
      </c>
      <c r="M694" s="7">
        <f t="shared" si="133"/>
        <v>10.069620253164556</v>
      </c>
      <c r="N694" s="7">
        <f t="shared" si="134"/>
        <v>2.1089377326145904</v>
      </c>
      <c r="O694" s="7">
        <f t="shared" si="135"/>
        <v>10.958227848101266</v>
      </c>
      <c r="P694" s="7">
        <f t="shared" si="136"/>
        <v>2.2883463843764797</v>
      </c>
      <c r="Q694" s="7">
        <f t="shared" si="137"/>
        <v>-0.88490989411434762</v>
      </c>
      <c r="R694" s="7">
        <f t="shared" si="138"/>
        <v>0.37837647591379209</v>
      </c>
      <c r="S694" s="7">
        <f t="shared" si="139"/>
        <v>-0.5071843689943738</v>
      </c>
      <c r="T694" s="7">
        <f t="shared" si="140"/>
        <v>0.45525107519183194</v>
      </c>
      <c r="U694" s="7">
        <f t="shared" si="141"/>
        <v>-0.13961667800077437</v>
      </c>
    </row>
    <row r="695" spans="1:21" x14ac:dyDescent="0.25">
      <c r="A695" s="1" t="s">
        <v>1684</v>
      </c>
      <c r="B695" s="1" t="s">
        <v>36</v>
      </c>
      <c r="C695" s="1">
        <v>22</v>
      </c>
      <c r="D695" s="1">
        <v>20</v>
      </c>
      <c r="E695" s="1">
        <v>10</v>
      </c>
      <c r="F695" s="1">
        <v>15</v>
      </c>
      <c r="G695" s="1">
        <v>67</v>
      </c>
      <c r="H695" s="7">
        <v>0.89871703427291716</v>
      </c>
      <c r="I695" s="7">
        <f t="shared" si="142"/>
        <v>22.694936708860759</v>
      </c>
      <c r="J695" s="7">
        <f t="shared" si="130"/>
        <v>5.3055534129377486</v>
      </c>
      <c r="K695" s="7">
        <f t="shared" si="131"/>
        <v>22.140506329113926</v>
      </c>
      <c r="L695" s="7">
        <f t="shared" si="132"/>
        <v>4.9144008395218908</v>
      </c>
      <c r="M695" s="7">
        <f t="shared" si="133"/>
        <v>10.069620253164556</v>
      </c>
      <c r="N695" s="7">
        <f t="shared" si="134"/>
        <v>2.1089377326145904</v>
      </c>
      <c r="O695" s="7">
        <f t="shared" si="135"/>
        <v>10.958227848101266</v>
      </c>
      <c r="P695" s="7">
        <f t="shared" si="136"/>
        <v>2.2883463843764797</v>
      </c>
      <c r="Q695" s="7">
        <f t="shared" si="137"/>
        <v>-0.13098288807462291</v>
      </c>
      <c r="R695" s="7">
        <f t="shared" si="138"/>
        <v>-0.43555794470403231</v>
      </c>
      <c r="S695" s="7">
        <f t="shared" si="139"/>
        <v>-3.3012000348745997E-2</v>
      </c>
      <c r="T695" s="7">
        <f t="shared" si="140"/>
        <v>1.7662414132290645</v>
      </c>
      <c r="U695" s="7">
        <f t="shared" si="141"/>
        <v>0.29167214502541583</v>
      </c>
    </row>
    <row r="696" spans="1:21" x14ac:dyDescent="0.25">
      <c r="A696" s="1" t="s">
        <v>1684</v>
      </c>
      <c r="B696" s="1" t="s">
        <v>36</v>
      </c>
      <c r="C696" s="1">
        <v>17</v>
      </c>
      <c r="D696" s="1">
        <v>22</v>
      </c>
      <c r="E696" s="1">
        <v>8</v>
      </c>
      <c r="F696" s="1">
        <v>14</v>
      </c>
      <c r="G696" s="1">
        <v>61</v>
      </c>
      <c r="H696" s="7">
        <v>0.94733093343134178</v>
      </c>
      <c r="I696" s="7">
        <f t="shared" si="142"/>
        <v>22.694936708860759</v>
      </c>
      <c r="J696" s="7">
        <f t="shared" si="130"/>
        <v>5.3055534129377486</v>
      </c>
      <c r="K696" s="7">
        <f t="shared" si="131"/>
        <v>22.140506329113926</v>
      </c>
      <c r="L696" s="7">
        <f t="shared" si="132"/>
        <v>4.9144008395218908</v>
      </c>
      <c r="M696" s="7">
        <f t="shared" si="133"/>
        <v>10.069620253164556</v>
      </c>
      <c r="N696" s="7">
        <f t="shared" si="134"/>
        <v>2.1089377326145904</v>
      </c>
      <c r="O696" s="7">
        <f t="shared" si="135"/>
        <v>10.958227848101266</v>
      </c>
      <c r="P696" s="7">
        <f t="shared" si="136"/>
        <v>2.2883463843764797</v>
      </c>
      <c r="Q696" s="7">
        <f t="shared" si="137"/>
        <v>-1.0733916456242787</v>
      </c>
      <c r="R696" s="7">
        <f t="shared" si="138"/>
        <v>-2.8590734395120113E-2</v>
      </c>
      <c r="S696" s="7">
        <f t="shared" si="139"/>
        <v>-0.98135673764000164</v>
      </c>
      <c r="T696" s="7">
        <f t="shared" si="140"/>
        <v>1.3292446338833204</v>
      </c>
      <c r="U696" s="7">
        <f t="shared" si="141"/>
        <v>-0.18852362094402003</v>
      </c>
    </row>
    <row r="697" spans="1:21" x14ac:dyDescent="0.25">
      <c r="A697" s="1" t="s">
        <v>1684</v>
      </c>
      <c r="B697" s="1" t="s">
        <v>36</v>
      </c>
      <c r="C697" s="1">
        <v>14</v>
      </c>
      <c r="D697" s="1">
        <v>16</v>
      </c>
      <c r="E697" s="1">
        <v>7</v>
      </c>
      <c r="F697" s="1">
        <v>11</v>
      </c>
      <c r="G697" s="1">
        <v>48</v>
      </c>
      <c r="H697" s="7">
        <v>0.63042517195611525</v>
      </c>
      <c r="I697" s="7">
        <f t="shared" si="142"/>
        <v>22.694936708860759</v>
      </c>
      <c r="J697" s="7">
        <f t="shared" si="130"/>
        <v>5.3055534129377486</v>
      </c>
      <c r="K697" s="7">
        <f t="shared" si="131"/>
        <v>22.140506329113926</v>
      </c>
      <c r="L697" s="7">
        <f t="shared" si="132"/>
        <v>4.9144008395218908</v>
      </c>
      <c r="M697" s="7">
        <f t="shared" si="133"/>
        <v>10.069620253164556</v>
      </c>
      <c r="N697" s="7">
        <f t="shared" si="134"/>
        <v>2.1089377326145904</v>
      </c>
      <c r="O697" s="7">
        <f t="shared" si="135"/>
        <v>10.958227848101266</v>
      </c>
      <c r="P697" s="7">
        <f t="shared" si="136"/>
        <v>2.2883463843764797</v>
      </c>
      <c r="Q697" s="7">
        <f t="shared" si="137"/>
        <v>-1.6388369001540724</v>
      </c>
      <c r="R697" s="7">
        <f t="shared" si="138"/>
        <v>-1.2494923653218568</v>
      </c>
      <c r="S697" s="7">
        <f t="shared" si="139"/>
        <v>-1.4555291062856295</v>
      </c>
      <c r="T697" s="7">
        <f t="shared" si="140"/>
        <v>1.8254295846087756E-2</v>
      </c>
      <c r="U697" s="7">
        <f t="shared" si="141"/>
        <v>-1.0814010189788676</v>
      </c>
    </row>
    <row r="698" spans="1:21" x14ac:dyDescent="0.25">
      <c r="A698" s="1" t="s">
        <v>1684</v>
      </c>
      <c r="B698" s="1" t="s">
        <v>36</v>
      </c>
      <c r="C698" s="1">
        <v>22</v>
      </c>
      <c r="D698" s="1">
        <v>20</v>
      </c>
      <c r="E698" s="1">
        <v>10</v>
      </c>
      <c r="F698" s="1">
        <v>13</v>
      </c>
      <c r="G698" s="1">
        <v>65</v>
      </c>
      <c r="H698" s="7">
        <v>0.81649658092772581</v>
      </c>
      <c r="I698" s="7">
        <f t="shared" si="142"/>
        <v>22.694936708860759</v>
      </c>
      <c r="J698" s="7">
        <f t="shared" si="130"/>
        <v>5.3055534129377486</v>
      </c>
      <c r="K698" s="7">
        <f t="shared" si="131"/>
        <v>22.140506329113926</v>
      </c>
      <c r="L698" s="7">
        <f t="shared" si="132"/>
        <v>4.9144008395218908</v>
      </c>
      <c r="M698" s="7">
        <f t="shared" si="133"/>
        <v>10.069620253164556</v>
      </c>
      <c r="N698" s="7">
        <f t="shared" si="134"/>
        <v>2.1089377326145904</v>
      </c>
      <c r="O698" s="7">
        <f t="shared" si="135"/>
        <v>10.958227848101266</v>
      </c>
      <c r="P698" s="7">
        <f t="shared" si="136"/>
        <v>2.2883463843764797</v>
      </c>
      <c r="Q698" s="7">
        <f t="shared" si="137"/>
        <v>-0.13098288807462291</v>
      </c>
      <c r="R698" s="7">
        <f t="shared" si="138"/>
        <v>-0.43555794470403231</v>
      </c>
      <c r="S698" s="7">
        <f t="shared" si="139"/>
        <v>-3.3012000348745997E-2</v>
      </c>
      <c r="T698" s="7">
        <f t="shared" si="140"/>
        <v>0.89224785453757616</v>
      </c>
      <c r="U698" s="7">
        <f t="shared" si="141"/>
        <v>7.3173755352543751E-2</v>
      </c>
    </row>
    <row r="699" spans="1:21" x14ac:dyDescent="0.25">
      <c r="A699" s="1" t="s">
        <v>1685</v>
      </c>
      <c r="B699" s="1" t="s">
        <v>36</v>
      </c>
      <c r="C699" s="1">
        <v>11</v>
      </c>
      <c r="D699" s="1">
        <v>16</v>
      </c>
      <c r="E699" s="1">
        <v>6</v>
      </c>
      <c r="F699" s="1">
        <v>10</v>
      </c>
      <c r="G699" s="1">
        <v>43</v>
      </c>
      <c r="H699" s="7">
        <v>1.2506408613597126</v>
      </c>
      <c r="I699" s="7">
        <f t="shared" si="142"/>
        <v>22.694936708860759</v>
      </c>
      <c r="J699" s="7">
        <f t="shared" si="130"/>
        <v>5.3055534129377486</v>
      </c>
      <c r="K699" s="7">
        <f t="shared" si="131"/>
        <v>22.140506329113926</v>
      </c>
      <c r="L699" s="7">
        <f t="shared" si="132"/>
        <v>4.9144008395218908</v>
      </c>
      <c r="M699" s="7">
        <f t="shared" si="133"/>
        <v>10.069620253164556</v>
      </c>
      <c r="N699" s="7">
        <f t="shared" si="134"/>
        <v>2.1089377326145904</v>
      </c>
      <c r="O699" s="7">
        <f t="shared" si="135"/>
        <v>10.958227848101266</v>
      </c>
      <c r="P699" s="7">
        <f t="shared" si="136"/>
        <v>2.2883463843764797</v>
      </c>
      <c r="Q699" s="7">
        <f t="shared" si="137"/>
        <v>-2.2042821546838658</v>
      </c>
      <c r="R699" s="7">
        <f t="shared" si="138"/>
        <v>-1.2494923653218568</v>
      </c>
      <c r="S699" s="7">
        <f t="shared" si="139"/>
        <v>-1.9297014749312573</v>
      </c>
      <c r="T699" s="7">
        <f t="shared" si="140"/>
        <v>-0.41874248349965643</v>
      </c>
      <c r="U699" s="7">
        <f t="shared" si="141"/>
        <v>-1.450554619609159</v>
      </c>
    </row>
    <row r="700" spans="1:21" x14ac:dyDescent="0.25">
      <c r="A700" s="1" t="s">
        <v>1685</v>
      </c>
      <c r="B700" s="1" t="s">
        <v>36</v>
      </c>
      <c r="C700" s="1">
        <v>21</v>
      </c>
      <c r="D700" s="1">
        <v>25</v>
      </c>
      <c r="E700" s="1">
        <v>9</v>
      </c>
      <c r="F700" s="1">
        <v>9</v>
      </c>
      <c r="G700" s="1">
        <v>64</v>
      </c>
      <c r="H700" s="7">
        <v>1.497861723788195</v>
      </c>
      <c r="I700" s="7">
        <f t="shared" si="142"/>
        <v>22.694936708860759</v>
      </c>
      <c r="J700" s="7">
        <f t="shared" si="130"/>
        <v>5.3055534129377486</v>
      </c>
      <c r="K700" s="7">
        <f t="shared" si="131"/>
        <v>22.140506329113926</v>
      </c>
      <c r="L700" s="7">
        <f t="shared" si="132"/>
        <v>4.9144008395218908</v>
      </c>
      <c r="M700" s="7">
        <f t="shared" si="133"/>
        <v>10.069620253164556</v>
      </c>
      <c r="N700" s="7">
        <f t="shared" si="134"/>
        <v>2.1089377326145904</v>
      </c>
      <c r="O700" s="7">
        <f t="shared" si="135"/>
        <v>10.958227848101266</v>
      </c>
      <c r="P700" s="7">
        <f t="shared" si="136"/>
        <v>2.2883463843764797</v>
      </c>
      <c r="Q700" s="7">
        <f t="shared" si="137"/>
        <v>-0.31946463958455407</v>
      </c>
      <c r="R700" s="7">
        <f t="shared" si="138"/>
        <v>0.58186008106824816</v>
      </c>
      <c r="S700" s="7">
        <f t="shared" si="139"/>
        <v>-0.5071843689943738</v>
      </c>
      <c r="T700" s="7">
        <f t="shared" si="140"/>
        <v>-0.85573926284540058</v>
      </c>
      <c r="U700" s="7">
        <f t="shared" si="141"/>
        <v>-0.2751320475890201</v>
      </c>
    </row>
    <row r="701" spans="1:21" x14ac:dyDescent="0.25">
      <c r="A701" s="1" t="s">
        <v>1685</v>
      </c>
      <c r="B701" s="1" t="s">
        <v>36</v>
      </c>
      <c r="C701" s="1">
        <v>23</v>
      </c>
      <c r="D701" s="1">
        <v>20</v>
      </c>
      <c r="E701" s="1">
        <v>13</v>
      </c>
      <c r="F701" s="1">
        <v>12</v>
      </c>
      <c r="G701" s="1">
        <v>68</v>
      </c>
      <c r="H701" s="7">
        <v>1.3008872711759816</v>
      </c>
      <c r="I701" s="7">
        <f t="shared" si="142"/>
        <v>22.694936708860759</v>
      </c>
      <c r="J701" s="7">
        <f t="shared" si="130"/>
        <v>5.3055534129377486</v>
      </c>
      <c r="K701" s="7">
        <f t="shared" si="131"/>
        <v>22.140506329113926</v>
      </c>
      <c r="L701" s="7">
        <f t="shared" si="132"/>
        <v>4.9144008395218908</v>
      </c>
      <c r="M701" s="7">
        <f t="shared" si="133"/>
        <v>10.069620253164556</v>
      </c>
      <c r="N701" s="7">
        <f t="shared" si="134"/>
        <v>2.1089377326145904</v>
      </c>
      <c r="O701" s="7">
        <f t="shared" si="135"/>
        <v>10.958227848101266</v>
      </c>
      <c r="P701" s="7">
        <f t="shared" si="136"/>
        <v>2.2883463843764797</v>
      </c>
      <c r="Q701" s="7">
        <f t="shared" si="137"/>
        <v>5.7498863435308259E-2</v>
      </c>
      <c r="R701" s="7">
        <f t="shared" si="138"/>
        <v>-0.43555794470403231</v>
      </c>
      <c r="S701" s="7">
        <f t="shared" si="139"/>
        <v>1.3895051055881373</v>
      </c>
      <c r="T701" s="7">
        <f t="shared" si="140"/>
        <v>0.45525107519183194</v>
      </c>
      <c r="U701" s="7">
        <f t="shared" si="141"/>
        <v>0.36667427487781129</v>
      </c>
    </row>
    <row r="702" spans="1:21" x14ac:dyDescent="0.25">
      <c r="A702" s="1" t="s">
        <v>1685</v>
      </c>
      <c r="B702" s="1" t="s">
        <v>36</v>
      </c>
      <c r="C702" s="1">
        <v>18</v>
      </c>
      <c r="D702" s="1">
        <v>14</v>
      </c>
      <c r="E702" s="1">
        <v>5</v>
      </c>
      <c r="F702" s="1">
        <v>12</v>
      </c>
      <c r="G702" s="1">
        <v>49</v>
      </c>
      <c r="H702" s="7">
        <v>1.2351684199496948</v>
      </c>
      <c r="I702" s="7">
        <f t="shared" si="142"/>
        <v>22.694936708860759</v>
      </c>
      <c r="J702" s="7">
        <f t="shared" si="130"/>
        <v>5.3055534129377486</v>
      </c>
      <c r="K702" s="7">
        <f t="shared" si="131"/>
        <v>22.140506329113926</v>
      </c>
      <c r="L702" s="7">
        <f t="shared" si="132"/>
        <v>4.9144008395218908</v>
      </c>
      <c r="M702" s="7">
        <f t="shared" si="133"/>
        <v>10.069620253164556</v>
      </c>
      <c r="N702" s="7">
        <f t="shared" si="134"/>
        <v>2.1089377326145904</v>
      </c>
      <c r="O702" s="7">
        <f t="shared" si="135"/>
        <v>10.958227848101266</v>
      </c>
      <c r="P702" s="7">
        <f t="shared" si="136"/>
        <v>2.2883463843764797</v>
      </c>
      <c r="Q702" s="7">
        <f t="shared" si="137"/>
        <v>-0.88490989411434762</v>
      </c>
      <c r="R702" s="7">
        <f t="shared" si="138"/>
        <v>-1.656459575630769</v>
      </c>
      <c r="S702" s="7">
        <f t="shared" si="139"/>
        <v>-2.4038738435768852</v>
      </c>
      <c r="T702" s="7">
        <f t="shared" si="140"/>
        <v>0.45525107519183194</v>
      </c>
      <c r="U702" s="7">
        <f t="shared" si="141"/>
        <v>-1.1224980595325424</v>
      </c>
    </row>
    <row r="703" spans="1:21" x14ac:dyDescent="0.25">
      <c r="A703" s="1" t="s">
        <v>1685</v>
      </c>
      <c r="B703" s="1" t="s">
        <v>36</v>
      </c>
      <c r="C703" s="1">
        <v>24</v>
      </c>
      <c r="D703" s="1">
        <v>27</v>
      </c>
      <c r="E703" s="1">
        <v>12</v>
      </c>
      <c r="F703" s="1">
        <v>14</v>
      </c>
      <c r="G703" s="1">
        <v>77</v>
      </c>
      <c r="H703" s="7">
        <v>1.1875421719907087</v>
      </c>
      <c r="I703" s="7">
        <f t="shared" si="142"/>
        <v>22.694936708860759</v>
      </c>
      <c r="J703" s="7">
        <f t="shared" si="130"/>
        <v>5.3055534129377486</v>
      </c>
      <c r="K703" s="7">
        <f t="shared" si="131"/>
        <v>22.140506329113926</v>
      </c>
      <c r="L703" s="7">
        <f t="shared" si="132"/>
        <v>4.9144008395218908</v>
      </c>
      <c r="M703" s="7">
        <f t="shared" si="133"/>
        <v>10.069620253164556</v>
      </c>
      <c r="N703" s="7">
        <f t="shared" si="134"/>
        <v>2.1089377326145904</v>
      </c>
      <c r="O703" s="7">
        <f t="shared" si="135"/>
        <v>10.958227848101266</v>
      </c>
      <c r="P703" s="7">
        <f t="shared" si="136"/>
        <v>2.2883463843764797</v>
      </c>
      <c r="Q703" s="7">
        <f t="shared" si="137"/>
        <v>0.24598061494523943</v>
      </c>
      <c r="R703" s="7">
        <f t="shared" si="138"/>
        <v>0.98882729137716041</v>
      </c>
      <c r="S703" s="7">
        <f t="shared" si="139"/>
        <v>0.91533273694250961</v>
      </c>
      <c r="T703" s="7">
        <f t="shared" si="140"/>
        <v>1.3292446338833204</v>
      </c>
      <c r="U703" s="7">
        <f t="shared" si="141"/>
        <v>0.86984631928705736</v>
      </c>
    </row>
    <row r="704" spans="1:21" x14ac:dyDescent="0.25">
      <c r="A704" s="1" t="s">
        <v>1685</v>
      </c>
      <c r="B704" s="1" t="s">
        <v>36</v>
      </c>
      <c r="C704" s="1">
        <v>27</v>
      </c>
      <c r="D704" s="1">
        <v>27</v>
      </c>
      <c r="E704" s="1">
        <v>13</v>
      </c>
      <c r="F704" s="1">
        <v>15</v>
      </c>
      <c r="G704" s="1">
        <v>82</v>
      </c>
      <c r="H704" s="7">
        <v>1.315587028960544</v>
      </c>
      <c r="I704" s="7">
        <f t="shared" si="142"/>
        <v>22.694936708860759</v>
      </c>
      <c r="J704" s="7">
        <f t="shared" si="130"/>
        <v>5.3055534129377486</v>
      </c>
      <c r="K704" s="7">
        <f t="shared" si="131"/>
        <v>22.140506329113926</v>
      </c>
      <c r="L704" s="7">
        <f t="shared" si="132"/>
        <v>4.9144008395218908</v>
      </c>
      <c r="M704" s="7">
        <f t="shared" si="133"/>
        <v>10.069620253164556</v>
      </c>
      <c r="N704" s="7">
        <f t="shared" si="134"/>
        <v>2.1089377326145904</v>
      </c>
      <c r="O704" s="7">
        <f t="shared" si="135"/>
        <v>10.958227848101266</v>
      </c>
      <c r="P704" s="7">
        <f t="shared" si="136"/>
        <v>2.2883463843764797</v>
      </c>
      <c r="Q704" s="7">
        <f t="shared" si="137"/>
        <v>0.81142586947503292</v>
      </c>
      <c r="R704" s="7">
        <f t="shared" si="138"/>
        <v>0.98882729137716041</v>
      </c>
      <c r="S704" s="7">
        <f t="shared" si="139"/>
        <v>1.3895051055881373</v>
      </c>
      <c r="T704" s="7">
        <f t="shared" si="140"/>
        <v>1.7662414132290645</v>
      </c>
      <c r="U704" s="7">
        <f t="shared" si="141"/>
        <v>1.2389999199173487</v>
      </c>
    </row>
    <row r="705" spans="1:21" x14ac:dyDescent="0.25">
      <c r="A705" s="1" t="s">
        <v>1685</v>
      </c>
      <c r="B705" s="1" t="s">
        <v>36</v>
      </c>
      <c r="C705" s="1">
        <v>26</v>
      </c>
      <c r="D705" s="1">
        <v>23</v>
      </c>
      <c r="E705" s="1">
        <v>12</v>
      </c>
      <c r="F705" s="1">
        <v>12</v>
      </c>
      <c r="G705" s="1">
        <v>73</v>
      </c>
      <c r="H705" s="7">
        <v>1.3867504905630728</v>
      </c>
      <c r="I705" s="7">
        <f t="shared" si="142"/>
        <v>22.694936708860759</v>
      </c>
      <c r="J705" s="7">
        <f t="shared" si="130"/>
        <v>5.3055534129377486</v>
      </c>
      <c r="K705" s="7">
        <f t="shared" si="131"/>
        <v>22.140506329113926</v>
      </c>
      <c r="L705" s="7">
        <f t="shared" si="132"/>
        <v>4.9144008395218908</v>
      </c>
      <c r="M705" s="7">
        <f t="shared" si="133"/>
        <v>10.069620253164556</v>
      </c>
      <c r="N705" s="7">
        <f t="shared" si="134"/>
        <v>2.1089377326145904</v>
      </c>
      <c r="O705" s="7">
        <f t="shared" si="135"/>
        <v>10.958227848101266</v>
      </c>
      <c r="P705" s="7">
        <f t="shared" si="136"/>
        <v>2.2883463843764797</v>
      </c>
      <c r="Q705" s="7">
        <f t="shared" si="137"/>
        <v>0.62294411796510174</v>
      </c>
      <c r="R705" s="7">
        <f t="shared" si="138"/>
        <v>0.17489287075933599</v>
      </c>
      <c r="S705" s="7">
        <f t="shared" si="139"/>
        <v>0.91533273694250961</v>
      </c>
      <c r="T705" s="7">
        <f t="shared" si="140"/>
        <v>0.45525107519183194</v>
      </c>
      <c r="U705" s="7">
        <f t="shared" si="141"/>
        <v>0.54210520021469488</v>
      </c>
    </row>
    <row r="706" spans="1:21" x14ac:dyDescent="0.25">
      <c r="A706" s="1" t="s">
        <v>1685</v>
      </c>
      <c r="B706" s="1" t="s">
        <v>36</v>
      </c>
      <c r="C706" s="1">
        <v>23</v>
      </c>
      <c r="D706" s="1">
        <v>24</v>
      </c>
      <c r="E706" s="1">
        <v>10</v>
      </c>
      <c r="F706" s="1">
        <v>12</v>
      </c>
      <c r="G706" s="1">
        <v>69</v>
      </c>
      <c r="H706" s="7">
        <v>1.3155870289605438</v>
      </c>
      <c r="I706" s="7">
        <f t="shared" si="142"/>
        <v>22.694936708860759</v>
      </c>
      <c r="J706" s="7">
        <f t="shared" si="130"/>
        <v>5.3055534129377486</v>
      </c>
      <c r="K706" s="7">
        <f t="shared" si="131"/>
        <v>22.140506329113926</v>
      </c>
      <c r="L706" s="7">
        <f t="shared" si="132"/>
        <v>4.9144008395218908</v>
      </c>
      <c r="M706" s="7">
        <f t="shared" si="133"/>
        <v>10.069620253164556</v>
      </c>
      <c r="N706" s="7">
        <f t="shared" si="134"/>
        <v>2.1089377326145904</v>
      </c>
      <c r="O706" s="7">
        <f t="shared" si="135"/>
        <v>10.958227848101266</v>
      </c>
      <c r="P706" s="7">
        <f t="shared" si="136"/>
        <v>2.2883463843764797</v>
      </c>
      <c r="Q706" s="7">
        <f t="shared" si="137"/>
        <v>5.7498863435308259E-2</v>
      </c>
      <c r="R706" s="7">
        <f t="shared" si="138"/>
        <v>0.37837647591379209</v>
      </c>
      <c r="S706" s="7">
        <f t="shared" si="139"/>
        <v>-3.3012000348745997E-2</v>
      </c>
      <c r="T706" s="7">
        <f t="shared" si="140"/>
        <v>0.45525107519183194</v>
      </c>
      <c r="U706" s="7">
        <f t="shared" si="141"/>
        <v>0.21452860354804656</v>
      </c>
    </row>
    <row r="707" spans="1:21" x14ac:dyDescent="0.25">
      <c r="A707" s="1" t="s">
        <v>1685</v>
      </c>
      <c r="B707" s="1" t="s">
        <v>36</v>
      </c>
      <c r="C707" s="1">
        <v>22</v>
      </c>
      <c r="D707" s="1">
        <v>21</v>
      </c>
      <c r="E707" s="1">
        <v>9</v>
      </c>
      <c r="F707" s="1">
        <v>9</v>
      </c>
      <c r="G707" s="1">
        <v>61</v>
      </c>
      <c r="H707" s="7">
        <v>1.4935759876113537</v>
      </c>
      <c r="I707" s="7">
        <f t="shared" si="142"/>
        <v>22.694936708860759</v>
      </c>
      <c r="J707" s="7">
        <f t="shared" ref="J707:J770" si="143">_xlfn.STDEV.S(C:C)</f>
        <v>5.3055534129377486</v>
      </c>
      <c r="K707" s="7">
        <f t="shared" ref="K707:K770" si="144">AVERAGE(D:D)</f>
        <v>22.140506329113926</v>
      </c>
      <c r="L707" s="7">
        <f t="shared" ref="L707:L770" si="145">_xlfn.STDEV.S(D:D)</f>
        <v>4.9144008395218908</v>
      </c>
      <c r="M707" s="7">
        <f t="shared" ref="M707:M770" si="146">AVERAGE(E:E)</f>
        <v>10.069620253164556</v>
      </c>
      <c r="N707" s="7">
        <f t="shared" ref="N707:N770" si="147">_xlfn.STDEV.S(E:E)</f>
        <v>2.1089377326145904</v>
      </c>
      <c r="O707" s="7">
        <f t="shared" ref="O707:O770" si="148">AVERAGE(F:F)</f>
        <v>10.958227848101266</v>
      </c>
      <c r="P707" s="7">
        <f t="shared" ref="P707:P770" si="149">_xlfn.STDEV.S(F:F)</f>
        <v>2.2883463843764797</v>
      </c>
      <c r="Q707" s="7">
        <f t="shared" ref="Q707:Q770" si="150">STANDARDIZE(C707,I707,J707)</f>
        <v>-0.13098288807462291</v>
      </c>
      <c r="R707" s="7">
        <f t="shared" ref="R707:R770" si="151">STANDARDIZE(D707,K707,L707)</f>
        <v>-0.23207433954957621</v>
      </c>
      <c r="S707" s="7">
        <f t="shared" ref="S707:S770" si="152">STANDARDIZE(E707,M707,N707)</f>
        <v>-0.5071843689943738</v>
      </c>
      <c r="T707" s="7">
        <f t="shared" ref="T707:T770" si="153">STANDARDIZE(F707,O707,P707)</f>
        <v>-0.85573926284540058</v>
      </c>
      <c r="U707" s="7">
        <f t="shared" ref="U707:U770" si="154">AVERAGE(Q707:T707)</f>
        <v>-0.4314952148659934</v>
      </c>
    </row>
    <row r="708" spans="1:21" x14ac:dyDescent="0.25">
      <c r="A708" s="1" t="s">
        <v>1685</v>
      </c>
      <c r="B708" s="1" t="s">
        <v>36</v>
      </c>
      <c r="C708" s="1">
        <v>26</v>
      </c>
      <c r="D708" s="1">
        <v>23</v>
      </c>
      <c r="E708" s="1">
        <v>9</v>
      </c>
      <c r="F708" s="1">
        <v>11</v>
      </c>
      <c r="G708" s="1">
        <v>69</v>
      </c>
      <c r="H708" s="7">
        <v>1.8432134703923735</v>
      </c>
      <c r="I708" s="7">
        <f t="shared" ref="I708:I771" si="155">AVERAGE(C:C)</f>
        <v>22.694936708860759</v>
      </c>
      <c r="J708" s="7">
        <f t="shared" si="143"/>
        <v>5.3055534129377486</v>
      </c>
      <c r="K708" s="7">
        <f t="shared" si="144"/>
        <v>22.140506329113926</v>
      </c>
      <c r="L708" s="7">
        <f t="shared" si="145"/>
        <v>4.9144008395218908</v>
      </c>
      <c r="M708" s="7">
        <f t="shared" si="146"/>
        <v>10.069620253164556</v>
      </c>
      <c r="N708" s="7">
        <f t="shared" si="147"/>
        <v>2.1089377326145904</v>
      </c>
      <c r="O708" s="7">
        <f t="shared" si="148"/>
        <v>10.958227848101266</v>
      </c>
      <c r="P708" s="7">
        <f t="shared" si="149"/>
        <v>2.2883463843764797</v>
      </c>
      <c r="Q708" s="7">
        <f t="shared" si="150"/>
        <v>0.62294411796510174</v>
      </c>
      <c r="R708" s="7">
        <f t="shared" si="151"/>
        <v>0.17489287075933599</v>
      </c>
      <c r="S708" s="7">
        <f t="shared" si="152"/>
        <v>-0.5071843689943738</v>
      </c>
      <c r="T708" s="7">
        <f t="shared" si="153"/>
        <v>1.8254295846087756E-2</v>
      </c>
      <c r="U708" s="7">
        <f t="shared" si="154"/>
        <v>7.7226728894037922E-2</v>
      </c>
    </row>
    <row r="709" spans="1:21" x14ac:dyDescent="0.25">
      <c r="A709" s="1" t="s">
        <v>1685</v>
      </c>
      <c r="B709" s="1" t="s">
        <v>36</v>
      </c>
      <c r="C709" s="1">
        <v>27</v>
      </c>
      <c r="D709" s="1">
        <v>26</v>
      </c>
      <c r="E709" s="1">
        <v>11</v>
      </c>
      <c r="F709" s="1">
        <v>10</v>
      </c>
      <c r="G709" s="1">
        <v>74</v>
      </c>
      <c r="H709" s="7">
        <v>1.9315199276138031</v>
      </c>
      <c r="I709" s="7">
        <f t="shared" si="155"/>
        <v>22.694936708860759</v>
      </c>
      <c r="J709" s="7">
        <f t="shared" si="143"/>
        <v>5.3055534129377486</v>
      </c>
      <c r="K709" s="7">
        <f t="shared" si="144"/>
        <v>22.140506329113926</v>
      </c>
      <c r="L709" s="7">
        <f t="shared" si="145"/>
        <v>4.9144008395218908</v>
      </c>
      <c r="M709" s="7">
        <f t="shared" si="146"/>
        <v>10.069620253164556</v>
      </c>
      <c r="N709" s="7">
        <f t="shared" si="147"/>
        <v>2.1089377326145904</v>
      </c>
      <c r="O709" s="7">
        <f t="shared" si="148"/>
        <v>10.958227848101266</v>
      </c>
      <c r="P709" s="7">
        <f t="shared" si="149"/>
        <v>2.2883463843764797</v>
      </c>
      <c r="Q709" s="7">
        <f t="shared" si="150"/>
        <v>0.81142586947503292</v>
      </c>
      <c r="R709" s="7">
        <f t="shared" si="151"/>
        <v>0.78534368622270434</v>
      </c>
      <c r="S709" s="7">
        <f t="shared" si="152"/>
        <v>0.44116036829688182</v>
      </c>
      <c r="T709" s="7">
        <f t="shared" si="153"/>
        <v>-0.41874248349965643</v>
      </c>
      <c r="U709" s="7">
        <f t="shared" si="154"/>
        <v>0.40479686012374066</v>
      </c>
    </row>
    <row r="710" spans="1:21" x14ac:dyDescent="0.25">
      <c r="A710" s="1" t="s">
        <v>1685</v>
      </c>
      <c r="B710" s="1" t="s">
        <v>36</v>
      </c>
      <c r="C710" s="1">
        <v>23</v>
      </c>
      <c r="D710" s="1">
        <v>22</v>
      </c>
      <c r="E710" s="1">
        <v>10</v>
      </c>
      <c r="F710" s="1">
        <v>7</v>
      </c>
      <c r="G710" s="1">
        <v>62</v>
      </c>
      <c r="H710" s="7">
        <v>1.9644272343292224</v>
      </c>
      <c r="I710" s="7">
        <f t="shared" si="155"/>
        <v>22.694936708860759</v>
      </c>
      <c r="J710" s="7">
        <f t="shared" si="143"/>
        <v>5.3055534129377486</v>
      </c>
      <c r="K710" s="7">
        <f t="shared" si="144"/>
        <v>22.140506329113926</v>
      </c>
      <c r="L710" s="7">
        <f t="shared" si="145"/>
        <v>4.9144008395218908</v>
      </c>
      <c r="M710" s="7">
        <f t="shared" si="146"/>
        <v>10.069620253164556</v>
      </c>
      <c r="N710" s="7">
        <f t="shared" si="147"/>
        <v>2.1089377326145904</v>
      </c>
      <c r="O710" s="7">
        <f t="shared" si="148"/>
        <v>10.958227848101266</v>
      </c>
      <c r="P710" s="7">
        <f t="shared" si="149"/>
        <v>2.2883463843764797</v>
      </c>
      <c r="Q710" s="7">
        <f t="shared" si="150"/>
        <v>5.7498863435308259E-2</v>
      </c>
      <c r="R710" s="7">
        <f t="shared" si="151"/>
        <v>-2.8590734395120113E-2</v>
      </c>
      <c r="S710" s="7">
        <f t="shared" si="152"/>
        <v>-3.3012000348745997E-2</v>
      </c>
      <c r="T710" s="7">
        <f t="shared" si="153"/>
        <v>-1.729732821536889</v>
      </c>
      <c r="U710" s="7">
        <f t="shared" si="154"/>
        <v>-0.43345917321136174</v>
      </c>
    </row>
    <row r="711" spans="1:21" x14ac:dyDescent="0.25">
      <c r="A711" s="1" t="s">
        <v>1685</v>
      </c>
      <c r="B711" s="1" t="s">
        <v>36</v>
      </c>
      <c r="C711" s="1">
        <v>26</v>
      </c>
      <c r="D711" s="1">
        <v>22</v>
      </c>
      <c r="E711" s="1">
        <v>11</v>
      </c>
      <c r="F711" s="1">
        <v>10</v>
      </c>
      <c r="G711" s="1">
        <v>69</v>
      </c>
      <c r="H711" s="7">
        <v>1.6012815380508714</v>
      </c>
      <c r="I711" s="7">
        <f t="shared" si="155"/>
        <v>22.694936708860759</v>
      </c>
      <c r="J711" s="7">
        <f t="shared" si="143"/>
        <v>5.3055534129377486</v>
      </c>
      <c r="K711" s="7">
        <f t="shared" si="144"/>
        <v>22.140506329113926</v>
      </c>
      <c r="L711" s="7">
        <f t="shared" si="145"/>
        <v>4.9144008395218908</v>
      </c>
      <c r="M711" s="7">
        <f t="shared" si="146"/>
        <v>10.069620253164556</v>
      </c>
      <c r="N711" s="7">
        <f t="shared" si="147"/>
        <v>2.1089377326145904</v>
      </c>
      <c r="O711" s="7">
        <f t="shared" si="148"/>
        <v>10.958227848101266</v>
      </c>
      <c r="P711" s="7">
        <f t="shared" si="149"/>
        <v>2.2883463843764797</v>
      </c>
      <c r="Q711" s="7">
        <f t="shared" si="150"/>
        <v>0.62294411796510174</v>
      </c>
      <c r="R711" s="7">
        <f t="shared" si="151"/>
        <v>-2.8590734395120113E-2</v>
      </c>
      <c r="S711" s="7">
        <f t="shared" si="152"/>
        <v>0.44116036829688182</v>
      </c>
      <c r="T711" s="7">
        <f t="shared" si="153"/>
        <v>-0.41874248349965643</v>
      </c>
      <c r="U711" s="7">
        <f t="shared" si="154"/>
        <v>0.15419281709180171</v>
      </c>
    </row>
    <row r="712" spans="1:21" x14ac:dyDescent="0.25">
      <c r="A712" s="1" t="s">
        <v>1685</v>
      </c>
      <c r="B712" s="1" t="s">
        <v>36</v>
      </c>
      <c r="C712" s="1">
        <v>21</v>
      </c>
      <c r="D712" s="1">
        <v>20</v>
      </c>
      <c r="E712" s="1">
        <v>9</v>
      </c>
      <c r="F712" s="1">
        <v>10</v>
      </c>
      <c r="G712" s="1">
        <v>60</v>
      </c>
      <c r="H712" s="7">
        <v>1.6092680291808414</v>
      </c>
      <c r="I712" s="7">
        <f t="shared" si="155"/>
        <v>22.694936708860759</v>
      </c>
      <c r="J712" s="7">
        <f t="shared" si="143"/>
        <v>5.3055534129377486</v>
      </c>
      <c r="K712" s="7">
        <f t="shared" si="144"/>
        <v>22.140506329113926</v>
      </c>
      <c r="L712" s="7">
        <f t="shared" si="145"/>
        <v>4.9144008395218908</v>
      </c>
      <c r="M712" s="7">
        <f t="shared" si="146"/>
        <v>10.069620253164556</v>
      </c>
      <c r="N712" s="7">
        <f t="shared" si="147"/>
        <v>2.1089377326145904</v>
      </c>
      <c r="O712" s="7">
        <f t="shared" si="148"/>
        <v>10.958227848101266</v>
      </c>
      <c r="P712" s="7">
        <f t="shared" si="149"/>
        <v>2.2883463843764797</v>
      </c>
      <c r="Q712" s="7">
        <f t="shared" si="150"/>
        <v>-0.31946463958455407</v>
      </c>
      <c r="R712" s="7">
        <f t="shared" si="151"/>
        <v>-0.43555794470403231</v>
      </c>
      <c r="S712" s="7">
        <f t="shared" si="152"/>
        <v>-0.5071843689943738</v>
      </c>
      <c r="T712" s="7">
        <f t="shared" si="153"/>
        <v>-0.41874248349965643</v>
      </c>
      <c r="U712" s="7">
        <f t="shared" si="154"/>
        <v>-0.42023735919565414</v>
      </c>
    </row>
    <row r="713" spans="1:21" x14ac:dyDescent="0.25">
      <c r="A713" s="1" t="s">
        <v>1685</v>
      </c>
      <c r="B713" s="1" t="s">
        <v>36</v>
      </c>
      <c r="C713" s="1">
        <v>20</v>
      </c>
      <c r="D713" s="1">
        <v>20</v>
      </c>
      <c r="E713" s="1">
        <v>11</v>
      </c>
      <c r="F713" s="1">
        <v>7</v>
      </c>
      <c r="G713" s="1">
        <v>58</v>
      </c>
      <c r="H713" s="7">
        <v>1.713446070320696</v>
      </c>
      <c r="I713" s="7">
        <f t="shared" si="155"/>
        <v>22.694936708860759</v>
      </c>
      <c r="J713" s="7">
        <f t="shared" si="143"/>
        <v>5.3055534129377486</v>
      </c>
      <c r="K713" s="7">
        <f t="shared" si="144"/>
        <v>22.140506329113926</v>
      </c>
      <c r="L713" s="7">
        <f t="shared" si="145"/>
        <v>4.9144008395218908</v>
      </c>
      <c r="M713" s="7">
        <f t="shared" si="146"/>
        <v>10.069620253164556</v>
      </c>
      <c r="N713" s="7">
        <f t="shared" si="147"/>
        <v>2.1089377326145904</v>
      </c>
      <c r="O713" s="7">
        <f t="shared" si="148"/>
        <v>10.958227848101266</v>
      </c>
      <c r="P713" s="7">
        <f t="shared" si="149"/>
        <v>2.2883463843764797</v>
      </c>
      <c r="Q713" s="7">
        <f t="shared" si="150"/>
        <v>-0.50794639109448525</v>
      </c>
      <c r="R713" s="7">
        <f t="shared" si="151"/>
        <v>-0.43555794470403231</v>
      </c>
      <c r="S713" s="7">
        <f t="shared" si="152"/>
        <v>0.44116036829688182</v>
      </c>
      <c r="T713" s="7">
        <f t="shared" si="153"/>
        <v>-1.729732821536889</v>
      </c>
      <c r="U713" s="7">
        <f t="shared" si="154"/>
        <v>-0.55801919725963112</v>
      </c>
    </row>
    <row r="714" spans="1:21" x14ac:dyDescent="0.25">
      <c r="A714" s="1" t="s">
        <v>1685</v>
      </c>
      <c r="B714" s="1" t="s">
        <v>36</v>
      </c>
      <c r="C714" s="1">
        <v>28</v>
      </c>
      <c r="D714" s="1">
        <v>26</v>
      </c>
      <c r="E714" s="1">
        <v>13</v>
      </c>
      <c r="F714" s="1">
        <v>12</v>
      </c>
      <c r="G714" s="1">
        <v>79</v>
      </c>
      <c r="H714" s="7">
        <v>1.7059473644448737</v>
      </c>
      <c r="I714" s="7">
        <f t="shared" si="155"/>
        <v>22.694936708860759</v>
      </c>
      <c r="J714" s="7">
        <f t="shared" si="143"/>
        <v>5.3055534129377486</v>
      </c>
      <c r="K714" s="7">
        <f t="shared" si="144"/>
        <v>22.140506329113926</v>
      </c>
      <c r="L714" s="7">
        <f t="shared" si="145"/>
        <v>4.9144008395218908</v>
      </c>
      <c r="M714" s="7">
        <f t="shared" si="146"/>
        <v>10.069620253164556</v>
      </c>
      <c r="N714" s="7">
        <f t="shared" si="147"/>
        <v>2.1089377326145904</v>
      </c>
      <c r="O714" s="7">
        <f t="shared" si="148"/>
        <v>10.958227848101266</v>
      </c>
      <c r="P714" s="7">
        <f t="shared" si="149"/>
        <v>2.2883463843764797</v>
      </c>
      <c r="Q714" s="7">
        <f t="shared" si="150"/>
        <v>0.99990762098496411</v>
      </c>
      <c r="R714" s="7">
        <f t="shared" si="151"/>
        <v>0.78534368622270434</v>
      </c>
      <c r="S714" s="7">
        <f t="shared" si="152"/>
        <v>1.3895051055881373</v>
      </c>
      <c r="T714" s="7">
        <f t="shared" si="153"/>
        <v>0.45525107519183194</v>
      </c>
      <c r="U714" s="7">
        <f t="shared" si="154"/>
        <v>0.90750187199690946</v>
      </c>
    </row>
    <row r="715" spans="1:21" x14ac:dyDescent="0.25">
      <c r="A715" s="1" t="s">
        <v>1685</v>
      </c>
      <c r="B715" s="1" t="s">
        <v>36</v>
      </c>
      <c r="C715" s="1">
        <v>27</v>
      </c>
      <c r="D715" s="1">
        <v>25</v>
      </c>
      <c r="E715" s="1">
        <v>11</v>
      </c>
      <c r="F715" s="1">
        <v>8</v>
      </c>
      <c r="G715" s="1">
        <v>71</v>
      </c>
      <c r="H715" s="7">
        <v>2.1453587351685739</v>
      </c>
      <c r="I715" s="7">
        <f t="shared" si="155"/>
        <v>22.694936708860759</v>
      </c>
      <c r="J715" s="7">
        <f t="shared" si="143"/>
        <v>5.3055534129377486</v>
      </c>
      <c r="K715" s="7">
        <f t="shared" si="144"/>
        <v>22.140506329113926</v>
      </c>
      <c r="L715" s="7">
        <f t="shared" si="145"/>
        <v>4.9144008395218908</v>
      </c>
      <c r="M715" s="7">
        <f t="shared" si="146"/>
        <v>10.069620253164556</v>
      </c>
      <c r="N715" s="7">
        <f t="shared" si="147"/>
        <v>2.1089377326145904</v>
      </c>
      <c r="O715" s="7">
        <f t="shared" si="148"/>
        <v>10.958227848101266</v>
      </c>
      <c r="P715" s="7">
        <f t="shared" si="149"/>
        <v>2.2883463843764797</v>
      </c>
      <c r="Q715" s="7">
        <f t="shared" si="150"/>
        <v>0.81142586947503292</v>
      </c>
      <c r="R715" s="7">
        <f t="shared" si="151"/>
        <v>0.58186008106824816</v>
      </c>
      <c r="S715" s="7">
        <f t="shared" si="152"/>
        <v>0.44116036829688182</v>
      </c>
      <c r="T715" s="7">
        <f t="shared" si="153"/>
        <v>-1.2927360421911447</v>
      </c>
      <c r="U715" s="7">
        <f t="shared" si="154"/>
        <v>0.13542756916225457</v>
      </c>
    </row>
    <row r="716" spans="1:21" x14ac:dyDescent="0.25">
      <c r="A716" s="1" t="s">
        <v>1685</v>
      </c>
      <c r="B716" s="1" t="s">
        <v>36</v>
      </c>
      <c r="C716" s="1">
        <v>27</v>
      </c>
      <c r="D716" s="1">
        <v>27</v>
      </c>
      <c r="E716" s="1">
        <v>13</v>
      </c>
      <c r="F716" s="1">
        <v>9</v>
      </c>
      <c r="G716" s="1">
        <v>76</v>
      </c>
      <c r="H716" s="7">
        <v>2.0754980866510833</v>
      </c>
      <c r="I716" s="7">
        <f t="shared" si="155"/>
        <v>22.694936708860759</v>
      </c>
      <c r="J716" s="7">
        <f t="shared" si="143"/>
        <v>5.3055534129377486</v>
      </c>
      <c r="K716" s="7">
        <f t="shared" si="144"/>
        <v>22.140506329113926</v>
      </c>
      <c r="L716" s="7">
        <f t="shared" si="145"/>
        <v>4.9144008395218908</v>
      </c>
      <c r="M716" s="7">
        <f t="shared" si="146"/>
        <v>10.069620253164556</v>
      </c>
      <c r="N716" s="7">
        <f t="shared" si="147"/>
        <v>2.1089377326145904</v>
      </c>
      <c r="O716" s="7">
        <f t="shared" si="148"/>
        <v>10.958227848101266</v>
      </c>
      <c r="P716" s="7">
        <f t="shared" si="149"/>
        <v>2.2883463843764797</v>
      </c>
      <c r="Q716" s="7">
        <f t="shared" si="150"/>
        <v>0.81142586947503292</v>
      </c>
      <c r="R716" s="7">
        <f t="shared" si="151"/>
        <v>0.98882729137716041</v>
      </c>
      <c r="S716" s="7">
        <f t="shared" si="152"/>
        <v>1.3895051055881373</v>
      </c>
      <c r="T716" s="7">
        <f t="shared" si="153"/>
        <v>-0.85573926284540058</v>
      </c>
      <c r="U716" s="7">
        <f t="shared" si="154"/>
        <v>0.58350475089873255</v>
      </c>
    </row>
    <row r="717" spans="1:21" x14ac:dyDescent="0.25">
      <c r="A717" s="1" t="s">
        <v>1685</v>
      </c>
      <c r="B717" s="1" t="s">
        <v>36</v>
      </c>
      <c r="C717" s="1">
        <v>26</v>
      </c>
      <c r="D717" s="1">
        <v>30</v>
      </c>
      <c r="E717" s="1">
        <v>13</v>
      </c>
      <c r="F717" s="1">
        <v>12</v>
      </c>
      <c r="G717" s="1">
        <v>81</v>
      </c>
      <c r="H717" s="7">
        <v>2.0475125621855637</v>
      </c>
      <c r="I717" s="7">
        <f t="shared" si="155"/>
        <v>22.694936708860759</v>
      </c>
      <c r="J717" s="7">
        <f t="shared" si="143"/>
        <v>5.3055534129377486</v>
      </c>
      <c r="K717" s="7">
        <f t="shared" si="144"/>
        <v>22.140506329113926</v>
      </c>
      <c r="L717" s="7">
        <f t="shared" si="145"/>
        <v>4.9144008395218908</v>
      </c>
      <c r="M717" s="7">
        <f t="shared" si="146"/>
        <v>10.069620253164556</v>
      </c>
      <c r="N717" s="7">
        <f t="shared" si="147"/>
        <v>2.1089377326145904</v>
      </c>
      <c r="O717" s="7">
        <f t="shared" si="148"/>
        <v>10.958227848101266</v>
      </c>
      <c r="P717" s="7">
        <f t="shared" si="149"/>
        <v>2.2883463843764797</v>
      </c>
      <c r="Q717" s="7">
        <f t="shared" si="150"/>
        <v>0.62294411796510174</v>
      </c>
      <c r="R717" s="7">
        <f t="shared" si="151"/>
        <v>1.5992781068405286</v>
      </c>
      <c r="S717" s="7">
        <f t="shared" si="152"/>
        <v>1.3895051055881373</v>
      </c>
      <c r="T717" s="7">
        <f t="shared" si="153"/>
        <v>0.45525107519183194</v>
      </c>
      <c r="U717" s="7">
        <f t="shared" si="154"/>
        <v>1.0167446013963999</v>
      </c>
    </row>
    <row r="718" spans="1:21" x14ac:dyDescent="0.25">
      <c r="A718" s="1" t="s">
        <v>1685</v>
      </c>
      <c r="B718" s="1" t="s">
        <v>36</v>
      </c>
      <c r="C718" s="1">
        <v>30</v>
      </c>
      <c r="D718" s="1">
        <v>26</v>
      </c>
      <c r="E718" s="1">
        <v>14</v>
      </c>
      <c r="F718" s="1">
        <v>8</v>
      </c>
      <c r="G718" s="1">
        <v>78</v>
      </c>
      <c r="H718" s="7">
        <v>2.3804761428476171</v>
      </c>
      <c r="I718" s="7">
        <f t="shared" si="155"/>
        <v>22.694936708860759</v>
      </c>
      <c r="J718" s="7">
        <f t="shared" si="143"/>
        <v>5.3055534129377486</v>
      </c>
      <c r="K718" s="7">
        <f t="shared" si="144"/>
        <v>22.140506329113926</v>
      </c>
      <c r="L718" s="7">
        <f t="shared" si="145"/>
        <v>4.9144008395218908</v>
      </c>
      <c r="M718" s="7">
        <f t="shared" si="146"/>
        <v>10.069620253164556</v>
      </c>
      <c r="N718" s="7">
        <f t="shared" si="147"/>
        <v>2.1089377326145904</v>
      </c>
      <c r="O718" s="7">
        <f t="shared" si="148"/>
        <v>10.958227848101266</v>
      </c>
      <c r="P718" s="7">
        <f t="shared" si="149"/>
        <v>2.2883463843764797</v>
      </c>
      <c r="Q718" s="7">
        <f t="shared" si="150"/>
        <v>1.3768711240048266</v>
      </c>
      <c r="R718" s="7">
        <f t="shared" si="151"/>
        <v>0.78534368622270434</v>
      </c>
      <c r="S718" s="7">
        <f t="shared" si="152"/>
        <v>1.8636774742337652</v>
      </c>
      <c r="T718" s="7">
        <f t="shared" si="153"/>
        <v>-1.2927360421911447</v>
      </c>
      <c r="U718" s="7">
        <f t="shared" si="154"/>
        <v>0.68328906056753791</v>
      </c>
    </row>
    <row r="719" spans="1:21" x14ac:dyDescent="0.25">
      <c r="A719" s="1" t="s">
        <v>1685</v>
      </c>
      <c r="B719" s="1" t="s">
        <v>36</v>
      </c>
      <c r="C719" s="1">
        <v>29</v>
      </c>
      <c r="D719" s="1">
        <v>33</v>
      </c>
      <c r="E719" s="1">
        <v>14</v>
      </c>
      <c r="F719" s="1">
        <v>13</v>
      </c>
      <c r="G719" s="1">
        <v>89</v>
      </c>
      <c r="H719" s="7">
        <v>2.2303271003059115</v>
      </c>
      <c r="I719" s="7">
        <f t="shared" si="155"/>
        <v>22.694936708860759</v>
      </c>
      <c r="J719" s="7">
        <f t="shared" si="143"/>
        <v>5.3055534129377486</v>
      </c>
      <c r="K719" s="7">
        <f t="shared" si="144"/>
        <v>22.140506329113926</v>
      </c>
      <c r="L719" s="7">
        <f t="shared" si="145"/>
        <v>4.9144008395218908</v>
      </c>
      <c r="M719" s="7">
        <f t="shared" si="146"/>
        <v>10.069620253164556</v>
      </c>
      <c r="N719" s="7">
        <f t="shared" si="147"/>
        <v>2.1089377326145904</v>
      </c>
      <c r="O719" s="7">
        <f t="shared" si="148"/>
        <v>10.958227848101266</v>
      </c>
      <c r="P719" s="7">
        <f t="shared" si="149"/>
        <v>2.2883463843764797</v>
      </c>
      <c r="Q719" s="7">
        <f t="shared" si="150"/>
        <v>1.1883893724948953</v>
      </c>
      <c r="R719" s="7">
        <f t="shared" si="151"/>
        <v>2.2097289223038969</v>
      </c>
      <c r="S719" s="7">
        <f t="shared" si="152"/>
        <v>1.8636774742337652</v>
      </c>
      <c r="T719" s="7">
        <f t="shared" si="153"/>
        <v>0.89224785453757616</v>
      </c>
      <c r="U719" s="7">
        <f t="shared" si="154"/>
        <v>1.5385109058925335</v>
      </c>
    </row>
    <row r="720" spans="1:21" x14ac:dyDescent="0.25">
      <c r="A720" s="1" t="s">
        <v>1685</v>
      </c>
      <c r="B720" s="1" t="s">
        <v>36</v>
      </c>
      <c r="C720" s="1">
        <v>22</v>
      </c>
      <c r="D720" s="1">
        <v>23</v>
      </c>
      <c r="E720" s="1">
        <v>12</v>
      </c>
      <c r="F720" s="1">
        <v>11</v>
      </c>
      <c r="G720" s="1">
        <v>68</v>
      </c>
      <c r="H720" s="7">
        <v>1.1657505560686465</v>
      </c>
      <c r="I720" s="7">
        <f t="shared" si="155"/>
        <v>22.694936708860759</v>
      </c>
      <c r="J720" s="7">
        <f t="shared" si="143"/>
        <v>5.3055534129377486</v>
      </c>
      <c r="K720" s="7">
        <f t="shared" si="144"/>
        <v>22.140506329113926</v>
      </c>
      <c r="L720" s="7">
        <f t="shared" si="145"/>
        <v>4.9144008395218908</v>
      </c>
      <c r="M720" s="7">
        <f t="shared" si="146"/>
        <v>10.069620253164556</v>
      </c>
      <c r="N720" s="7">
        <f t="shared" si="147"/>
        <v>2.1089377326145904</v>
      </c>
      <c r="O720" s="7">
        <f t="shared" si="148"/>
        <v>10.958227848101266</v>
      </c>
      <c r="P720" s="7">
        <f t="shared" si="149"/>
        <v>2.2883463843764797</v>
      </c>
      <c r="Q720" s="7">
        <f t="shared" si="150"/>
        <v>-0.13098288807462291</v>
      </c>
      <c r="R720" s="7">
        <f t="shared" si="151"/>
        <v>0.17489287075933599</v>
      </c>
      <c r="S720" s="7">
        <f t="shared" si="152"/>
        <v>0.91533273694250961</v>
      </c>
      <c r="T720" s="7">
        <f t="shared" si="153"/>
        <v>1.8254295846087756E-2</v>
      </c>
      <c r="U720" s="7">
        <f t="shared" si="154"/>
        <v>0.24437425386832759</v>
      </c>
    </row>
    <row r="721" spans="1:21" x14ac:dyDescent="0.25">
      <c r="A721" s="1" t="s">
        <v>1685</v>
      </c>
      <c r="B721" s="1" t="s">
        <v>36</v>
      </c>
      <c r="C721" s="1">
        <v>22</v>
      </c>
      <c r="D721" s="1">
        <v>18</v>
      </c>
      <c r="E721" s="1">
        <v>9</v>
      </c>
      <c r="F721" s="1">
        <v>8</v>
      </c>
      <c r="G721" s="1">
        <v>57</v>
      </c>
      <c r="H721" s="7">
        <v>1.386750490563073</v>
      </c>
      <c r="I721" s="7">
        <f t="shared" si="155"/>
        <v>22.694936708860759</v>
      </c>
      <c r="J721" s="7">
        <f t="shared" si="143"/>
        <v>5.3055534129377486</v>
      </c>
      <c r="K721" s="7">
        <f t="shared" si="144"/>
        <v>22.140506329113926</v>
      </c>
      <c r="L721" s="7">
        <f t="shared" si="145"/>
        <v>4.9144008395218908</v>
      </c>
      <c r="M721" s="7">
        <f t="shared" si="146"/>
        <v>10.069620253164556</v>
      </c>
      <c r="N721" s="7">
        <f t="shared" si="147"/>
        <v>2.1089377326145904</v>
      </c>
      <c r="O721" s="7">
        <f t="shared" si="148"/>
        <v>10.958227848101266</v>
      </c>
      <c r="P721" s="7">
        <f t="shared" si="149"/>
        <v>2.2883463843764797</v>
      </c>
      <c r="Q721" s="7">
        <f t="shared" si="150"/>
        <v>-0.13098288807462291</v>
      </c>
      <c r="R721" s="7">
        <f t="shared" si="151"/>
        <v>-0.84252515501294456</v>
      </c>
      <c r="S721" s="7">
        <f t="shared" si="152"/>
        <v>-0.5071843689943738</v>
      </c>
      <c r="T721" s="7">
        <f t="shared" si="153"/>
        <v>-1.2927360421911447</v>
      </c>
      <c r="U721" s="7">
        <f t="shared" si="154"/>
        <v>-0.69335711356827145</v>
      </c>
    </row>
    <row r="722" spans="1:21" x14ac:dyDescent="0.25">
      <c r="A722" s="1" t="s">
        <v>1686</v>
      </c>
      <c r="B722" s="1" t="s">
        <v>36</v>
      </c>
      <c r="C722" s="1">
        <v>17</v>
      </c>
      <c r="D722" s="1">
        <v>20</v>
      </c>
      <c r="E722" s="1">
        <v>9</v>
      </c>
      <c r="F722" s="1">
        <v>11</v>
      </c>
      <c r="G722" s="1">
        <v>57</v>
      </c>
      <c r="H722" s="7">
        <v>0.86971849262290402</v>
      </c>
      <c r="I722" s="7">
        <f t="shared" si="155"/>
        <v>22.694936708860759</v>
      </c>
      <c r="J722" s="7">
        <f t="shared" si="143"/>
        <v>5.3055534129377486</v>
      </c>
      <c r="K722" s="7">
        <f t="shared" si="144"/>
        <v>22.140506329113926</v>
      </c>
      <c r="L722" s="7">
        <f t="shared" si="145"/>
        <v>4.9144008395218908</v>
      </c>
      <c r="M722" s="7">
        <f t="shared" si="146"/>
        <v>10.069620253164556</v>
      </c>
      <c r="N722" s="7">
        <f t="shared" si="147"/>
        <v>2.1089377326145904</v>
      </c>
      <c r="O722" s="7">
        <f t="shared" si="148"/>
        <v>10.958227848101266</v>
      </c>
      <c r="P722" s="7">
        <f t="shared" si="149"/>
        <v>2.2883463843764797</v>
      </c>
      <c r="Q722" s="7">
        <f t="shared" si="150"/>
        <v>-1.0733916456242787</v>
      </c>
      <c r="R722" s="7">
        <f t="shared" si="151"/>
        <v>-0.43555794470403231</v>
      </c>
      <c r="S722" s="7">
        <f t="shared" si="152"/>
        <v>-0.5071843689943738</v>
      </c>
      <c r="T722" s="7">
        <f t="shared" si="153"/>
        <v>1.8254295846087756E-2</v>
      </c>
      <c r="U722" s="7">
        <f t="shared" si="154"/>
        <v>-0.49946991586914924</v>
      </c>
    </row>
    <row r="723" spans="1:21" x14ac:dyDescent="0.25">
      <c r="A723" s="1" t="s">
        <v>1686</v>
      </c>
      <c r="B723" s="1" t="s">
        <v>36</v>
      </c>
      <c r="C723" s="1">
        <v>21</v>
      </c>
      <c r="D723" s="1">
        <v>22</v>
      </c>
      <c r="E723" s="1">
        <v>9</v>
      </c>
      <c r="F723" s="1">
        <v>10</v>
      </c>
      <c r="G723" s="1">
        <v>62</v>
      </c>
      <c r="H723" s="7">
        <v>1.3008872711759818</v>
      </c>
      <c r="I723" s="7">
        <f t="shared" si="155"/>
        <v>22.694936708860759</v>
      </c>
      <c r="J723" s="7">
        <f t="shared" si="143"/>
        <v>5.3055534129377486</v>
      </c>
      <c r="K723" s="7">
        <f t="shared" si="144"/>
        <v>22.140506329113926</v>
      </c>
      <c r="L723" s="7">
        <f t="shared" si="145"/>
        <v>4.9144008395218908</v>
      </c>
      <c r="M723" s="7">
        <f t="shared" si="146"/>
        <v>10.069620253164556</v>
      </c>
      <c r="N723" s="7">
        <f t="shared" si="147"/>
        <v>2.1089377326145904</v>
      </c>
      <c r="O723" s="7">
        <f t="shared" si="148"/>
        <v>10.958227848101266</v>
      </c>
      <c r="P723" s="7">
        <f t="shared" si="149"/>
        <v>2.2883463843764797</v>
      </c>
      <c r="Q723" s="7">
        <f t="shared" si="150"/>
        <v>-0.31946463958455407</v>
      </c>
      <c r="R723" s="7">
        <f t="shared" si="151"/>
        <v>-2.8590734395120113E-2</v>
      </c>
      <c r="S723" s="7">
        <f t="shared" si="152"/>
        <v>-0.5071843689943738</v>
      </c>
      <c r="T723" s="7">
        <f t="shared" si="153"/>
        <v>-0.41874248349965643</v>
      </c>
      <c r="U723" s="7">
        <f t="shared" si="154"/>
        <v>-0.3184955566184261</v>
      </c>
    </row>
    <row r="724" spans="1:21" x14ac:dyDescent="0.25">
      <c r="A724" s="1" t="s">
        <v>1686</v>
      </c>
      <c r="B724" s="1" t="s">
        <v>36</v>
      </c>
      <c r="C724" s="1">
        <v>23</v>
      </c>
      <c r="D724" s="1">
        <v>22</v>
      </c>
      <c r="E724" s="1">
        <v>10</v>
      </c>
      <c r="F724" s="1">
        <v>12</v>
      </c>
      <c r="G724" s="1">
        <v>67</v>
      </c>
      <c r="H724" s="7">
        <v>1.0681880176381129</v>
      </c>
      <c r="I724" s="7">
        <f t="shared" si="155"/>
        <v>22.694936708860759</v>
      </c>
      <c r="J724" s="7">
        <f t="shared" si="143"/>
        <v>5.3055534129377486</v>
      </c>
      <c r="K724" s="7">
        <f t="shared" si="144"/>
        <v>22.140506329113926</v>
      </c>
      <c r="L724" s="7">
        <f t="shared" si="145"/>
        <v>4.9144008395218908</v>
      </c>
      <c r="M724" s="7">
        <f t="shared" si="146"/>
        <v>10.069620253164556</v>
      </c>
      <c r="N724" s="7">
        <f t="shared" si="147"/>
        <v>2.1089377326145904</v>
      </c>
      <c r="O724" s="7">
        <f t="shared" si="148"/>
        <v>10.958227848101266</v>
      </c>
      <c r="P724" s="7">
        <f t="shared" si="149"/>
        <v>2.2883463843764797</v>
      </c>
      <c r="Q724" s="7">
        <f t="shared" si="150"/>
        <v>5.7498863435308259E-2</v>
      </c>
      <c r="R724" s="7">
        <f t="shared" si="151"/>
        <v>-2.8590734395120113E-2</v>
      </c>
      <c r="S724" s="7">
        <f t="shared" si="152"/>
        <v>-3.3012000348745997E-2</v>
      </c>
      <c r="T724" s="7">
        <f t="shared" si="153"/>
        <v>0.45525107519183194</v>
      </c>
      <c r="U724" s="7">
        <f t="shared" si="154"/>
        <v>0.11278680097081853</v>
      </c>
    </row>
    <row r="725" spans="1:21" x14ac:dyDescent="0.25">
      <c r="A725" s="1" t="s">
        <v>1686</v>
      </c>
      <c r="B725" s="1" t="s">
        <v>36</v>
      </c>
      <c r="C725" s="1">
        <v>24</v>
      </c>
      <c r="D725" s="1">
        <v>23</v>
      </c>
      <c r="E725" s="1">
        <v>11</v>
      </c>
      <c r="F725" s="1">
        <v>15</v>
      </c>
      <c r="G725" s="1">
        <v>73</v>
      </c>
      <c r="H725" s="7">
        <v>0.65044363558799101</v>
      </c>
      <c r="I725" s="7">
        <f t="shared" si="155"/>
        <v>22.694936708860759</v>
      </c>
      <c r="J725" s="7">
        <f t="shared" si="143"/>
        <v>5.3055534129377486</v>
      </c>
      <c r="K725" s="7">
        <f t="shared" si="144"/>
        <v>22.140506329113926</v>
      </c>
      <c r="L725" s="7">
        <f t="shared" si="145"/>
        <v>4.9144008395218908</v>
      </c>
      <c r="M725" s="7">
        <f t="shared" si="146"/>
        <v>10.069620253164556</v>
      </c>
      <c r="N725" s="7">
        <f t="shared" si="147"/>
        <v>2.1089377326145904</v>
      </c>
      <c r="O725" s="7">
        <f t="shared" si="148"/>
        <v>10.958227848101266</v>
      </c>
      <c r="P725" s="7">
        <f t="shared" si="149"/>
        <v>2.2883463843764797</v>
      </c>
      <c r="Q725" s="7">
        <f t="shared" si="150"/>
        <v>0.24598061494523943</v>
      </c>
      <c r="R725" s="7">
        <f t="shared" si="151"/>
        <v>0.17489287075933599</v>
      </c>
      <c r="S725" s="7">
        <f t="shared" si="152"/>
        <v>0.44116036829688182</v>
      </c>
      <c r="T725" s="7">
        <f t="shared" si="153"/>
        <v>1.7662414132290645</v>
      </c>
      <c r="U725" s="7">
        <f t="shared" si="154"/>
        <v>0.65706881680763041</v>
      </c>
    </row>
    <row r="726" spans="1:21" x14ac:dyDescent="0.25">
      <c r="A726" s="1" t="s">
        <v>1686</v>
      </c>
      <c r="B726" s="1" t="s">
        <v>36</v>
      </c>
      <c r="C726" s="1">
        <v>26</v>
      </c>
      <c r="D726" s="1">
        <v>26</v>
      </c>
      <c r="E726" s="1">
        <v>12</v>
      </c>
      <c r="F726" s="1">
        <v>15</v>
      </c>
      <c r="G726" s="1">
        <v>79</v>
      </c>
      <c r="H726" s="7">
        <v>1.0377490433255412</v>
      </c>
      <c r="I726" s="7">
        <f t="shared" si="155"/>
        <v>22.694936708860759</v>
      </c>
      <c r="J726" s="7">
        <f t="shared" si="143"/>
        <v>5.3055534129377486</v>
      </c>
      <c r="K726" s="7">
        <f t="shared" si="144"/>
        <v>22.140506329113926</v>
      </c>
      <c r="L726" s="7">
        <f t="shared" si="145"/>
        <v>4.9144008395218908</v>
      </c>
      <c r="M726" s="7">
        <f t="shared" si="146"/>
        <v>10.069620253164556</v>
      </c>
      <c r="N726" s="7">
        <f t="shared" si="147"/>
        <v>2.1089377326145904</v>
      </c>
      <c r="O726" s="7">
        <f t="shared" si="148"/>
        <v>10.958227848101266</v>
      </c>
      <c r="P726" s="7">
        <f t="shared" si="149"/>
        <v>2.2883463843764797</v>
      </c>
      <c r="Q726" s="7">
        <f t="shared" si="150"/>
        <v>0.62294411796510174</v>
      </c>
      <c r="R726" s="7">
        <f t="shared" si="151"/>
        <v>0.78534368622270434</v>
      </c>
      <c r="S726" s="7">
        <f t="shared" si="152"/>
        <v>0.91533273694250961</v>
      </c>
      <c r="T726" s="7">
        <f t="shared" si="153"/>
        <v>1.7662414132290645</v>
      </c>
      <c r="U726" s="7">
        <f t="shared" si="154"/>
        <v>1.022465488589845</v>
      </c>
    </row>
    <row r="727" spans="1:21" x14ac:dyDescent="0.25">
      <c r="A727" s="1" t="s">
        <v>1686</v>
      </c>
      <c r="B727" s="1" t="s">
        <v>36</v>
      </c>
      <c r="C727" s="1">
        <v>26</v>
      </c>
      <c r="D727" s="1">
        <v>26</v>
      </c>
      <c r="E727" s="1">
        <v>12</v>
      </c>
      <c r="F727" s="1">
        <v>14</v>
      </c>
      <c r="G727" s="1">
        <v>78</v>
      </c>
      <c r="H727" s="7">
        <v>1.154700538379251</v>
      </c>
      <c r="I727" s="7">
        <f t="shared" si="155"/>
        <v>22.694936708860759</v>
      </c>
      <c r="J727" s="7">
        <f t="shared" si="143"/>
        <v>5.3055534129377486</v>
      </c>
      <c r="K727" s="7">
        <f t="shared" si="144"/>
        <v>22.140506329113926</v>
      </c>
      <c r="L727" s="7">
        <f t="shared" si="145"/>
        <v>4.9144008395218908</v>
      </c>
      <c r="M727" s="7">
        <f t="shared" si="146"/>
        <v>10.069620253164556</v>
      </c>
      <c r="N727" s="7">
        <f t="shared" si="147"/>
        <v>2.1089377326145904</v>
      </c>
      <c r="O727" s="7">
        <f t="shared" si="148"/>
        <v>10.958227848101266</v>
      </c>
      <c r="P727" s="7">
        <f t="shared" si="149"/>
        <v>2.2883463843764797</v>
      </c>
      <c r="Q727" s="7">
        <f t="shared" si="150"/>
        <v>0.62294411796510174</v>
      </c>
      <c r="R727" s="7">
        <f t="shared" si="151"/>
        <v>0.78534368622270434</v>
      </c>
      <c r="S727" s="7">
        <f t="shared" si="152"/>
        <v>0.91533273694250961</v>
      </c>
      <c r="T727" s="7">
        <f t="shared" si="153"/>
        <v>1.3292446338833204</v>
      </c>
      <c r="U727" s="7">
        <f t="shared" si="154"/>
        <v>0.91321629375340896</v>
      </c>
    </row>
    <row r="728" spans="1:21" x14ac:dyDescent="0.25">
      <c r="A728" s="1" t="s">
        <v>1686</v>
      </c>
      <c r="B728" s="1" t="s">
        <v>36</v>
      </c>
      <c r="C728" s="1">
        <v>26</v>
      </c>
      <c r="D728" s="1">
        <v>26</v>
      </c>
      <c r="E728" s="1">
        <v>12</v>
      </c>
      <c r="F728" s="1">
        <v>15</v>
      </c>
      <c r="G728" s="1">
        <v>79</v>
      </c>
      <c r="H728" s="7">
        <v>1.0377490433255412</v>
      </c>
      <c r="I728" s="7">
        <f t="shared" si="155"/>
        <v>22.694936708860759</v>
      </c>
      <c r="J728" s="7">
        <f t="shared" si="143"/>
        <v>5.3055534129377486</v>
      </c>
      <c r="K728" s="7">
        <f t="shared" si="144"/>
        <v>22.140506329113926</v>
      </c>
      <c r="L728" s="7">
        <f t="shared" si="145"/>
        <v>4.9144008395218908</v>
      </c>
      <c r="M728" s="7">
        <f t="shared" si="146"/>
        <v>10.069620253164556</v>
      </c>
      <c r="N728" s="7">
        <f t="shared" si="147"/>
        <v>2.1089377326145904</v>
      </c>
      <c r="O728" s="7">
        <f t="shared" si="148"/>
        <v>10.958227848101266</v>
      </c>
      <c r="P728" s="7">
        <f t="shared" si="149"/>
        <v>2.2883463843764797</v>
      </c>
      <c r="Q728" s="7">
        <f t="shared" si="150"/>
        <v>0.62294411796510174</v>
      </c>
      <c r="R728" s="7">
        <f t="shared" si="151"/>
        <v>0.78534368622270434</v>
      </c>
      <c r="S728" s="7">
        <f t="shared" si="152"/>
        <v>0.91533273694250961</v>
      </c>
      <c r="T728" s="7">
        <f t="shared" si="153"/>
        <v>1.7662414132290645</v>
      </c>
      <c r="U728" s="7">
        <f t="shared" si="154"/>
        <v>1.022465488589845</v>
      </c>
    </row>
    <row r="729" spans="1:21" x14ac:dyDescent="0.25">
      <c r="A729" s="1" t="s">
        <v>1686</v>
      </c>
      <c r="B729" s="1" t="s">
        <v>36</v>
      </c>
      <c r="C729" s="1">
        <v>23</v>
      </c>
      <c r="D729" s="1">
        <v>22</v>
      </c>
      <c r="E729" s="1">
        <v>10</v>
      </c>
      <c r="F729" s="1">
        <v>12</v>
      </c>
      <c r="G729" s="1">
        <v>67</v>
      </c>
      <c r="H729" s="7">
        <v>1.0681880176381129</v>
      </c>
      <c r="I729" s="7">
        <f t="shared" si="155"/>
        <v>22.694936708860759</v>
      </c>
      <c r="J729" s="7">
        <f t="shared" si="143"/>
        <v>5.3055534129377486</v>
      </c>
      <c r="K729" s="7">
        <f t="shared" si="144"/>
        <v>22.140506329113926</v>
      </c>
      <c r="L729" s="7">
        <f t="shared" si="145"/>
        <v>4.9144008395218908</v>
      </c>
      <c r="M729" s="7">
        <f t="shared" si="146"/>
        <v>10.069620253164556</v>
      </c>
      <c r="N729" s="7">
        <f t="shared" si="147"/>
        <v>2.1089377326145904</v>
      </c>
      <c r="O729" s="7">
        <f t="shared" si="148"/>
        <v>10.958227848101266</v>
      </c>
      <c r="P729" s="7">
        <f t="shared" si="149"/>
        <v>2.2883463843764797</v>
      </c>
      <c r="Q729" s="7">
        <f t="shared" si="150"/>
        <v>5.7498863435308259E-2</v>
      </c>
      <c r="R729" s="7">
        <f t="shared" si="151"/>
        <v>-2.8590734395120113E-2</v>
      </c>
      <c r="S729" s="7">
        <f t="shared" si="152"/>
        <v>-3.3012000348745997E-2</v>
      </c>
      <c r="T729" s="7">
        <f t="shared" si="153"/>
        <v>0.45525107519183194</v>
      </c>
      <c r="U729" s="7">
        <f t="shared" si="154"/>
        <v>0.11278680097081853</v>
      </c>
    </row>
    <row r="730" spans="1:21" x14ac:dyDescent="0.25">
      <c r="A730" s="1" t="s">
        <v>1686</v>
      </c>
      <c r="B730" s="1" t="s">
        <v>36</v>
      </c>
      <c r="C730" s="1">
        <v>21</v>
      </c>
      <c r="D730" s="1">
        <v>25</v>
      </c>
      <c r="E730" s="1">
        <v>10</v>
      </c>
      <c r="F730" s="1">
        <v>14</v>
      </c>
      <c r="G730" s="1">
        <v>70</v>
      </c>
      <c r="H730" s="7">
        <v>1.2608503439122305</v>
      </c>
      <c r="I730" s="7">
        <f t="shared" si="155"/>
        <v>22.694936708860759</v>
      </c>
      <c r="J730" s="7">
        <f t="shared" si="143"/>
        <v>5.3055534129377486</v>
      </c>
      <c r="K730" s="7">
        <f t="shared" si="144"/>
        <v>22.140506329113926</v>
      </c>
      <c r="L730" s="7">
        <f t="shared" si="145"/>
        <v>4.9144008395218908</v>
      </c>
      <c r="M730" s="7">
        <f t="shared" si="146"/>
        <v>10.069620253164556</v>
      </c>
      <c r="N730" s="7">
        <f t="shared" si="147"/>
        <v>2.1089377326145904</v>
      </c>
      <c r="O730" s="7">
        <f t="shared" si="148"/>
        <v>10.958227848101266</v>
      </c>
      <c r="P730" s="7">
        <f t="shared" si="149"/>
        <v>2.2883463843764797</v>
      </c>
      <c r="Q730" s="7">
        <f t="shared" si="150"/>
        <v>-0.31946463958455407</v>
      </c>
      <c r="R730" s="7">
        <f t="shared" si="151"/>
        <v>0.58186008106824816</v>
      </c>
      <c r="S730" s="7">
        <f t="shared" si="152"/>
        <v>-3.3012000348745997E-2</v>
      </c>
      <c r="T730" s="7">
        <f t="shared" si="153"/>
        <v>1.3292446338833204</v>
      </c>
      <c r="U730" s="7">
        <f t="shared" si="154"/>
        <v>0.3896570187545671</v>
      </c>
    </row>
    <row r="731" spans="1:21" x14ac:dyDescent="0.25">
      <c r="A731" s="1" t="s">
        <v>1686</v>
      </c>
      <c r="B731" s="1" t="s">
        <v>36</v>
      </c>
      <c r="C731" s="1">
        <v>9</v>
      </c>
      <c r="D731" s="1">
        <v>9</v>
      </c>
      <c r="E731" s="1">
        <v>7</v>
      </c>
      <c r="F731" s="1">
        <v>7</v>
      </c>
      <c r="G731" s="1">
        <v>32</v>
      </c>
      <c r="H731" s="7">
        <v>0.66022529177352474</v>
      </c>
      <c r="I731" s="7">
        <f t="shared" si="155"/>
        <v>22.694936708860759</v>
      </c>
      <c r="J731" s="7">
        <f t="shared" si="143"/>
        <v>5.3055534129377486</v>
      </c>
      <c r="K731" s="7">
        <f t="shared" si="144"/>
        <v>22.140506329113926</v>
      </c>
      <c r="L731" s="7">
        <f t="shared" si="145"/>
        <v>4.9144008395218908</v>
      </c>
      <c r="M731" s="7">
        <f t="shared" si="146"/>
        <v>10.069620253164556</v>
      </c>
      <c r="N731" s="7">
        <f t="shared" si="147"/>
        <v>2.1089377326145904</v>
      </c>
      <c r="O731" s="7">
        <f t="shared" si="148"/>
        <v>10.958227848101266</v>
      </c>
      <c r="P731" s="7">
        <f t="shared" si="149"/>
        <v>2.2883463843764797</v>
      </c>
      <c r="Q731" s="7">
        <f t="shared" si="150"/>
        <v>-2.5812456577037284</v>
      </c>
      <c r="R731" s="7">
        <f t="shared" si="151"/>
        <v>-2.6738776014030492</v>
      </c>
      <c r="S731" s="7">
        <f t="shared" si="152"/>
        <v>-1.4555291062856295</v>
      </c>
      <c r="T731" s="7">
        <f t="shared" si="153"/>
        <v>-1.729732821536889</v>
      </c>
      <c r="U731" s="7">
        <f t="shared" si="154"/>
        <v>-2.110096296732324</v>
      </c>
    </row>
    <row r="732" spans="1:21" x14ac:dyDescent="0.25">
      <c r="A732" s="1" t="s">
        <v>1686</v>
      </c>
      <c r="B732" s="1" t="s">
        <v>36</v>
      </c>
      <c r="C732" s="1">
        <v>11</v>
      </c>
      <c r="D732" s="1">
        <v>12</v>
      </c>
      <c r="E732" s="1">
        <v>8</v>
      </c>
      <c r="F732" s="1">
        <v>6</v>
      </c>
      <c r="G732" s="1">
        <v>37</v>
      </c>
      <c r="H732" s="7">
        <v>0.6887372317211945</v>
      </c>
      <c r="I732" s="7">
        <f t="shared" si="155"/>
        <v>22.694936708860759</v>
      </c>
      <c r="J732" s="7">
        <f t="shared" si="143"/>
        <v>5.3055534129377486</v>
      </c>
      <c r="K732" s="7">
        <f t="shared" si="144"/>
        <v>22.140506329113926</v>
      </c>
      <c r="L732" s="7">
        <f t="shared" si="145"/>
        <v>4.9144008395218908</v>
      </c>
      <c r="M732" s="7">
        <f t="shared" si="146"/>
        <v>10.069620253164556</v>
      </c>
      <c r="N732" s="7">
        <f t="shared" si="147"/>
        <v>2.1089377326145904</v>
      </c>
      <c r="O732" s="7">
        <f t="shared" si="148"/>
        <v>10.958227848101266</v>
      </c>
      <c r="P732" s="7">
        <f t="shared" si="149"/>
        <v>2.2883463843764797</v>
      </c>
      <c r="Q732" s="7">
        <f t="shared" si="150"/>
        <v>-2.2042821546838658</v>
      </c>
      <c r="R732" s="7">
        <f t="shared" si="151"/>
        <v>-2.0634267859396811</v>
      </c>
      <c r="S732" s="7">
        <f t="shared" si="152"/>
        <v>-0.98135673764000164</v>
      </c>
      <c r="T732" s="7">
        <f t="shared" si="153"/>
        <v>-2.1667296008826331</v>
      </c>
      <c r="U732" s="7">
        <f t="shared" si="154"/>
        <v>-1.8539488197865452</v>
      </c>
    </row>
    <row r="733" spans="1:21" x14ac:dyDescent="0.25">
      <c r="A733" s="1" t="s">
        <v>1686</v>
      </c>
      <c r="B733" s="1" t="s">
        <v>36</v>
      </c>
      <c r="C733" s="1">
        <v>21</v>
      </c>
      <c r="D733" s="1">
        <v>22</v>
      </c>
      <c r="E733" s="1">
        <v>11</v>
      </c>
      <c r="F733" s="1">
        <v>11</v>
      </c>
      <c r="G733" s="1">
        <v>65</v>
      </c>
      <c r="H733" s="7">
        <v>1.0000000000000002</v>
      </c>
      <c r="I733" s="7">
        <f t="shared" si="155"/>
        <v>22.694936708860759</v>
      </c>
      <c r="J733" s="7">
        <f t="shared" si="143"/>
        <v>5.3055534129377486</v>
      </c>
      <c r="K733" s="7">
        <f t="shared" si="144"/>
        <v>22.140506329113926</v>
      </c>
      <c r="L733" s="7">
        <f t="shared" si="145"/>
        <v>4.9144008395218908</v>
      </c>
      <c r="M733" s="7">
        <f t="shared" si="146"/>
        <v>10.069620253164556</v>
      </c>
      <c r="N733" s="7">
        <f t="shared" si="147"/>
        <v>2.1089377326145904</v>
      </c>
      <c r="O733" s="7">
        <f t="shared" si="148"/>
        <v>10.958227848101266</v>
      </c>
      <c r="P733" s="7">
        <f t="shared" si="149"/>
        <v>2.2883463843764797</v>
      </c>
      <c r="Q733" s="7">
        <f t="shared" si="150"/>
        <v>-0.31946463958455407</v>
      </c>
      <c r="R733" s="7">
        <f t="shared" si="151"/>
        <v>-2.8590734395120113E-2</v>
      </c>
      <c r="S733" s="7">
        <f t="shared" si="152"/>
        <v>0.44116036829688182</v>
      </c>
      <c r="T733" s="7">
        <f t="shared" si="153"/>
        <v>1.8254295846087756E-2</v>
      </c>
      <c r="U733" s="7">
        <f t="shared" si="154"/>
        <v>2.7839822540823851E-2</v>
      </c>
    </row>
    <row r="734" spans="1:21" x14ac:dyDescent="0.25">
      <c r="A734" s="1" t="s">
        <v>1686</v>
      </c>
      <c r="B734" s="1" t="s">
        <v>36</v>
      </c>
      <c r="C734" s="1">
        <v>19</v>
      </c>
      <c r="D734" s="1">
        <v>20</v>
      </c>
      <c r="E734" s="1">
        <v>11</v>
      </c>
      <c r="F734" s="1">
        <v>13</v>
      </c>
      <c r="G734" s="1">
        <v>63</v>
      </c>
      <c r="H734" s="7">
        <v>0.89871703427291705</v>
      </c>
      <c r="I734" s="7">
        <f t="shared" si="155"/>
        <v>22.694936708860759</v>
      </c>
      <c r="J734" s="7">
        <f t="shared" si="143"/>
        <v>5.3055534129377486</v>
      </c>
      <c r="K734" s="7">
        <f t="shared" si="144"/>
        <v>22.140506329113926</v>
      </c>
      <c r="L734" s="7">
        <f t="shared" si="145"/>
        <v>4.9144008395218908</v>
      </c>
      <c r="M734" s="7">
        <f t="shared" si="146"/>
        <v>10.069620253164556</v>
      </c>
      <c r="N734" s="7">
        <f t="shared" si="147"/>
        <v>2.1089377326145904</v>
      </c>
      <c r="O734" s="7">
        <f t="shared" si="148"/>
        <v>10.958227848101266</v>
      </c>
      <c r="P734" s="7">
        <f t="shared" si="149"/>
        <v>2.2883463843764797</v>
      </c>
      <c r="Q734" s="7">
        <f t="shared" si="150"/>
        <v>-0.69642814260441643</v>
      </c>
      <c r="R734" s="7">
        <f t="shared" si="151"/>
        <v>-0.43555794470403231</v>
      </c>
      <c r="S734" s="7">
        <f t="shared" si="152"/>
        <v>0.44116036829688182</v>
      </c>
      <c r="T734" s="7">
        <f t="shared" si="153"/>
        <v>0.89224785453757616</v>
      </c>
      <c r="U734" s="7">
        <f t="shared" si="154"/>
        <v>5.0355533881502296E-2</v>
      </c>
    </row>
    <row r="735" spans="1:21" x14ac:dyDescent="0.25">
      <c r="A735" s="1" t="s">
        <v>1686</v>
      </c>
      <c r="B735" s="1" t="s">
        <v>36</v>
      </c>
      <c r="C735" s="1">
        <v>26</v>
      </c>
      <c r="D735" s="1">
        <v>25</v>
      </c>
      <c r="E735" s="1">
        <v>12</v>
      </c>
      <c r="F735" s="1">
        <v>13</v>
      </c>
      <c r="G735" s="1">
        <v>76</v>
      </c>
      <c r="H735" s="7">
        <v>1.214231845389905</v>
      </c>
      <c r="I735" s="7">
        <f t="shared" si="155"/>
        <v>22.694936708860759</v>
      </c>
      <c r="J735" s="7">
        <f t="shared" si="143"/>
        <v>5.3055534129377486</v>
      </c>
      <c r="K735" s="7">
        <f t="shared" si="144"/>
        <v>22.140506329113926</v>
      </c>
      <c r="L735" s="7">
        <f t="shared" si="145"/>
        <v>4.9144008395218908</v>
      </c>
      <c r="M735" s="7">
        <f t="shared" si="146"/>
        <v>10.069620253164556</v>
      </c>
      <c r="N735" s="7">
        <f t="shared" si="147"/>
        <v>2.1089377326145904</v>
      </c>
      <c r="O735" s="7">
        <f t="shared" si="148"/>
        <v>10.958227848101266</v>
      </c>
      <c r="P735" s="7">
        <f t="shared" si="149"/>
        <v>2.2883463843764797</v>
      </c>
      <c r="Q735" s="7">
        <f t="shared" si="150"/>
        <v>0.62294411796510174</v>
      </c>
      <c r="R735" s="7">
        <f t="shared" si="151"/>
        <v>0.58186008106824816</v>
      </c>
      <c r="S735" s="7">
        <f t="shared" si="152"/>
        <v>0.91533273694250961</v>
      </c>
      <c r="T735" s="7">
        <f t="shared" si="153"/>
        <v>0.89224785453757616</v>
      </c>
      <c r="U735" s="7">
        <f t="shared" si="154"/>
        <v>0.75309619762835889</v>
      </c>
    </row>
    <row r="736" spans="1:21" x14ac:dyDescent="0.25">
      <c r="A736" s="1" t="s">
        <v>1686</v>
      </c>
      <c r="B736" s="1" t="s">
        <v>36</v>
      </c>
      <c r="C736" s="1">
        <v>26</v>
      </c>
      <c r="D736" s="1">
        <v>26</v>
      </c>
      <c r="E736" s="1">
        <v>12</v>
      </c>
      <c r="F736" s="1">
        <v>14</v>
      </c>
      <c r="G736" s="1">
        <v>78</v>
      </c>
      <c r="H736" s="7">
        <v>1.154700538379251</v>
      </c>
      <c r="I736" s="7">
        <f t="shared" si="155"/>
        <v>22.694936708860759</v>
      </c>
      <c r="J736" s="7">
        <f t="shared" si="143"/>
        <v>5.3055534129377486</v>
      </c>
      <c r="K736" s="7">
        <f t="shared" si="144"/>
        <v>22.140506329113926</v>
      </c>
      <c r="L736" s="7">
        <f t="shared" si="145"/>
        <v>4.9144008395218908</v>
      </c>
      <c r="M736" s="7">
        <f t="shared" si="146"/>
        <v>10.069620253164556</v>
      </c>
      <c r="N736" s="7">
        <f t="shared" si="147"/>
        <v>2.1089377326145904</v>
      </c>
      <c r="O736" s="7">
        <f t="shared" si="148"/>
        <v>10.958227848101266</v>
      </c>
      <c r="P736" s="7">
        <f t="shared" si="149"/>
        <v>2.2883463843764797</v>
      </c>
      <c r="Q736" s="7">
        <f t="shared" si="150"/>
        <v>0.62294411796510174</v>
      </c>
      <c r="R736" s="7">
        <f t="shared" si="151"/>
        <v>0.78534368622270434</v>
      </c>
      <c r="S736" s="7">
        <f t="shared" si="152"/>
        <v>0.91533273694250961</v>
      </c>
      <c r="T736" s="7">
        <f t="shared" si="153"/>
        <v>1.3292446338833204</v>
      </c>
      <c r="U736" s="7">
        <f t="shared" si="154"/>
        <v>0.91321629375340896</v>
      </c>
    </row>
    <row r="737" spans="1:21" x14ac:dyDescent="0.25">
      <c r="A737" s="1" t="s">
        <v>1686</v>
      </c>
      <c r="B737" s="1" t="s">
        <v>36</v>
      </c>
      <c r="C737" s="1">
        <v>27</v>
      </c>
      <c r="D737" s="1">
        <v>26</v>
      </c>
      <c r="E737" s="1">
        <v>13</v>
      </c>
      <c r="F737" s="1">
        <v>13</v>
      </c>
      <c r="G737" s="1">
        <v>79</v>
      </c>
      <c r="H737" s="7">
        <v>1.4411533842457842</v>
      </c>
      <c r="I737" s="7">
        <f t="shared" si="155"/>
        <v>22.694936708860759</v>
      </c>
      <c r="J737" s="7">
        <f t="shared" si="143"/>
        <v>5.3055534129377486</v>
      </c>
      <c r="K737" s="7">
        <f t="shared" si="144"/>
        <v>22.140506329113926</v>
      </c>
      <c r="L737" s="7">
        <f t="shared" si="145"/>
        <v>4.9144008395218908</v>
      </c>
      <c r="M737" s="7">
        <f t="shared" si="146"/>
        <v>10.069620253164556</v>
      </c>
      <c r="N737" s="7">
        <f t="shared" si="147"/>
        <v>2.1089377326145904</v>
      </c>
      <c r="O737" s="7">
        <f t="shared" si="148"/>
        <v>10.958227848101266</v>
      </c>
      <c r="P737" s="7">
        <f t="shared" si="149"/>
        <v>2.2883463843764797</v>
      </c>
      <c r="Q737" s="7">
        <f t="shared" si="150"/>
        <v>0.81142586947503292</v>
      </c>
      <c r="R737" s="7">
        <f t="shared" si="151"/>
        <v>0.78534368622270434</v>
      </c>
      <c r="S737" s="7">
        <f t="shared" si="152"/>
        <v>1.3895051055881373</v>
      </c>
      <c r="T737" s="7">
        <f t="shared" si="153"/>
        <v>0.89224785453757616</v>
      </c>
      <c r="U737" s="7">
        <f t="shared" si="154"/>
        <v>0.96963062895586272</v>
      </c>
    </row>
    <row r="738" spans="1:21" x14ac:dyDescent="0.25">
      <c r="A738" s="1" t="s">
        <v>1686</v>
      </c>
      <c r="B738" s="1" t="s">
        <v>36</v>
      </c>
      <c r="C738" s="1">
        <v>23</v>
      </c>
      <c r="D738" s="1">
        <v>25</v>
      </c>
      <c r="E738" s="1">
        <v>10</v>
      </c>
      <c r="F738" s="1">
        <v>14</v>
      </c>
      <c r="G738" s="1">
        <v>72</v>
      </c>
      <c r="H738" s="7">
        <v>1.3301243435223524</v>
      </c>
      <c r="I738" s="7">
        <f t="shared" si="155"/>
        <v>22.694936708860759</v>
      </c>
      <c r="J738" s="7">
        <f t="shared" si="143"/>
        <v>5.3055534129377486</v>
      </c>
      <c r="K738" s="7">
        <f t="shared" si="144"/>
        <v>22.140506329113926</v>
      </c>
      <c r="L738" s="7">
        <f t="shared" si="145"/>
        <v>4.9144008395218908</v>
      </c>
      <c r="M738" s="7">
        <f t="shared" si="146"/>
        <v>10.069620253164556</v>
      </c>
      <c r="N738" s="7">
        <f t="shared" si="147"/>
        <v>2.1089377326145904</v>
      </c>
      <c r="O738" s="7">
        <f t="shared" si="148"/>
        <v>10.958227848101266</v>
      </c>
      <c r="P738" s="7">
        <f t="shared" si="149"/>
        <v>2.2883463843764797</v>
      </c>
      <c r="Q738" s="7">
        <f t="shared" si="150"/>
        <v>5.7498863435308259E-2</v>
      </c>
      <c r="R738" s="7">
        <f t="shared" si="151"/>
        <v>0.58186008106824816</v>
      </c>
      <c r="S738" s="7">
        <f t="shared" si="152"/>
        <v>-3.3012000348745997E-2</v>
      </c>
      <c r="T738" s="7">
        <f t="shared" si="153"/>
        <v>1.3292446338833204</v>
      </c>
      <c r="U738" s="7">
        <f t="shared" si="154"/>
        <v>0.48389789450953269</v>
      </c>
    </row>
    <row r="739" spans="1:21" x14ac:dyDescent="0.25">
      <c r="A739" s="1" t="s">
        <v>1686</v>
      </c>
      <c r="B739" s="1" t="s">
        <v>36</v>
      </c>
      <c r="C739" s="1">
        <v>17</v>
      </c>
      <c r="D739" s="1">
        <v>20</v>
      </c>
      <c r="E739" s="1">
        <v>10</v>
      </c>
      <c r="F739" s="1">
        <v>9</v>
      </c>
      <c r="G739" s="1">
        <v>56</v>
      </c>
      <c r="H739" s="7">
        <v>1.1821319289469756</v>
      </c>
      <c r="I739" s="7">
        <f t="shared" si="155"/>
        <v>22.694936708860759</v>
      </c>
      <c r="J739" s="7">
        <f t="shared" si="143"/>
        <v>5.3055534129377486</v>
      </c>
      <c r="K739" s="7">
        <f t="shared" si="144"/>
        <v>22.140506329113926</v>
      </c>
      <c r="L739" s="7">
        <f t="shared" si="145"/>
        <v>4.9144008395218908</v>
      </c>
      <c r="M739" s="7">
        <f t="shared" si="146"/>
        <v>10.069620253164556</v>
      </c>
      <c r="N739" s="7">
        <f t="shared" si="147"/>
        <v>2.1089377326145904</v>
      </c>
      <c r="O739" s="7">
        <f t="shared" si="148"/>
        <v>10.958227848101266</v>
      </c>
      <c r="P739" s="7">
        <f t="shared" si="149"/>
        <v>2.2883463843764797</v>
      </c>
      <c r="Q739" s="7">
        <f t="shared" si="150"/>
        <v>-1.0733916456242787</v>
      </c>
      <c r="R739" s="7">
        <f t="shared" si="151"/>
        <v>-0.43555794470403231</v>
      </c>
      <c r="S739" s="7">
        <f t="shared" si="152"/>
        <v>-3.3012000348745997E-2</v>
      </c>
      <c r="T739" s="7">
        <f t="shared" si="153"/>
        <v>-0.85573926284540058</v>
      </c>
      <c r="U739" s="7">
        <f t="shared" si="154"/>
        <v>-0.59942521338061439</v>
      </c>
    </row>
    <row r="740" spans="1:21" x14ac:dyDescent="0.25">
      <c r="A740" s="1" t="s">
        <v>1686</v>
      </c>
      <c r="B740" s="1" t="s">
        <v>36</v>
      </c>
      <c r="C740" s="1">
        <v>22</v>
      </c>
      <c r="D740" s="1">
        <v>23</v>
      </c>
      <c r="E740" s="1">
        <v>12</v>
      </c>
      <c r="F740" s="1">
        <v>13</v>
      </c>
      <c r="G740" s="1">
        <v>70</v>
      </c>
      <c r="H740" s="7">
        <v>1.1208970766356101</v>
      </c>
      <c r="I740" s="7">
        <f t="shared" si="155"/>
        <v>22.694936708860759</v>
      </c>
      <c r="J740" s="7">
        <f t="shared" si="143"/>
        <v>5.3055534129377486</v>
      </c>
      <c r="K740" s="7">
        <f t="shared" si="144"/>
        <v>22.140506329113926</v>
      </c>
      <c r="L740" s="7">
        <f t="shared" si="145"/>
        <v>4.9144008395218908</v>
      </c>
      <c r="M740" s="7">
        <f t="shared" si="146"/>
        <v>10.069620253164556</v>
      </c>
      <c r="N740" s="7">
        <f t="shared" si="147"/>
        <v>2.1089377326145904</v>
      </c>
      <c r="O740" s="7">
        <f t="shared" si="148"/>
        <v>10.958227848101266</v>
      </c>
      <c r="P740" s="7">
        <f t="shared" si="149"/>
        <v>2.2883463843764797</v>
      </c>
      <c r="Q740" s="7">
        <f t="shared" si="150"/>
        <v>-0.13098288807462291</v>
      </c>
      <c r="R740" s="7">
        <f t="shared" si="151"/>
        <v>0.17489287075933599</v>
      </c>
      <c r="S740" s="7">
        <f t="shared" si="152"/>
        <v>0.91533273694250961</v>
      </c>
      <c r="T740" s="7">
        <f t="shared" si="153"/>
        <v>0.89224785453757616</v>
      </c>
      <c r="U740" s="7">
        <f t="shared" si="154"/>
        <v>0.46287264354119972</v>
      </c>
    </row>
    <row r="741" spans="1:21" x14ac:dyDescent="0.25">
      <c r="A741" s="1" t="s">
        <v>1686</v>
      </c>
      <c r="B741" s="1" t="s">
        <v>36</v>
      </c>
      <c r="C741" s="1">
        <v>24</v>
      </c>
      <c r="D741" s="1">
        <v>22</v>
      </c>
      <c r="E741" s="1">
        <v>10</v>
      </c>
      <c r="F741" s="1">
        <v>10</v>
      </c>
      <c r="G741" s="1">
        <v>66</v>
      </c>
      <c r="H741" s="7">
        <v>1.4411533842457842</v>
      </c>
      <c r="I741" s="7">
        <f t="shared" si="155"/>
        <v>22.694936708860759</v>
      </c>
      <c r="J741" s="7">
        <f t="shared" si="143"/>
        <v>5.3055534129377486</v>
      </c>
      <c r="K741" s="7">
        <f t="shared" si="144"/>
        <v>22.140506329113926</v>
      </c>
      <c r="L741" s="7">
        <f t="shared" si="145"/>
        <v>4.9144008395218908</v>
      </c>
      <c r="M741" s="7">
        <f t="shared" si="146"/>
        <v>10.069620253164556</v>
      </c>
      <c r="N741" s="7">
        <f t="shared" si="147"/>
        <v>2.1089377326145904</v>
      </c>
      <c r="O741" s="7">
        <f t="shared" si="148"/>
        <v>10.958227848101266</v>
      </c>
      <c r="P741" s="7">
        <f t="shared" si="149"/>
        <v>2.2883463843764797</v>
      </c>
      <c r="Q741" s="7">
        <f t="shared" si="150"/>
        <v>0.24598061494523943</v>
      </c>
      <c r="R741" s="7">
        <f t="shared" si="151"/>
        <v>-2.8590734395120113E-2</v>
      </c>
      <c r="S741" s="7">
        <f t="shared" si="152"/>
        <v>-3.3012000348745997E-2</v>
      </c>
      <c r="T741" s="7">
        <f t="shared" si="153"/>
        <v>-0.41874248349965643</v>
      </c>
      <c r="U741" s="7">
        <f t="shared" si="154"/>
        <v>-5.8591150824570774E-2</v>
      </c>
    </row>
    <row r="742" spans="1:21" x14ac:dyDescent="0.25">
      <c r="A742" s="1" t="s">
        <v>1686</v>
      </c>
      <c r="B742" s="1" t="s">
        <v>36</v>
      </c>
      <c r="C742" s="1">
        <v>22</v>
      </c>
      <c r="D742" s="1">
        <v>19</v>
      </c>
      <c r="E742" s="1">
        <v>8</v>
      </c>
      <c r="F742" s="1">
        <v>11</v>
      </c>
      <c r="G742" s="1">
        <v>60</v>
      </c>
      <c r="H742" s="7">
        <v>1.0439078454267841</v>
      </c>
      <c r="I742" s="7">
        <f t="shared" si="155"/>
        <v>22.694936708860759</v>
      </c>
      <c r="J742" s="7">
        <f t="shared" si="143"/>
        <v>5.3055534129377486</v>
      </c>
      <c r="K742" s="7">
        <f t="shared" si="144"/>
        <v>22.140506329113926</v>
      </c>
      <c r="L742" s="7">
        <f t="shared" si="145"/>
        <v>4.9144008395218908</v>
      </c>
      <c r="M742" s="7">
        <f t="shared" si="146"/>
        <v>10.069620253164556</v>
      </c>
      <c r="N742" s="7">
        <f t="shared" si="147"/>
        <v>2.1089377326145904</v>
      </c>
      <c r="O742" s="7">
        <f t="shared" si="148"/>
        <v>10.958227848101266</v>
      </c>
      <c r="P742" s="7">
        <f t="shared" si="149"/>
        <v>2.2883463843764797</v>
      </c>
      <c r="Q742" s="7">
        <f t="shared" si="150"/>
        <v>-0.13098288807462291</v>
      </c>
      <c r="R742" s="7">
        <f t="shared" si="151"/>
        <v>-0.63904154985848838</v>
      </c>
      <c r="S742" s="7">
        <f t="shared" si="152"/>
        <v>-0.98135673764000164</v>
      </c>
      <c r="T742" s="7">
        <f t="shared" si="153"/>
        <v>1.8254295846087756E-2</v>
      </c>
      <c r="U742" s="7">
        <f t="shared" si="154"/>
        <v>-0.43328171993175624</v>
      </c>
    </row>
    <row r="743" spans="1:21" x14ac:dyDescent="0.25">
      <c r="A743" s="1" t="s">
        <v>1686</v>
      </c>
      <c r="B743" s="1" t="s">
        <v>36</v>
      </c>
      <c r="C743" s="1">
        <v>27</v>
      </c>
      <c r="D743" s="1">
        <v>31</v>
      </c>
      <c r="E743" s="1">
        <v>14</v>
      </c>
      <c r="F743" s="1">
        <v>15</v>
      </c>
      <c r="G743" s="1">
        <v>87</v>
      </c>
      <c r="H743" s="7">
        <v>1.7974340685458345</v>
      </c>
      <c r="I743" s="7">
        <f t="shared" si="155"/>
        <v>22.694936708860759</v>
      </c>
      <c r="J743" s="7">
        <f t="shared" si="143"/>
        <v>5.3055534129377486</v>
      </c>
      <c r="K743" s="7">
        <f t="shared" si="144"/>
        <v>22.140506329113926</v>
      </c>
      <c r="L743" s="7">
        <f t="shared" si="145"/>
        <v>4.9144008395218908</v>
      </c>
      <c r="M743" s="7">
        <f t="shared" si="146"/>
        <v>10.069620253164556</v>
      </c>
      <c r="N743" s="7">
        <f t="shared" si="147"/>
        <v>2.1089377326145904</v>
      </c>
      <c r="O743" s="7">
        <f t="shared" si="148"/>
        <v>10.958227848101266</v>
      </c>
      <c r="P743" s="7">
        <f t="shared" si="149"/>
        <v>2.2883463843764797</v>
      </c>
      <c r="Q743" s="7">
        <f t="shared" si="150"/>
        <v>0.81142586947503292</v>
      </c>
      <c r="R743" s="7">
        <f t="shared" si="151"/>
        <v>1.8027617119949848</v>
      </c>
      <c r="S743" s="7">
        <f t="shared" si="152"/>
        <v>1.8636774742337652</v>
      </c>
      <c r="T743" s="7">
        <f t="shared" si="153"/>
        <v>1.7662414132290645</v>
      </c>
      <c r="U743" s="7">
        <f t="shared" si="154"/>
        <v>1.5610266172332117</v>
      </c>
    </row>
    <row r="744" spans="1:21" x14ac:dyDescent="0.25">
      <c r="A744" s="1" t="s">
        <v>1686</v>
      </c>
      <c r="B744" s="1" t="s">
        <v>36</v>
      </c>
      <c r="C744" s="1">
        <v>23</v>
      </c>
      <c r="D744" s="1">
        <v>19</v>
      </c>
      <c r="E744" s="1">
        <v>10</v>
      </c>
      <c r="F744" s="1">
        <v>10</v>
      </c>
      <c r="G744" s="1">
        <v>62</v>
      </c>
      <c r="H744" s="7">
        <v>1.2351684199496944</v>
      </c>
      <c r="I744" s="7">
        <f t="shared" si="155"/>
        <v>22.694936708860759</v>
      </c>
      <c r="J744" s="7">
        <f t="shared" si="143"/>
        <v>5.3055534129377486</v>
      </c>
      <c r="K744" s="7">
        <f t="shared" si="144"/>
        <v>22.140506329113926</v>
      </c>
      <c r="L744" s="7">
        <f t="shared" si="145"/>
        <v>4.9144008395218908</v>
      </c>
      <c r="M744" s="7">
        <f t="shared" si="146"/>
        <v>10.069620253164556</v>
      </c>
      <c r="N744" s="7">
        <f t="shared" si="147"/>
        <v>2.1089377326145904</v>
      </c>
      <c r="O744" s="7">
        <f t="shared" si="148"/>
        <v>10.958227848101266</v>
      </c>
      <c r="P744" s="7">
        <f t="shared" si="149"/>
        <v>2.2883463843764797</v>
      </c>
      <c r="Q744" s="7">
        <f t="shared" si="150"/>
        <v>5.7498863435308259E-2</v>
      </c>
      <c r="R744" s="7">
        <f t="shared" si="151"/>
        <v>-0.63904154985848838</v>
      </c>
      <c r="S744" s="7">
        <f t="shared" si="152"/>
        <v>-3.3012000348745997E-2</v>
      </c>
      <c r="T744" s="7">
        <f t="shared" si="153"/>
        <v>-0.41874248349965643</v>
      </c>
      <c r="U744" s="7">
        <f t="shared" si="154"/>
        <v>-0.25832429256789563</v>
      </c>
    </row>
    <row r="745" spans="1:21" x14ac:dyDescent="0.25">
      <c r="A745" s="1" t="s">
        <v>1686</v>
      </c>
      <c r="B745" s="1" t="s">
        <v>36</v>
      </c>
      <c r="C745" s="1">
        <v>18</v>
      </c>
      <c r="D745" s="1">
        <v>15</v>
      </c>
      <c r="E745" s="1">
        <v>7</v>
      </c>
      <c r="F745" s="1">
        <v>9</v>
      </c>
      <c r="G745" s="1">
        <v>49</v>
      </c>
      <c r="H745" s="7">
        <v>0.92680869599629856</v>
      </c>
      <c r="I745" s="7">
        <f t="shared" si="155"/>
        <v>22.694936708860759</v>
      </c>
      <c r="J745" s="7">
        <f t="shared" si="143"/>
        <v>5.3055534129377486</v>
      </c>
      <c r="K745" s="7">
        <f t="shared" si="144"/>
        <v>22.140506329113926</v>
      </c>
      <c r="L745" s="7">
        <f t="shared" si="145"/>
        <v>4.9144008395218908</v>
      </c>
      <c r="M745" s="7">
        <f t="shared" si="146"/>
        <v>10.069620253164556</v>
      </c>
      <c r="N745" s="7">
        <f t="shared" si="147"/>
        <v>2.1089377326145904</v>
      </c>
      <c r="O745" s="7">
        <f t="shared" si="148"/>
        <v>10.958227848101266</v>
      </c>
      <c r="P745" s="7">
        <f t="shared" si="149"/>
        <v>2.2883463843764797</v>
      </c>
      <c r="Q745" s="7">
        <f t="shared" si="150"/>
        <v>-0.88490989411434762</v>
      </c>
      <c r="R745" s="7">
        <f t="shared" si="151"/>
        <v>-1.4529759704763128</v>
      </c>
      <c r="S745" s="7">
        <f t="shared" si="152"/>
        <v>-1.4555291062856295</v>
      </c>
      <c r="T745" s="7">
        <f t="shared" si="153"/>
        <v>-0.85573926284540058</v>
      </c>
      <c r="U745" s="7">
        <f t="shared" si="154"/>
        <v>-1.1622885584304226</v>
      </c>
    </row>
    <row r="746" spans="1:21" x14ac:dyDescent="0.25">
      <c r="A746" s="1" t="s">
        <v>1686</v>
      </c>
      <c r="B746" s="1" t="s">
        <v>36</v>
      </c>
      <c r="C746" s="1">
        <v>23</v>
      </c>
      <c r="D746" s="1">
        <v>24</v>
      </c>
      <c r="E746" s="1">
        <v>11</v>
      </c>
      <c r="F746" s="1">
        <v>11</v>
      </c>
      <c r="G746" s="1">
        <v>69</v>
      </c>
      <c r="H746" s="7">
        <v>1.1821319289469758</v>
      </c>
      <c r="I746" s="7">
        <f t="shared" si="155"/>
        <v>22.694936708860759</v>
      </c>
      <c r="J746" s="7">
        <f t="shared" si="143"/>
        <v>5.3055534129377486</v>
      </c>
      <c r="K746" s="7">
        <f t="shared" si="144"/>
        <v>22.140506329113926</v>
      </c>
      <c r="L746" s="7">
        <f t="shared" si="145"/>
        <v>4.9144008395218908</v>
      </c>
      <c r="M746" s="7">
        <f t="shared" si="146"/>
        <v>10.069620253164556</v>
      </c>
      <c r="N746" s="7">
        <f t="shared" si="147"/>
        <v>2.1089377326145904</v>
      </c>
      <c r="O746" s="7">
        <f t="shared" si="148"/>
        <v>10.958227848101266</v>
      </c>
      <c r="P746" s="7">
        <f t="shared" si="149"/>
        <v>2.2883463843764797</v>
      </c>
      <c r="Q746" s="7">
        <f t="shared" si="150"/>
        <v>5.7498863435308259E-2</v>
      </c>
      <c r="R746" s="7">
        <f t="shared" si="151"/>
        <v>0.37837647591379209</v>
      </c>
      <c r="S746" s="7">
        <f t="shared" si="152"/>
        <v>0.44116036829688182</v>
      </c>
      <c r="T746" s="7">
        <f t="shared" si="153"/>
        <v>1.8254295846087756E-2</v>
      </c>
      <c r="U746" s="7">
        <f t="shared" si="154"/>
        <v>0.22382250087301747</v>
      </c>
    </row>
    <row r="747" spans="1:21" x14ac:dyDescent="0.25">
      <c r="A747" s="1" t="s">
        <v>1686</v>
      </c>
      <c r="B747" s="1" t="s">
        <v>36</v>
      </c>
      <c r="C747" s="1">
        <v>20</v>
      </c>
      <c r="D747" s="1">
        <v>21</v>
      </c>
      <c r="E747" s="1">
        <v>10</v>
      </c>
      <c r="F747" s="1">
        <v>12</v>
      </c>
      <c r="G747" s="1">
        <v>63</v>
      </c>
      <c r="H747" s="7">
        <v>0.98709623358564902</v>
      </c>
      <c r="I747" s="7">
        <f t="shared" si="155"/>
        <v>22.694936708860759</v>
      </c>
      <c r="J747" s="7">
        <f t="shared" si="143"/>
        <v>5.3055534129377486</v>
      </c>
      <c r="K747" s="7">
        <f t="shared" si="144"/>
        <v>22.140506329113926</v>
      </c>
      <c r="L747" s="7">
        <f t="shared" si="145"/>
        <v>4.9144008395218908</v>
      </c>
      <c r="M747" s="7">
        <f t="shared" si="146"/>
        <v>10.069620253164556</v>
      </c>
      <c r="N747" s="7">
        <f t="shared" si="147"/>
        <v>2.1089377326145904</v>
      </c>
      <c r="O747" s="7">
        <f t="shared" si="148"/>
        <v>10.958227848101266</v>
      </c>
      <c r="P747" s="7">
        <f t="shared" si="149"/>
        <v>2.2883463843764797</v>
      </c>
      <c r="Q747" s="7">
        <f t="shared" si="150"/>
        <v>-0.50794639109448525</v>
      </c>
      <c r="R747" s="7">
        <f t="shared" si="151"/>
        <v>-0.23207433954957621</v>
      </c>
      <c r="S747" s="7">
        <f t="shared" si="152"/>
        <v>-3.3012000348745997E-2</v>
      </c>
      <c r="T747" s="7">
        <f t="shared" si="153"/>
        <v>0.45525107519183194</v>
      </c>
      <c r="U747" s="7">
        <f t="shared" si="154"/>
        <v>-7.9445413950243876E-2</v>
      </c>
    </row>
    <row r="748" spans="1:21" x14ac:dyDescent="0.25">
      <c r="A748" s="1" t="s">
        <v>1686</v>
      </c>
      <c r="B748" s="1" t="s">
        <v>36</v>
      </c>
      <c r="C748" s="1">
        <v>32</v>
      </c>
      <c r="D748" s="1">
        <v>31</v>
      </c>
      <c r="E748" s="1">
        <v>13</v>
      </c>
      <c r="F748" s="1">
        <v>15</v>
      </c>
      <c r="G748" s="1">
        <v>91</v>
      </c>
      <c r="H748" s="7">
        <v>1.9578900207451215</v>
      </c>
      <c r="I748" s="7">
        <f t="shared" si="155"/>
        <v>22.694936708860759</v>
      </c>
      <c r="J748" s="7">
        <f t="shared" si="143"/>
        <v>5.3055534129377486</v>
      </c>
      <c r="K748" s="7">
        <f t="shared" si="144"/>
        <v>22.140506329113926</v>
      </c>
      <c r="L748" s="7">
        <f t="shared" si="145"/>
        <v>4.9144008395218908</v>
      </c>
      <c r="M748" s="7">
        <f t="shared" si="146"/>
        <v>10.069620253164556</v>
      </c>
      <c r="N748" s="7">
        <f t="shared" si="147"/>
        <v>2.1089377326145904</v>
      </c>
      <c r="O748" s="7">
        <f t="shared" si="148"/>
        <v>10.958227848101266</v>
      </c>
      <c r="P748" s="7">
        <f t="shared" si="149"/>
        <v>2.2883463843764797</v>
      </c>
      <c r="Q748" s="7">
        <f t="shared" si="150"/>
        <v>1.7538346270246887</v>
      </c>
      <c r="R748" s="7">
        <f t="shared" si="151"/>
        <v>1.8027617119949848</v>
      </c>
      <c r="S748" s="7">
        <f t="shared" si="152"/>
        <v>1.3895051055881373</v>
      </c>
      <c r="T748" s="7">
        <f t="shared" si="153"/>
        <v>1.7662414132290645</v>
      </c>
      <c r="U748" s="7">
        <f t="shared" si="154"/>
        <v>1.6780857144592187</v>
      </c>
    </row>
    <row r="749" spans="1:21" x14ac:dyDescent="0.25">
      <c r="A749" s="1" t="s">
        <v>1686</v>
      </c>
      <c r="B749" s="1" t="s">
        <v>36</v>
      </c>
      <c r="C749" s="1">
        <v>27</v>
      </c>
      <c r="D749" s="1">
        <v>29</v>
      </c>
      <c r="E749" s="1">
        <v>13</v>
      </c>
      <c r="F749" s="1">
        <v>13</v>
      </c>
      <c r="G749" s="1">
        <v>82</v>
      </c>
      <c r="H749" s="7">
        <v>1.6525039276108333</v>
      </c>
      <c r="I749" s="7">
        <f t="shared" si="155"/>
        <v>22.694936708860759</v>
      </c>
      <c r="J749" s="7">
        <f t="shared" si="143"/>
        <v>5.3055534129377486</v>
      </c>
      <c r="K749" s="7">
        <f t="shared" si="144"/>
        <v>22.140506329113926</v>
      </c>
      <c r="L749" s="7">
        <f t="shared" si="145"/>
        <v>4.9144008395218908</v>
      </c>
      <c r="M749" s="7">
        <f t="shared" si="146"/>
        <v>10.069620253164556</v>
      </c>
      <c r="N749" s="7">
        <f t="shared" si="147"/>
        <v>2.1089377326145904</v>
      </c>
      <c r="O749" s="7">
        <f t="shared" si="148"/>
        <v>10.958227848101266</v>
      </c>
      <c r="P749" s="7">
        <f t="shared" si="149"/>
        <v>2.2883463843764797</v>
      </c>
      <c r="Q749" s="7">
        <f t="shared" si="150"/>
        <v>0.81142586947503292</v>
      </c>
      <c r="R749" s="7">
        <f t="shared" si="151"/>
        <v>1.3957945016860727</v>
      </c>
      <c r="S749" s="7">
        <f t="shared" si="152"/>
        <v>1.3895051055881373</v>
      </c>
      <c r="T749" s="7">
        <f t="shared" si="153"/>
        <v>0.89224785453757616</v>
      </c>
      <c r="U749" s="7">
        <f t="shared" si="154"/>
        <v>1.1222433328217047</v>
      </c>
    </row>
    <row r="750" spans="1:21" x14ac:dyDescent="0.25">
      <c r="A750" s="1" t="s">
        <v>1686</v>
      </c>
      <c r="B750" s="1" t="s">
        <v>36</v>
      </c>
      <c r="C750" s="1">
        <v>32</v>
      </c>
      <c r="D750" s="1">
        <v>28</v>
      </c>
      <c r="E750" s="1">
        <v>14</v>
      </c>
      <c r="F750" s="1">
        <v>15</v>
      </c>
      <c r="G750" s="1">
        <v>89</v>
      </c>
      <c r="H750" s="7">
        <v>1.9935794376846323</v>
      </c>
      <c r="I750" s="7">
        <f t="shared" si="155"/>
        <v>22.694936708860759</v>
      </c>
      <c r="J750" s="7">
        <f t="shared" si="143"/>
        <v>5.3055534129377486</v>
      </c>
      <c r="K750" s="7">
        <f t="shared" si="144"/>
        <v>22.140506329113926</v>
      </c>
      <c r="L750" s="7">
        <f t="shared" si="145"/>
        <v>4.9144008395218908</v>
      </c>
      <c r="M750" s="7">
        <f t="shared" si="146"/>
        <v>10.069620253164556</v>
      </c>
      <c r="N750" s="7">
        <f t="shared" si="147"/>
        <v>2.1089377326145904</v>
      </c>
      <c r="O750" s="7">
        <f t="shared" si="148"/>
        <v>10.958227848101266</v>
      </c>
      <c r="P750" s="7">
        <f t="shared" si="149"/>
        <v>2.2883463843764797</v>
      </c>
      <c r="Q750" s="7">
        <f t="shared" si="150"/>
        <v>1.7538346270246887</v>
      </c>
      <c r="R750" s="7">
        <f t="shared" si="151"/>
        <v>1.1923108965316165</v>
      </c>
      <c r="S750" s="7">
        <f t="shared" si="152"/>
        <v>1.8636774742337652</v>
      </c>
      <c r="T750" s="7">
        <f t="shared" si="153"/>
        <v>1.7662414132290645</v>
      </c>
      <c r="U750" s="7">
        <f t="shared" si="154"/>
        <v>1.6440161027547837</v>
      </c>
    </row>
    <row r="751" spans="1:21" x14ac:dyDescent="0.25">
      <c r="A751" s="1" t="s">
        <v>1686</v>
      </c>
      <c r="B751" s="1" t="s">
        <v>36</v>
      </c>
      <c r="C751" s="1">
        <v>25</v>
      </c>
      <c r="D751" s="1">
        <v>28</v>
      </c>
      <c r="E751" s="1">
        <v>14</v>
      </c>
      <c r="F751" s="1">
        <v>15</v>
      </c>
      <c r="G751" s="1">
        <v>82</v>
      </c>
      <c r="H751" s="7">
        <v>1.5483655567842813</v>
      </c>
      <c r="I751" s="7">
        <f t="shared" si="155"/>
        <v>22.694936708860759</v>
      </c>
      <c r="J751" s="7">
        <f t="shared" si="143"/>
        <v>5.3055534129377486</v>
      </c>
      <c r="K751" s="7">
        <f t="shared" si="144"/>
        <v>22.140506329113926</v>
      </c>
      <c r="L751" s="7">
        <f t="shared" si="145"/>
        <v>4.9144008395218908</v>
      </c>
      <c r="M751" s="7">
        <f t="shared" si="146"/>
        <v>10.069620253164556</v>
      </c>
      <c r="N751" s="7">
        <f t="shared" si="147"/>
        <v>2.1089377326145904</v>
      </c>
      <c r="O751" s="7">
        <f t="shared" si="148"/>
        <v>10.958227848101266</v>
      </c>
      <c r="P751" s="7">
        <f t="shared" si="149"/>
        <v>2.2883463843764797</v>
      </c>
      <c r="Q751" s="7">
        <f t="shared" si="150"/>
        <v>0.43446236645517061</v>
      </c>
      <c r="R751" s="7">
        <f t="shared" si="151"/>
        <v>1.1923108965316165</v>
      </c>
      <c r="S751" s="7">
        <f t="shared" si="152"/>
        <v>1.8636774742337652</v>
      </c>
      <c r="T751" s="7">
        <f t="shared" si="153"/>
        <v>1.7662414132290645</v>
      </c>
      <c r="U751" s="7">
        <f t="shared" si="154"/>
        <v>1.3141730376124041</v>
      </c>
    </row>
    <row r="752" spans="1:21" x14ac:dyDescent="0.25">
      <c r="A752" s="1" t="s">
        <v>1686</v>
      </c>
      <c r="B752" s="1" t="s">
        <v>36</v>
      </c>
      <c r="C752" s="1">
        <v>32</v>
      </c>
      <c r="D752" s="1">
        <v>29</v>
      </c>
      <c r="E752" s="1">
        <v>14</v>
      </c>
      <c r="F752" s="1">
        <v>15</v>
      </c>
      <c r="G752" s="1">
        <v>90</v>
      </c>
      <c r="H752" s="7">
        <v>1.9774368283857793</v>
      </c>
      <c r="I752" s="7">
        <f t="shared" si="155"/>
        <v>22.694936708860759</v>
      </c>
      <c r="J752" s="7">
        <f t="shared" si="143"/>
        <v>5.3055534129377486</v>
      </c>
      <c r="K752" s="7">
        <f t="shared" si="144"/>
        <v>22.140506329113926</v>
      </c>
      <c r="L752" s="7">
        <f t="shared" si="145"/>
        <v>4.9144008395218908</v>
      </c>
      <c r="M752" s="7">
        <f t="shared" si="146"/>
        <v>10.069620253164556</v>
      </c>
      <c r="N752" s="7">
        <f t="shared" si="147"/>
        <v>2.1089377326145904</v>
      </c>
      <c r="O752" s="7">
        <f t="shared" si="148"/>
        <v>10.958227848101266</v>
      </c>
      <c r="P752" s="7">
        <f t="shared" si="149"/>
        <v>2.2883463843764797</v>
      </c>
      <c r="Q752" s="7">
        <f t="shared" si="150"/>
        <v>1.7538346270246887</v>
      </c>
      <c r="R752" s="7">
        <f t="shared" si="151"/>
        <v>1.3957945016860727</v>
      </c>
      <c r="S752" s="7">
        <f t="shared" si="152"/>
        <v>1.8636774742337652</v>
      </c>
      <c r="T752" s="7">
        <f t="shared" si="153"/>
        <v>1.7662414132290645</v>
      </c>
      <c r="U752" s="7">
        <f t="shared" si="154"/>
        <v>1.6948870040433976</v>
      </c>
    </row>
    <row r="753" spans="1:21" x14ac:dyDescent="0.25">
      <c r="A753" s="1" t="s">
        <v>1686</v>
      </c>
      <c r="B753" s="1" t="s">
        <v>36</v>
      </c>
      <c r="C753" s="1">
        <v>31</v>
      </c>
      <c r="D753" s="1">
        <v>34</v>
      </c>
      <c r="E753" s="1">
        <v>13</v>
      </c>
      <c r="F753" s="1">
        <v>15</v>
      </c>
      <c r="G753" s="1">
        <v>93</v>
      </c>
      <c r="H753" s="7">
        <v>2.1543039806456377</v>
      </c>
      <c r="I753" s="7">
        <f t="shared" si="155"/>
        <v>22.694936708860759</v>
      </c>
      <c r="J753" s="7">
        <f t="shared" si="143"/>
        <v>5.3055534129377486</v>
      </c>
      <c r="K753" s="7">
        <f t="shared" si="144"/>
        <v>22.140506329113926</v>
      </c>
      <c r="L753" s="7">
        <f t="shared" si="145"/>
        <v>4.9144008395218908</v>
      </c>
      <c r="M753" s="7">
        <f t="shared" si="146"/>
        <v>10.069620253164556</v>
      </c>
      <c r="N753" s="7">
        <f t="shared" si="147"/>
        <v>2.1089377326145904</v>
      </c>
      <c r="O753" s="7">
        <f t="shared" si="148"/>
        <v>10.958227848101266</v>
      </c>
      <c r="P753" s="7">
        <f t="shared" si="149"/>
        <v>2.2883463843764797</v>
      </c>
      <c r="Q753" s="7">
        <f t="shared" si="150"/>
        <v>1.5653528755147577</v>
      </c>
      <c r="R753" s="7">
        <f t="shared" si="151"/>
        <v>2.4132125274583531</v>
      </c>
      <c r="S753" s="7">
        <f t="shared" si="152"/>
        <v>1.3895051055881373</v>
      </c>
      <c r="T753" s="7">
        <f t="shared" si="153"/>
        <v>1.7662414132290645</v>
      </c>
      <c r="U753" s="7">
        <f t="shared" si="154"/>
        <v>1.783577980447578</v>
      </c>
    </row>
    <row r="754" spans="1:21" x14ac:dyDescent="0.25">
      <c r="A754" s="1" t="s">
        <v>1686</v>
      </c>
      <c r="B754" s="1" t="s">
        <v>36</v>
      </c>
      <c r="C754" s="1">
        <v>25</v>
      </c>
      <c r="D754" s="1">
        <v>23</v>
      </c>
      <c r="E754" s="1">
        <v>10</v>
      </c>
      <c r="F754" s="1">
        <v>13</v>
      </c>
      <c r="G754" s="1">
        <v>71</v>
      </c>
      <c r="H754" s="7">
        <v>1.3301243435223524</v>
      </c>
      <c r="I754" s="7">
        <f t="shared" si="155"/>
        <v>22.694936708860759</v>
      </c>
      <c r="J754" s="7">
        <f t="shared" si="143"/>
        <v>5.3055534129377486</v>
      </c>
      <c r="K754" s="7">
        <f t="shared" si="144"/>
        <v>22.140506329113926</v>
      </c>
      <c r="L754" s="7">
        <f t="shared" si="145"/>
        <v>4.9144008395218908</v>
      </c>
      <c r="M754" s="7">
        <f t="shared" si="146"/>
        <v>10.069620253164556</v>
      </c>
      <c r="N754" s="7">
        <f t="shared" si="147"/>
        <v>2.1089377326145904</v>
      </c>
      <c r="O754" s="7">
        <f t="shared" si="148"/>
        <v>10.958227848101266</v>
      </c>
      <c r="P754" s="7">
        <f t="shared" si="149"/>
        <v>2.2883463843764797</v>
      </c>
      <c r="Q754" s="7">
        <f t="shared" si="150"/>
        <v>0.43446236645517061</v>
      </c>
      <c r="R754" s="7">
        <f t="shared" si="151"/>
        <v>0.17489287075933599</v>
      </c>
      <c r="S754" s="7">
        <f t="shared" si="152"/>
        <v>-3.3012000348745997E-2</v>
      </c>
      <c r="T754" s="7">
        <f t="shared" si="153"/>
        <v>0.89224785453757616</v>
      </c>
      <c r="U754" s="7">
        <f t="shared" si="154"/>
        <v>0.36714777285083422</v>
      </c>
    </row>
    <row r="755" spans="1:21" x14ac:dyDescent="0.25">
      <c r="A755" s="1" t="s">
        <v>1686</v>
      </c>
      <c r="B755" s="1" t="s">
        <v>36</v>
      </c>
      <c r="C755" s="1">
        <v>23</v>
      </c>
      <c r="D755" s="1">
        <v>23</v>
      </c>
      <c r="E755" s="1">
        <v>11</v>
      </c>
      <c r="F755" s="1">
        <v>13</v>
      </c>
      <c r="G755" s="1">
        <v>70</v>
      </c>
      <c r="H755" s="7">
        <v>1.2608503439122305</v>
      </c>
      <c r="I755" s="7">
        <f t="shared" si="155"/>
        <v>22.694936708860759</v>
      </c>
      <c r="J755" s="7">
        <f t="shared" si="143"/>
        <v>5.3055534129377486</v>
      </c>
      <c r="K755" s="7">
        <f t="shared" si="144"/>
        <v>22.140506329113926</v>
      </c>
      <c r="L755" s="7">
        <f t="shared" si="145"/>
        <v>4.9144008395218908</v>
      </c>
      <c r="M755" s="7">
        <f t="shared" si="146"/>
        <v>10.069620253164556</v>
      </c>
      <c r="N755" s="7">
        <f t="shared" si="147"/>
        <v>2.1089377326145904</v>
      </c>
      <c r="O755" s="7">
        <f t="shared" si="148"/>
        <v>10.958227848101266</v>
      </c>
      <c r="P755" s="7">
        <f t="shared" si="149"/>
        <v>2.2883463843764797</v>
      </c>
      <c r="Q755" s="7">
        <f t="shared" si="150"/>
        <v>5.7498863435308259E-2</v>
      </c>
      <c r="R755" s="7">
        <f t="shared" si="151"/>
        <v>0.17489287075933599</v>
      </c>
      <c r="S755" s="7">
        <f t="shared" si="152"/>
        <v>0.44116036829688182</v>
      </c>
      <c r="T755" s="7">
        <f t="shared" si="153"/>
        <v>0.89224785453757616</v>
      </c>
      <c r="U755" s="7">
        <f t="shared" si="154"/>
        <v>0.39144998925727559</v>
      </c>
    </row>
    <row r="756" spans="1:21" x14ac:dyDescent="0.25">
      <c r="A756" s="1" t="s">
        <v>1686</v>
      </c>
      <c r="B756" s="1" t="s">
        <v>36</v>
      </c>
      <c r="C756" s="1">
        <v>24</v>
      </c>
      <c r="D756" s="1">
        <v>20</v>
      </c>
      <c r="E756" s="1">
        <v>10</v>
      </c>
      <c r="F756" s="1">
        <v>10</v>
      </c>
      <c r="G756" s="1">
        <v>64</v>
      </c>
      <c r="H756" s="7">
        <v>1.3821202589704011</v>
      </c>
      <c r="I756" s="7">
        <f t="shared" si="155"/>
        <v>22.694936708860759</v>
      </c>
      <c r="J756" s="7">
        <f t="shared" si="143"/>
        <v>5.3055534129377486</v>
      </c>
      <c r="K756" s="7">
        <f t="shared" si="144"/>
        <v>22.140506329113926</v>
      </c>
      <c r="L756" s="7">
        <f t="shared" si="145"/>
        <v>4.9144008395218908</v>
      </c>
      <c r="M756" s="7">
        <f t="shared" si="146"/>
        <v>10.069620253164556</v>
      </c>
      <c r="N756" s="7">
        <f t="shared" si="147"/>
        <v>2.1089377326145904</v>
      </c>
      <c r="O756" s="7">
        <f t="shared" si="148"/>
        <v>10.958227848101266</v>
      </c>
      <c r="P756" s="7">
        <f t="shared" si="149"/>
        <v>2.2883463843764797</v>
      </c>
      <c r="Q756" s="7">
        <f t="shared" si="150"/>
        <v>0.24598061494523943</v>
      </c>
      <c r="R756" s="7">
        <f t="shared" si="151"/>
        <v>-0.43555794470403231</v>
      </c>
      <c r="S756" s="7">
        <f t="shared" si="152"/>
        <v>-3.3012000348745997E-2</v>
      </c>
      <c r="T756" s="7">
        <f t="shared" si="153"/>
        <v>-0.41874248349965643</v>
      </c>
      <c r="U756" s="7">
        <f t="shared" si="154"/>
        <v>-0.16033295340179882</v>
      </c>
    </row>
    <row r="757" spans="1:21" x14ac:dyDescent="0.25">
      <c r="A757" s="1" t="s">
        <v>1686</v>
      </c>
      <c r="B757" s="1" t="s">
        <v>36</v>
      </c>
      <c r="C757" s="1">
        <v>25</v>
      </c>
      <c r="D757" s="1">
        <v>26</v>
      </c>
      <c r="E757" s="1">
        <v>12</v>
      </c>
      <c r="F757" s="1">
        <v>15</v>
      </c>
      <c r="G757" s="1">
        <v>78</v>
      </c>
      <c r="H757" s="7">
        <v>0.99999999999999978</v>
      </c>
      <c r="I757" s="7">
        <f t="shared" si="155"/>
        <v>22.694936708860759</v>
      </c>
      <c r="J757" s="7">
        <f t="shared" si="143"/>
        <v>5.3055534129377486</v>
      </c>
      <c r="K757" s="7">
        <f t="shared" si="144"/>
        <v>22.140506329113926</v>
      </c>
      <c r="L757" s="7">
        <f t="shared" si="145"/>
        <v>4.9144008395218908</v>
      </c>
      <c r="M757" s="7">
        <f t="shared" si="146"/>
        <v>10.069620253164556</v>
      </c>
      <c r="N757" s="7">
        <f t="shared" si="147"/>
        <v>2.1089377326145904</v>
      </c>
      <c r="O757" s="7">
        <f t="shared" si="148"/>
        <v>10.958227848101266</v>
      </c>
      <c r="P757" s="7">
        <f t="shared" si="149"/>
        <v>2.2883463843764797</v>
      </c>
      <c r="Q757" s="7">
        <f t="shared" si="150"/>
        <v>0.43446236645517061</v>
      </c>
      <c r="R757" s="7">
        <f t="shared" si="151"/>
        <v>0.78534368622270434</v>
      </c>
      <c r="S757" s="7">
        <f t="shared" si="152"/>
        <v>0.91533273694250961</v>
      </c>
      <c r="T757" s="7">
        <f t="shared" si="153"/>
        <v>1.7662414132290645</v>
      </c>
      <c r="U757" s="7">
        <f t="shared" si="154"/>
        <v>0.97534505071236222</v>
      </c>
    </row>
    <row r="758" spans="1:21" x14ac:dyDescent="0.25">
      <c r="A758" s="1" t="s">
        <v>1686</v>
      </c>
      <c r="B758" s="1" t="s">
        <v>36</v>
      </c>
      <c r="C758" s="1">
        <v>22</v>
      </c>
      <c r="D758" s="1">
        <v>23</v>
      </c>
      <c r="E758" s="1">
        <v>11</v>
      </c>
      <c r="F758" s="1">
        <v>13</v>
      </c>
      <c r="G758" s="1">
        <v>69</v>
      </c>
      <c r="H758" s="7">
        <v>1.2506408613597126</v>
      </c>
      <c r="I758" s="7">
        <f t="shared" si="155"/>
        <v>22.694936708860759</v>
      </c>
      <c r="J758" s="7">
        <f t="shared" si="143"/>
        <v>5.3055534129377486</v>
      </c>
      <c r="K758" s="7">
        <f t="shared" si="144"/>
        <v>22.140506329113926</v>
      </c>
      <c r="L758" s="7">
        <f t="shared" si="145"/>
        <v>4.9144008395218908</v>
      </c>
      <c r="M758" s="7">
        <f t="shared" si="146"/>
        <v>10.069620253164556</v>
      </c>
      <c r="N758" s="7">
        <f t="shared" si="147"/>
        <v>2.1089377326145904</v>
      </c>
      <c r="O758" s="7">
        <f t="shared" si="148"/>
        <v>10.958227848101266</v>
      </c>
      <c r="P758" s="7">
        <f t="shared" si="149"/>
        <v>2.2883463843764797</v>
      </c>
      <c r="Q758" s="7">
        <f t="shared" si="150"/>
        <v>-0.13098288807462291</v>
      </c>
      <c r="R758" s="7">
        <f t="shared" si="151"/>
        <v>0.17489287075933599</v>
      </c>
      <c r="S758" s="7">
        <f t="shared" si="152"/>
        <v>0.44116036829688182</v>
      </c>
      <c r="T758" s="7">
        <f t="shared" si="153"/>
        <v>0.89224785453757616</v>
      </c>
      <c r="U758" s="7">
        <f t="shared" si="154"/>
        <v>0.34432955137979276</v>
      </c>
    </row>
    <row r="759" spans="1:21" x14ac:dyDescent="0.25">
      <c r="A759" s="1" t="s">
        <v>1686</v>
      </c>
      <c r="B759" s="1" t="s">
        <v>36</v>
      </c>
      <c r="C759" s="1">
        <v>21</v>
      </c>
      <c r="D759" s="1">
        <v>21</v>
      </c>
      <c r="E759" s="1">
        <v>10</v>
      </c>
      <c r="F759" s="1">
        <v>11</v>
      </c>
      <c r="G759" s="1">
        <v>63</v>
      </c>
      <c r="H759" s="7">
        <v>1.2810252304406966</v>
      </c>
      <c r="I759" s="7">
        <f t="shared" si="155"/>
        <v>22.694936708860759</v>
      </c>
      <c r="J759" s="7">
        <f t="shared" si="143"/>
        <v>5.3055534129377486</v>
      </c>
      <c r="K759" s="7">
        <f t="shared" si="144"/>
        <v>22.140506329113926</v>
      </c>
      <c r="L759" s="7">
        <f t="shared" si="145"/>
        <v>4.9144008395218908</v>
      </c>
      <c r="M759" s="7">
        <f t="shared" si="146"/>
        <v>10.069620253164556</v>
      </c>
      <c r="N759" s="7">
        <f t="shared" si="147"/>
        <v>2.1089377326145904</v>
      </c>
      <c r="O759" s="7">
        <f t="shared" si="148"/>
        <v>10.958227848101266</v>
      </c>
      <c r="P759" s="7">
        <f t="shared" si="149"/>
        <v>2.2883463843764797</v>
      </c>
      <c r="Q759" s="7">
        <f t="shared" si="150"/>
        <v>-0.31946463958455407</v>
      </c>
      <c r="R759" s="7">
        <f t="shared" si="151"/>
        <v>-0.23207433954957621</v>
      </c>
      <c r="S759" s="7">
        <f t="shared" si="152"/>
        <v>-3.3012000348745997E-2</v>
      </c>
      <c r="T759" s="7">
        <f t="shared" si="153"/>
        <v>1.8254295846087756E-2</v>
      </c>
      <c r="U759" s="7">
        <f t="shared" si="154"/>
        <v>-0.14157417090919713</v>
      </c>
    </row>
    <row r="760" spans="1:21" x14ac:dyDescent="0.25">
      <c r="A760" s="1" t="s">
        <v>1686</v>
      </c>
      <c r="B760" s="1" t="s">
        <v>36</v>
      </c>
      <c r="C760" s="1">
        <v>22</v>
      </c>
      <c r="D760" s="1">
        <v>17</v>
      </c>
      <c r="E760" s="1">
        <v>10</v>
      </c>
      <c r="F760" s="1">
        <v>11</v>
      </c>
      <c r="G760" s="1">
        <v>60</v>
      </c>
      <c r="H760" s="7">
        <v>1.192927878405448</v>
      </c>
      <c r="I760" s="7">
        <f t="shared" si="155"/>
        <v>22.694936708860759</v>
      </c>
      <c r="J760" s="7">
        <f t="shared" si="143"/>
        <v>5.3055534129377486</v>
      </c>
      <c r="K760" s="7">
        <f t="shared" si="144"/>
        <v>22.140506329113926</v>
      </c>
      <c r="L760" s="7">
        <f t="shared" si="145"/>
        <v>4.9144008395218908</v>
      </c>
      <c r="M760" s="7">
        <f t="shared" si="146"/>
        <v>10.069620253164556</v>
      </c>
      <c r="N760" s="7">
        <f t="shared" si="147"/>
        <v>2.1089377326145904</v>
      </c>
      <c r="O760" s="7">
        <f t="shared" si="148"/>
        <v>10.958227848101266</v>
      </c>
      <c r="P760" s="7">
        <f t="shared" si="149"/>
        <v>2.2883463843764797</v>
      </c>
      <c r="Q760" s="7">
        <f t="shared" si="150"/>
        <v>-0.13098288807462291</v>
      </c>
      <c r="R760" s="7">
        <f t="shared" si="151"/>
        <v>-1.0460087601674006</v>
      </c>
      <c r="S760" s="7">
        <f t="shared" si="152"/>
        <v>-3.3012000348745997E-2</v>
      </c>
      <c r="T760" s="7">
        <f t="shared" si="153"/>
        <v>1.8254295846087756E-2</v>
      </c>
      <c r="U760" s="7">
        <f t="shared" si="154"/>
        <v>-0.29793733818617041</v>
      </c>
    </row>
    <row r="761" spans="1:21" x14ac:dyDescent="0.25">
      <c r="A761" s="1" t="s">
        <v>1686</v>
      </c>
      <c r="B761" s="1" t="s">
        <v>36</v>
      </c>
      <c r="C761" s="1">
        <v>32</v>
      </c>
      <c r="D761" s="1">
        <v>24</v>
      </c>
      <c r="E761" s="1">
        <v>12</v>
      </c>
      <c r="F761" s="1">
        <v>15</v>
      </c>
      <c r="G761" s="1">
        <v>83</v>
      </c>
      <c r="H761" s="7">
        <v>1.7577666482623879</v>
      </c>
      <c r="I761" s="7">
        <f t="shared" si="155"/>
        <v>22.694936708860759</v>
      </c>
      <c r="J761" s="7">
        <f t="shared" si="143"/>
        <v>5.3055534129377486</v>
      </c>
      <c r="K761" s="7">
        <f t="shared" si="144"/>
        <v>22.140506329113926</v>
      </c>
      <c r="L761" s="7">
        <f t="shared" si="145"/>
        <v>4.9144008395218908</v>
      </c>
      <c r="M761" s="7">
        <f t="shared" si="146"/>
        <v>10.069620253164556</v>
      </c>
      <c r="N761" s="7">
        <f t="shared" si="147"/>
        <v>2.1089377326145904</v>
      </c>
      <c r="O761" s="7">
        <f t="shared" si="148"/>
        <v>10.958227848101266</v>
      </c>
      <c r="P761" s="7">
        <f t="shared" si="149"/>
        <v>2.2883463843764797</v>
      </c>
      <c r="Q761" s="7">
        <f t="shared" si="150"/>
        <v>1.7538346270246887</v>
      </c>
      <c r="R761" s="7">
        <f t="shared" si="151"/>
        <v>0.37837647591379209</v>
      </c>
      <c r="S761" s="7">
        <f t="shared" si="152"/>
        <v>0.91533273694250961</v>
      </c>
      <c r="T761" s="7">
        <f t="shared" si="153"/>
        <v>1.7662414132290645</v>
      </c>
      <c r="U761" s="7">
        <f t="shared" si="154"/>
        <v>1.2034463132775137</v>
      </c>
    </row>
    <row r="762" spans="1:21" x14ac:dyDescent="0.25">
      <c r="A762" s="1" t="s">
        <v>1686</v>
      </c>
      <c r="B762" s="1" t="s">
        <v>36</v>
      </c>
      <c r="C762" s="1">
        <v>30</v>
      </c>
      <c r="D762" s="1">
        <v>29</v>
      </c>
      <c r="E762" s="1">
        <v>13</v>
      </c>
      <c r="F762" s="1">
        <v>15</v>
      </c>
      <c r="G762" s="1">
        <v>87</v>
      </c>
      <c r="H762" s="7">
        <v>1.7021856236720769</v>
      </c>
      <c r="I762" s="7">
        <f t="shared" si="155"/>
        <v>22.694936708860759</v>
      </c>
      <c r="J762" s="7">
        <f t="shared" si="143"/>
        <v>5.3055534129377486</v>
      </c>
      <c r="K762" s="7">
        <f t="shared" si="144"/>
        <v>22.140506329113926</v>
      </c>
      <c r="L762" s="7">
        <f t="shared" si="145"/>
        <v>4.9144008395218908</v>
      </c>
      <c r="M762" s="7">
        <f t="shared" si="146"/>
        <v>10.069620253164556</v>
      </c>
      <c r="N762" s="7">
        <f t="shared" si="147"/>
        <v>2.1089377326145904</v>
      </c>
      <c r="O762" s="7">
        <f t="shared" si="148"/>
        <v>10.958227848101266</v>
      </c>
      <c r="P762" s="7">
        <f t="shared" si="149"/>
        <v>2.2883463843764797</v>
      </c>
      <c r="Q762" s="7">
        <f t="shared" si="150"/>
        <v>1.3768711240048266</v>
      </c>
      <c r="R762" s="7">
        <f t="shared" si="151"/>
        <v>1.3957945016860727</v>
      </c>
      <c r="S762" s="7">
        <f t="shared" si="152"/>
        <v>1.3895051055881373</v>
      </c>
      <c r="T762" s="7">
        <f t="shared" si="153"/>
        <v>1.7662414132290645</v>
      </c>
      <c r="U762" s="7">
        <f t="shared" si="154"/>
        <v>1.4821030361270251</v>
      </c>
    </row>
    <row r="763" spans="1:21" x14ac:dyDescent="0.25">
      <c r="A763" s="1" t="s">
        <v>1686</v>
      </c>
      <c r="B763" s="1" t="s">
        <v>36</v>
      </c>
      <c r="C763" s="1">
        <v>32</v>
      </c>
      <c r="D763" s="1">
        <v>30</v>
      </c>
      <c r="E763" s="1">
        <v>14</v>
      </c>
      <c r="F763" s="1">
        <v>15</v>
      </c>
      <c r="G763" s="1">
        <v>91</v>
      </c>
      <c r="H763" s="7">
        <v>1.957890020745122</v>
      </c>
      <c r="I763" s="7">
        <f t="shared" si="155"/>
        <v>22.694936708860759</v>
      </c>
      <c r="J763" s="7">
        <f t="shared" si="143"/>
        <v>5.3055534129377486</v>
      </c>
      <c r="K763" s="7">
        <f t="shared" si="144"/>
        <v>22.140506329113926</v>
      </c>
      <c r="L763" s="7">
        <f t="shared" si="145"/>
        <v>4.9144008395218908</v>
      </c>
      <c r="M763" s="7">
        <f t="shared" si="146"/>
        <v>10.069620253164556</v>
      </c>
      <c r="N763" s="7">
        <f t="shared" si="147"/>
        <v>2.1089377326145904</v>
      </c>
      <c r="O763" s="7">
        <f t="shared" si="148"/>
        <v>10.958227848101266</v>
      </c>
      <c r="P763" s="7">
        <f t="shared" si="149"/>
        <v>2.2883463843764797</v>
      </c>
      <c r="Q763" s="7">
        <f t="shared" si="150"/>
        <v>1.7538346270246887</v>
      </c>
      <c r="R763" s="7">
        <f t="shared" si="151"/>
        <v>1.5992781068405286</v>
      </c>
      <c r="S763" s="7">
        <f t="shared" si="152"/>
        <v>1.8636774742337652</v>
      </c>
      <c r="T763" s="7">
        <f t="shared" si="153"/>
        <v>1.7662414132290645</v>
      </c>
      <c r="U763" s="7">
        <f t="shared" si="154"/>
        <v>1.7457579053320118</v>
      </c>
    </row>
    <row r="764" spans="1:21" x14ac:dyDescent="0.25">
      <c r="A764" s="1" t="s">
        <v>1686</v>
      </c>
      <c r="B764" s="1" t="s">
        <v>36</v>
      </c>
      <c r="C764" s="1">
        <v>31</v>
      </c>
      <c r="D764" s="1">
        <v>28</v>
      </c>
      <c r="E764" s="1">
        <v>13</v>
      </c>
      <c r="F764" s="1">
        <v>15</v>
      </c>
      <c r="G764" s="1">
        <v>87</v>
      </c>
      <c r="H764" s="7">
        <v>1.9315199276138029</v>
      </c>
      <c r="I764" s="7">
        <f t="shared" si="155"/>
        <v>22.694936708860759</v>
      </c>
      <c r="J764" s="7">
        <f t="shared" si="143"/>
        <v>5.3055534129377486</v>
      </c>
      <c r="K764" s="7">
        <f t="shared" si="144"/>
        <v>22.140506329113926</v>
      </c>
      <c r="L764" s="7">
        <f t="shared" si="145"/>
        <v>4.9144008395218908</v>
      </c>
      <c r="M764" s="7">
        <f t="shared" si="146"/>
        <v>10.069620253164556</v>
      </c>
      <c r="N764" s="7">
        <f t="shared" si="147"/>
        <v>2.1089377326145904</v>
      </c>
      <c r="O764" s="7">
        <f t="shared" si="148"/>
        <v>10.958227848101266</v>
      </c>
      <c r="P764" s="7">
        <f t="shared" si="149"/>
        <v>2.2883463843764797</v>
      </c>
      <c r="Q764" s="7">
        <f t="shared" si="150"/>
        <v>1.5653528755147577</v>
      </c>
      <c r="R764" s="7">
        <f t="shared" si="151"/>
        <v>1.1923108965316165</v>
      </c>
      <c r="S764" s="7">
        <f t="shared" si="152"/>
        <v>1.3895051055881373</v>
      </c>
      <c r="T764" s="7">
        <f t="shared" si="153"/>
        <v>1.7662414132290645</v>
      </c>
      <c r="U764" s="7">
        <f t="shared" si="154"/>
        <v>1.4783525727158939</v>
      </c>
    </row>
    <row r="765" spans="1:21" x14ac:dyDescent="0.25">
      <c r="A765" s="1" t="s">
        <v>1686</v>
      </c>
      <c r="B765" s="1" t="s">
        <v>36</v>
      </c>
      <c r="C765" s="1">
        <v>29</v>
      </c>
      <c r="D765" s="1">
        <v>32</v>
      </c>
      <c r="E765" s="1">
        <v>13</v>
      </c>
      <c r="F765" s="1">
        <v>15</v>
      </c>
      <c r="G765" s="1">
        <v>89</v>
      </c>
      <c r="H765" s="7">
        <v>1.8187062180825986</v>
      </c>
      <c r="I765" s="7">
        <f t="shared" si="155"/>
        <v>22.694936708860759</v>
      </c>
      <c r="J765" s="7">
        <f t="shared" si="143"/>
        <v>5.3055534129377486</v>
      </c>
      <c r="K765" s="7">
        <f t="shared" si="144"/>
        <v>22.140506329113926</v>
      </c>
      <c r="L765" s="7">
        <f t="shared" si="145"/>
        <v>4.9144008395218908</v>
      </c>
      <c r="M765" s="7">
        <f t="shared" si="146"/>
        <v>10.069620253164556</v>
      </c>
      <c r="N765" s="7">
        <f t="shared" si="147"/>
        <v>2.1089377326145904</v>
      </c>
      <c r="O765" s="7">
        <f t="shared" si="148"/>
        <v>10.958227848101266</v>
      </c>
      <c r="P765" s="7">
        <f t="shared" si="149"/>
        <v>2.2883463843764797</v>
      </c>
      <c r="Q765" s="7">
        <f t="shared" si="150"/>
        <v>1.1883893724948953</v>
      </c>
      <c r="R765" s="7">
        <f t="shared" si="151"/>
        <v>2.0062453171494408</v>
      </c>
      <c r="S765" s="7">
        <f t="shared" si="152"/>
        <v>1.3895051055881373</v>
      </c>
      <c r="T765" s="7">
        <f t="shared" si="153"/>
        <v>1.7662414132290645</v>
      </c>
      <c r="U765" s="7">
        <f t="shared" si="154"/>
        <v>1.5875953021153844</v>
      </c>
    </row>
    <row r="766" spans="1:21" x14ac:dyDescent="0.25">
      <c r="A766" s="1" t="s">
        <v>1686</v>
      </c>
      <c r="B766" s="1" t="s">
        <v>36</v>
      </c>
      <c r="C766" s="1">
        <v>32</v>
      </c>
      <c r="D766" s="1">
        <v>32</v>
      </c>
      <c r="E766" s="1">
        <v>14</v>
      </c>
      <c r="F766" s="1">
        <v>15</v>
      </c>
      <c r="G766" s="1">
        <v>93</v>
      </c>
      <c r="H766" s="7">
        <v>2.0754980866510828</v>
      </c>
      <c r="I766" s="7">
        <f t="shared" si="155"/>
        <v>22.694936708860759</v>
      </c>
      <c r="J766" s="7">
        <f t="shared" si="143"/>
        <v>5.3055534129377486</v>
      </c>
      <c r="K766" s="7">
        <f t="shared" si="144"/>
        <v>22.140506329113926</v>
      </c>
      <c r="L766" s="7">
        <f t="shared" si="145"/>
        <v>4.9144008395218908</v>
      </c>
      <c r="M766" s="7">
        <f t="shared" si="146"/>
        <v>10.069620253164556</v>
      </c>
      <c r="N766" s="7">
        <f t="shared" si="147"/>
        <v>2.1089377326145904</v>
      </c>
      <c r="O766" s="7">
        <f t="shared" si="148"/>
        <v>10.958227848101266</v>
      </c>
      <c r="P766" s="7">
        <f t="shared" si="149"/>
        <v>2.2883463843764797</v>
      </c>
      <c r="Q766" s="7">
        <f t="shared" si="150"/>
        <v>1.7538346270246887</v>
      </c>
      <c r="R766" s="7">
        <f t="shared" si="151"/>
        <v>2.0062453171494408</v>
      </c>
      <c r="S766" s="7">
        <f t="shared" si="152"/>
        <v>1.8636774742337652</v>
      </c>
      <c r="T766" s="7">
        <f t="shared" si="153"/>
        <v>1.7662414132290645</v>
      </c>
      <c r="U766" s="7">
        <f t="shared" si="154"/>
        <v>1.8474997079092397</v>
      </c>
    </row>
    <row r="767" spans="1:21" x14ac:dyDescent="0.25">
      <c r="A767" s="1" t="s">
        <v>1686</v>
      </c>
      <c r="B767" s="1" t="s">
        <v>36</v>
      </c>
      <c r="C767" s="1">
        <v>32</v>
      </c>
      <c r="D767" s="1">
        <v>31</v>
      </c>
      <c r="E767" s="1">
        <v>14</v>
      </c>
      <c r="F767" s="1">
        <v>15</v>
      </c>
      <c r="G767" s="1">
        <v>92</v>
      </c>
      <c r="H767" s="7">
        <v>2.0191391920625672</v>
      </c>
      <c r="I767" s="7">
        <f t="shared" si="155"/>
        <v>22.694936708860759</v>
      </c>
      <c r="J767" s="7">
        <f t="shared" si="143"/>
        <v>5.3055534129377486</v>
      </c>
      <c r="K767" s="7">
        <f t="shared" si="144"/>
        <v>22.140506329113926</v>
      </c>
      <c r="L767" s="7">
        <f t="shared" si="145"/>
        <v>4.9144008395218908</v>
      </c>
      <c r="M767" s="7">
        <f t="shared" si="146"/>
        <v>10.069620253164556</v>
      </c>
      <c r="N767" s="7">
        <f t="shared" si="147"/>
        <v>2.1089377326145904</v>
      </c>
      <c r="O767" s="7">
        <f t="shared" si="148"/>
        <v>10.958227848101266</v>
      </c>
      <c r="P767" s="7">
        <f t="shared" si="149"/>
        <v>2.2883463843764797</v>
      </c>
      <c r="Q767" s="7">
        <f t="shared" si="150"/>
        <v>1.7538346270246887</v>
      </c>
      <c r="R767" s="7">
        <f t="shared" si="151"/>
        <v>1.8027617119949848</v>
      </c>
      <c r="S767" s="7">
        <f t="shared" si="152"/>
        <v>1.8636774742337652</v>
      </c>
      <c r="T767" s="7">
        <f t="shared" si="153"/>
        <v>1.7662414132290645</v>
      </c>
      <c r="U767" s="7">
        <f t="shared" si="154"/>
        <v>1.7966288066206257</v>
      </c>
    </row>
    <row r="768" spans="1:21" x14ac:dyDescent="0.25">
      <c r="A768" s="1" t="s">
        <v>1688</v>
      </c>
      <c r="B768" s="1" t="s">
        <v>36</v>
      </c>
      <c r="C768" s="1">
        <v>10</v>
      </c>
      <c r="D768" s="1">
        <v>10</v>
      </c>
      <c r="E768" s="1">
        <v>6</v>
      </c>
      <c r="F768" s="1">
        <v>10</v>
      </c>
      <c r="G768" s="1">
        <v>36</v>
      </c>
      <c r="H768" s="7">
        <v>0.59914468951527811</v>
      </c>
      <c r="I768" s="7">
        <f t="shared" si="155"/>
        <v>22.694936708860759</v>
      </c>
      <c r="J768" s="7">
        <f t="shared" si="143"/>
        <v>5.3055534129377486</v>
      </c>
      <c r="K768" s="7">
        <f t="shared" si="144"/>
        <v>22.140506329113926</v>
      </c>
      <c r="L768" s="7">
        <f t="shared" si="145"/>
        <v>4.9144008395218908</v>
      </c>
      <c r="M768" s="7">
        <f t="shared" si="146"/>
        <v>10.069620253164556</v>
      </c>
      <c r="N768" s="7">
        <f t="shared" si="147"/>
        <v>2.1089377326145904</v>
      </c>
      <c r="O768" s="7">
        <f t="shared" si="148"/>
        <v>10.958227848101266</v>
      </c>
      <c r="P768" s="7">
        <f t="shared" si="149"/>
        <v>2.2883463843764797</v>
      </c>
      <c r="Q768" s="7">
        <f t="shared" si="150"/>
        <v>-2.3927639061937969</v>
      </c>
      <c r="R768" s="7">
        <f t="shared" si="151"/>
        <v>-2.4703939962485935</v>
      </c>
      <c r="S768" s="7">
        <f t="shared" si="152"/>
        <v>-1.9297014749312573</v>
      </c>
      <c r="T768" s="7">
        <f t="shared" si="153"/>
        <v>-0.41874248349965643</v>
      </c>
      <c r="U768" s="7">
        <f t="shared" si="154"/>
        <v>-1.802900465218326</v>
      </c>
    </row>
    <row r="769" spans="1:21" x14ac:dyDescent="0.25">
      <c r="A769" s="1" t="s">
        <v>1688</v>
      </c>
      <c r="B769" s="1" t="s">
        <v>36</v>
      </c>
      <c r="C769" s="1">
        <v>21</v>
      </c>
      <c r="D769" s="1">
        <v>21</v>
      </c>
      <c r="E769" s="1">
        <v>7</v>
      </c>
      <c r="F769" s="1">
        <v>8</v>
      </c>
      <c r="G769" s="1">
        <v>57</v>
      </c>
      <c r="H769" s="7">
        <v>1.6092680291808414</v>
      </c>
      <c r="I769" s="7">
        <f t="shared" si="155"/>
        <v>22.694936708860759</v>
      </c>
      <c r="J769" s="7">
        <f t="shared" si="143"/>
        <v>5.3055534129377486</v>
      </c>
      <c r="K769" s="7">
        <f t="shared" si="144"/>
        <v>22.140506329113926</v>
      </c>
      <c r="L769" s="7">
        <f t="shared" si="145"/>
        <v>4.9144008395218908</v>
      </c>
      <c r="M769" s="7">
        <f t="shared" si="146"/>
        <v>10.069620253164556</v>
      </c>
      <c r="N769" s="7">
        <f t="shared" si="147"/>
        <v>2.1089377326145904</v>
      </c>
      <c r="O769" s="7">
        <f t="shared" si="148"/>
        <v>10.958227848101266</v>
      </c>
      <c r="P769" s="7">
        <f t="shared" si="149"/>
        <v>2.2883463843764797</v>
      </c>
      <c r="Q769" s="7">
        <f t="shared" si="150"/>
        <v>-0.31946463958455407</v>
      </c>
      <c r="R769" s="7">
        <f t="shared" si="151"/>
        <v>-0.23207433954957621</v>
      </c>
      <c r="S769" s="7">
        <f t="shared" si="152"/>
        <v>-1.4555291062856295</v>
      </c>
      <c r="T769" s="7">
        <f t="shared" si="153"/>
        <v>-1.2927360421911447</v>
      </c>
      <c r="U769" s="7">
        <f t="shared" si="154"/>
        <v>-0.82495103190272601</v>
      </c>
    </row>
    <row r="770" spans="1:21" x14ac:dyDescent="0.25">
      <c r="A770" s="1" t="s">
        <v>1688</v>
      </c>
      <c r="B770" s="1" t="s">
        <v>36</v>
      </c>
      <c r="C770" s="1">
        <v>8</v>
      </c>
      <c r="D770" s="1">
        <v>16</v>
      </c>
      <c r="E770" s="1">
        <v>7</v>
      </c>
      <c r="F770" s="1">
        <v>8</v>
      </c>
      <c r="G770" s="1">
        <v>39</v>
      </c>
      <c r="H770" s="7">
        <v>1.2247448713915889</v>
      </c>
      <c r="I770" s="7">
        <f t="shared" si="155"/>
        <v>22.694936708860759</v>
      </c>
      <c r="J770" s="7">
        <f t="shared" si="143"/>
        <v>5.3055534129377486</v>
      </c>
      <c r="K770" s="7">
        <f t="shared" si="144"/>
        <v>22.140506329113926</v>
      </c>
      <c r="L770" s="7">
        <f t="shared" si="145"/>
        <v>4.9144008395218908</v>
      </c>
      <c r="M770" s="7">
        <f t="shared" si="146"/>
        <v>10.069620253164556</v>
      </c>
      <c r="N770" s="7">
        <f t="shared" si="147"/>
        <v>2.1089377326145904</v>
      </c>
      <c r="O770" s="7">
        <f t="shared" si="148"/>
        <v>10.958227848101266</v>
      </c>
      <c r="P770" s="7">
        <f t="shared" si="149"/>
        <v>2.2883463843764797</v>
      </c>
      <c r="Q770" s="7">
        <f t="shared" si="150"/>
        <v>-2.7697274092136595</v>
      </c>
      <c r="R770" s="7">
        <f t="shared" si="151"/>
        <v>-1.2494923653218568</v>
      </c>
      <c r="S770" s="7">
        <f t="shared" si="152"/>
        <v>-1.4555291062856295</v>
      </c>
      <c r="T770" s="7">
        <f t="shared" si="153"/>
        <v>-1.2927360421911447</v>
      </c>
      <c r="U770" s="7">
        <f t="shared" si="154"/>
        <v>-1.6918712307530726</v>
      </c>
    </row>
    <row r="771" spans="1:21" x14ac:dyDescent="0.25">
      <c r="A771" s="1" t="s">
        <v>1688</v>
      </c>
      <c r="B771" s="1" t="s">
        <v>36</v>
      </c>
      <c r="C771" s="1">
        <v>32</v>
      </c>
      <c r="D771" s="1">
        <v>31</v>
      </c>
      <c r="E771" s="1">
        <v>14</v>
      </c>
      <c r="F771" s="1">
        <v>11</v>
      </c>
      <c r="G771" s="1">
        <v>88</v>
      </c>
      <c r="H771" s="7">
        <v>2.4205318339105473</v>
      </c>
      <c r="I771" s="7">
        <f t="shared" si="155"/>
        <v>22.694936708860759</v>
      </c>
      <c r="J771" s="7">
        <f t="shared" ref="J771:J791" si="156">_xlfn.STDEV.S(C:C)</f>
        <v>5.3055534129377486</v>
      </c>
      <c r="K771" s="7">
        <f t="shared" ref="K771:K791" si="157">AVERAGE(D:D)</f>
        <v>22.140506329113926</v>
      </c>
      <c r="L771" s="7">
        <f t="shared" ref="L771:L791" si="158">_xlfn.STDEV.S(D:D)</f>
        <v>4.9144008395218908</v>
      </c>
      <c r="M771" s="7">
        <f t="shared" ref="M771:M791" si="159">AVERAGE(E:E)</f>
        <v>10.069620253164556</v>
      </c>
      <c r="N771" s="7">
        <f t="shared" ref="N771:N791" si="160">_xlfn.STDEV.S(E:E)</f>
        <v>2.1089377326145904</v>
      </c>
      <c r="O771" s="7">
        <f t="shared" ref="O771:O791" si="161">AVERAGE(F:F)</f>
        <v>10.958227848101266</v>
      </c>
      <c r="P771" s="7">
        <f t="shared" ref="P771:P791" si="162">_xlfn.STDEV.S(F:F)</f>
        <v>2.2883463843764797</v>
      </c>
      <c r="Q771" s="7">
        <f t="shared" ref="Q771:Q791" si="163">STANDARDIZE(C771,I771,J771)</f>
        <v>1.7538346270246887</v>
      </c>
      <c r="R771" s="7">
        <f t="shared" ref="R771:R791" si="164">STANDARDIZE(D771,K771,L771)</f>
        <v>1.8027617119949848</v>
      </c>
      <c r="S771" s="7">
        <f t="shared" ref="S771:S791" si="165">STANDARDIZE(E771,M771,N771)</f>
        <v>1.8636774742337652</v>
      </c>
      <c r="T771" s="7">
        <f t="shared" ref="T771:T791" si="166">STANDARDIZE(F771,O771,P771)</f>
        <v>1.8254295846087756E-2</v>
      </c>
      <c r="U771" s="7">
        <f t="shared" ref="U771:U791" si="167">AVERAGE(Q771:T771)</f>
        <v>1.3596320272748816</v>
      </c>
    </row>
    <row r="772" spans="1:21" x14ac:dyDescent="0.25">
      <c r="A772" s="1" t="s">
        <v>1688</v>
      </c>
      <c r="B772" s="1" t="s">
        <v>36</v>
      </c>
      <c r="C772" s="1">
        <v>20</v>
      </c>
      <c r="D772" s="1">
        <v>16</v>
      </c>
      <c r="E772" s="1">
        <v>8</v>
      </c>
      <c r="F772" s="1">
        <v>6</v>
      </c>
      <c r="G772" s="1">
        <v>50</v>
      </c>
      <c r="H772" s="7">
        <v>1.5191090506254994</v>
      </c>
      <c r="I772" s="7">
        <f t="shared" ref="I772:I791" si="168">AVERAGE(C:C)</f>
        <v>22.694936708860759</v>
      </c>
      <c r="J772" s="7">
        <f t="shared" si="156"/>
        <v>5.3055534129377486</v>
      </c>
      <c r="K772" s="7">
        <f t="shared" si="157"/>
        <v>22.140506329113926</v>
      </c>
      <c r="L772" s="7">
        <f t="shared" si="158"/>
        <v>4.9144008395218908</v>
      </c>
      <c r="M772" s="7">
        <f t="shared" si="159"/>
        <v>10.069620253164556</v>
      </c>
      <c r="N772" s="7">
        <f t="shared" si="160"/>
        <v>2.1089377326145904</v>
      </c>
      <c r="O772" s="7">
        <f t="shared" si="161"/>
        <v>10.958227848101266</v>
      </c>
      <c r="P772" s="7">
        <f t="shared" si="162"/>
        <v>2.2883463843764797</v>
      </c>
      <c r="Q772" s="7">
        <f t="shared" si="163"/>
        <v>-0.50794639109448525</v>
      </c>
      <c r="R772" s="7">
        <f t="shared" si="164"/>
        <v>-1.2494923653218568</v>
      </c>
      <c r="S772" s="7">
        <f t="shared" si="165"/>
        <v>-0.98135673764000164</v>
      </c>
      <c r="T772" s="7">
        <f t="shared" si="166"/>
        <v>-2.1667296008826331</v>
      </c>
      <c r="U772" s="7">
        <f t="shared" si="167"/>
        <v>-1.2263812737347441</v>
      </c>
    </row>
    <row r="773" spans="1:21" x14ac:dyDescent="0.25">
      <c r="A773" s="1" t="s">
        <v>1688</v>
      </c>
      <c r="B773" s="1" t="s">
        <v>36</v>
      </c>
      <c r="C773" s="1">
        <v>31</v>
      </c>
      <c r="D773" s="1">
        <v>32</v>
      </c>
      <c r="E773" s="1">
        <v>13</v>
      </c>
      <c r="F773" s="1">
        <v>14</v>
      </c>
      <c r="G773" s="1">
        <v>90</v>
      </c>
      <c r="H773" s="7">
        <v>2.2159098380250968</v>
      </c>
      <c r="I773" s="7">
        <f t="shared" si="168"/>
        <v>22.694936708860759</v>
      </c>
      <c r="J773" s="7">
        <f t="shared" si="156"/>
        <v>5.3055534129377486</v>
      </c>
      <c r="K773" s="7">
        <f t="shared" si="157"/>
        <v>22.140506329113926</v>
      </c>
      <c r="L773" s="7">
        <f t="shared" si="158"/>
        <v>4.9144008395218908</v>
      </c>
      <c r="M773" s="7">
        <f t="shared" si="159"/>
        <v>10.069620253164556</v>
      </c>
      <c r="N773" s="7">
        <f t="shared" si="160"/>
        <v>2.1089377326145904</v>
      </c>
      <c r="O773" s="7">
        <f t="shared" si="161"/>
        <v>10.958227848101266</v>
      </c>
      <c r="P773" s="7">
        <f t="shared" si="162"/>
        <v>2.2883463843764797</v>
      </c>
      <c r="Q773" s="7">
        <f t="shared" si="163"/>
        <v>1.5653528755147577</v>
      </c>
      <c r="R773" s="7">
        <f t="shared" si="164"/>
        <v>2.0062453171494408</v>
      </c>
      <c r="S773" s="7">
        <f t="shared" si="165"/>
        <v>1.3895051055881373</v>
      </c>
      <c r="T773" s="7">
        <f t="shared" si="166"/>
        <v>1.3292446338833204</v>
      </c>
      <c r="U773" s="7">
        <f t="shared" si="167"/>
        <v>1.5725869830339139</v>
      </c>
    </row>
    <row r="774" spans="1:21" x14ac:dyDescent="0.25">
      <c r="A774" s="1" t="s">
        <v>1688</v>
      </c>
      <c r="B774" s="1" t="s">
        <v>36</v>
      </c>
      <c r="C774" s="1">
        <v>9</v>
      </c>
      <c r="D774" s="1">
        <v>9</v>
      </c>
      <c r="E774" s="1">
        <v>6</v>
      </c>
      <c r="F774" s="1">
        <v>6</v>
      </c>
      <c r="G774" s="1">
        <v>30</v>
      </c>
      <c r="H774" s="7">
        <v>0.48038446141526125</v>
      </c>
      <c r="I774" s="7">
        <f t="shared" si="168"/>
        <v>22.694936708860759</v>
      </c>
      <c r="J774" s="7">
        <f t="shared" si="156"/>
        <v>5.3055534129377486</v>
      </c>
      <c r="K774" s="7">
        <f t="shared" si="157"/>
        <v>22.140506329113926</v>
      </c>
      <c r="L774" s="7">
        <f t="shared" si="158"/>
        <v>4.9144008395218908</v>
      </c>
      <c r="M774" s="7">
        <f t="shared" si="159"/>
        <v>10.069620253164556</v>
      </c>
      <c r="N774" s="7">
        <f t="shared" si="160"/>
        <v>2.1089377326145904</v>
      </c>
      <c r="O774" s="7">
        <f t="shared" si="161"/>
        <v>10.958227848101266</v>
      </c>
      <c r="P774" s="7">
        <f t="shared" si="162"/>
        <v>2.2883463843764797</v>
      </c>
      <c r="Q774" s="7">
        <f t="shared" si="163"/>
        <v>-2.5812456577037284</v>
      </c>
      <c r="R774" s="7">
        <f t="shared" si="164"/>
        <v>-2.6738776014030492</v>
      </c>
      <c r="S774" s="7">
        <f t="shared" si="165"/>
        <v>-1.9297014749312573</v>
      </c>
      <c r="T774" s="7">
        <f t="shared" si="166"/>
        <v>-2.1667296008826331</v>
      </c>
      <c r="U774" s="7">
        <f t="shared" si="167"/>
        <v>-2.3378885837301673</v>
      </c>
    </row>
    <row r="775" spans="1:21" x14ac:dyDescent="0.25">
      <c r="A775" s="1" t="s">
        <v>1688</v>
      </c>
      <c r="B775" s="1" t="s">
        <v>36</v>
      </c>
      <c r="C775" s="1">
        <v>31</v>
      </c>
      <c r="D775" s="1">
        <v>30</v>
      </c>
      <c r="E775" s="1">
        <v>12</v>
      </c>
      <c r="F775" s="1">
        <v>15</v>
      </c>
      <c r="G775" s="1">
        <v>88</v>
      </c>
      <c r="H775" s="7">
        <v>2.0878156908535677</v>
      </c>
      <c r="I775" s="7">
        <f t="shared" si="168"/>
        <v>22.694936708860759</v>
      </c>
      <c r="J775" s="7">
        <f t="shared" si="156"/>
        <v>5.3055534129377486</v>
      </c>
      <c r="K775" s="7">
        <f t="shared" si="157"/>
        <v>22.140506329113926</v>
      </c>
      <c r="L775" s="7">
        <f t="shared" si="158"/>
        <v>4.9144008395218908</v>
      </c>
      <c r="M775" s="7">
        <f t="shared" si="159"/>
        <v>10.069620253164556</v>
      </c>
      <c r="N775" s="7">
        <f t="shared" si="160"/>
        <v>2.1089377326145904</v>
      </c>
      <c r="O775" s="7">
        <f t="shared" si="161"/>
        <v>10.958227848101266</v>
      </c>
      <c r="P775" s="7">
        <f t="shared" si="162"/>
        <v>2.2883463843764797</v>
      </c>
      <c r="Q775" s="7">
        <f t="shared" si="163"/>
        <v>1.5653528755147577</v>
      </c>
      <c r="R775" s="7">
        <f t="shared" si="164"/>
        <v>1.5992781068405286</v>
      </c>
      <c r="S775" s="7">
        <f t="shared" si="165"/>
        <v>0.91533273694250961</v>
      </c>
      <c r="T775" s="7">
        <f t="shared" si="166"/>
        <v>1.7662414132290645</v>
      </c>
      <c r="U775" s="7">
        <f t="shared" si="167"/>
        <v>1.461551283131715</v>
      </c>
    </row>
    <row r="776" spans="1:21" x14ac:dyDescent="0.25">
      <c r="A776" s="1" t="s">
        <v>1688</v>
      </c>
      <c r="B776" s="1" t="s">
        <v>36</v>
      </c>
      <c r="C776" s="1">
        <v>24</v>
      </c>
      <c r="D776" s="1">
        <v>24</v>
      </c>
      <c r="E776" s="1">
        <v>10</v>
      </c>
      <c r="F776" s="1">
        <v>12</v>
      </c>
      <c r="G776" s="1">
        <v>70</v>
      </c>
      <c r="H776" s="7">
        <v>1.7577666482623879</v>
      </c>
      <c r="I776" s="7">
        <f t="shared" si="168"/>
        <v>22.694936708860759</v>
      </c>
      <c r="J776" s="7">
        <f t="shared" si="156"/>
        <v>5.3055534129377486</v>
      </c>
      <c r="K776" s="7">
        <f t="shared" si="157"/>
        <v>22.140506329113926</v>
      </c>
      <c r="L776" s="7">
        <f t="shared" si="158"/>
        <v>4.9144008395218908</v>
      </c>
      <c r="M776" s="7">
        <f t="shared" si="159"/>
        <v>10.069620253164556</v>
      </c>
      <c r="N776" s="7">
        <f t="shared" si="160"/>
        <v>2.1089377326145904</v>
      </c>
      <c r="O776" s="7">
        <f t="shared" si="161"/>
        <v>10.958227848101266</v>
      </c>
      <c r="P776" s="7">
        <f t="shared" si="162"/>
        <v>2.2883463843764797</v>
      </c>
      <c r="Q776" s="7">
        <f t="shared" si="163"/>
        <v>0.24598061494523943</v>
      </c>
      <c r="R776" s="7">
        <f t="shared" si="164"/>
        <v>0.37837647591379209</v>
      </c>
      <c r="S776" s="7">
        <f t="shared" si="165"/>
        <v>-3.3012000348745997E-2</v>
      </c>
      <c r="T776" s="7">
        <f t="shared" si="166"/>
        <v>0.45525107519183194</v>
      </c>
      <c r="U776" s="7">
        <f t="shared" si="167"/>
        <v>0.26164904142552936</v>
      </c>
    </row>
    <row r="777" spans="1:21" x14ac:dyDescent="0.25">
      <c r="A777" s="1" t="s">
        <v>1688</v>
      </c>
      <c r="B777" s="1" t="s">
        <v>36</v>
      </c>
      <c r="C777" s="1">
        <v>24</v>
      </c>
      <c r="D777" s="1">
        <v>26</v>
      </c>
      <c r="E777" s="1">
        <v>11</v>
      </c>
      <c r="F777" s="1">
        <v>12</v>
      </c>
      <c r="G777" s="1">
        <v>73</v>
      </c>
      <c r="H777" s="7">
        <v>1.8045526471705546</v>
      </c>
      <c r="I777" s="7">
        <f t="shared" si="168"/>
        <v>22.694936708860759</v>
      </c>
      <c r="J777" s="7">
        <f t="shared" si="156"/>
        <v>5.3055534129377486</v>
      </c>
      <c r="K777" s="7">
        <f t="shared" si="157"/>
        <v>22.140506329113926</v>
      </c>
      <c r="L777" s="7">
        <f t="shared" si="158"/>
        <v>4.9144008395218908</v>
      </c>
      <c r="M777" s="7">
        <f t="shared" si="159"/>
        <v>10.069620253164556</v>
      </c>
      <c r="N777" s="7">
        <f t="shared" si="160"/>
        <v>2.1089377326145904</v>
      </c>
      <c r="O777" s="7">
        <f t="shared" si="161"/>
        <v>10.958227848101266</v>
      </c>
      <c r="P777" s="7">
        <f t="shared" si="162"/>
        <v>2.2883463843764797</v>
      </c>
      <c r="Q777" s="7">
        <f t="shared" si="163"/>
        <v>0.24598061494523943</v>
      </c>
      <c r="R777" s="7">
        <f t="shared" si="164"/>
        <v>0.78534368622270434</v>
      </c>
      <c r="S777" s="7">
        <f t="shared" si="165"/>
        <v>0.44116036829688182</v>
      </c>
      <c r="T777" s="7">
        <f t="shared" si="166"/>
        <v>0.45525107519183194</v>
      </c>
      <c r="U777" s="7">
        <f t="shared" si="167"/>
        <v>0.48193393616416441</v>
      </c>
    </row>
    <row r="778" spans="1:21" x14ac:dyDescent="0.25">
      <c r="A778" s="1" t="s">
        <v>1688</v>
      </c>
      <c r="B778" s="1" t="s">
        <v>36</v>
      </c>
      <c r="C778" s="1">
        <v>25</v>
      </c>
      <c r="D778" s="1">
        <v>26</v>
      </c>
      <c r="E778" s="1">
        <v>9</v>
      </c>
      <c r="F778" s="1">
        <v>9</v>
      </c>
      <c r="G778" s="1">
        <v>69</v>
      </c>
      <c r="H778" s="7">
        <v>2.2870874995874626</v>
      </c>
      <c r="I778" s="7">
        <f t="shared" si="168"/>
        <v>22.694936708860759</v>
      </c>
      <c r="J778" s="7">
        <f t="shared" si="156"/>
        <v>5.3055534129377486</v>
      </c>
      <c r="K778" s="7">
        <f t="shared" si="157"/>
        <v>22.140506329113926</v>
      </c>
      <c r="L778" s="7">
        <f t="shared" si="158"/>
        <v>4.9144008395218908</v>
      </c>
      <c r="M778" s="7">
        <f t="shared" si="159"/>
        <v>10.069620253164556</v>
      </c>
      <c r="N778" s="7">
        <f t="shared" si="160"/>
        <v>2.1089377326145904</v>
      </c>
      <c r="O778" s="7">
        <f t="shared" si="161"/>
        <v>10.958227848101266</v>
      </c>
      <c r="P778" s="7">
        <f t="shared" si="162"/>
        <v>2.2883463843764797</v>
      </c>
      <c r="Q778" s="7">
        <f t="shared" si="163"/>
        <v>0.43446236645517061</v>
      </c>
      <c r="R778" s="7">
        <f t="shared" si="164"/>
        <v>0.78534368622270434</v>
      </c>
      <c r="S778" s="7">
        <f t="shared" si="165"/>
        <v>-0.5071843689943738</v>
      </c>
      <c r="T778" s="7">
        <f t="shared" si="166"/>
        <v>-0.85573926284540058</v>
      </c>
      <c r="U778" s="7">
        <f t="shared" si="167"/>
        <v>-3.5779394790474872E-2</v>
      </c>
    </row>
    <row r="779" spans="1:21" x14ac:dyDescent="0.25">
      <c r="A779" s="1" t="s">
        <v>1688</v>
      </c>
      <c r="B779" s="1" t="s">
        <v>36</v>
      </c>
      <c r="C779" s="1">
        <v>16</v>
      </c>
      <c r="D779" s="1">
        <v>25</v>
      </c>
      <c r="E779" s="1">
        <v>9</v>
      </c>
      <c r="F779" s="1">
        <v>12</v>
      </c>
      <c r="G779" s="1">
        <v>62</v>
      </c>
      <c r="H779" s="7">
        <v>1.7867030229749128</v>
      </c>
      <c r="I779" s="7">
        <f t="shared" si="168"/>
        <v>22.694936708860759</v>
      </c>
      <c r="J779" s="7">
        <f t="shared" si="156"/>
        <v>5.3055534129377486</v>
      </c>
      <c r="K779" s="7">
        <f t="shared" si="157"/>
        <v>22.140506329113926</v>
      </c>
      <c r="L779" s="7">
        <f t="shared" si="158"/>
        <v>4.9144008395218908</v>
      </c>
      <c r="M779" s="7">
        <f t="shared" si="159"/>
        <v>10.069620253164556</v>
      </c>
      <c r="N779" s="7">
        <f t="shared" si="160"/>
        <v>2.1089377326145904</v>
      </c>
      <c r="O779" s="7">
        <f t="shared" si="161"/>
        <v>10.958227848101266</v>
      </c>
      <c r="P779" s="7">
        <f t="shared" si="162"/>
        <v>2.2883463843764797</v>
      </c>
      <c r="Q779" s="7">
        <f t="shared" si="163"/>
        <v>-1.26187339713421</v>
      </c>
      <c r="R779" s="7">
        <f t="shared" si="164"/>
        <v>0.58186008106824816</v>
      </c>
      <c r="S779" s="7">
        <f t="shared" si="165"/>
        <v>-0.5071843689943738</v>
      </c>
      <c r="T779" s="7">
        <f t="shared" si="166"/>
        <v>0.45525107519183194</v>
      </c>
      <c r="U779" s="7">
        <f t="shared" si="167"/>
        <v>-0.18298665246712592</v>
      </c>
    </row>
    <row r="780" spans="1:21" x14ac:dyDescent="0.25">
      <c r="A780" s="1" t="s">
        <v>1688</v>
      </c>
      <c r="B780" s="1" t="s">
        <v>36</v>
      </c>
      <c r="C780" s="1">
        <v>25</v>
      </c>
      <c r="D780" s="1">
        <v>26</v>
      </c>
      <c r="E780" s="1">
        <v>11</v>
      </c>
      <c r="F780" s="1">
        <v>9</v>
      </c>
      <c r="G780" s="1">
        <v>71</v>
      </c>
      <c r="H780" s="7">
        <v>2.2588855886396955</v>
      </c>
      <c r="I780" s="7">
        <f t="shared" si="168"/>
        <v>22.694936708860759</v>
      </c>
      <c r="J780" s="7">
        <f t="shared" si="156"/>
        <v>5.3055534129377486</v>
      </c>
      <c r="K780" s="7">
        <f t="shared" si="157"/>
        <v>22.140506329113926</v>
      </c>
      <c r="L780" s="7">
        <f t="shared" si="158"/>
        <v>4.9144008395218908</v>
      </c>
      <c r="M780" s="7">
        <f t="shared" si="159"/>
        <v>10.069620253164556</v>
      </c>
      <c r="N780" s="7">
        <f t="shared" si="160"/>
        <v>2.1089377326145904</v>
      </c>
      <c r="O780" s="7">
        <f t="shared" si="161"/>
        <v>10.958227848101266</v>
      </c>
      <c r="P780" s="7">
        <f t="shared" si="162"/>
        <v>2.2883463843764797</v>
      </c>
      <c r="Q780" s="7">
        <f t="shared" si="163"/>
        <v>0.43446236645517061</v>
      </c>
      <c r="R780" s="7">
        <f t="shared" si="164"/>
        <v>0.78534368622270434</v>
      </c>
      <c r="S780" s="7">
        <f t="shared" si="165"/>
        <v>0.44116036829688182</v>
      </c>
      <c r="T780" s="7">
        <f t="shared" si="166"/>
        <v>-0.85573926284540058</v>
      </c>
      <c r="U780" s="7">
        <f t="shared" si="167"/>
        <v>0.20130678953233905</v>
      </c>
    </row>
    <row r="781" spans="1:21" x14ac:dyDescent="0.25">
      <c r="A781" s="1" t="s">
        <v>1688</v>
      </c>
      <c r="B781" s="1" t="s">
        <v>36</v>
      </c>
      <c r="C781" s="1">
        <v>21</v>
      </c>
      <c r="D781" s="1">
        <v>23</v>
      </c>
      <c r="E781" s="1">
        <v>11</v>
      </c>
      <c r="F781" s="1">
        <v>9</v>
      </c>
      <c r="G781" s="1">
        <v>64</v>
      </c>
      <c r="H781" s="7">
        <v>1.8912755158683456</v>
      </c>
      <c r="I781" s="7">
        <f t="shared" si="168"/>
        <v>22.694936708860759</v>
      </c>
      <c r="J781" s="7">
        <f t="shared" si="156"/>
        <v>5.3055534129377486</v>
      </c>
      <c r="K781" s="7">
        <f t="shared" si="157"/>
        <v>22.140506329113926</v>
      </c>
      <c r="L781" s="7">
        <f t="shared" si="158"/>
        <v>4.9144008395218908</v>
      </c>
      <c r="M781" s="7">
        <f t="shared" si="159"/>
        <v>10.069620253164556</v>
      </c>
      <c r="N781" s="7">
        <f t="shared" si="160"/>
        <v>2.1089377326145904</v>
      </c>
      <c r="O781" s="7">
        <f t="shared" si="161"/>
        <v>10.958227848101266</v>
      </c>
      <c r="P781" s="7">
        <f t="shared" si="162"/>
        <v>2.2883463843764797</v>
      </c>
      <c r="Q781" s="7">
        <f t="shared" si="163"/>
        <v>-0.31946463958455407</v>
      </c>
      <c r="R781" s="7">
        <f t="shared" si="164"/>
        <v>0.17489287075933599</v>
      </c>
      <c r="S781" s="7">
        <f t="shared" si="165"/>
        <v>0.44116036829688182</v>
      </c>
      <c r="T781" s="7">
        <f t="shared" si="166"/>
        <v>-0.85573926284540058</v>
      </c>
      <c r="U781" s="7">
        <f t="shared" si="167"/>
        <v>-0.13978766584343422</v>
      </c>
    </row>
    <row r="782" spans="1:21" x14ac:dyDescent="0.25">
      <c r="A782" s="1" t="s">
        <v>1688</v>
      </c>
      <c r="B782" s="1" t="s">
        <v>36</v>
      </c>
      <c r="C782" s="1">
        <v>16</v>
      </c>
      <c r="D782" s="1">
        <v>18</v>
      </c>
      <c r="E782" s="1">
        <v>8</v>
      </c>
      <c r="F782" s="1">
        <v>9</v>
      </c>
      <c r="G782" s="1">
        <v>51</v>
      </c>
      <c r="H782" s="7">
        <v>1.3204505835470495</v>
      </c>
      <c r="I782" s="7">
        <f t="shared" si="168"/>
        <v>22.694936708860759</v>
      </c>
      <c r="J782" s="7">
        <f t="shared" si="156"/>
        <v>5.3055534129377486</v>
      </c>
      <c r="K782" s="7">
        <f t="shared" si="157"/>
        <v>22.140506329113926</v>
      </c>
      <c r="L782" s="7">
        <f t="shared" si="158"/>
        <v>4.9144008395218908</v>
      </c>
      <c r="M782" s="7">
        <f t="shared" si="159"/>
        <v>10.069620253164556</v>
      </c>
      <c r="N782" s="7">
        <f t="shared" si="160"/>
        <v>2.1089377326145904</v>
      </c>
      <c r="O782" s="7">
        <f t="shared" si="161"/>
        <v>10.958227848101266</v>
      </c>
      <c r="P782" s="7">
        <f t="shared" si="162"/>
        <v>2.2883463843764797</v>
      </c>
      <c r="Q782" s="7">
        <f t="shared" si="163"/>
        <v>-1.26187339713421</v>
      </c>
      <c r="R782" s="7">
        <f t="shared" si="164"/>
        <v>-0.84252515501294456</v>
      </c>
      <c r="S782" s="7">
        <f t="shared" si="165"/>
        <v>-0.98135673764000164</v>
      </c>
      <c r="T782" s="7">
        <f t="shared" si="166"/>
        <v>-0.85573926284540058</v>
      </c>
      <c r="U782" s="7">
        <f t="shared" si="167"/>
        <v>-0.98537363815813905</v>
      </c>
    </row>
    <row r="783" spans="1:21" x14ac:dyDescent="0.25">
      <c r="A783" s="1" t="s">
        <v>1688</v>
      </c>
      <c r="B783" s="1" t="s">
        <v>36</v>
      </c>
      <c r="C783" s="1">
        <v>28</v>
      </c>
      <c r="D783" s="1">
        <v>25</v>
      </c>
      <c r="E783" s="1">
        <v>11</v>
      </c>
      <c r="F783" s="1">
        <v>12</v>
      </c>
      <c r="G783" s="1">
        <v>76</v>
      </c>
      <c r="H783" s="7">
        <v>1.8187062180825986</v>
      </c>
      <c r="I783" s="7">
        <f t="shared" si="168"/>
        <v>22.694936708860759</v>
      </c>
      <c r="J783" s="7">
        <f t="shared" si="156"/>
        <v>5.3055534129377486</v>
      </c>
      <c r="K783" s="7">
        <f t="shared" si="157"/>
        <v>22.140506329113926</v>
      </c>
      <c r="L783" s="7">
        <f t="shared" si="158"/>
        <v>4.9144008395218908</v>
      </c>
      <c r="M783" s="7">
        <f t="shared" si="159"/>
        <v>10.069620253164556</v>
      </c>
      <c r="N783" s="7">
        <f t="shared" si="160"/>
        <v>2.1089377326145904</v>
      </c>
      <c r="O783" s="7">
        <f t="shared" si="161"/>
        <v>10.958227848101266</v>
      </c>
      <c r="P783" s="7">
        <f t="shared" si="162"/>
        <v>2.2883463843764797</v>
      </c>
      <c r="Q783" s="7">
        <f t="shared" si="163"/>
        <v>0.99990762098496411</v>
      </c>
      <c r="R783" s="7">
        <f t="shared" si="164"/>
        <v>0.58186008106824816</v>
      </c>
      <c r="S783" s="7">
        <f t="shared" si="165"/>
        <v>0.44116036829688182</v>
      </c>
      <c r="T783" s="7">
        <f t="shared" si="166"/>
        <v>0.45525107519183194</v>
      </c>
      <c r="U783" s="7">
        <f t="shared" si="167"/>
        <v>0.61954478638548149</v>
      </c>
    </row>
    <row r="784" spans="1:21" x14ac:dyDescent="0.25">
      <c r="A784" s="1" t="s">
        <v>1688</v>
      </c>
      <c r="B784" s="1" t="s">
        <v>36</v>
      </c>
      <c r="C784" s="1">
        <v>23</v>
      </c>
      <c r="D784" s="1">
        <v>23</v>
      </c>
      <c r="E784" s="1">
        <v>10</v>
      </c>
      <c r="F784" s="1">
        <v>12</v>
      </c>
      <c r="G784" s="1">
        <v>68</v>
      </c>
      <c r="H784" s="7">
        <v>1.5892265495016831</v>
      </c>
      <c r="I784" s="7">
        <f t="shared" si="168"/>
        <v>22.694936708860759</v>
      </c>
      <c r="J784" s="7">
        <f t="shared" si="156"/>
        <v>5.3055534129377486</v>
      </c>
      <c r="K784" s="7">
        <f t="shared" si="157"/>
        <v>22.140506329113926</v>
      </c>
      <c r="L784" s="7">
        <f t="shared" si="158"/>
        <v>4.9144008395218908</v>
      </c>
      <c r="M784" s="7">
        <f t="shared" si="159"/>
        <v>10.069620253164556</v>
      </c>
      <c r="N784" s="7">
        <f t="shared" si="160"/>
        <v>2.1089377326145904</v>
      </c>
      <c r="O784" s="7">
        <f t="shared" si="161"/>
        <v>10.958227848101266</v>
      </c>
      <c r="P784" s="7">
        <f t="shared" si="162"/>
        <v>2.2883463843764797</v>
      </c>
      <c r="Q784" s="7">
        <f t="shared" si="163"/>
        <v>5.7498863435308259E-2</v>
      </c>
      <c r="R784" s="7">
        <f t="shared" si="164"/>
        <v>0.17489287075933599</v>
      </c>
      <c r="S784" s="7">
        <f t="shared" si="165"/>
        <v>-3.3012000348745997E-2</v>
      </c>
      <c r="T784" s="7">
        <f t="shared" si="166"/>
        <v>0.45525107519183194</v>
      </c>
      <c r="U784" s="7">
        <f t="shared" si="167"/>
        <v>0.16365770225943255</v>
      </c>
    </row>
    <row r="785" spans="1:21" x14ac:dyDescent="0.25">
      <c r="A785" s="1" t="s">
        <v>1688</v>
      </c>
      <c r="B785" s="1" t="s">
        <v>36</v>
      </c>
      <c r="C785" s="1">
        <v>30</v>
      </c>
      <c r="D785" s="1">
        <v>31</v>
      </c>
      <c r="E785" s="1">
        <v>12</v>
      </c>
      <c r="F785" s="1">
        <v>14</v>
      </c>
      <c r="G785" s="1">
        <v>87</v>
      </c>
      <c r="H785" s="7">
        <v>2.3232382351872349</v>
      </c>
      <c r="I785" s="7">
        <f t="shared" si="168"/>
        <v>22.694936708860759</v>
      </c>
      <c r="J785" s="7">
        <f t="shared" si="156"/>
        <v>5.3055534129377486</v>
      </c>
      <c r="K785" s="7">
        <f t="shared" si="157"/>
        <v>22.140506329113926</v>
      </c>
      <c r="L785" s="7">
        <f t="shared" si="158"/>
        <v>4.9144008395218908</v>
      </c>
      <c r="M785" s="7">
        <f t="shared" si="159"/>
        <v>10.069620253164556</v>
      </c>
      <c r="N785" s="7">
        <f t="shared" si="160"/>
        <v>2.1089377326145904</v>
      </c>
      <c r="O785" s="7">
        <f t="shared" si="161"/>
        <v>10.958227848101266</v>
      </c>
      <c r="P785" s="7">
        <f t="shared" si="162"/>
        <v>2.2883463843764797</v>
      </c>
      <c r="Q785" s="7">
        <f t="shared" si="163"/>
        <v>1.3768711240048266</v>
      </c>
      <c r="R785" s="7">
        <f t="shared" si="164"/>
        <v>1.8027617119949848</v>
      </c>
      <c r="S785" s="7">
        <f t="shared" si="165"/>
        <v>0.91533273694250961</v>
      </c>
      <c r="T785" s="7">
        <f t="shared" si="166"/>
        <v>1.3292446338833204</v>
      </c>
      <c r="U785" s="7">
        <f t="shared" si="167"/>
        <v>1.3560525517064104</v>
      </c>
    </row>
    <row r="786" spans="1:21" x14ac:dyDescent="0.25">
      <c r="A786" s="1" t="s">
        <v>1688</v>
      </c>
      <c r="B786" s="1" t="s">
        <v>36</v>
      </c>
      <c r="C786" s="1">
        <v>28</v>
      </c>
      <c r="D786" s="1">
        <v>21</v>
      </c>
      <c r="E786" s="1">
        <v>10</v>
      </c>
      <c r="F786" s="1">
        <v>12</v>
      </c>
      <c r="G786" s="1">
        <v>71</v>
      </c>
      <c r="H786" s="7">
        <v>1.7614096918559583</v>
      </c>
      <c r="I786" s="7">
        <f t="shared" si="168"/>
        <v>22.694936708860759</v>
      </c>
      <c r="J786" s="7">
        <f t="shared" si="156"/>
        <v>5.3055534129377486</v>
      </c>
      <c r="K786" s="7">
        <f t="shared" si="157"/>
        <v>22.140506329113926</v>
      </c>
      <c r="L786" s="7">
        <f t="shared" si="158"/>
        <v>4.9144008395218908</v>
      </c>
      <c r="M786" s="7">
        <f t="shared" si="159"/>
        <v>10.069620253164556</v>
      </c>
      <c r="N786" s="7">
        <f t="shared" si="160"/>
        <v>2.1089377326145904</v>
      </c>
      <c r="O786" s="7">
        <f t="shared" si="161"/>
        <v>10.958227848101266</v>
      </c>
      <c r="P786" s="7">
        <f t="shared" si="162"/>
        <v>2.2883463843764797</v>
      </c>
      <c r="Q786" s="7">
        <f t="shared" si="163"/>
        <v>0.99990762098496411</v>
      </c>
      <c r="R786" s="7">
        <f t="shared" si="164"/>
        <v>-0.23207433954957621</v>
      </c>
      <c r="S786" s="7">
        <f t="shared" si="165"/>
        <v>-3.3012000348745997E-2</v>
      </c>
      <c r="T786" s="7">
        <f t="shared" si="166"/>
        <v>0.45525107519183194</v>
      </c>
      <c r="U786" s="7">
        <f t="shared" si="167"/>
        <v>0.29751808906961846</v>
      </c>
    </row>
    <row r="787" spans="1:21" x14ac:dyDescent="0.25">
      <c r="A787" s="1" t="s">
        <v>1688</v>
      </c>
      <c r="B787" s="1" t="s">
        <v>36</v>
      </c>
      <c r="C787" s="1">
        <v>25</v>
      </c>
      <c r="D787" s="1">
        <v>23</v>
      </c>
      <c r="E787" s="1">
        <v>10</v>
      </c>
      <c r="F787" s="1">
        <v>10</v>
      </c>
      <c r="G787" s="1">
        <v>68</v>
      </c>
      <c r="H787" s="7">
        <v>1.9215378456610455</v>
      </c>
      <c r="I787" s="7">
        <f t="shared" si="168"/>
        <v>22.694936708860759</v>
      </c>
      <c r="J787" s="7">
        <f t="shared" si="156"/>
        <v>5.3055534129377486</v>
      </c>
      <c r="K787" s="7">
        <f t="shared" si="157"/>
        <v>22.140506329113926</v>
      </c>
      <c r="L787" s="7">
        <f t="shared" si="158"/>
        <v>4.9144008395218908</v>
      </c>
      <c r="M787" s="7">
        <f t="shared" si="159"/>
        <v>10.069620253164556</v>
      </c>
      <c r="N787" s="7">
        <f t="shared" si="160"/>
        <v>2.1089377326145904</v>
      </c>
      <c r="O787" s="7">
        <f t="shared" si="161"/>
        <v>10.958227848101266</v>
      </c>
      <c r="P787" s="7">
        <f t="shared" si="162"/>
        <v>2.2883463843764797</v>
      </c>
      <c r="Q787" s="7">
        <f t="shared" si="163"/>
        <v>0.43446236645517061</v>
      </c>
      <c r="R787" s="7">
        <f t="shared" si="164"/>
        <v>0.17489287075933599</v>
      </c>
      <c r="S787" s="7">
        <f t="shared" si="165"/>
        <v>-3.3012000348745997E-2</v>
      </c>
      <c r="T787" s="7">
        <f t="shared" si="166"/>
        <v>-0.41874248349965643</v>
      </c>
      <c r="U787" s="7">
        <f t="shared" si="167"/>
        <v>3.9400188341526046E-2</v>
      </c>
    </row>
    <row r="788" spans="1:21" x14ac:dyDescent="0.25">
      <c r="A788" s="1" t="s">
        <v>1688</v>
      </c>
      <c r="B788" s="1" t="s">
        <v>36</v>
      </c>
      <c r="C788" s="1">
        <v>29</v>
      </c>
      <c r="D788" s="1">
        <v>25</v>
      </c>
      <c r="E788" s="1">
        <v>11</v>
      </c>
      <c r="F788" s="1">
        <v>14</v>
      </c>
      <c r="G788" s="1">
        <v>79</v>
      </c>
      <c r="H788" s="7">
        <v>2.0191391920625672</v>
      </c>
      <c r="I788" s="7">
        <f t="shared" si="168"/>
        <v>22.694936708860759</v>
      </c>
      <c r="J788" s="7">
        <f t="shared" si="156"/>
        <v>5.3055534129377486</v>
      </c>
      <c r="K788" s="7">
        <f t="shared" si="157"/>
        <v>22.140506329113926</v>
      </c>
      <c r="L788" s="7">
        <f t="shared" si="158"/>
        <v>4.9144008395218908</v>
      </c>
      <c r="M788" s="7">
        <f t="shared" si="159"/>
        <v>10.069620253164556</v>
      </c>
      <c r="N788" s="7">
        <f t="shared" si="160"/>
        <v>2.1089377326145904</v>
      </c>
      <c r="O788" s="7">
        <f t="shared" si="161"/>
        <v>10.958227848101266</v>
      </c>
      <c r="P788" s="7">
        <f t="shared" si="162"/>
        <v>2.2883463843764797</v>
      </c>
      <c r="Q788" s="7">
        <f t="shared" si="163"/>
        <v>1.1883893724948953</v>
      </c>
      <c r="R788" s="7">
        <f t="shared" si="164"/>
        <v>0.58186008106824816</v>
      </c>
      <c r="S788" s="7">
        <f t="shared" si="165"/>
        <v>0.44116036829688182</v>
      </c>
      <c r="T788" s="7">
        <f t="shared" si="166"/>
        <v>1.3292446338833204</v>
      </c>
      <c r="U788" s="7">
        <f t="shared" si="167"/>
        <v>0.88516361393583631</v>
      </c>
    </row>
    <row r="789" spans="1:21" x14ac:dyDescent="0.25">
      <c r="A789" s="1" t="s">
        <v>1688</v>
      </c>
      <c r="B789" s="1" t="s">
        <v>36</v>
      </c>
      <c r="C789" s="1">
        <v>32</v>
      </c>
      <c r="D789" s="1">
        <v>29</v>
      </c>
      <c r="E789" s="1">
        <v>12</v>
      </c>
      <c r="F789" s="1">
        <v>11</v>
      </c>
      <c r="G789" s="1">
        <v>84</v>
      </c>
      <c r="H789" s="7">
        <v>2.4363697247949534</v>
      </c>
      <c r="I789" s="7">
        <f t="shared" si="168"/>
        <v>22.694936708860759</v>
      </c>
      <c r="J789" s="7">
        <f t="shared" si="156"/>
        <v>5.3055534129377486</v>
      </c>
      <c r="K789" s="7">
        <f t="shared" si="157"/>
        <v>22.140506329113926</v>
      </c>
      <c r="L789" s="7">
        <f t="shared" si="158"/>
        <v>4.9144008395218908</v>
      </c>
      <c r="M789" s="7">
        <f t="shared" si="159"/>
        <v>10.069620253164556</v>
      </c>
      <c r="N789" s="7">
        <f t="shared" si="160"/>
        <v>2.1089377326145904</v>
      </c>
      <c r="O789" s="7">
        <f t="shared" si="161"/>
        <v>10.958227848101266</v>
      </c>
      <c r="P789" s="7">
        <f t="shared" si="162"/>
        <v>2.2883463843764797</v>
      </c>
      <c r="Q789" s="7">
        <f t="shared" si="163"/>
        <v>1.7538346270246887</v>
      </c>
      <c r="R789" s="7">
        <f t="shared" si="164"/>
        <v>1.3957945016860727</v>
      </c>
      <c r="S789" s="7">
        <f t="shared" si="165"/>
        <v>0.91533273694250961</v>
      </c>
      <c r="T789" s="7">
        <f t="shared" si="166"/>
        <v>1.8254295846087756E-2</v>
      </c>
      <c r="U789" s="7">
        <f t="shared" si="167"/>
        <v>1.0208040403748397</v>
      </c>
    </row>
    <row r="790" spans="1:21" x14ac:dyDescent="0.25">
      <c r="A790" s="1" t="s">
        <v>1688</v>
      </c>
      <c r="B790" s="1" t="s">
        <v>36</v>
      </c>
      <c r="C790" s="1">
        <v>26</v>
      </c>
      <c r="D790" s="1">
        <v>21</v>
      </c>
      <c r="E790" s="1">
        <v>10</v>
      </c>
      <c r="F790" s="1">
        <v>12</v>
      </c>
      <c r="G790" s="1">
        <v>69</v>
      </c>
      <c r="H790" s="7">
        <v>1.7504578155735615</v>
      </c>
      <c r="I790" s="7">
        <f t="shared" si="168"/>
        <v>22.694936708860759</v>
      </c>
      <c r="J790" s="7">
        <f t="shared" si="156"/>
        <v>5.3055534129377486</v>
      </c>
      <c r="K790" s="7">
        <f t="shared" si="157"/>
        <v>22.140506329113926</v>
      </c>
      <c r="L790" s="7">
        <f t="shared" si="158"/>
        <v>4.9144008395218908</v>
      </c>
      <c r="M790" s="7">
        <f t="shared" si="159"/>
        <v>10.069620253164556</v>
      </c>
      <c r="N790" s="7">
        <f t="shared" si="160"/>
        <v>2.1089377326145904</v>
      </c>
      <c r="O790" s="7">
        <f t="shared" si="161"/>
        <v>10.958227848101266</v>
      </c>
      <c r="P790" s="7">
        <f t="shared" si="162"/>
        <v>2.2883463843764797</v>
      </c>
      <c r="Q790" s="7">
        <f t="shared" si="163"/>
        <v>0.62294411796510174</v>
      </c>
      <c r="R790" s="7">
        <f t="shared" si="164"/>
        <v>-0.23207433954957621</v>
      </c>
      <c r="S790" s="7">
        <f t="shared" si="165"/>
        <v>-3.3012000348745997E-2</v>
      </c>
      <c r="T790" s="7">
        <f t="shared" si="166"/>
        <v>0.45525107519183194</v>
      </c>
      <c r="U790" s="7">
        <f t="shared" si="167"/>
        <v>0.20327721331465287</v>
      </c>
    </row>
    <row r="791" spans="1:21" x14ac:dyDescent="0.25">
      <c r="A791" s="1" t="s">
        <v>1688</v>
      </c>
      <c r="B791" s="1" t="s">
        <v>36</v>
      </c>
      <c r="C791" s="1">
        <v>27</v>
      </c>
      <c r="D791" s="1">
        <v>26</v>
      </c>
      <c r="E791" s="1">
        <v>11</v>
      </c>
      <c r="F791" s="1">
        <v>10</v>
      </c>
      <c r="G791" s="1">
        <v>74</v>
      </c>
      <c r="H791" s="7">
        <v>2.3588350014578308</v>
      </c>
      <c r="I791" s="7">
        <f t="shared" si="168"/>
        <v>22.694936708860759</v>
      </c>
      <c r="J791" s="7">
        <f t="shared" si="156"/>
        <v>5.3055534129377486</v>
      </c>
      <c r="K791" s="7">
        <f t="shared" si="157"/>
        <v>22.140506329113926</v>
      </c>
      <c r="L791" s="7">
        <f t="shared" si="158"/>
        <v>4.9144008395218908</v>
      </c>
      <c r="M791" s="7">
        <f t="shared" si="159"/>
        <v>10.069620253164556</v>
      </c>
      <c r="N791" s="7">
        <f t="shared" si="160"/>
        <v>2.1089377326145904</v>
      </c>
      <c r="O791" s="7">
        <f t="shared" si="161"/>
        <v>10.958227848101266</v>
      </c>
      <c r="P791" s="7">
        <f t="shared" si="162"/>
        <v>2.2883463843764797</v>
      </c>
      <c r="Q791" s="7">
        <f t="shared" si="163"/>
        <v>0.81142586947503292</v>
      </c>
      <c r="R791" s="7">
        <f t="shared" si="164"/>
        <v>0.78534368622270434</v>
      </c>
      <c r="S791" s="7">
        <f t="shared" si="165"/>
        <v>0.44116036829688182</v>
      </c>
      <c r="T791" s="7">
        <f t="shared" si="166"/>
        <v>-0.41874248349965643</v>
      </c>
      <c r="U791" s="7">
        <f t="shared" si="167"/>
        <v>0.40479686012374066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624BF-F8F9-419C-9676-67B8734B93E6}">
  <dimension ref="A3:L75"/>
  <sheetViews>
    <sheetView zoomScale="55" zoomScaleNormal="55" workbookViewId="0">
      <selection activeCell="C62" sqref="C62"/>
    </sheetView>
  </sheetViews>
  <sheetFormatPr baseColWidth="10" defaultRowHeight="15" x14ac:dyDescent="0.25"/>
  <cols>
    <col min="1" max="1" width="26.140625" bestFit="1" customWidth="1"/>
    <col min="2" max="2" width="26.5703125" style="1" bestFit="1" customWidth="1"/>
    <col min="3" max="3" width="31.85546875" style="1" bestFit="1" customWidth="1"/>
    <col min="4" max="4" width="26.5703125" style="1" bestFit="1" customWidth="1"/>
    <col min="5" max="5" width="31.85546875" style="1" bestFit="1" customWidth="1"/>
    <col min="6" max="6" width="26.5703125" style="1" bestFit="1" customWidth="1"/>
    <col min="7" max="7" width="31.85546875" bestFit="1" customWidth="1"/>
    <col min="8" max="8" width="26.140625" bestFit="1" customWidth="1"/>
    <col min="9" max="9" width="32.85546875" bestFit="1" customWidth="1"/>
    <col min="10" max="10" width="35.7109375" bestFit="1" customWidth="1"/>
    <col min="11" max="11" width="32.85546875" bestFit="1" customWidth="1"/>
    <col min="12" max="12" width="35.7109375" bestFit="1" customWidth="1"/>
  </cols>
  <sheetData>
    <row r="3" spans="1:12" x14ac:dyDescent="0.25">
      <c r="A3" s="11" t="s">
        <v>1751</v>
      </c>
      <c r="B3" t="s">
        <v>1746</v>
      </c>
      <c r="C3" s="1" t="s">
        <v>1701</v>
      </c>
      <c r="D3" t="s">
        <v>1747</v>
      </c>
      <c r="E3" s="1" t="s">
        <v>1702</v>
      </c>
      <c r="F3" t="s">
        <v>1748</v>
      </c>
      <c r="G3" s="1" t="s">
        <v>1703</v>
      </c>
      <c r="H3" t="s">
        <v>1749</v>
      </c>
      <c r="I3" s="1" t="s">
        <v>1704</v>
      </c>
      <c r="J3" t="s">
        <v>1744</v>
      </c>
      <c r="K3" t="s">
        <v>1745</v>
      </c>
      <c r="L3" s="1" t="s">
        <v>1705</v>
      </c>
    </row>
    <row r="4" spans="1:12" x14ac:dyDescent="0.25">
      <c r="A4" s="2" t="s">
        <v>1652</v>
      </c>
      <c r="B4" s="7">
        <v>16.0625</v>
      </c>
      <c r="C4" s="7">
        <v>-1.2500932876648396</v>
      </c>
      <c r="D4" s="7">
        <v>14.65625</v>
      </c>
      <c r="E4" s="7">
        <v>-1.5229234597481569</v>
      </c>
      <c r="F4" s="7">
        <v>7.75</v>
      </c>
      <c r="G4" s="7">
        <v>-1.0998998298014084</v>
      </c>
      <c r="H4" s="7">
        <v>9.3125</v>
      </c>
      <c r="I4" s="7">
        <v>-0.71917776929985544</v>
      </c>
      <c r="J4" s="7">
        <v>47.78125</v>
      </c>
      <c r="K4" s="7">
        <v>0.71567585428835523</v>
      </c>
      <c r="L4" s="7">
        <v>-1.1480235866285653</v>
      </c>
    </row>
    <row r="5" spans="1:12" x14ac:dyDescent="0.25">
      <c r="A5" s="2" t="s">
        <v>1653</v>
      </c>
      <c r="B5" s="7">
        <v>20.767441860465116</v>
      </c>
      <c r="C5" s="7">
        <v>-0.36329760505197989</v>
      </c>
      <c r="D5" s="7">
        <v>20.11627906976744</v>
      </c>
      <c r="E5" s="7">
        <v>-0.41189706038374679</v>
      </c>
      <c r="F5" s="7">
        <v>9</v>
      </c>
      <c r="G5" s="7">
        <v>-0.5071843689943738</v>
      </c>
      <c r="H5" s="7">
        <v>10.581395348837209</v>
      </c>
      <c r="I5" s="7">
        <v>-0.16467458853120043</v>
      </c>
      <c r="J5" s="7">
        <v>60.465116279069768</v>
      </c>
      <c r="K5" s="7">
        <v>1.2578311728424698</v>
      </c>
      <c r="L5" s="7">
        <v>-0.36176340574032517</v>
      </c>
    </row>
    <row r="6" spans="1:12" x14ac:dyDescent="0.25">
      <c r="A6" s="2" t="s">
        <v>1655</v>
      </c>
      <c r="B6" s="7">
        <v>21.75</v>
      </c>
      <c r="C6" s="7">
        <v>-0.17810332595210571</v>
      </c>
      <c r="D6" s="7">
        <v>21.625</v>
      </c>
      <c r="E6" s="7">
        <v>-0.10489708632804114</v>
      </c>
      <c r="F6" s="7">
        <v>10.5625</v>
      </c>
      <c r="G6" s="7">
        <v>0.2337099570144196</v>
      </c>
      <c r="H6" s="7">
        <v>10.375</v>
      </c>
      <c r="I6" s="7">
        <v>-0.25486869124500228</v>
      </c>
      <c r="J6" s="7">
        <v>64.3125</v>
      </c>
      <c r="K6" s="7">
        <v>1.4085692700698698</v>
      </c>
      <c r="L6" s="7">
        <v>-7.603978662768239E-2</v>
      </c>
    </row>
    <row r="7" spans="1:12" x14ac:dyDescent="0.25">
      <c r="A7" s="2" t="s">
        <v>1657</v>
      </c>
      <c r="B7" s="7">
        <v>21.222222222222221</v>
      </c>
      <c r="C7" s="7">
        <v>-0.27757980591568049</v>
      </c>
      <c r="D7" s="7">
        <v>18.111111111111111</v>
      </c>
      <c r="E7" s="7">
        <v>-0.81991586555133833</v>
      </c>
      <c r="F7" s="7">
        <v>7.4444444444444446</v>
      </c>
      <c r="G7" s="7">
        <v>-1.2447858313320173</v>
      </c>
      <c r="H7" s="7">
        <v>8.8888888888888893</v>
      </c>
      <c r="I7" s="7">
        <v>-0.90429446055048324</v>
      </c>
      <c r="J7" s="7">
        <v>55.666666666666664</v>
      </c>
      <c r="K7" s="7">
        <v>1.6536847871180351</v>
      </c>
      <c r="L7" s="7">
        <v>-0.8116439908373797</v>
      </c>
    </row>
    <row r="8" spans="1:12" x14ac:dyDescent="0.25">
      <c r="A8" s="2" t="s">
        <v>1658</v>
      </c>
      <c r="B8" s="7">
        <v>22.702702702702702</v>
      </c>
      <c r="C8" s="7">
        <v>1.4637481215449668E-3</v>
      </c>
      <c r="D8" s="7">
        <v>22.432432432432432</v>
      </c>
      <c r="E8" s="7">
        <v>5.9402175941941991E-2</v>
      </c>
      <c r="F8" s="7">
        <v>9.486486486486486</v>
      </c>
      <c r="G8" s="7">
        <v>-0.27650591938298746</v>
      </c>
      <c r="H8" s="7">
        <v>11.081081081081081</v>
      </c>
      <c r="I8" s="7">
        <v>5.3686467144391403E-2</v>
      </c>
      <c r="J8" s="7">
        <v>65.702702702702709</v>
      </c>
      <c r="K8" s="7">
        <v>1.6902188258171957</v>
      </c>
      <c r="L8" s="7">
        <v>-4.0488382043777242E-2</v>
      </c>
    </row>
    <row r="9" spans="1:12" x14ac:dyDescent="0.25">
      <c r="A9" s="2" t="s">
        <v>1659</v>
      </c>
      <c r="B9" s="7">
        <v>21.45</v>
      </c>
      <c r="C9" s="7">
        <v>-0.23464785140508498</v>
      </c>
      <c r="D9" s="7">
        <v>19.25</v>
      </c>
      <c r="E9" s="7">
        <v>-0.58817064856987433</v>
      </c>
      <c r="F9" s="7">
        <v>10</v>
      </c>
      <c r="G9" s="7">
        <v>-3.3012000348746039E-2</v>
      </c>
      <c r="H9" s="7">
        <v>10.45</v>
      </c>
      <c r="I9" s="7">
        <v>-0.2220939327940715</v>
      </c>
      <c r="J9" s="7">
        <v>61.15</v>
      </c>
      <c r="K9" s="7">
        <v>1.7030337556641886</v>
      </c>
      <c r="L9" s="7">
        <v>-0.26948110827944421</v>
      </c>
    </row>
    <row r="10" spans="1:12" x14ac:dyDescent="0.25">
      <c r="A10" s="2" t="s">
        <v>1660</v>
      </c>
      <c r="B10" s="7">
        <v>21.125</v>
      </c>
      <c r="C10" s="7">
        <v>-0.29590442064581268</v>
      </c>
      <c r="D10" s="7">
        <v>21.125</v>
      </c>
      <c r="E10" s="7">
        <v>-0.20663888890526921</v>
      </c>
      <c r="F10" s="7">
        <v>9.875</v>
      </c>
      <c r="G10" s="7">
        <v>-9.228354642944947E-2</v>
      </c>
      <c r="H10" s="7">
        <v>7.5</v>
      </c>
      <c r="I10" s="7">
        <v>-1.5112344318640167</v>
      </c>
      <c r="J10" s="7">
        <v>59.625</v>
      </c>
      <c r="K10" s="7">
        <v>1.7403147177757945</v>
      </c>
      <c r="L10" s="7">
        <v>-0.52651532196113704</v>
      </c>
    </row>
    <row r="11" spans="1:12" x14ac:dyDescent="0.25">
      <c r="A11" s="2" t="s">
        <v>1661</v>
      </c>
      <c r="B11" s="7">
        <v>29.8</v>
      </c>
      <c r="C11" s="7">
        <v>1.3391747737028401</v>
      </c>
      <c r="D11" s="7">
        <v>28.533333333333335</v>
      </c>
      <c r="E11" s="7">
        <v>1.3008354859473263</v>
      </c>
      <c r="F11" s="7">
        <v>12.2</v>
      </c>
      <c r="G11" s="7">
        <v>1.0101672106716351</v>
      </c>
      <c r="H11" s="7">
        <v>12.666666666666666</v>
      </c>
      <c r="I11" s="7">
        <v>0.74658226142232798</v>
      </c>
      <c r="J11" s="7">
        <v>83.2</v>
      </c>
      <c r="K11" s="7">
        <v>2.2514074185665254</v>
      </c>
      <c r="L11" s="7">
        <v>1.0991899329360324</v>
      </c>
    </row>
    <row r="12" spans="1:12" x14ac:dyDescent="0.25">
      <c r="A12" s="2" t="s">
        <v>1664</v>
      </c>
      <c r="B12" s="7">
        <v>26.375</v>
      </c>
      <c r="C12" s="7">
        <v>0.69362477478132578</v>
      </c>
      <c r="D12" s="7">
        <v>25.8125</v>
      </c>
      <c r="E12" s="7">
        <v>0.74719051025624383</v>
      </c>
      <c r="F12" s="7">
        <v>9.5625</v>
      </c>
      <c r="G12" s="7">
        <v>-0.2404624116312081</v>
      </c>
      <c r="H12" s="7">
        <v>10.5625</v>
      </c>
      <c r="I12" s="7">
        <v>-0.17293179511767531</v>
      </c>
      <c r="J12" s="7">
        <v>72.3125</v>
      </c>
      <c r="K12" s="7">
        <v>2.1549068801863971</v>
      </c>
      <c r="L12" s="7">
        <v>0.25685526957217153</v>
      </c>
    </row>
    <row r="13" spans="1:12" x14ac:dyDescent="0.25">
      <c r="A13" s="2" t="s">
        <v>1665</v>
      </c>
      <c r="B13" s="7">
        <v>30.166666666666668</v>
      </c>
      <c r="C13" s="7">
        <v>1.4082847492564816</v>
      </c>
      <c r="D13" s="7">
        <v>29.5</v>
      </c>
      <c r="E13" s="7">
        <v>1.4975363042633008</v>
      </c>
      <c r="F13" s="7">
        <v>13.833333333333334</v>
      </c>
      <c r="G13" s="7">
        <v>1.7846487461261606</v>
      </c>
      <c r="H13" s="7">
        <v>12.833333333333334</v>
      </c>
      <c r="I13" s="7">
        <v>0.81941505797995218</v>
      </c>
      <c r="J13" s="7">
        <v>86.333333333333329</v>
      </c>
      <c r="K13" s="7">
        <v>2.6822894249174745</v>
      </c>
      <c r="L13" s="7">
        <v>1.3774712144064738</v>
      </c>
    </row>
    <row r="14" spans="1:12" x14ac:dyDescent="0.25">
      <c r="A14" s="2" t="s">
        <v>1666</v>
      </c>
      <c r="B14" s="7">
        <v>23.571428571428573</v>
      </c>
      <c r="C14" s="7">
        <v>0.16520272144098325</v>
      </c>
      <c r="D14" s="7">
        <v>24.857142857142858</v>
      </c>
      <c r="E14" s="7">
        <v>0.55279099461761161</v>
      </c>
      <c r="F14" s="7">
        <v>10.285714285714286</v>
      </c>
      <c r="G14" s="7">
        <v>0.10246581926429053</v>
      </c>
      <c r="H14" s="7">
        <v>9.5</v>
      </c>
      <c r="I14" s="7">
        <v>-0.63724087317252842</v>
      </c>
      <c r="J14" s="7">
        <v>68.214285714285708</v>
      </c>
      <c r="K14" s="7">
        <v>2.1118971592367117</v>
      </c>
      <c r="L14" s="7">
        <v>4.5804665537589183E-2</v>
      </c>
    </row>
    <row r="15" spans="1:12" x14ac:dyDescent="0.25">
      <c r="A15" s="2" t="s">
        <v>1667</v>
      </c>
      <c r="B15" s="7">
        <v>21.047619047619047</v>
      </c>
      <c r="C15" s="7">
        <v>-0.31048931808408115</v>
      </c>
      <c r="D15" s="7">
        <v>20.714285714285715</v>
      </c>
      <c r="E15" s="7">
        <v>-0.29021251245084945</v>
      </c>
      <c r="F15" s="7">
        <v>9.5714285714285712</v>
      </c>
      <c r="G15" s="7">
        <v>-0.23622872976830089</v>
      </c>
      <c r="H15" s="7">
        <v>11.047619047619047</v>
      </c>
      <c r="I15" s="7">
        <v>3.906366629112322E-2</v>
      </c>
      <c r="J15" s="7">
        <v>62.38095238095238</v>
      </c>
      <c r="K15" s="7">
        <v>1.2606080424938901</v>
      </c>
      <c r="L15" s="7">
        <v>-0.19946672350302699</v>
      </c>
    </row>
    <row r="16" spans="1:12" x14ac:dyDescent="0.25">
      <c r="A16" s="2" t="s">
        <v>1668</v>
      </c>
      <c r="B16" s="7">
        <v>16.40909090909091</v>
      </c>
      <c r="C16" s="7">
        <v>-1.1847672260619651</v>
      </c>
      <c r="D16" s="7">
        <v>16.136363636363637</v>
      </c>
      <c r="E16" s="7">
        <v>-1.2217446009826127</v>
      </c>
      <c r="F16" s="7">
        <v>8.0909090909090917</v>
      </c>
      <c r="G16" s="7">
        <v>-0.93825015867221717</v>
      </c>
      <c r="H16" s="7">
        <v>12.272727272727273</v>
      </c>
      <c r="I16" s="7">
        <v>0.57443201501339847</v>
      </c>
      <c r="J16" s="7">
        <v>52.909090909090907</v>
      </c>
      <c r="K16" s="7">
        <v>0.52847527946878803</v>
      </c>
      <c r="L16" s="7">
        <v>-0.69258249267584915</v>
      </c>
    </row>
    <row r="17" spans="1:12" x14ac:dyDescent="0.25">
      <c r="A17" s="2" t="s">
        <v>1663</v>
      </c>
      <c r="B17" s="7">
        <v>25.244444444444444</v>
      </c>
      <c r="C17" s="7">
        <v>0.48053568349093134</v>
      </c>
      <c r="D17" s="7">
        <v>25.2</v>
      </c>
      <c r="E17" s="7">
        <v>0.62255680209913933</v>
      </c>
      <c r="F17" s="7">
        <v>11.355555555555556</v>
      </c>
      <c r="G17" s="7">
        <v>0.60975498825977192</v>
      </c>
      <c r="H17" s="7">
        <v>10.866666666666667</v>
      </c>
      <c r="I17" s="7">
        <v>-4.0011941400011408E-2</v>
      </c>
      <c r="J17" s="7">
        <v>72.666666666666671</v>
      </c>
      <c r="K17" s="7">
        <v>1.7929103596947997</v>
      </c>
      <c r="L17" s="7">
        <v>0.41820888311245785</v>
      </c>
    </row>
    <row r="18" spans="1:12" x14ac:dyDescent="0.25">
      <c r="A18" s="2" t="s">
        <v>1662</v>
      </c>
      <c r="B18" s="7">
        <v>20.761904761904763</v>
      </c>
      <c r="C18" s="7">
        <v>-0.36434124708691862</v>
      </c>
      <c r="D18" s="7">
        <v>22.333333333333332</v>
      </c>
      <c r="E18" s="7">
        <v>3.9237133989698615E-2</v>
      </c>
      <c r="F18" s="7">
        <v>10.095238095238095</v>
      </c>
      <c r="G18" s="7">
        <v>1.2147272855599519E-2</v>
      </c>
      <c r="H18" s="7">
        <v>9.9047619047619051</v>
      </c>
      <c r="I18" s="7">
        <v>-0.46036122438972721</v>
      </c>
      <c r="J18" s="7">
        <v>63.095238095238095</v>
      </c>
      <c r="K18" s="7">
        <v>1.6211433400343018</v>
      </c>
      <c r="L18" s="7">
        <v>-0.19332951615783694</v>
      </c>
    </row>
    <row r="19" spans="1:12" x14ac:dyDescent="0.25">
      <c r="A19" s="2" t="s">
        <v>1654</v>
      </c>
      <c r="B19" s="7">
        <v>26.444444444444443</v>
      </c>
      <c r="C19" s="7">
        <v>0.70671378530284912</v>
      </c>
      <c r="D19" s="7">
        <v>26.481481481481481</v>
      </c>
      <c r="E19" s="7">
        <v>0.88331727388966486</v>
      </c>
      <c r="F19" s="7">
        <v>11.74074074074074</v>
      </c>
      <c r="G19" s="7">
        <v>0.79239915988623566</v>
      </c>
      <c r="H19" s="7">
        <v>10.74074074074074</v>
      </c>
      <c r="I19" s="7">
        <v>-9.5041165465771835E-2</v>
      </c>
      <c r="J19" s="7">
        <v>75.407407407407405</v>
      </c>
      <c r="K19" s="7">
        <v>2.0816319216252612</v>
      </c>
      <c r="L19" s="7">
        <v>0.57184726340324454</v>
      </c>
    </row>
    <row r="20" spans="1:12" x14ac:dyDescent="0.25">
      <c r="A20" s="2" t="s">
        <v>1670</v>
      </c>
      <c r="B20" s="7">
        <v>27.482758620689655</v>
      </c>
      <c r="C20" s="7">
        <v>0.90241705985913745</v>
      </c>
      <c r="D20" s="7">
        <v>26.551724137931036</v>
      </c>
      <c r="E20" s="7">
        <v>0.89761050285964561</v>
      </c>
      <c r="F20" s="7">
        <v>11.620689655172415</v>
      </c>
      <c r="G20" s="7">
        <v>0.73547425228382324</v>
      </c>
      <c r="H20" s="7">
        <v>11.862068965517242</v>
      </c>
      <c r="I20" s="7">
        <v>0.39497565735103968</v>
      </c>
      <c r="J20" s="7">
        <v>77.517241379310349</v>
      </c>
      <c r="K20" s="7">
        <v>1.9822059487546424</v>
      </c>
      <c r="L20" s="7">
        <v>0.73261936808841144</v>
      </c>
    </row>
    <row r="21" spans="1:12" x14ac:dyDescent="0.25">
      <c r="A21" s="2" t="s">
        <v>1671</v>
      </c>
      <c r="B21" s="7">
        <v>24.115384615384617</v>
      </c>
      <c r="C21" s="7">
        <v>0.26772850935023146</v>
      </c>
      <c r="D21" s="7">
        <v>23.884615384615383</v>
      </c>
      <c r="E21" s="7">
        <v>0.35489759839597024</v>
      </c>
      <c r="F21" s="7">
        <v>10.653846153846153</v>
      </c>
      <c r="G21" s="7">
        <v>0.27702377915031834</v>
      </c>
      <c r="H21" s="7">
        <v>12.5</v>
      </c>
      <c r="I21" s="7">
        <v>0.673749464864704</v>
      </c>
      <c r="J21" s="7">
        <v>71.15384615384616</v>
      </c>
      <c r="K21" s="7">
        <v>1.4021390872188444</v>
      </c>
      <c r="L21" s="7">
        <v>0.39334983794030609</v>
      </c>
    </row>
    <row r="22" spans="1:12" x14ac:dyDescent="0.25">
      <c r="A22" s="2" t="s">
        <v>1672</v>
      </c>
      <c r="B22" s="7">
        <v>20.5</v>
      </c>
      <c r="C22" s="7">
        <v>-0.41370551533951966</v>
      </c>
      <c r="D22" s="7">
        <v>19.25</v>
      </c>
      <c r="E22" s="7">
        <v>-0.58817064856987444</v>
      </c>
      <c r="F22" s="7">
        <v>8.78125</v>
      </c>
      <c r="G22" s="7">
        <v>-0.61090957463560469</v>
      </c>
      <c r="H22" s="7">
        <v>10.90625</v>
      </c>
      <c r="I22" s="7">
        <v>-2.2714152217575723E-2</v>
      </c>
      <c r="J22" s="7">
        <v>59.4375</v>
      </c>
      <c r="K22" s="7">
        <v>1.1189982850961013</v>
      </c>
      <c r="L22" s="7">
        <v>-0.40887497269064366</v>
      </c>
    </row>
    <row r="23" spans="1:12" x14ac:dyDescent="0.25">
      <c r="A23" s="2" t="s">
        <v>1673</v>
      </c>
      <c r="B23" s="7">
        <v>21.266666666666666</v>
      </c>
      <c r="C23" s="7">
        <v>-0.26920283918190585</v>
      </c>
      <c r="D23" s="7">
        <v>21.6</v>
      </c>
      <c r="E23" s="7">
        <v>-0.10998417645690257</v>
      </c>
      <c r="F23" s="7">
        <v>10.133333333333333</v>
      </c>
      <c r="G23" s="7">
        <v>3.0210982137337656E-2</v>
      </c>
      <c r="H23" s="7">
        <v>11.333333333333334</v>
      </c>
      <c r="I23" s="7">
        <v>0.16391988896133586</v>
      </c>
      <c r="J23" s="7">
        <v>64.333333333333329</v>
      </c>
      <c r="K23" s="7">
        <v>1.2319788291825418</v>
      </c>
      <c r="L23" s="7">
        <v>-4.6264036135033701E-2</v>
      </c>
    </row>
    <row r="24" spans="1:12" x14ac:dyDescent="0.25">
      <c r="A24" s="2" t="s">
        <v>1669</v>
      </c>
      <c r="B24" s="7">
        <v>23.5</v>
      </c>
      <c r="C24" s="7">
        <v>0.15173973919027381</v>
      </c>
      <c r="D24" s="7">
        <v>26.375</v>
      </c>
      <c r="E24" s="7">
        <v>0.86165003815562535</v>
      </c>
      <c r="F24" s="7">
        <v>11.125</v>
      </c>
      <c r="G24" s="7">
        <v>0.50043191437758527</v>
      </c>
      <c r="H24" s="7">
        <v>9.875</v>
      </c>
      <c r="I24" s="7">
        <v>-0.47336708091787449</v>
      </c>
      <c r="J24" s="7">
        <v>70.875</v>
      </c>
      <c r="K24" s="7">
        <v>2.2327624350427722</v>
      </c>
      <c r="L24" s="7">
        <v>0.26011365270140252</v>
      </c>
    </row>
    <row r="25" spans="1:12" x14ac:dyDescent="0.25">
      <c r="A25" s="2" t="s">
        <v>1674</v>
      </c>
      <c r="B25" s="7">
        <v>25.2</v>
      </c>
      <c r="C25" s="7">
        <v>0.47215871675715682</v>
      </c>
      <c r="D25" s="7">
        <v>23.066666666666666</v>
      </c>
      <c r="E25" s="7">
        <v>0.18845844443629972</v>
      </c>
      <c r="F25" s="7">
        <v>11.2</v>
      </c>
      <c r="G25" s="7">
        <v>0.53599484202600745</v>
      </c>
      <c r="H25" s="7">
        <v>11</v>
      </c>
      <c r="I25" s="7">
        <v>1.8254295846087763E-2</v>
      </c>
      <c r="J25" s="7">
        <v>70.466666666666669</v>
      </c>
      <c r="K25" s="7">
        <v>1.8469627664966937</v>
      </c>
      <c r="L25" s="7">
        <v>0.30371657476638797</v>
      </c>
    </row>
    <row r="26" spans="1:12" x14ac:dyDescent="0.25">
      <c r="A26" s="2" t="s">
        <v>1675</v>
      </c>
      <c r="B26" s="7">
        <v>24.2</v>
      </c>
      <c r="C26" s="7">
        <v>0.28367696524722569</v>
      </c>
      <c r="D26" s="7">
        <v>23.95</v>
      </c>
      <c r="E26" s="7">
        <v>0.36820229565606932</v>
      </c>
      <c r="F26" s="7">
        <v>10.75</v>
      </c>
      <c r="G26" s="7">
        <v>0.32261727613547486</v>
      </c>
      <c r="H26" s="7">
        <v>11.1</v>
      </c>
      <c r="I26" s="7">
        <v>6.1953973780662197E-2</v>
      </c>
      <c r="J26" s="7">
        <v>70</v>
      </c>
      <c r="K26" s="7">
        <v>1.7035460382888008</v>
      </c>
      <c r="L26" s="7">
        <v>0.25911262770485799</v>
      </c>
    </row>
    <row r="27" spans="1:12" x14ac:dyDescent="0.25">
      <c r="A27" s="2" t="s">
        <v>1676</v>
      </c>
      <c r="B27" s="7">
        <v>22.133333333333333</v>
      </c>
      <c r="C27" s="7">
        <v>-0.10585198787329872</v>
      </c>
      <c r="D27" s="7">
        <v>21.033333333333335</v>
      </c>
      <c r="E27" s="7">
        <v>-0.22529155271109433</v>
      </c>
      <c r="F27" s="7">
        <v>9.2666666666666675</v>
      </c>
      <c r="G27" s="7">
        <v>-0.38073840402220649</v>
      </c>
      <c r="H27" s="7">
        <v>10.733333333333333</v>
      </c>
      <c r="I27" s="7">
        <v>-9.8278178646110673E-2</v>
      </c>
      <c r="J27" s="7">
        <v>63.166666666666664</v>
      </c>
      <c r="K27" s="7">
        <v>1.3327541401993399</v>
      </c>
      <c r="L27" s="7">
        <v>-0.20254003081317754</v>
      </c>
    </row>
    <row r="28" spans="1:12" x14ac:dyDescent="0.25">
      <c r="A28" s="2" t="s">
        <v>1678</v>
      </c>
      <c r="B28" s="7">
        <v>28.733333333333334</v>
      </c>
      <c r="C28" s="7">
        <v>1.138127572092247</v>
      </c>
      <c r="D28" s="7">
        <v>22.4</v>
      </c>
      <c r="E28" s="7">
        <v>5.2802707666662348E-2</v>
      </c>
      <c r="F28" s="7">
        <v>11.4</v>
      </c>
      <c r="G28" s="7">
        <v>0.63082931575513279</v>
      </c>
      <c r="H28" s="7">
        <v>11.133333333333333</v>
      </c>
      <c r="I28" s="7">
        <v>7.6520533092187024E-2</v>
      </c>
      <c r="J28" s="7">
        <v>73.666666666666671</v>
      </c>
      <c r="K28" s="7">
        <v>1.9052616096189527</v>
      </c>
      <c r="L28" s="7">
        <v>0.47457003215155719</v>
      </c>
    </row>
    <row r="29" spans="1:12" x14ac:dyDescent="0.25">
      <c r="A29" s="2" t="s">
        <v>1679</v>
      </c>
      <c r="B29" s="7">
        <v>22.03448275862069</v>
      </c>
      <c r="C29" s="7">
        <v>-0.12448351733290119</v>
      </c>
      <c r="D29" s="7">
        <v>22.896551724137932</v>
      </c>
      <c r="E29" s="7">
        <v>0.15384284263990949</v>
      </c>
      <c r="F29" s="7">
        <v>9.9655172413793096</v>
      </c>
      <c r="G29" s="7">
        <v>-4.9362771681353883E-2</v>
      </c>
      <c r="H29" s="7">
        <v>9.8275862068965516</v>
      </c>
      <c r="I29" s="7">
        <v>-0.49408675580064676</v>
      </c>
      <c r="J29" s="7">
        <v>64.724137931034477</v>
      </c>
      <c r="K29" s="7">
        <v>1.7973264500950221</v>
      </c>
      <c r="L29" s="7">
        <v>-0.128522550543748</v>
      </c>
    </row>
    <row r="30" spans="1:12" x14ac:dyDescent="0.25">
      <c r="A30" s="2" t="s">
        <v>1680</v>
      </c>
      <c r="B30" s="7">
        <v>21.944444444444443</v>
      </c>
      <c r="C30" s="7">
        <v>-0.14145409649184129</v>
      </c>
      <c r="D30" s="7">
        <v>20.25</v>
      </c>
      <c r="E30" s="7">
        <v>-0.38468704341541832</v>
      </c>
      <c r="F30" s="7">
        <v>9.5555555555555554</v>
      </c>
      <c r="G30" s="7">
        <v>-0.24375527530235835</v>
      </c>
      <c r="H30" s="7">
        <v>11.527777777777779</v>
      </c>
      <c r="I30" s="7">
        <v>0.24889148494523056</v>
      </c>
      <c r="J30" s="7">
        <v>63.277777777777779</v>
      </c>
      <c r="K30" s="7">
        <v>0.94745519734100547</v>
      </c>
      <c r="L30" s="7">
        <v>-0.13025123256609686</v>
      </c>
    </row>
    <row r="31" spans="1:12" x14ac:dyDescent="0.25">
      <c r="A31" s="2" t="s">
        <v>1681</v>
      </c>
      <c r="B31" s="7">
        <v>22</v>
      </c>
      <c r="C31" s="7">
        <v>-0.13098288807462294</v>
      </c>
      <c r="D31" s="7">
        <v>19.625</v>
      </c>
      <c r="E31" s="7">
        <v>-0.51186429663695332</v>
      </c>
      <c r="F31" s="7">
        <v>10</v>
      </c>
      <c r="G31" s="7">
        <v>-3.3012000348746032E-2</v>
      </c>
      <c r="H31" s="7">
        <v>8.875</v>
      </c>
      <c r="I31" s="7">
        <v>-0.9103638602636186</v>
      </c>
      <c r="J31" s="7">
        <v>60.5</v>
      </c>
      <c r="K31" s="7">
        <v>1.5287628583407957</v>
      </c>
      <c r="L31" s="7">
        <v>-0.39655576133098525</v>
      </c>
    </row>
    <row r="32" spans="1:12" x14ac:dyDescent="0.25">
      <c r="A32" s="2" t="s">
        <v>1682</v>
      </c>
      <c r="B32" s="7">
        <v>18.90909090909091</v>
      </c>
      <c r="C32" s="7">
        <v>-0.71356284728713748</v>
      </c>
      <c r="D32" s="7">
        <v>18.136363636363637</v>
      </c>
      <c r="E32" s="7">
        <v>-0.81477739067370036</v>
      </c>
      <c r="F32" s="7">
        <v>8.5909090909090917</v>
      </c>
      <c r="G32" s="7">
        <v>-0.70116397434940347</v>
      </c>
      <c r="H32" s="7">
        <v>11.090909090909092</v>
      </c>
      <c r="I32" s="7">
        <v>5.7981275786610005E-2</v>
      </c>
      <c r="J32" s="7">
        <v>56.727272727272727</v>
      </c>
      <c r="K32" s="7">
        <v>0.77681378526360578</v>
      </c>
      <c r="L32" s="7">
        <v>-0.54288073413090776</v>
      </c>
    </row>
    <row r="33" spans="1:12" x14ac:dyDescent="0.25">
      <c r="A33" s="2" t="s">
        <v>1683</v>
      </c>
      <c r="B33" s="7">
        <v>21.972972972972972</v>
      </c>
      <c r="C33" s="7">
        <v>-0.13607698946678323</v>
      </c>
      <c r="D33" s="7">
        <v>22.27027027027027</v>
      </c>
      <c r="E33" s="7">
        <v>2.6404834565543715E-2</v>
      </c>
      <c r="F33" s="7">
        <v>10.108108108108109</v>
      </c>
      <c r="G33" s="7">
        <v>1.8249877342673228E-2</v>
      </c>
      <c r="H33" s="7">
        <v>10.945945945945946</v>
      </c>
      <c r="I33" s="7">
        <v>-5.3671516861146075E-3</v>
      </c>
      <c r="J33" s="7">
        <v>65.297297297297291</v>
      </c>
      <c r="K33" s="7">
        <v>1.5255031780509973</v>
      </c>
      <c r="L33" s="7">
        <v>-2.4197357311170231E-2</v>
      </c>
    </row>
    <row r="34" spans="1:12" x14ac:dyDescent="0.25">
      <c r="A34" s="2" t="s">
        <v>1684</v>
      </c>
      <c r="B34" s="7">
        <v>18.125</v>
      </c>
      <c r="C34" s="7">
        <v>-0.86134967517560623</v>
      </c>
      <c r="D34" s="7">
        <v>19.375</v>
      </c>
      <c r="E34" s="7">
        <v>-0.56273519792556737</v>
      </c>
      <c r="F34" s="7">
        <v>8.625</v>
      </c>
      <c r="G34" s="7">
        <v>-0.68499900723648433</v>
      </c>
      <c r="H34" s="7">
        <v>12.75</v>
      </c>
      <c r="I34" s="7">
        <v>0.78299865970114002</v>
      </c>
      <c r="J34" s="7">
        <v>58.875</v>
      </c>
      <c r="K34" s="7">
        <v>0.88162986416115197</v>
      </c>
      <c r="L34" s="7">
        <v>-0.33152130515912942</v>
      </c>
    </row>
    <row r="35" spans="1:12" x14ac:dyDescent="0.25">
      <c r="A35" s="2" t="s">
        <v>1685</v>
      </c>
      <c r="B35" s="7">
        <v>23.869565217391305</v>
      </c>
      <c r="C35" s="7">
        <v>0.22139603866133534</v>
      </c>
      <c r="D35" s="7">
        <v>23.391304347826086</v>
      </c>
      <c r="E35" s="7">
        <v>0.25451689016760137</v>
      </c>
      <c r="F35" s="7">
        <v>10.826086956521738</v>
      </c>
      <c r="G35" s="7">
        <v>0.35869560853242477</v>
      </c>
      <c r="H35" s="7">
        <v>10.478260869565217</v>
      </c>
      <c r="I35" s="7">
        <v>-0.20974402381256133</v>
      </c>
      <c r="J35" s="7">
        <v>68.565217391304344</v>
      </c>
      <c r="K35" s="7">
        <v>1.6427990561949115</v>
      </c>
      <c r="L35" s="7">
        <v>0.15621612838720006</v>
      </c>
    </row>
    <row r="36" spans="1:12" x14ac:dyDescent="0.25">
      <c r="A36" s="2" t="s">
        <v>1686</v>
      </c>
      <c r="B36" s="7">
        <v>24.434782608695652</v>
      </c>
      <c r="C36" s="7">
        <v>0.32792920255825303</v>
      </c>
      <c r="D36" s="7">
        <v>24.108695652173914</v>
      </c>
      <c r="E36" s="7">
        <v>0.40049425908275482</v>
      </c>
      <c r="F36" s="7">
        <v>11.282608695652174</v>
      </c>
      <c r="G36" s="7">
        <v>0.57516560291412433</v>
      </c>
      <c r="H36" s="7">
        <v>12.782608695652174</v>
      </c>
      <c r="I36" s="7">
        <v>0.79724855467980571</v>
      </c>
      <c r="J36" s="7">
        <v>72.608695652173907</v>
      </c>
      <c r="K36" s="7">
        <v>1.3477732182771081</v>
      </c>
      <c r="L36" s="7">
        <v>0.52520940480873446</v>
      </c>
    </row>
    <row r="37" spans="1:12" x14ac:dyDescent="0.25">
      <c r="A37" s="2" t="s">
        <v>1688</v>
      </c>
      <c r="B37" s="7">
        <v>23.375</v>
      </c>
      <c r="C37" s="7">
        <v>0.12817952025153237</v>
      </c>
      <c r="D37" s="7">
        <v>23.208333333333332</v>
      </c>
      <c r="E37" s="7">
        <v>0.21728528849984771</v>
      </c>
      <c r="F37" s="7">
        <v>9.9583333333333339</v>
      </c>
      <c r="G37" s="7">
        <v>-5.2769182375647199E-2</v>
      </c>
      <c r="H37" s="7">
        <v>10.708333333333334</v>
      </c>
      <c r="I37" s="7">
        <v>-0.10920309812975426</v>
      </c>
      <c r="J37" s="7">
        <v>67.25</v>
      </c>
      <c r="K37" s="7">
        <v>1.8017729268810634</v>
      </c>
      <c r="L37" s="7">
        <v>4.5873132061494716E-2</v>
      </c>
    </row>
    <row r="38" spans="1:12" x14ac:dyDescent="0.25">
      <c r="B38"/>
      <c r="C38"/>
      <c r="D38"/>
      <c r="E38"/>
      <c r="F38"/>
    </row>
    <row r="41" spans="1:12" x14ac:dyDescent="0.25">
      <c r="A41" s="11" t="s">
        <v>1750</v>
      </c>
      <c r="B41" t="s">
        <v>1746</v>
      </c>
      <c r="C41" t="s">
        <v>1701</v>
      </c>
      <c r="D41" t="s">
        <v>1747</v>
      </c>
      <c r="E41" t="s">
        <v>1702</v>
      </c>
      <c r="F41" t="s">
        <v>1748</v>
      </c>
      <c r="G41" t="s">
        <v>1703</v>
      </c>
      <c r="H41" t="s">
        <v>1744</v>
      </c>
      <c r="I41" t="s">
        <v>1745</v>
      </c>
      <c r="J41" t="s">
        <v>1705</v>
      </c>
    </row>
    <row r="42" spans="1:12" x14ac:dyDescent="0.25">
      <c r="A42" s="2" t="s">
        <v>1652</v>
      </c>
      <c r="B42" s="8">
        <v>15.482758620689655</v>
      </c>
      <c r="C42" s="8">
        <v>-1.1995679421658019</v>
      </c>
      <c r="D42" s="8">
        <v>13.896551724137931</v>
      </c>
      <c r="E42" s="8">
        <v>-1.3579321656259729</v>
      </c>
      <c r="F42" s="8">
        <v>7.3448275862068968</v>
      </c>
      <c r="G42" s="8">
        <v>-1.1676828923338693</v>
      </c>
      <c r="H42" s="8">
        <v>36.724137931034484</v>
      </c>
      <c r="I42" s="8">
        <v>0.58483244309898974</v>
      </c>
      <c r="J42" s="8">
        <v>-1.2417276667085471</v>
      </c>
    </row>
    <row r="43" spans="1:12" x14ac:dyDescent="0.25">
      <c r="A43" s="2" t="s">
        <v>1653</v>
      </c>
      <c r="B43" s="8">
        <v>20.333333333333332</v>
      </c>
      <c r="C43" s="8">
        <v>-0.44527214740097415</v>
      </c>
      <c r="D43" s="8">
        <v>19.583333333333332</v>
      </c>
      <c r="E43" s="8">
        <v>-0.48782009486185191</v>
      </c>
      <c r="F43" s="8">
        <v>10.416666666666666</v>
      </c>
      <c r="G43" s="8">
        <v>-0.29050661460745841</v>
      </c>
      <c r="H43" s="8">
        <v>50.333333333333336</v>
      </c>
      <c r="I43" s="8">
        <v>0.59748551781851733</v>
      </c>
      <c r="J43" s="8">
        <v>-0.40786628562342814</v>
      </c>
    </row>
    <row r="44" spans="1:12" x14ac:dyDescent="0.25">
      <c r="A44" s="2" t="s">
        <v>1655</v>
      </c>
      <c r="B44" s="8">
        <v>23.8125</v>
      </c>
      <c r="C44" s="8">
        <v>9.5760810840444355E-2</v>
      </c>
      <c r="D44" s="8">
        <v>22.125</v>
      </c>
      <c r="E44" s="8">
        <v>-9.8929682233825297E-2</v>
      </c>
      <c r="F44" s="8">
        <v>11.625</v>
      </c>
      <c r="G44" s="8">
        <v>5.4537936172668319E-2</v>
      </c>
      <c r="H44" s="8">
        <v>57.5625</v>
      </c>
      <c r="I44" s="8">
        <v>0.81170079171655296</v>
      </c>
      <c r="J44" s="8">
        <v>1.7123021593095769E-2</v>
      </c>
    </row>
    <row r="45" spans="1:12" x14ac:dyDescent="0.25">
      <c r="A45" s="2" t="s">
        <v>1656</v>
      </c>
      <c r="B45" s="8">
        <v>22.111111111111111</v>
      </c>
      <c r="C45" s="8">
        <v>-0.16881618470675638</v>
      </c>
      <c r="D45" s="8">
        <v>23.222222222222221</v>
      </c>
      <c r="E45" s="8">
        <v>6.8951971305049431E-2</v>
      </c>
      <c r="F45" s="8">
        <v>11.888888888888889</v>
      </c>
      <c r="G45" s="8">
        <v>0.12989249323959259</v>
      </c>
      <c r="H45" s="8">
        <v>57.222222222222221</v>
      </c>
      <c r="I45" s="8">
        <v>0.72142899210831246</v>
      </c>
      <c r="J45" s="8">
        <v>1.0009426612628571E-2</v>
      </c>
    </row>
    <row r="46" spans="1:12" x14ac:dyDescent="0.25">
      <c r="A46" s="2" t="s">
        <v>1658</v>
      </c>
      <c r="B46" s="8">
        <v>25.043478260869566</v>
      </c>
      <c r="C46" s="8">
        <v>0.28718590593289106</v>
      </c>
      <c r="D46" s="8">
        <v>23.434782608695652</v>
      </c>
      <c r="E46" s="8">
        <v>0.10147499939843631</v>
      </c>
      <c r="F46" s="8">
        <v>11.565217391304348</v>
      </c>
      <c r="G46" s="8">
        <v>3.7466766493891475E-2</v>
      </c>
      <c r="H46" s="8">
        <v>60.043478260869563</v>
      </c>
      <c r="I46" s="8">
        <v>0.76356429116567259</v>
      </c>
      <c r="J46" s="8">
        <v>0.14204255727507292</v>
      </c>
    </row>
    <row r="47" spans="1:12" x14ac:dyDescent="0.25">
      <c r="A47" s="2" t="s">
        <v>1659</v>
      </c>
      <c r="B47" s="8">
        <v>19.366666666666667</v>
      </c>
      <c r="C47" s="8">
        <v>-0.59559507711595516</v>
      </c>
      <c r="D47" s="8">
        <v>17.633333333333333</v>
      </c>
      <c r="E47" s="8">
        <v>-0.78618191963220663</v>
      </c>
      <c r="F47" s="8">
        <v>9.6666666666666661</v>
      </c>
      <c r="G47" s="8">
        <v>-0.50467219785029538</v>
      </c>
      <c r="H47" s="8">
        <v>46.666666666666664</v>
      </c>
      <c r="I47" s="8">
        <v>0.6985340147836262</v>
      </c>
      <c r="J47" s="8">
        <v>-0.62881639819948565</v>
      </c>
    </row>
    <row r="48" spans="1:12" x14ac:dyDescent="0.25">
      <c r="A48" s="2" t="s">
        <v>1660</v>
      </c>
      <c r="B48" s="8">
        <v>24.4</v>
      </c>
      <c r="C48" s="8">
        <v>0.18712086726204905</v>
      </c>
      <c r="D48" s="8">
        <v>24.44</v>
      </c>
      <c r="E48" s="8">
        <v>0.25527935589098033</v>
      </c>
      <c r="F48" s="8">
        <v>12.2</v>
      </c>
      <c r="G48" s="8">
        <v>0.21873154999217698</v>
      </c>
      <c r="H48" s="8">
        <v>61.04</v>
      </c>
      <c r="I48" s="8">
        <v>0.71262473165334694</v>
      </c>
      <c r="J48" s="8">
        <v>0.2203772577150688</v>
      </c>
    </row>
    <row r="49" spans="1:10" x14ac:dyDescent="0.25">
      <c r="A49" s="2" t="s">
        <v>1661</v>
      </c>
      <c r="B49" s="8">
        <v>32</v>
      </c>
      <c r="C49" s="8">
        <v>1.3689701077798304</v>
      </c>
      <c r="D49" s="8">
        <v>33.571428571428569</v>
      </c>
      <c r="E49" s="8">
        <v>1.6524433001635863</v>
      </c>
      <c r="F49" s="8">
        <v>16.642857142857142</v>
      </c>
      <c r="G49" s="8">
        <v>1.487407671678318</v>
      </c>
      <c r="H49" s="8">
        <v>82.214285714285708</v>
      </c>
      <c r="I49" s="8">
        <v>0.70590850808723993</v>
      </c>
      <c r="J49" s="8">
        <v>1.5029403598739115</v>
      </c>
    </row>
    <row r="50" spans="1:10" x14ac:dyDescent="0.25">
      <c r="A50" s="2" t="s">
        <v>1666</v>
      </c>
      <c r="B50" s="8">
        <v>25.931034482758619</v>
      </c>
      <c r="C50" s="8">
        <v>0.42520664892715565</v>
      </c>
      <c r="D50" s="8">
        <v>25.448275862068964</v>
      </c>
      <c r="E50" s="8">
        <v>0.40955167695703121</v>
      </c>
      <c r="F50" s="8">
        <v>12.96551724137931</v>
      </c>
      <c r="G50" s="8">
        <v>0.43732814530210762</v>
      </c>
      <c r="H50" s="8">
        <v>64.34482758620689</v>
      </c>
      <c r="I50" s="8">
        <v>0.83129432999054242</v>
      </c>
      <c r="J50" s="8">
        <v>0.42402882372876488</v>
      </c>
    </row>
    <row r="51" spans="1:10" x14ac:dyDescent="0.25">
      <c r="A51" s="2" t="s">
        <v>1667</v>
      </c>
      <c r="B51" s="8">
        <v>21.711111111111112</v>
      </c>
      <c r="C51" s="8">
        <v>-0.23101877631295531</v>
      </c>
      <c r="D51" s="8">
        <v>21.288888888888888</v>
      </c>
      <c r="E51" s="8">
        <v>-0.22685975239889208</v>
      </c>
      <c r="F51" s="8">
        <v>10.644444444444444</v>
      </c>
      <c r="G51" s="8">
        <v>-0.22546373377074477</v>
      </c>
      <c r="H51" s="8">
        <v>53.644444444444446</v>
      </c>
      <c r="I51" s="8">
        <v>0.79348202358083297</v>
      </c>
      <c r="J51" s="8">
        <v>-0.22778075416086407</v>
      </c>
    </row>
    <row r="52" spans="1:10" x14ac:dyDescent="0.25">
      <c r="A52" s="2" t="s">
        <v>1668</v>
      </c>
      <c r="B52" s="8">
        <v>17.357142857142858</v>
      </c>
      <c r="C52" s="8">
        <v>-0.9080890492328122</v>
      </c>
      <c r="D52" s="8">
        <v>16.214285714285715</v>
      </c>
      <c r="E52" s="8">
        <v>-1.0033048104296811</v>
      </c>
      <c r="F52" s="8">
        <v>9</v>
      </c>
      <c r="G52" s="8">
        <v>-0.69504160517726188</v>
      </c>
      <c r="H52" s="8">
        <v>42.571428571428569</v>
      </c>
      <c r="I52" s="8">
        <v>0.65200991364344518</v>
      </c>
      <c r="J52" s="8">
        <v>-0.86881182161325177</v>
      </c>
    </row>
    <row r="53" spans="1:10" x14ac:dyDescent="0.25">
      <c r="A53" s="2" t="s">
        <v>1663</v>
      </c>
      <c r="B53" s="8">
        <v>26.03125</v>
      </c>
      <c r="C53" s="8">
        <v>0.44079081115607949</v>
      </c>
      <c r="D53" s="8">
        <v>25.21875</v>
      </c>
      <c r="E53" s="8">
        <v>0.37443282821914126</v>
      </c>
      <c r="F53" s="8">
        <v>12.84375</v>
      </c>
      <c r="G53" s="8">
        <v>0.40255700894227908</v>
      </c>
      <c r="H53" s="8">
        <v>64.09375</v>
      </c>
      <c r="I53" s="8">
        <v>0.76808492876416501</v>
      </c>
      <c r="J53" s="8">
        <v>0.40592688277250011</v>
      </c>
    </row>
    <row r="54" spans="1:10" x14ac:dyDescent="0.25">
      <c r="A54" s="2" t="s">
        <v>1662</v>
      </c>
      <c r="B54" s="8">
        <v>21.357142857142858</v>
      </c>
      <c r="C54" s="8">
        <v>-0.28606313317082194</v>
      </c>
      <c r="D54" s="8">
        <v>19.928571428571427</v>
      </c>
      <c r="E54" s="8">
        <v>-0.43499657277186227</v>
      </c>
      <c r="F54" s="8">
        <v>11.214285714285714</v>
      </c>
      <c r="G54" s="8">
        <v>-6.2743216555552081E-2</v>
      </c>
      <c r="H54" s="8">
        <v>52.5</v>
      </c>
      <c r="I54" s="8">
        <v>0.84727302324204934</v>
      </c>
      <c r="J54" s="8">
        <v>-0.26126764083274545</v>
      </c>
    </row>
    <row r="55" spans="1:10" x14ac:dyDescent="0.25">
      <c r="A55" s="2" t="s">
        <v>1654</v>
      </c>
      <c r="B55" s="8">
        <v>27.285714285714285</v>
      </c>
      <c r="C55" s="8">
        <v>0.63586813527819908</v>
      </c>
      <c r="D55" s="8">
        <v>26.857142857142858</v>
      </c>
      <c r="E55" s="8">
        <v>0.6251168705513761</v>
      </c>
      <c r="F55" s="8">
        <v>14.047619047619047</v>
      </c>
      <c r="G55" s="8">
        <v>0.74632676458405545</v>
      </c>
      <c r="H55" s="8">
        <v>68.19047619047619</v>
      </c>
      <c r="I55" s="8">
        <v>0.7725497564517515</v>
      </c>
      <c r="J55" s="8">
        <v>0.66910392347121017</v>
      </c>
    </row>
    <row r="56" spans="1:10" x14ac:dyDescent="0.25">
      <c r="A56" s="2" t="s">
        <v>1670</v>
      </c>
      <c r="B56" s="8">
        <v>27.653846153846153</v>
      </c>
      <c r="C56" s="8">
        <v>0.69311502590478313</v>
      </c>
      <c r="D56" s="8">
        <v>27.346153846153847</v>
      </c>
      <c r="E56" s="8">
        <v>0.69993851722526024</v>
      </c>
      <c r="F56" s="8">
        <v>13.692307692307692</v>
      </c>
      <c r="G56" s="8">
        <v>0.64486614639331008</v>
      </c>
      <c r="H56" s="8">
        <v>68.692307692307693</v>
      </c>
      <c r="I56" s="8">
        <v>0.8337724539141107</v>
      </c>
      <c r="J56" s="8">
        <v>0.67930656317445137</v>
      </c>
    </row>
    <row r="57" spans="1:10" x14ac:dyDescent="0.25">
      <c r="A57" s="2" t="s">
        <v>1671</v>
      </c>
      <c r="B57" s="8">
        <v>20.454545454545453</v>
      </c>
      <c r="C57" s="8">
        <v>-0.42642287721727745</v>
      </c>
      <c r="D57" s="8">
        <v>21</v>
      </c>
      <c r="E57" s="8">
        <v>-0.27106150421672237</v>
      </c>
      <c r="F57" s="8">
        <v>10.409090909090908</v>
      </c>
      <c r="G57" s="8">
        <v>-0.29266990332708304</v>
      </c>
      <c r="H57" s="8">
        <v>51.863636363636367</v>
      </c>
      <c r="I57" s="8">
        <v>0.7882656515815768</v>
      </c>
      <c r="J57" s="8">
        <v>-0.33005142825369432</v>
      </c>
    </row>
    <row r="58" spans="1:10" x14ac:dyDescent="0.25">
      <c r="A58" s="2" t="s">
        <v>1672</v>
      </c>
      <c r="B58" s="8">
        <v>20.863636363636363</v>
      </c>
      <c r="C58" s="8">
        <v>-0.36280659034730145</v>
      </c>
      <c r="D58" s="8">
        <v>20.181818181818183</v>
      </c>
      <c r="E58" s="8">
        <v>-0.39624828384064759</v>
      </c>
      <c r="F58" s="8">
        <v>9.6363636363636367</v>
      </c>
      <c r="G58" s="8">
        <v>-0.5133253527287942</v>
      </c>
      <c r="H58" s="8">
        <v>50.68181818181818</v>
      </c>
      <c r="I58" s="8">
        <v>0.75104196142252533</v>
      </c>
      <c r="J58" s="8">
        <v>-0.42412674230558101</v>
      </c>
    </row>
    <row r="59" spans="1:10" x14ac:dyDescent="0.25">
      <c r="A59" s="2" t="s">
        <v>1673</v>
      </c>
      <c r="B59" s="8">
        <v>22.454545454545453</v>
      </c>
      <c r="C59" s="8">
        <v>-0.11540991918628248</v>
      </c>
      <c r="D59" s="8">
        <v>22.136363636363637</v>
      </c>
      <c r="E59" s="8">
        <v>-9.7190976961270881E-2</v>
      </c>
      <c r="F59" s="8">
        <v>12</v>
      </c>
      <c r="G59" s="8">
        <v>0.16162072779408701</v>
      </c>
      <c r="H59" s="8">
        <v>56.590909090909093</v>
      </c>
      <c r="I59" s="8">
        <v>0.77066690604880772</v>
      </c>
      <c r="J59" s="8">
        <v>-1.699338945115543E-2</v>
      </c>
    </row>
    <row r="60" spans="1:10" x14ac:dyDescent="0.25">
      <c r="A60" s="2" t="s">
        <v>1669</v>
      </c>
      <c r="B60" s="8">
        <v>21.125</v>
      </c>
      <c r="C60" s="8">
        <v>-0.32216285151370544</v>
      </c>
      <c r="D60" s="8">
        <v>25.875</v>
      </c>
      <c r="E60" s="8">
        <v>0.47484305770916446</v>
      </c>
      <c r="F60" s="8">
        <v>12.375</v>
      </c>
      <c r="G60" s="8">
        <v>0.26870351941550574</v>
      </c>
      <c r="H60" s="8">
        <v>59.375</v>
      </c>
      <c r="I60" s="8">
        <v>1.6664904388209387</v>
      </c>
      <c r="J60" s="8">
        <v>0.14046124187032163</v>
      </c>
    </row>
    <row r="61" spans="1:10" x14ac:dyDescent="0.25">
      <c r="A61" s="2" t="s">
        <v>1675</v>
      </c>
      <c r="B61" s="8">
        <v>24.3</v>
      </c>
      <c r="C61" s="8">
        <v>0.17157021936049935</v>
      </c>
      <c r="D61" s="8">
        <v>24.866666666666667</v>
      </c>
      <c r="E61" s="8">
        <v>0.3205619431911606</v>
      </c>
      <c r="F61" s="8">
        <v>11.966666666666667</v>
      </c>
      <c r="G61" s="8">
        <v>0.15210225742773872</v>
      </c>
      <c r="H61" s="8">
        <v>61.133333333333333</v>
      </c>
      <c r="I61" s="8">
        <v>0.92850256688914179</v>
      </c>
      <c r="J61" s="8">
        <v>0.21474480665979953</v>
      </c>
    </row>
    <row r="62" spans="1:10" x14ac:dyDescent="0.25">
      <c r="A62" s="2" t="s">
        <v>1676</v>
      </c>
      <c r="B62" s="8">
        <v>23.967741935483872</v>
      </c>
      <c r="C62" s="8">
        <v>0.11990193762309209</v>
      </c>
      <c r="D62" s="8">
        <v>22.64516129032258</v>
      </c>
      <c r="E62" s="8">
        <v>-1.9341850564313916E-2</v>
      </c>
      <c r="F62" s="8">
        <v>11.129032258064516</v>
      </c>
      <c r="G62" s="8">
        <v>-8.708769145565956E-2</v>
      </c>
      <c r="H62" s="8">
        <v>57.741935483870968</v>
      </c>
      <c r="I62" s="8">
        <v>0.61168217460325292</v>
      </c>
      <c r="J62" s="8">
        <v>4.4907985343729407E-3</v>
      </c>
    </row>
    <row r="63" spans="1:10" x14ac:dyDescent="0.25">
      <c r="A63" s="2" t="s">
        <v>1677</v>
      </c>
      <c r="B63" s="8">
        <v>27.083333333333332</v>
      </c>
      <c r="C63" s="8">
        <v>0.6043965859536341</v>
      </c>
      <c r="D63" s="8">
        <v>28.083333333333332</v>
      </c>
      <c r="E63" s="8">
        <v>0.81273144900892536</v>
      </c>
      <c r="F63" s="8">
        <v>14.083333333333334</v>
      </c>
      <c r="G63" s="8">
        <v>0.7565251256908575</v>
      </c>
      <c r="H63" s="8">
        <v>69.25</v>
      </c>
      <c r="I63" s="8">
        <v>0.84582154245836028</v>
      </c>
      <c r="J63" s="8">
        <v>0.72455105355113891</v>
      </c>
    </row>
    <row r="64" spans="1:10" x14ac:dyDescent="0.25">
      <c r="A64" s="2" t="s">
        <v>1678</v>
      </c>
      <c r="B64" s="8">
        <v>25.863636363636363</v>
      </c>
      <c r="C64" s="8">
        <v>0.41472580473018633</v>
      </c>
      <c r="D64" s="8">
        <v>24.954545454545453</v>
      </c>
      <c r="E64" s="8">
        <v>0.33400793063224882</v>
      </c>
      <c r="F64" s="8">
        <v>12.431818181818182</v>
      </c>
      <c r="G64" s="8">
        <v>0.28492818481269039</v>
      </c>
      <c r="H64" s="8">
        <v>63.25</v>
      </c>
      <c r="I64" s="8">
        <v>0.77502557181378395</v>
      </c>
      <c r="J64" s="8">
        <v>0.34455397339170851</v>
      </c>
    </row>
    <row r="65" spans="1:10" x14ac:dyDescent="0.25">
      <c r="A65" s="2" t="s">
        <v>1679</v>
      </c>
      <c r="B65" s="8">
        <v>25.565217391304348</v>
      </c>
      <c r="C65" s="8">
        <v>0.36831972107141142</v>
      </c>
      <c r="D65" s="8">
        <v>25.652173913043477</v>
      </c>
      <c r="E65" s="8">
        <v>0.44074931519081295</v>
      </c>
      <c r="F65" s="8">
        <v>12.521739130434783</v>
      </c>
      <c r="G65" s="8">
        <v>0.31060548135432159</v>
      </c>
      <c r="H65" s="8">
        <v>63.739130434782609</v>
      </c>
      <c r="I65" s="8">
        <v>0.85358526949045632</v>
      </c>
      <c r="J65" s="8">
        <v>0.37322483920551536</v>
      </c>
    </row>
    <row r="66" spans="1:10" x14ac:dyDescent="0.25">
      <c r="A66" s="2" t="s">
        <v>1680</v>
      </c>
      <c r="B66" s="8">
        <v>21.208333333333332</v>
      </c>
      <c r="C66" s="8">
        <v>-0.30920397826241386</v>
      </c>
      <c r="D66" s="8">
        <v>20.833333333333332</v>
      </c>
      <c r="E66" s="8">
        <v>-0.29656251488085522</v>
      </c>
      <c r="F66" s="8">
        <v>10.416666666666666</v>
      </c>
      <c r="G66" s="8">
        <v>-0.29050661460745847</v>
      </c>
      <c r="H66" s="8">
        <v>52.458333333333336</v>
      </c>
      <c r="I66" s="8">
        <v>0.51600913403311</v>
      </c>
      <c r="J66" s="8">
        <v>-0.29875770258357581</v>
      </c>
    </row>
    <row r="67" spans="1:10" x14ac:dyDescent="0.25">
      <c r="A67" s="2" t="s">
        <v>1681</v>
      </c>
      <c r="B67" s="8">
        <v>23</v>
      </c>
      <c r="C67" s="8">
        <v>-3.0588203359647431E-2</v>
      </c>
      <c r="D67" s="8">
        <v>24.833333333333332</v>
      </c>
      <c r="E67" s="8">
        <v>0.31546174105833402</v>
      </c>
      <c r="F67" s="8">
        <v>5.666666666666667</v>
      </c>
      <c r="G67" s="8">
        <v>-1.6468886418120947</v>
      </c>
      <c r="H67" s="8">
        <v>53.5</v>
      </c>
      <c r="I67" s="8">
        <v>1.7213050831209034</v>
      </c>
      <c r="J67" s="8">
        <v>-0.45400503470446946</v>
      </c>
    </row>
    <row r="68" spans="1:10" x14ac:dyDescent="0.25">
      <c r="A68" s="2" t="s">
        <v>1682</v>
      </c>
      <c r="B68" s="8">
        <v>20.904761904761905</v>
      </c>
      <c r="C68" s="8">
        <v>-0.35641130224926132</v>
      </c>
      <c r="D68" s="8">
        <v>20.80952380952381</v>
      </c>
      <c r="E68" s="8">
        <v>-0.30020551640430265</v>
      </c>
      <c r="F68" s="8">
        <v>9.7619047619047628</v>
      </c>
      <c r="G68" s="8">
        <v>-0.47747656823215773</v>
      </c>
      <c r="H68" s="8">
        <v>51.476190476190474</v>
      </c>
      <c r="I68" s="8">
        <v>0.61985215248046177</v>
      </c>
      <c r="J68" s="8">
        <v>-0.37803112896190727</v>
      </c>
    </row>
    <row r="69" spans="1:10" x14ac:dyDescent="0.25">
      <c r="A69" s="2" t="s">
        <v>1683</v>
      </c>
      <c r="B69" s="8">
        <v>22.5625</v>
      </c>
      <c r="C69" s="8">
        <v>-9.8622287928927632E-2</v>
      </c>
      <c r="D69" s="8">
        <v>21.875</v>
      </c>
      <c r="E69" s="8">
        <v>-0.1371811982300247</v>
      </c>
      <c r="F69" s="8">
        <v>11.5625</v>
      </c>
      <c r="G69" s="8">
        <v>3.6690804235765227E-2</v>
      </c>
      <c r="H69" s="8">
        <v>56</v>
      </c>
      <c r="I69" s="8">
        <v>0.6997347158705236</v>
      </c>
      <c r="J69" s="8">
        <v>-6.6370893974395703E-2</v>
      </c>
    </row>
    <row r="70" spans="1:10" x14ac:dyDescent="0.25">
      <c r="A70" s="2" t="s">
        <v>1684</v>
      </c>
      <c r="B70" s="8">
        <v>14.142857142857142</v>
      </c>
      <c r="C70" s="8">
        <v>-1.4079313032111969</v>
      </c>
      <c r="D70" s="8">
        <v>17.714285714285715</v>
      </c>
      <c r="E70" s="8">
        <v>-0.77379571445248485</v>
      </c>
      <c r="F70" s="8">
        <v>8.9285714285714288</v>
      </c>
      <c r="G70" s="8">
        <v>-0.71543832739086599</v>
      </c>
      <c r="H70" s="8">
        <v>40.785714285714285</v>
      </c>
      <c r="I70" s="8">
        <v>1.076430224355698</v>
      </c>
      <c r="J70" s="8">
        <v>-0.96572178168484935</v>
      </c>
    </row>
    <row r="71" spans="1:10" x14ac:dyDescent="0.25">
      <c r="A71" s="2" t="s">
        <v>1685</v>
      </c>
      <c r="B71" s="8">
        <v>22.095238095238095</v>
      </c>
      <c r="C71" s="8">
        <v>-0.17128454151652622</v>
      </c>
      <c r="D71" s="8">
        <v>21.714285714285715</v>
      </c>
      <c r="E71" s="8">
        <v>-0.16177145851329564</v>
      </c>
      <c r="F71" s="8">
        <v>10.714285714285714</v>
      </c>
      <c r="G71" s="8">
        <v>-0.205520272050777</v>
      </c>
      <c r="H71" s="8">
        <v>54.523809523809526</v>
      </c>
      <c r="I71" s="8">
        <v>0.80728635562149875</v>
      </c>
      <c r="J71" s="8">
        <v>-0.17952542402686625</v>
      </c>
    </row>
    <row r="72" spans="1:10" x14ac:dyDescent="0.25">
      <c r="A72" s="2" t="s">
        <v>1686</v>
      </c>
      <c r="B72" s="8">
        <v>24.717948717948719</v>
      </c>
      <c r="C72" s="8">
        <v>0.23656395289774573</v>
      </c>
      <c r="D72" s="8">
        <v>24.333333333333332</v>
      </c>
      <c r="E72" s="8">
        <v>0.23895870906593536</v>
      </c>
      <c r="F72" s="8">
        <v>12.358974358974359</v>
      </c>
      <c r="G72" s="8">
        <v>0.26412733173937664</v>
      </c>
      <c r="H72" s="8">
        <v>61.410256410256409</v>
      </c>
      <c r="I72" s="8">
        <v>0.63405653771428072</v>
      </c>
      <c r="J72" s="8">
        <v>0.24654999790101925</v>
      </c>
    </row>
    <row r="73" spans="1:10" x14ac:dyDescent="0.25">
      <c r="A73" s="2" t="s">
        <v>1687</v>
      </c>
      <c r="B73" s="8">
        <v>26.375</v>
      </c>
      <c r="C73" s="8">
        <v>0.49424616331765681</v>
      </c>
      <c r="D73" s="8">
        <v>24</v>
      </c>
      <c r="E73" s="8">
        <v>0.18795668773766958</v>
      </c>
      <c r="F73" s="8">
        <v>10.875</v>
      </c>
      <c r="G73" s="8">
        <v>-0.15962764707016897</v>
      </c>
      <c r="H73" s="8">
        <v>61.25</v>
      </c>
      <c r="I73" s="8">
        <v>2.0834208650793031</v>
      </c>
      <c r="J73" s="8">
        <v>0.17419173466171911</v>
      </c>
    </row>
    <row r="74" spans="1:10" x14ac:dyDescent="0.25">
      <c r="A74" s="2" t="s">
        <v>1688</v>
      </c>
      <c r="B74" s="8">
        <v>21.272727272727273</v>
      </c>
      <c r="C74" s="8">
        <v>-0.29919030347732495</v>
      </c>
      <c r="D74" s="8">
        <v>20.34090909090909</v>
      </c>
      <c r="E74" s="8">
        <v>-0.37190641002488428</v>
      </c>
      <c r="F74" s="8">
        <v>9.9772727272727266</v>
      </c>
      <c r="G74" s="8">
        <v>-0.41597736034568639</v>
      </c>
      <c r="H74" s="8">
        <v>51.590909090909093</v>
      </c>
      <c r="I74" s="8">
        <v>0.75661550937276378</v>
      </c>
      <c r="J74" s="8">
        <v>-0.36235802461596528</v>
      </c>
    </row>
    <row r="75" spans="1:10" x14ac:dyDescent="0.25">
      <c r="B75"/>
      <c r="C75"/>
      <c r="D75"/>
      <c r="E75"/>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B207DA4-D4A0-4B12-A118-7EEF1411E9B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vt:i4>
      </vt:variant>
    </vt:vector>
  </HeadingPairs>
  <TitlesOfParts>
    <vt:vector size="7" baseType="lpstr">
      <vt:lpstr>DATOS_ADJ</vt:lpstr>
      <vt:lpstr>COMPLETE</vt:lpstr>
      <vt:lpstr>ADJ_SCORES</vt:lpstr>
      <vt:lpstr>IMPR_SCORES</vt:lpstr>
      <vt:lpstr>PREP_SCORES</vt:lpstr>
      <vt:lpstr>PIVOTS</vt:lpstr>
      <vt:lpstr>AVG_SUBTOTALES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Julieta</dc:creator>
  <cp:lastModifiedBy>Julieta</cp:lastModifiedBy>
  <dcterms:created xsi:type="dcterms:W3CDTF">2026-01-03T00:30:35Z</dcterms:created>
  <dcterms:modified xsi:type="dcterms:W3CDTF">2026-01-03T05:17:37Z</dcterms:modified>
</cp:coreProperties>
</file>